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unathan/ASU Dropbox/Nathan Upham/PROJECTS/SantaCatalinas_project/MS_2024-2025/sc_mamm_survey/Figures/Fig5_compareToPlants/"/>
    </mc:Choice>
  </mc:AlternateContent>
  <xr:revisionPtr revIDLastSave="0" documentId="13_ncr:1_{72554A70-EB58-4C4B-8779-C1DA46189C16}" xr6:coauthVersionLast="47" xr6:coauthVersionMax="47" xr10:uidLastSave="{00000000-0000-0000-0000-000000000000}"/>
  <bookViews>
    <workbookView xWindow="2680" yWindow="500" windowWidth="31240" windowHeight="18460" activeTab="4" xr2:uid="{00000000-000D-0000-FFFF-FFFF00000000}"/>
  </bookViews>
  <sheets>
    <sheet name="Coleoptera" sheetId="1" r:id="rId1"/>
    <sheet name="Araneae" sheetId="2" r:id="rId2"/>
    <sheet name="Orthoptera" sheetId="3" r:id="rId3"/>
    <sheet name="Myriapoda" sheetId="4" r:id="rId4"/>
    <sheet name="ALL arthropods" sheetId="5" r:id="rId5"/>
  </sheets>
  <definedNames>
    <definedName name="_xlnm.Print_Area" localSheetId="0">Coleoptera!$A$1:$C$195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5" l="1"/>
  <c r="D6" i="5"/>
  <c r="E6" i="5"/>
  <c r="F6" i="5"/>
  <c r="G6" i="5"/>
  <c r="B6" i="5"/>
  <c r="R21" i="4"/>
  <c r="Q21" i="4"/>
  <c r="P21" i="4"/>
  <c r="O21" i="4"/>
  <c r="N21" i="4"/>
  <c r="M21" i="4"/>
  <c r="F21" i="4"/>
  <c r="G21" i="4"/>
  <c r="H21" i="4"/>
  <c r="I21" i="4"/>
  <c r="J21" i="4"/>
  <c r="E21" i="4"/>
  <c r="J24" i="4"/>
  <c r="I24" i="4"/>
  <c r="H24" i="4"/>
  <c r="G24" i="4"/>
  <c r="F24" i="4"/>
  <c r="E24" i="4"/>
  <c r="R30" i="3"/>
  <c r="Q30" i="3"/>
  <c r="P30" i="3"/>
  <c r="O30" i="3"/>
  <c r="N30" i="3"/>
  <c r="M30" i="3"/>
  <c r="F30" i="3"/>
  <c r="G30" i="3"/>
  <c r="H30" i="3"/>
  <c r="I30" i="3"/>
  <c r="J30" i="3"/>
  <c r="E30" i="3"/>
  <c r="J33" i="3"/>
  <c r="I33" i="3"/>
  <c r="H33" i="3"/>
  <c r="G33" i="3"/>
  <c r="F33" i="3"/>
  <c r="E33" i="3"/>
  <c r="R107" i="2"/>
  <c r="Q107" i="2"/>
  <c r="P107" i="2"/>
  <c r="O107" i="2"/>
  <c r="N107" i="2"/>
  <c r="M107" i="2"/>
  <c r="F107" i="2"/>
  <c r="G107" i="2"/>
  <c r="H107" i="2"/>
  <c r="I107" i="2"/>
  <c r="J107" i="2"/>
  <c r="E107" i="2"/>
  <c r="J110" i="2"/>
  <c r="I110" i="2"/>
  <c r="H110" i="2"/>
  <c r="G110" i="2"/>
  <c r="F110" i="2"/>
  <c r="E110" i="2"/>
  <c r="I200" i="1"/>
  <c r="H200" i="1"/>
  <c r="G200" i="1"/>
  <c r="F200" i="1"/>
  <c r="J200" i="1"/>
  <c r="E200" i="1"/>
  <c r="R197" i="1"/>
  <c r="Q197" i="1"/>
  <c r="P197" i="1"/>
  <c r="O197" i="1"/>
  <c r="N197" i="1"/>
  <c r="M197" i="1"/>
  <c r="F197" i="1"/>
  <c r="G197" i="1"/>
  <c r="H197" i="1"/>
  <c r="I197" i="1"/>
  <c r="J197" i="1"/>
  <c r="E197" i="1"/>
</calcChain>
</file>

<file path=xl/sharedStrings.xml><?xml version="1.0" encoding="utf-8"?>
<sst xmlns="http://schemas.openxmlformats.org/spreadsheetml/2006/main" count="1824" uniqueCount="505">
  <si>
    <t>Determined by Wendy Moore and Eugene Hall</t>
  </si>
  <si>
    <t>Family</t>
  </si>
  <si>
    <t>Genus</t>
  </si>
  <si>
    <t>species</t>
  </si>
  <si>
    <t>Anthicidae</t>
  </si>
  <si>
    <t>Bothrideridae</t>
  </si>
  <si>
    <t>Chrysomelidae:Bruchinae</t>
  </si>
  <si>
    <t>Buprestidae</t>
  </si>
  <si>
    <t>Cantharidae</t>
  </si>
  <si>
    <t>Carabidae</t>
  </si>
  <si>
    <t>Chrysomelidae</t>
  </si>
  <si>
    <t>Clambidae</t>
  </si>
  <si>
    <t>Coccinellidae</t>
  </si>
  <si>
    <t>Cryptophagidae</t>
  </si>
  <si>
    <t>Nitidulidae</t>
  </si>
  <si>
    <t>Curculionidae</t>
  </si>
  <si>
    <t>Elateridae</t>
  </si>
  <si>
    <t>Histeridae</t>
  </si>
  <si>
    <t>Latridiidae</t>
  </si>
  <si>
    <t>species 1</t>
  </si>
  <si>
    <t>Leiodidae</t>
  </si>
  <si>
    <t>Lycidae</t>
  </si>
  <si>
    <t>Melyridae</t>
  </si>
  <si>
    <t>Ptinidae</t>
  </si>
  <si>
    <t>Pyrochroidae</t>
  </si>
  <si>
    <t>Salpingidae</t>
  </si>
  <si>
    <t>Scarabaeidae</t>
  </si>
  <si>
    <t>Staphylinidae</t>
  </si>
  <si>
    <t>Tenebrionidae</t>
  </si>
  <si>
    <t>Zopheridae</t>
  </si>
  <si>
    <t>Anobiidae</t>
  </si>
  <si>
    <t>Corylophidae</t>
  </si>
  <si>
    <t>Dermestidae</t>
  </si>
  <si>
    <t>Endomychidae</t>
  </si>
  <si>
    <t>Erotylidae</t>
  </si>
  <si>
    <t>Ptiliidae</t>
  </si>
  <si>
    <t>Ochodaeidae</t>
  </si>
  <si>
    <t>Silphidae</t>
  </si>
  <si>
    <t>Desertscrub</t>
  </si>
  <si>
    <t>Grassland</t>
  </si>
  <si>
    <t>Chaparral</t>
  </si>
  <si>
    <t>Pine/Oak</t>
  </si>
  <si>
    <t>Pine</t>
  </si>
  <si>
    <t>Mixed Conifer</t>
  </si>
  <si>
    <t>X</t>
  </si>
  <si>
    <t>Ischyropalpus</t>
  </si>
  <si>
    <t>Bothrideres</t>
  </si>
  <si>
    <t>cruciger</t>
  </si>
  <si>
    <t>Zabrotes</t>
  </si>
  <si>
    <t>planifrons</t>
  </si>
  <si>
    <t>Acmaeodera</t>
  </si>
  <si>
    <t>quadrivittatoides</t>
  </si>
  <si>
    <t>Podabrus</t>
  </si>
  <si>
    <t>Calathus</t>
  </si>
  <si>
    <t>arizonensis</t>
  </si>
  <si>
    <t>Cymindis</t>
  </si>
  <si>
    <t>Discoderus</t>
  </si>
  <si>
    <t>robustus</t>
  </si>
  <si>
    <t>linearis</t>
  </si>
  <si>
    <t>Microlestes</t>
  </si>
  <si>
    <t>Pterostichus</t>
  </si>
  <si>
    <t>adstrictus</t>
  </si>
  <si>
    <t>torquata</t>
  </si>
  <si>
    <t>Altica</t>
  </si>
  <si>
    <t>Phaedon</t>
  </si>
  <si>
    <t>species 2</t>
  </si>
  <si>
    <t>Cryptophagus</t>
  </si>
  <si>
    <t>Carpophilus</t>
  </si>
  <si>
    <t>Rhyncolus</t>
  </si>
  <si>
    <t>Scyphophorus</t>
  </si>
  <si>
    <t>Thalycra</t>
  </si>
  <si>
    <t>Akalyptoischion</t>
  </si>
  <si>
    <t>Metopthalmus</t>
  </si>
  <si>
    <t>Ptomaphagus</t>
  </si>
  <si>
    <t>Lycus</t>
  </si>
  <si>
    <t>Trichochrous</t>
  </si>
  <si>
    <t>Ptinus</t>
  </si>
  <si>
    <t>bryanti</t>
  </si>
  <si>
    <t>Cononotus</t>
  </si>
  <si>
    <t>Dacoderus</t>
  </si>
  <si>
    <t>striatoceps</t>
  </si>
  <si>
    <t>Anomala</t>
  </si>
  <si>
    <t>species 3</t>
  </si>
  <si>
    <t>species 4</t>
  </si>
  <si>
    <t>Diplotaxis</t>
  </si>
  <si>
    <t>Serica</t>
  </si>
  <si>
    <t>Quedius</t>
  </si>
  <si>
    <t>alutacea</t>
  </si>
  <si>
    <t>Argoporis</t>
  </si>
  <si>
    <t>costipennis</t>
  </si>
  <si>
    <t>Alandes</t>
  </si>
  <si>
    <t>Blapstinus</t>
  </si>
  <si>
    <t>Coelocnemis</t>
  </si>
  <si>
    <t>magna</t>
  </si>
  <si>
    <t>Conibius</t>
  </si>
  <si>
    <t>gagates</t>
  </si>
  <si>
    <t>uniformis</t>
  </si>
  <si>
    <t>Cryptoglossa</t>
  </si>
  <si>
    <t>variolosa</t>
  </si>
  <si>
    <t>Eleodes</t>
  </si>
  <si>
    <t>anthracinus</t>
  </si>
  <si>
    <t>carbonarius</t>
  </si>
  <si>
    <t>dissimilis</t>
  </si>
  <si>
    <t>longicollis</t>
  </si>
  <si>
    <t>nigrinus</t>
  </si>
  <si>
    <t>subnitens</t>
  </si>
  <si>
    <t>Embaphion</t>
  </si>
  <si>
    <t>contusum</t>
  </si>
  <si>
    <t>Helops</t>
  </si>
  <si>
    <t>Hymenorus</t>
  </si>
  <si>
    <t>irritus</t>
  </si>
  <si>
    <t>planulus</t>
  </si>
  <si>
    <t>Neobaphion</t>
  </si>
  <si>
    <t>planipennis</t>
  </si>
  <si>
    <t>Pseudohylesinus</t>
  </si>
  <si>
    <t>Triorophus</t>
  </si>
  <si>
    <t>laevis</t>
  </si>
  <si>
    <t>Steriphanus</t>
  </si>
  <si>
    <t>Coniontis</t>
  </si>
  <si>
    <t>gracilis</t>
  </si>
  <si>
    <t>Zopherus</t>
  </si>
  <si>
    <t>elongatulus</t>
  </si>
  <si>
    <t>Brachinus</t>
  </si>
  <si>
    <t>Calosoma</t>
  </si>
  <si>
    <t>Pasimachus</t>
  </si>
  <si>
    <t>californicus</t>
  </si>
  <si>
    <t>Scaphinotus</t>
  </si>
  <si>
    <t>dubius</t>
  </si>
  <si>
    <t>Synuchus</t>
  </si>
  <si>
    <t>Harpalus</t>
  </si>
  <si>
    <t>Selenophorus</t>
  </si>
  <si>
    <t>Tetragonoderus</t>
  </si>
  <si>
    <t>Agonum</t>
  </si>
  <si>
    <t>Sericoda</t>
  </si>
  <si>
    <t>bembidoides</t>
  </si>
  <si>
    <t>Zygogramma</t>
  </si>
  <si>
    <t>opifera</t>
  </si>
  <si>
    <t>Hylastes</t>
  </si>
  <si>
    <t>Aphorista</t>
  </si>
  <si>
    <t>morosa</t>
  </si>
  <si>
    <t>Gibbifer</t>
  </si>
  <si>
    <t>Hister</t>
  </si>
  <si>
    <t>Leiodes</t>
  </si>
  <si>
    <t>Euparea</t>
  </si>
  <si>
    <t>Pallodes</t>
  </si>
  <si>
    <t>plateosus</t>
  </si>
  <si>
    <t>Stelidota</t>
  </si>
  <si>
    <t>geminata</t>
  </si>
  <si>
    <t>Acrotrichis</t>
  </si>
  <si>
    <t>Ataenius</t>
  </si>
  <si>
    <t>Copris</t>
  </si>
  <si>
    <t>Euphoria</t>
  </si>
  <si>
    <t>verticalis</t>
  </si>
  <si>
    <t>Onthophagus</t>
  </si>
  <si>
    <t>species 5</t>
  </si>
  <si>
    <t>Parochodaeus</t>
  </si>
  <si>
    <t>Thanatophilus</t>
  </si>
  <si>
    <t>Baeocera</t>
  </si>
  <si>
    <t>Eusattus</t>
  </si>
  <si>
    <t>reticulatus</t>
  </si>
  <si>
    <t>spp.</t>
  </si>
  <si>
    <t>Philolithus</t>
  </si>
  <si>
    <t>morbillosus</t>
  </si>
  <si>
    <t>Stenomorpha</t>
  </si>
  <si>
    <t>Asidopsos</t>
  </si>
  <si>
    <t>macra</t>
  </si>
  <si>
    <t>Rhadine</t>
  </si>
  <si>
    <t>Pseudomorpha</t>
  </si>
  <si>
    <t>Orthoperus</t>
  </si>
  <si>
    <t xml:space="preserve">Santa Catalina Mountain Coleoptera </t>
  </si>
  <si>
    <t>Agelenidae</t>
  </si>
  <si>
    <t>Amaurobiidae</t>
  </si>
  <si>
    <t>Anyphaenidae</t>
  </si>
  <si>
    <t>Corinnidae</t>
  </si>
  <si>
    <t>Dictynidae</t>
  </si>
  <si>
    <t>Dipluridae</t>
  </si>
  <si>
    <t>Filistatidae</t>
  </si>
  <si>
    <t>Gnaphosidae</t>
  </si>
  <si>
    <t>Hahniidae</t>
  </si>
  <si>
    <t>Leptonetidae</t>
  </si>
  <si>
    <t>Linyphiidae</t>
  </si>
  <si>
    <t>Liocranidae</t>
  </si>
  <si>
    <t>Lycosidae</t>
  </si>
  <si>
    <t>Lycoside</t>
  </si>
  <si>
    <t>Miturgidae</t>
  </si>
  <si>
    <t>Oonopidae</t>
  </si>
  <si>
    <t>Philodromidae</t>
  </si>
  <si>
    <t>Pholcidae</t>
  </si>
  <si>
    <t>Plectreuridae</t>
  </si>
  <si>
    <t>Salticidae</t>
  </si>
  <si>
    <t>Selenopidae</t>
  </si>
  <si>
    <t>Sicariidae</t>
  </si>
  <si>
    <t>Sparassidae</t>
  </si>
  <si>
    <t>Tengellidae</t>
  </si>
  <si>
    <t>Theridiidae</t>
  </si>
  <si>
    <t>Thomisidae</t>
  </si>
  <si>
    <t>Calilena</t>
  </si>
  <si>
    <t>restricta</t>
  </si>
  <si>
    <t>Callobius</t>
  </si>
  <si>
    <t>arizonica</t>
  </si>
  <si>
    <t>Anyphaena</t>
  </si>
  <si>
    <t>marginalis</t>
  </si>
  <si>
    <t>Castianeira</t>
  </si>
  <si>
    <t>occidens</t>
  </si>
  <si>
    <t>luctifera</t>
  </si>
  <si>
    <t>Phrurolithus</t>
  </si>
  <si>
    <t>catalinius</t>
  </si>
  <si>
    <t>schwartzi</t>
  </si>
  <si>
    <t>Phrurotimpus</t>
  </si>
  <si>
    <t>certus</t>
  </si>
  <si>
    <t>Piabuna</t>
  </si>
  <si>
    <t>Septentrinna</t>
  </si>
  <si>
    <t>steckleri</t>
  </si>
  <si>
    <t>Cicurina</t>
  </si>
  <si>
    <t>Phantyna</t>
  </si>
  <si>
    <t>bicornis</t>
  </si>
  <si>
    <t>Dictyna</t>
  </si>
  <si>
    <t>terrestris</t>
  </si>
  <si>
    <t>Lathys</t>
  </si>
  <si>
    <t>delicatula</t>
  </si>
  <si>
    <t>rita</t>
  </si>
  <si>
    <t>Euagrus</t>
  </si>
  <si>
    <t>chisoseus</t>
  </si>
  <si>
    <t>Kukulcania</t>
  </si>
  <si>
    <t>Callilepis</t>
  </si>
  <si>
    <t>eremella</t>
  </si>
  <si>
    <t>gertschi</t>
  </si>
  <si>
    <t>mumai</t>
  </si>
  <si>
    <t>Cesonia</t>
  </si>
  <si>
    <t>Drassodes</t>
  </si>
  <si>
    <t>saccatus</t>
  </si>
  <si>
    <t>Drassyllus</t>
  </si>
  <si>
    <t>conformans</t>
  </si>
  <si>
    <t>dromeus</t>
  </si>
  <si>
    <t>insularis</t>
  </si>
  <si>
    <t>Haplodrassus</t>
  </si>
  <si>
    <t>chamberlini</t>
  </si>
  <si>
    <t>signifer</t>
  </si>
  <si>
    <t>Herpyllus</t>
  </si>
  <si>
    <t>propinquus</t>
  </si>
  <si>
    <t>Micaria</t>
  </si>
  <si>
    <t>palliditarsus</t>
  </si>
  <si>
    <t>jeanae</t>
  </si>
  <si>
    <t>nanella</t>
  </si>
  <si>
    <t>riggsi</t>
  </si>
  <si>
    <t>palliditarsa</t>
  </si>
  <si>
    <t>nye</t>
  </si>
  <si>
    <t>pulicaria</t>
  </si>
  <si>
    <t>Nodocion</t>
  </si>
  <si>
    <t>eclectica</t>
  </si>
  <si>
    <t>Scopoides</t>
  </si>
  <si>
    <t>catharius</t>
  </si>
  <si>
    <t>Sergiolus</t>
  </si>
  <si>
    <t>Trachyzelotes</t>
  </si>
  <si>
    <t>jaxartensis</t>
  </si>
  <si>
    <t>Zelotes</t>
  </si>
  <si>
    <t>anglo</t>
  </si>
  <si>
    <t>lasalanus</t>
  </si>
  <si>
    <t>monachus</t>
  </si>
  <si>
    <t>Neocryphoeca</t>
  </si>
  <si>
    <t>Ozarkia</t>
  </si>
  <si>
    <t>apachea</t>
  </si>
  <si>
    <t>Agyneta</t>
  </si>
  <si>
    <t>Ceraticelus</t>
  </si>
  <si>
    <t>Ceratinella</t>
  </si>
  <si>
    <t>brunnea</t>
  </si>
  <si>
    <t>Erigone</t>
  </si>
  <si>
    <t>Helophora</t>
  </si>
  <si>
    <t>reducta</t>
  </si>
  <si>
    <t>Lepthyphantes</t>
  </si>
  <si>
    <t>Meioneta</t>
  </si>
  <si>
    <t>Masoncus</t>
  </si>
  <si>
    <t>conspectus</t>
  </si>
  <si>
    <t>Mermessus</t>
  </si>
  <si>
    <t>taibo</t>
  </si>
  <si>
    <t>coahuilana</t>
  </si>
  <si>
    <t>Spirembolus</t>
  </si>
  <si>
    <t>maderus</t>
  </si>
  <si>
    <t>Tennesseellum</t>
  </si>
  <si>
    <t>formica</t>
  </si>
  <si>
    <t>Neoanagraphis</t>
  </si>
  <si>
    <t>Alopecosa</t>
  </si>
  <si>
    <t>kochi</t>
  </si>
  <si>
    <t>Hogna</t>
  </si>
  <si>
    <t>Pardosa</t>
  </si>
  <si>
    <t>montgomeryi</t>
  </si>
  <si>
    <t>yavapa</t>
  </si>
  <si>
    <t>Schizocosa</t>
  </si>
  <si>
    <t>mccooki</t>
  </si>
  <si>
    <t>Syspira</t>
  </si>
  <si>
    <t>longipes</t>
  </si>
  <si>
    <t>tigrina</t>
  </si>
  <si>
    <t>Escaphiella</t>
  </si>
  <si>
    <t>hespera</t>
  </si>
  <si>
    <t>Oonops</t>
  </si>
  <si>
    <t>Apollophanes</t>
  </si>
  <si>
    <t>texanus</t>
  </si>
  <si>
    <t>Philodromus</t>
  </si>
  <si>
    <t>rodecki</t>
  </si>
  <si>
    <t>Psilochorus</t>
  </si>
  <si>
    <t>rockefelleri</t>
  </si>
  <si>
    <t>utahensis</t>
  </si>
  <si>
    <t>Kibramoa</t>
  </si>
  <si>
    <t>Euophrus</t>
  </si>
  <si>
    <t>Habronattus</t>
  </si>
  <si>
    <t>clypeatus</t>
  </si>
  <si>
    <t>geronimoi</t>
  </si>
  <si>
    <t>hallani</t>
  </si>
  <si>
    <t>hirsutus</t>
  </si>
  <si>
    <t>ustulatus</t>
  </si>
  <si>
    <t>Peckhamia</t>
  </si>
  <si>
    <t>Selenops</t>
  </si>
  <si>
    <t>Loxosceles</t>
  </si>
  <si>
    <t>Olios</t>
  </si>
  <si>
    <t>giganteus</t>
  </si>
  <si>
    <t>Lauricius</t>
  </si>
  <si>
    <t>hooki</t>
  </si>
  <si>
    <t>Euryopis</t>
  </si>
  <si>
    <t>mulaiki</t>
  </si>
  <si>
    <t>texana</t>
  </si>
  <si>
    <t>Steatoda</t>
  </si>
  <si>
    <t>punctulata</t>
  </si>
  <si>
    <t>variata</t>
  </si>
  <si>
    <t>Thymoites</t>
  </si>
  <si>
    <t>sclerotis</t>
  </si>
  <si>
    <t>Xysticus</t>
  </si>
  <si>
    <t>apachecus</t>
  </si>
  <si>
    <t>cunctator</t>
  </si>
  <si>
    <t>gosiutus</t>
  </si>
  <si>
    <t>lutzi</t>
  </si>
  <si>
    <t>montanensis</t>
  </si>
  <si>
    <t>Determined by Sandra Brantley</t>
  </si>
  <si>
    <t>Santa Catalina Mountain Araneae</t>
  </si>
  <si>
    <t>Santa Catalina Mountain Orthoptera</t>
  </si>
  <si>
    <t>Gryllus</t>
  </si>
  <si>
    <t>Stenopelmatus</t>
  </si>
  <si>
    <t>Barytettix</t>
  </si>
  <si>
    <t>humphreysii</t>
  </si>
  <si>
    <t xml:space="preserve">Hoplosphyrum </t>
  </si>
  <si>
    <t>boreale</t>
  </si>
  <si>
    <t xml:space="preserve">Cycloptilium </t>
  </si>
  <si>
    <t>comprehendens</t>
  </si>
  <si>
    <t>Trimerotropis</t>
  </si>
  <si>
    <t>Conalcaea</t>
  </si>
  <si>
    <t>huachucana</t>
  </si>
  <si>
    <t>Eremopedes</t>
  </si>
  <si>
    <t>ephippiata</t>
  </si>
  <si>
    <t>Syrbula</t>
  </si>
  <si>
    <t>montezuma</t>
  </si>
  <si>
    <t>Arphia</t>
  </si>
  <si>
    <t>conspersa</t>
  </si>
  <si>
    <t>arizonae</t>
  </si>
  <si>
    <t>Aulocara</t>
  </si>
  <si>
    <t>femoratum</t>
  </si>
  <si>
    <t>Leprus</t>
  </si>
  <si>
    <t>Phrynotettix</t>
  </si>
  <si>
    <t>tschivavensis</t>
  </si>
  <si>
    <t>Melanoplus</t>
  </si>
  <si>
    <t>lakinus</t>
  </si>
  <si>
    <t>Boopedon</t>
  </si>
  <si>
    <t>nubilum</t>
  </si>
  <si>
    <t>occidentalis</t>
  </si>
  <si>
    <t>kiowa</t>
  </si>
  <si>
    <t>Ageneotettix</t>
  </si>
  <si>
    <t>deorum</t>
  </si>
  <si>
    <t>Acantherus</t>
  </si>
  <si>
    <t>piperatus</t>
  </si>
  <si>
    <t>Hesperotettix</t>
  </si>
  <si>
    <t>veridans</t>
  </si>
  <si>
    <t>Oecanthus</t>
  </si>
  <si>
    <t>Neonemobius</t>
  </si>
  <si>
    <t>mormonius</t>
  </si>
  <si>
    <t>Gryllita</t>
  </si>
  <si>
    <t>Gryllidae</t>
  </si>
  <si>
    <t>Ceuthophilus</t>
  </si>
  <si>
    <t>Rhaphidophoridae</t>
  </si>
  <si>
    <t>Stenopelmatidae</t>
  </si>
  <si>
    <t>Acrididae</t>
  </si>
  <si>
    <t>Mogoplistidae</t>
  </si>
  <si>
    <t>Tettigoniidae</t>
  </si>
  <si>
    <t>Acrididae </t>
  </si>
  <si>
    <t>Gryllidea</t>
  </si>
  <si>
    <t>Santa Catalina Mountain Myriapoda</t>
  </si>
  <si>
    <t>Determined by Paul Marek</t>
  </si>
  <si>
    <t>Scolopendridae</t>
  </si>
  <si>
    <t>Scutigeridae</t>
  </si>
  <si>
    <t>Geophilidae</t>
  </si>
  <si>
    <t>Lithobiidae</t>
  </si>
  <si>
    <t>Parajulidae</t>
  </si>
  <si>
    <t>Polyxenidae</t>
  </si>
  <si>
    <t>Conotylidae</t>
  </si>
  <si>
    <t>Atopetholidae</t>
  </si>
  <si>
    <t>Spirostreptidae</t>
  </si>
  <si>
    <t>Macrosternodesmidae</t>
  </si>
  <si>
    <t>Siphonophoridae</t>
  </si>
  <si>
    <t>Scolopendra</t>
  </si>
  <si>
    <t>polymorpha</t>
  </si>
  <si>
    <t>Dendrothereua</t>
  </si>
  <si>
    <t>homa</t>
  </si>
  <si>
    <t>Polyxenus</t>
  </si>
  <si>
    <t>lagurus</t>
  </si>
  <si>
    <t>Austrotyla</t>
  </si>
  <si>
    <t>montivaga</t>
  </si>
  <si>
    <t>Arinolus</t>
  </si>
  <si>
    <t>hopinus</t>
  </si>
  <si>
    <t>Orthoporus</t>
  </si>
  <si>
    <t>ornatus</t>
  </si>
  <si>
    <t>Tidesmus</t>
  </si>
  <si>
    <t>variabilis</t>
  </si>
  <si>
    <t>Siphonacme</t>
  </si>
  <si>
    <t>lyttoni</t>
  </si>
  <si>
    <t>Aniulus</t>
  </si>
  <si>
    <r>
      <t xml:space="preserve">nr. </t>
    </r>
    <r>
      <rPr>
        <i/>
        <sz val="14"/>
        <color theme="1"/>
        <rFont val="Calibri"/>
        <family val="2"/>
        <scheme val="minor"/>
      </rPr>
      <t>callidus</t>
    </r>
  </si>
  <si>
    <r>
      <t xml:space="preserve">nr. </t>
    </r>
    <r>
      <rPr>
        <i/>
        <sz val="14"/>
        <color theme="1"/>
        <rFont val="Calibri"/>
        <family val="2"/>
        <scheme val="minor"/>
      </rPr>
      <t>dulcineus</t>
    </r>
  </si>
  <si>
    <r>
      <t xml:space="preserve">nr. </t>
    </r>
    <r>
      <rPr>
        <i/>
        <sz val="14"/>
        <color theme="1"/>
        <rFont val="Calibri"/>
        <family val="2"/>
        <scheme val="minor"/>
      </rPr>
      <t>brevispina</t>
    </r>
  </si>
  <si>
    <r>
      <t xml:space="preserve">nr. </t>
    </r>
    <r>
      <rPr>
        <i/>
        <sz val="14"/>
        <color theme="1"/>
        <rFont val="Calibri"/>
        <family val="2"/>
        <scheme val="minor"/>
      </rPr>
      <t>longispina</t>
    </r>
  </si>
  <si>
    <r>
      <t xml:space="preserve">nr. </t>
    </r>
    <r>
      <rPr>
        <i/>
        <sz val="14"/>
        <color theme="1"/>
        <rFont val="Calibri"/>
        <family val="2"/>
        <scheme val="minor"/>
      </rPr>
      <t>formosus</t>
    </r>
  </si>
  <si>
    <r>
      <t xml:space="preserve">nr. </t>
    </r>
    <r>
      <rPr>
        <i/>
        <sz val="14"/>
        <color theme="1"/>
        <rFont val="Calibri"/>
        <family val="2"/>
        <scheme val="minor"/>
      </rPr>
      <t>yuma</t>
    </r>
  </si>
  <si>
    <r>
      <t xml:space="preserve">nr. </t>
    </r>
    <r>
      <rPr>
        <i/>
        <sz val="14"/>
        <color theme="1"/>
        <rFont val="Calibri"/>
        <family val="2"/>
        <scheme val="minor"/>
      </rPr>
      <t>discursans</t>
    </r>
  </si>
  <si>
    <t>acupunctatus</t>
  </si>
  <si>
    <t>Gerstaeckeria</t>
  </si>
  <si>
    <t>alternata</t>
  </si>
  <si>
    <t>Pandeleteinus</t>
  </si>
  <si>
    <t>lucidillus</t>
  </si>
  <si>
    <r>
      <t>nr.</t>
    </r>
    <r>
      <rPr>
        <i/>
        <sz val="14"/>
        <color theme="1"/>
        <rFont val="Calibri"/>
        <family val="2"/>
        <scheme val="minor"/>
      </rPr>
      <t xml:space="preserve"> perlevis</t>
    </r>
  </si>
  <si>
    <t>petersi  catalinae</t>
  </si>
  <si>
    <t>Otiorhynchus</t>
  </si>
  <si>
    <t>ovatus</t>
  </si>
  <si>
    <t>Thricolepis</t>
  </si>
  <si>
    <t>inornada</t>
  </si>
  <si>
    <t>Cnemocyllus</t>
  </si>
  <si>
    <t>nr. subopacus</t>
  </si>
  <si>
    <t>nr arcuatus</t>
  </si>
  <si>
    <t>obscurus</t>
  </si>
  <si>
    <t>Histeridae: Saprininae</t>
  </si>
  <si>
    <t xml:space="preserve"> </t>
  </si>
  <si>
    <t>Staphylinidae: Aleocharinae</t>
  </si>
  <si>
    <t>Staphylinidae: Omaliinae</t>
  </si>
  <si>
    <t>Staphylinidae: Pselaphinae</t>
  </si>
  <si>
    <t>peregrinator</t>
  </si>
  <si>
    <t>prominens</t>
  </si>
  <si>
    <t>intersectus</t>
  </si>
  <si>
    <t>blandus</t>
  </si>
  <si>
    <t>Paria</t>
  </si>
  <si>
    <t>Chaetocnema</t>
  </si>
  <si>
    <t>cribifrons</t>
  </si>
  <si>
    <t>Scymnus</t>
  </si>
  <si>
    <t>Crocidema</t>
  </si>
  <si>
    <t>Smicronyx</t>
  </si>
  <si>
    <t>Rhyssomatus</t>
  </si>
  <si>
    <t>medialis</t>
  </si>
  <si>
    <t>Peritaxia</t>
  </si>
  <si>
    <t>rugicollis</t>
  </si>
  <si>
    <t>Leptopinara</t>
  </si>
  <si>
    <t>Conotrachelus</t>
  </si>
  <si>
    <t>ecarinatus</t>
  </si>
  <si>
    <t>Sibinia</t>
  </si>
  <si>
    <t>Apion</t>
  </si>
  <si>
    <t>Cardiophilus</t>
  </si>
  <si>
    <t>sanguineus</t>
  </si>
  <si>
    <t>Ateanius</t>
  </si>
  <si>
    <t>Scydmaenus</t>
  </si>
  <si>
    <t>Euconnus</t>
  </si>
  <si>
    <t>Sepedophilus</t>
  </si>
  <si>
    <t>Anthrenus</t>
  </si>
  <si>
    <t xml:space="preserve"> Xerosaprinus</t>
  </si>
  <si>
    <t>martini</t>
  </si>
  <si>
    <t>species 7</t>
  </si>
  <si>
    <t>species 8</t>
  </si>
  <si>
    <t>species 13</t>
  </si>
  <si>
    <t>species 6</t>
  </si>
  <si>
    <t>species 9</t>
  </si>
  <si>
    <t>species 10</t>
  </si>
  <si>
    <t>species 11</t>
  </si>
  <si>
    <t>species 12</t>
  </si>
  <si>
    <t>Anovia</t>
  </si>
  <si>
    <t>virginalis</t>
  </si>
  <si>
    <r>
      <t xml:space="preserve"> nr </t>
    </r>
    <r>
      <rPr>
        <i/>
        <sz val="14"/>
        <color theme="1"/>
        <rFont val="Calibri"/>
        <family val="2"/>
        <scheme val="minor"/>
      </rPr>
      <t>Caenoscelis</t>
    </r>
  </si>
  <si>
    <t>Curculionidae: Scolytinae</t>
  </si>
  <si>
    <t>nr. peropacus</t>
  </si>
  <si>
    <t>feminalis</t>
  </si>
  <si>
    <t>Acanthoscelides</t>
  </si>
  <si>
    <t>Tenebrionidae: Opatrinae</t>
  </si>
  <si>
    <t>Oedemeridae</t>
  </si>
  <si>
    <t>Calopus</t>
  </si>
  <si>
    <t>angustus</t>
  </si>
  <si>
    <t xml:space="preserve">Spring 2011  Collection </t>
  </si>
  <si>
    <t xml:space="preserve">Summer 2011  Collection </t>
  </si>
  <si>
    <t>brevicollis</t>
  </si>
  <si>
    <r>
      <rPr>
        <sz val="14"/>
        <color theme="1"/>
        <rFont val="Calibri"/>
        <family val="2"/>
        <scheme val="minor"/>
      </rPr>
      <t>nr.</t>
    </r>
    <r>
      <rPr>
        <i/>
        <sz val="14"/>
        <color theme="1"/>
        <rFont val="Calibri"/>
        <family val="2"/>
        <scheme val="minor"/>
      </rPr>
      <t xml:space="preserve"> Rhypodillis</t>
    </r>
  </si>
  <si>
    <t>brunneus</t>
  </si>
  <si>
    <t>species2</t>
  </si>
  <si>
    <t>Dyschirius</t>
  </si>
  <si>
    <t xml:space="preserve">Nitidulidae </t>
  </si>
  <si>
    <t xml:space="preserve">Spring 2011 Collection </t>
  </si>
  <si>
    <t>Trachyrhachis</t>
  </si>
  <si>
    <t>Pristoceuthophilus</t>
  </si>
  <si>
    <t>Determined by Eugene Hall and Carl Olson</t>
  </si>
  <si>
    <t>arizonicus</t>
  </si>
  <si>
    <t>TOTALS</t>
  </si>
  <si>
    <t>Coleoptera</t>
  </si>
  <si>
    <t>Araneae</t>
  </si>
  <si>
    <t>Orthoptera</t>
  </si>
  <si>
    <t>Myriapoda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</si>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</sst>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i/>
      <sz val="14"/>
      <color rgb="FF000000"/>
      <name val="Calibri"/>
      <family val="2"/>
      <scheme val="minor"/>
    </font>
    <font>
      <sz val="14"/>
      <name val="Calibri"/>
      <family val="2"/>
    </font>
    <font>
      <i/>
      <sz val="14"/>
      <name val="Calibri"/>
      <family val="2"/>
    </font>
    <font>
      <b/>
      <sz val="16"/>
      <color theme="1"/>
      <name val="Calibri"/>
      <family val="2"/>
      <scheme val="minor"/>
    </font>
    <font>
      <sz val="14"/>
      <color rgb="FF252525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DE9D9"/>
        <bgColor indexed="64"/>
      </patternFill>
    </fill>
  </fills>
  <borders count="1">
    <border>
      <left/>
      <right/>
      <top/>
      <bottom/>
      <diagonal/>
    </border>
  </borders>
  <cellStyleXfs count="129">
    <xf numFmtId="0" fontId="0" fillId="0" borderId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Alignment="1">
      <alignment horizontal="center"/>
    </xf>
    <xf numFmtId="0" fontId="12" fillId="0" borderId="0" xfId="0" applyFont="1"/>
    <xf numFmtId="0" fontId="7" fillId="0" borderId="0" xfId="0" applyFont="1" applyAlignment="1">
      <alignment vertical="center" wrapText="1"/>
    </xf>
    <xf numFmtId="0" fontId="8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</cellXfs>
  <cellStyles count="1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Normal" xfId="0" builtinId="0"/>
  </cellStyles>
  <dxfs count="0"/>
  <tableStyles count="0" defaultTableStyle="TableStyleMedium2" defaultPivotStyle="PivotStyleLight16"/>
  <colors>
    <mruColors>
      <color rgb="FFFDE9D9"/>
      <color rgb="FFEBF1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01"/>
  <sheetViews>
    <sheetView topLeftCell="A185" workbookViewId="0">
      <selection activeCell="D200" sqref="D200:J201"/>
    </sheetView>
  </sheetViews>
  <sheetFormatPr baseColWidth="10" defaultColWidth="8.83203125" defaultRowHeight="15" x14ac:dyDescent="0.2"/>
  <cols>
    <col min="1" max="1" width="28.1640625" customWidth="1"/>
    <col min="2" max="2" width="23" customWidth="1"/>
    <col min="3" max="3" width="25.1640625" customWidth="1"/>
    <col min="5" max="5" width="11.5" customWidth="1"/>
    <col min="6" max="6" width="10.5" customWidth="1"/>
    <col min="7" max="7" width="10.1640625" customWidth="1"/>
    <col min="10" max="10" width="13.1640625" customWidth="1"/>
    <col min="13" max="13" width="11.83203125" customWidth="1"/>
    <col min="14" max="14" width="10.6640625" customWidth="1"/>
    <col min="15" max="15" width="11" customWidth="1"/>
    <col min="18" max="18" width="13.1640625" customWidth="1"/>
  </cols>
  <sheetData>
    <row r="1" spans="1:19" ht="21" x14ac:dyDescent="0.25">
      <c r="A1" s="13" t="s">
        <v>169</v>
      </c>
      <c r="C1" t="s">
        <v>435</v>
      </c>
    </row>
    <row r="2" spans="1:19" ht="19" x14ac:dyDescent="0.25">
      <c r="A2" s="5" t="s">
        <v>0</v>
      </c>
      <c r="B2" s="5"/>
      <c r="E2" s="3" t="s">
        <v>486</v>
      </c>
      <c r="M2" s="21" t="s">
        <v>487</v>
      </c>
    </row>
    <row r="3" spans="1:19" ht="19" x14ac:dyDescent="0.25">
      <c r="A3" s="6" t="s">
        <v>1</v>
      </c>
      <c r="B3" s="6" t="s">
        <v>2</v>
      </c>
      <c r="C3" s="6" t="s">
        <v>3</v>
      </c>
      <c r="D3" s="1"/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/>
      <c r="L3" s="2"/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/>
    </row>
    <row r="4" spans="1:19" ht="19" x14ac:dyDescent="0.25">
      <c r="A4" s="5" t="s">
        <v>30</v>
      </c>
      <c r="B4" s="7"/>
      <c r="C4" s="5" t="s">
        <v>19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/>
      <c r="L4" s="4"/>
      <c r="M4" s="4">
        <v>0</v>
      </c>
      <c r="N4" s="4">
        <v>0</v>
      </c>
      <c r="O4" s="19" t="s">
        <v>44</v>
      </c>
      <c r="P4" s="4">
        <v>0</v>
      </c>
      <c r="Q4" s="4">
        <v>0</v>
      </c>
      <c r="R4" s="4">
        <v>0</v>
      </c>
    </row>
    <row r="5" spans="1:19" ht="19" x14ac:dyDescent="0.25">
      <c r="A5" s="5" t="s">
        <v>4</v>
      </c>
      <c r="B5" s="7" t="s">
        <v>45</v>
      </c>
      <c r="C5" s="5" t="s">
        <v>19</v>
      </c>
      <c r="E5" s="18" t="s">
        <v>44</v>
      </c>
      <c r="F5" s="18" t="s">
        <v>44</v>
      </c>
      <c r="G5" s="4">
        <v>0</v>
      </c>
      <c r="H5" s="4">
        <v>0</v>
      </c>
      <c r="I5" s="4">
        <v>0</v>
      </c>
      <c r="J5" s="4">
        <v>0</v>
      </c>
      <c r="K5" s="4"/>
      <c r="L5" s="4"/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</row>
    <row r="6" spans="1:19" ht="19" x14ac:dyDescent="0.25">
      <c r="A6" s="5" t="s">
        <v>5</v>
      </c>
      <c r="B6" s="7" t="s">
        <v>46</v>
      </c>
      <c r="C6" s="5" t="s">
        <v>19</v>
      </c>
      <c r="E6" s="4">
        <v>0</v>
      </c>
      <c r="F6" s="18" t="s">
        <v>44</v>
      </c>
      <c r="G6" s="4">
        <v>0</v>
      </c>
      <c r="H6" s="18" t="s">
        <v>44</v>
      </c>
      <c r="I6" s="18" t="s">
        <v>44</v>
      </c>
      <c r="J6" s="4">
        <v>0</v>
      </c>
      <c r="K6" s="4"/>
      <c r="L6" s="4"/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</row>
    <row r="7" spans="1:19" ht="19" x14ac:dyDescent="0.25">
      <c r="A7" s="5" t="s">
        <v>7</v>
      </c>
      <c r="B7" s="7" t="s">
        <v>50</v>
      </c>
      <c r="C7" s="7" t="s">
        <v>51</v>
      </c>
      <c r="E7" s="4">
        <v>0</v>
      </c>
      <c r="F7" s="18" t="s">
        <v>44</v>
      </c>
      <c r="G7" s="4">
        <v>0</v>
      </c>
      <c r="H7" s="4">
        <v>0</v>
      </c>
      <c r="I7" s="4">
        <v>0</v>
      </c>
      <c r="J7" s="4">
        <v>0</v>
      </c>
      <c r="K7" s="4"/>
      <c r="L7" s="4"/>
      <c r="M7" s="19" t="s">
        <v>44</v>
      </c>
      <c r="N7" s="19" t="s">
        <v>44</v>
      </c>
      <c r="O7" s="4">
        <v>0</v>
      </c>
      <c r="P7" s="4">
        <v>0</v>
      </c>
      <c r="Q7" s="4">
        <v>0</v>
      </c>
      <c r="R7" s="4">
        <v>0</v>
      </c>
    </row>
    <row r="8" spans="1:19" ht="19" x14ac:dyDescent="0.25">
      <c r="A8" s="8" t="s">
        <v>7</v>
      </c>
      <c r="B8" s="9" t="s">
        <v>50</v>
      </c>
      <c r="C8" s="5" t="s">
        <v>19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/>
      <c r="L8" s="4"/>
      <c r="M8" s="4">
        <v>0</v>
      </c>
      <c r="N8" s="19" t="s">
        <v>44</v>
      </c>
      <c r="O8" s="4">
        <v>0</v>
      </c>
      <c r="P8" s="4">
        <v>0</v>
      </c>
      <c r="Q8" s="4">
        <v>0</v>
      </c>
      <c r="R8" s="4">
        <v>0</v>
      </c>
    </row>
    <row r="9" spans="1:19" ht="19" x14ac:dyDescent="0.25">
      <c r="A9" s="8" t="s">
        <v>7</v>
      </c>
      <c r="B9" s="9" t="s">
        <v>50</v>
      </c>
      <c r="C9" s="5" t="s">
        <v>65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/>
      <c r="L9" s="4"/>
      <c r="M9" s="4">
        <v>0</v>
      </c>
      <c r="N9" s="19" t="s">
        <v>44</v>
      </c>
      <c r="O9" s="4">
        <v>0</v>
      </c>
      <c r="P9" s="4">
        <v>0</v>
      </c>
      <c r="Q9" s="4">
        <v>0</v>
      </c>
      <c r="R9" s="4">
        <v>0</v>
      </c>
    </row>
    <row r="10" spans="1:19" ht="19" x14ac:dyDescent="0.25">
      <c r="A10" s="8" t="s">
        <v>7</v>
      </c>
      <c r="B10" s="9" t="s">
        <v>50</v>
      </c>
      <c r="C10" s="5" t="s">
        <v>82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/>
      <c r="L10" s="4"/>
      <c r="M10" s="4">
        <v>0</v>
      </c>
      <c r="N10" s="22" t="s">
        <v>44</v>
      </c>
      <c r="O10" s="4">
        <v>0</v>
      </c>
      <c r="P10" s="4">
        <v>0</v>
      </c>
      <c r="Q10" s="4">
        <v>0</v>
      </c>
      <c r="R10" s="4">
        <v>0</v>
      </c>
    </row>
    <row r="11" spans="1:19" ht="19" x14ac:dyDescent="0.25">
      <c r="A11" s="5" t="s">
        <v>8</v>
      </c>
      <c r="B11" s="7" t="s">
        <v>52</v>
      </c>
      <c r="C11" s="5" t="s">
        <v>19</v>
      </c>
      <c r="E11" s="4">
        <v>0</v>
      </c>
      <c r="F11" s="4">
        <v>0</v>
      </c>
      <c r="G11" s="4">
        <v>0</v>
      </c>
      <c r="H11" s="4">
        <v>0</v>
      </c>
      <c r="I11" s="18" t="s">
        <v>44</v>
      </c>
      <c r="J11" s="4">
        <v>0</v>
      </c>
      <c r="K11" s="4"/>
      <c r="L11" s="4"/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</row>
    <row r="12" spans="1:19" ht="19" x14ac:dyDescent="0.25">
      <c r="A12" s="10" t="s">
        <v>9</v>
      </c>
      <c r="B12" s="9" t="s">
        <v>132</v>
      </c>
      <c r="C12" s="5" t="s">
        <v>19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/>
      <c r="L12" s="4"/>
      <c r="M12" s="4">
        <v>0</v>
      </c>
      <c r="N12" s="4">
        <v>0</v>
      </c>
      <c r="O12" s="4">
        <v>0</v>
      </c>
      <c r="P12" s="19" t="s">
        <v>44</v>
      </c>
      <c r="Q12" s="4">
        <v>0</v>
      </c>
      <c r="R12" s="4">
        <v>0</v>
      </c>
    </row>
    <row r="13" spans="1:19" ht="19" x14ac:dyDescent="0.25">
      <c r="A13" s="5" t="s">
        <v>9</v>
      </c>
      <c r="B13" s="9" t="s">
        <v>122</v>
      </c>
      <c r="C13" s="7" t="s">
        <v>121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/>
      <c r="L13" s="4"/>
      <c r="M13" s="4">
        <v>0</v>
      </c>
      <c r="N13" s="19" t="s">
        <v>44</v>
      </c>
      <c r="O13" s="4">
        <v>0</v>
      </c>
      <c r="P13" s="4">
        <v>0</v>
      </c>
      <c r="Q13" s="4">
        <v>0</v>
      </c>
      <c r="R13" s="4">
        <v>0</v>
      </c>
    </row>
    <row r="14" spans="1:19" ht="19" x14ac:dyDescent="0.25">
      <c r="A14" s="5" t="s">
        <v>9</v>
      </c>
      <c r="B14" s="7" t="s">
        <v>53</v>
      </c>
      <c r="C14" s="7" t="s">
        <v>479</v>
      </c>
      <c r="E14" s="4">
        <v>0</v>
      </c>
      <c r="F14" s="4">
        <v>0</v>
      </c>
      <c r="G14" s="4">
        <v>0</v>
      </c>
      <c r="H14" s="18" t="s">
        <v>44</v>
      </c>
      <c r="I14" s="4">
        <v>0</v>
      </c>
      <c r="J14" s="4">
        <v>0</v>
      </c>
      <c r="K14" s="4"/>
      <c r="L14" s="4"/>
      <c r="M14" s="4">
        <v>0</v>
      </c>
      <c r="N14" s="4">
        <v>0</v>
      </c>
      <c r="O14" s="19" t="s">
        <v>44</v>
      </c>
      <c r="P14" s="19" t="s">
        <v>44</v>
      </c>
      <c r="Q14" s="4">
        <v>0</v>
      </c>
      <c r="R14" s="19" t="s">
        <v>44</v>
      </c>
    </row>
    <row r="15" spans="1:19" ht="19" x14ac:dyDescent="0.25">
      <c r="A15" s="5" t="s">
        <v>9</v>
      </c>
      <c r="B15" s="9" t="s">
        <v>123</v>
      </c>
      <c r="C15" s="7" t="s">
        <v>439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/>
      <c r="L15" s="4"/>
      <c r="M15" s="4">
        <v>0</v>
      </c>
      <c r="N15" s="19" t="s">
        <v>44</v>
      </c>
      <c r="O15" s="19" t="s">
        <v>44</v>
      </c>
      <c r="P15" s="4">
        <v>0</v>
      </c>
      <c r="Q15" s="4">
        <v>0</v>
      </c>
      <c r="R15" s="4">
        <v>0</v>
      </c>
    </row>
    <row r="16" spans="1:19" ht="19" x14ac:dyDescent="0.25">
      <c r="A16" s="5" t="s">
        <v>9</v>
      </c>
      <c r="B16" s="9" t="s">
        <v>123</v>
      </c>
      <c r="C16" s="7" t="s">
        <v>440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/>
      <c r="L16" s="4"/>
      <c r="M16" s="19" t="s">
        <v>44</v>
      </c>
      <c r="N16" s="19" t="s">
        <v>44</v>
      </c>
      <c r="O16" s="4">
        <v>0</v>
      </c>
      <c r="P16" s="4">
        <v>0</v>
      </c>
      <c r="Q16" s="4">
        <v>0</v>
      </c>
      <c r="R16" s="4">
        <v>0</v>
      </c>
    </row>
    <row r="17" spans="1:18" ht="19" x14ac:dyDescent="0.25">
      <c r="A17" s="5" t="s">
        <v>9</v>
      </c>
      <c r="B17" s="7" t="s">
        <v>492</v>
      </c>
      <c r="C17" s="5" t="s">
        <v>19</v>
      </c>
      <c r="E17" s="4">
        <v>0</v>
      </c>
      <c r="F17" s="4">
        <v>0</v>
      </c>
      <c r="G17" s="4">
        <v>0</v>
      </c>
      <c r="H17" s="18" t="s">
        <v>44</v>
      </c>
      <c r="I17" s="4">
        <v>0</v>
      </c>
      <c r="J17" s="4">
        <v>0</v>
      </c>
      <c r="K17" s="4"/>
      <c r="L17" s="4"/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</row>
    <row r="18" spans="1:18" ht="19" x14ac:dyDescent="0.25">
      <c r="A18" s="5" t="s">
        <v>9</v>
      </c>
      <c r="B18" s="7" t="s">
        <v>55</v>
      </c>
      <c r="C18" s="7" t="s">
        <v>442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/>
      <c r="L18" s="4"/>
      <c r="M18" s="4">
        <v>0</v>
      </c>
      <c r="N18" s="4">
        <v>0</v>
      </c>
      <c r="O18" s="4">
        <v>0</v>
      </c>
      <c r="P18" s="22" t="s">
        <v>44</v>
      </c>
      <c r="Q18" s="4">
        <v>0</v>
      </c>
      <c r="R18" s="4">
        <v>0</v>
      </c>
    </row>
    <row r="19" spans="1:18" ht="19" x14ac:dyDescent="0.25">
      <c r="A19" s="5" t="s">
        <v>9</v>
      </c>
      <c r="B19" s="7" t="s">
        <v>55</v>
      </c>
      <c r="C19" s="7" t="s">
        <v>54</v>
      </c>
      <c r="E19" s="4">
        <v>0</v>
      </c>
      <c r="F19" s="18" t="s">
        <v>44</v>
      </c>
      <c r="G19" s="4">
        <v>0</v>
      </c>
      <c r="H19" s="4">
        <v>0</v>
      </c>
      <c r="I19" s="4">
        <v>0</v>
      </c>
      <c r="J19" s="4">
        <v>0</v>
      </c>
      <c r="K19" s="4"/>
      <c r="L19" s="4"/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</row>
    <row r="20" spans="1:18" ht="19" x14ac:dyDescent="0.25">
      <c r="A20" s="5" t="s">
        <v>9</v>
      </c>
      <c r="B20" s="7" t="s">
        <v>56</v>
      </c>
      <c r="C20" s="7" t="s">
        <v>57</v>
      </c>
      <c r="E20" s="4">
        <v>0</v>
      </c>
      <c r="F20" s="18" t="s">
        <v>44</v>
      </c>
      <c r="G20" s="4">
        <v>0</v>
      </c>
      <c r="H20" s="4">
        <v>0</v>
      </c>
      <c r="I20" s="4">
        <v>0</v>
      </c>
      <c r="J20" s="4">
        <v>0</v>
      </c>
      <c r="K20" s="4"/>
      <c r="L20" s="4"/>
      <c r="M20" s="19" t="s">
        <v>44</v>
      </c>
      <c r="N20" s="19" t="s">
        <v>44</v>
      </c>
      <c r="O20" s="19" t="s">
        <v>44</v>
      </c>
      <c r="P20" s="4">
        <v>0</v>
      </c>
      <c r="Q20" s="4">
        <v>0</v>
      </c>
      <c r="R20" s="4">
        <v>0</v>
      </c>
    </row>
    <row r="21" spans="1:18" ht="19" x14ac:dyDescent="0.25">
      <c r="A21" s="8" t="s">
        <v>9</v>
      </c>
      <c r="B21" s="9" t="s">
        <v>129</v>
      </c>
      <c r="C21" s="5" t="s">
        <v>19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/>
      <c r="L21" s="4"/>
      <c r="M21" s="4">
        <v>0</v>
      </c>
      <c r="N21" s="19" t="s">
        <v>44</v>
      </c>
      <c r="O21" s="19" t="s">
        <v>44</v>
      </c>
      <c r="P21" s="19" t="s">
        <v>44</v>
      </c>
      <c r="Q21" s="4">
        <v>0</v>
      </c>
      <c r="R21" s="4">
        <v>0</v>
      </c>
    </row>
    <row r="22" spans="1:18" ht="19" x14ac:dyDescent="0.25">
      <c r="A22" s="5" t="s">
        <v>9</v>
      </c>
      <c r="B22" s="9" t="s">
        <v>129</v>
      </c>
      <c r="C22" s="5" t="s">
        <v>65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/>
      <c r="L22" s="4"/>
      <c r="M22" s="4">
        <v>0</v>
      </c>
      <c r="N22" s="19" t="s">
        <v>44</v>
      </c>
      <c r="O22" s="4">
        <v>0</v>
      </c>
      <c r="P22" s="4">
        <v>0</v>
      </c>
      <c r="Q22" s="4">
        <v>0</v>
      </c>
      <c r="R22" s="4">
        <v>0</v>
      </c>
    </row>
    <row r="23" spans="1:18" ht="19" x14ac:dyDescent="0.25">
      <c r="A23" s="5" t="s">
        <v>9</v>
      </c>
      <c r="B23" s="7" t="s">
        <v>59</v>
      </c>
      <c r="C23" s="7" t="s">
        <v>58</v>
      </c>
      <c r="E23" s="18" t="s">
        <v>44</v>
      </c>
      <c r="F23" s="18" t="s">
        <v>44</v>
      </c>
      <c r="G23" s="18" t="s">
        <v>44</v>
      </c>
      <c r="H23" s="4">
        <v>0</v>
      </c>
      <c r="I23" s="4">
        <v>0</v>
      </c>
      <c r="J23" s="4">
        <v>0</v>
      </c>
      <c r="K23" s="4"/>
      <c r="L23" s="4"/>
      <c r="M23" s="19" t="s">
        <v>44</v>
      </c>
      <c r="N23" s="19" t="s">
        <v>44</v>
      </c>
      <c r="O23" s="4">
        <v>0</v>
      </c>
      <c r="P23" s="4">
        <v>0</v>
      </c>
      <c r="Q23" s="4">
        <v>0</v>
      </c>
      <c r="R23" s="4">
        <v>0</v>
      </c>
    </row>
    <row r="24" spans="1:18" ht="19" x14ac:dyDescent="0.25">
      <c r="A24" s="5" t="s">
        <v>9</v>
      </c>
      <c r="B24" s="9" t="s">
        <v>124</v>
      </c>
      <c r="C24" s="7" t="s">
        <v>125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/>
      <c r="L24" s="4"/>
      <c r="M24" s="4">
        <v>0</v>
      </c>
      <c r="N24" s="19" t="s">
        <v>44</v>
      </c>
      <c r="O24" s="4">
        <v>0</v>
      </c>
      <c r="P24" s="4">
        <v>0</v>
      </c>
      <c r="Q24" s="4">
        <v>0</v>
      </c>
      <c r="R24" s="4">
        <v>0</v>
      </c>
    </row>
    <row r="25" spans="1:18" ht="19" x14ac:dyDescent="0.25">
      <c r="A25" s="5" t="s">
        <v>9</v>
      </c>
      <c r="B25" s="9" t="s">
        <v>167</v>
      </c>
      <c r="C25" s="5" t="s">
        <v>19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/>
      <c r="L25" s="4"/>
      <c r="M25" s="4">
        <v>0</v>
      </c>
      <c r="N25" s="4">
        <v>0</v>
      </c>
      <c r="O25" s="19" t="s">
        <v>44</v>
      </c>
      <c r="P25" s="4">
        <v>0</v>
      </c>
      <c r="Q25" s="4">
        <v>0</v>
      </c>
      <c r="R25" s="4">
        <v>0</v>
      </c>
    </row>
    <row r="26" spans="1:18" ht="19" x14ac:dyDescent="0.25">
      <c r="A26" s="5" t="s">
        <v>9</v>
      </c>
      <c r="B26" s="7" t="s">
        <v>60</v>
      </c>
      <c r="C26" s="7" t="s">
        <v>61</v>
      </c>
      <c r="E26" s="4">
        <v>0</v>
      </c>
      <c r="F26" s="4">
        <v>0</v>
      </c>
      <c r="G26" s="4">
        <v>0</v>
      </c>
      <c r="H26" s="4">
        <v>0</v>
      </c>
      <c r="I26" s="18" t="s">
        <v>44</v>
      </c>
      <c r="J26" s="18" t="s">
        <v>44</v>
      </c>
      <c r="K26" s="4"/>
      <c r="L26" s="4"/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19" t="s">
        <v>44</v>
      </c>
    </row>
    <row r="27" spans="1:18" ht="19" x14ac:dyDescent="0.25">
      <c r="A27" s="5" t="s">
        <v>9</v>
      </c>
      <c r="B27" s="7" t="s">
        <v>166</v>
      </c>
      <c r="C27" s="5" t="s">
        <v>424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18" t="s">
        <v>44</v>
      </c>
      <c r="K27" s="4"/>
      <c r="L27" s="4"/>
      <c r="M27" s="4">
        <v>0</v>
      </c>
      <c r="N27" s="4">
        <v>0</v>
      </c>
      <c r="O27" s="4">
        <v>0</v>
      </c>
      <c r="P27" s="4">
        <v>0</v>
      </c>
      <c r="Q27" s="19" t="s">
        <v>44</v>
      </c>
      <c r="R27" s="19" t="s">
        <v>44</v>
      </c>
    </row>
    <row r="28" spans="1:18" ht="19" x14ac:dyDescent="0.25">
      <c r="A28" s="5" t="s">
        <v>9</v>
      </c>
      <c r="B28" s="7" t="s">
        <v>126</v>
      </c>
      <c r="C28" s="7" t="s">
        <v>425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/>
      <c r="L28" s="4"/>
      <c r="M28" s="4">
        <v>0</v>
      </c>
      <c r="N28" s="4">
        <v>0</v>
      </c>
      <c r="O28" s="4">
        <v>0</v>
      </c>
      <c r="P28" s="4">
        <v>0</v>
      </c>
      <c r="Q28" s="19" t="s">
        <v>44</v>
      </c>
      <c r="R28" s="19" t="s">
        <v>44</v>
      </c>
    </row>
    <row r="29" spans="1:18" ht="19" x14ac:dyDescent="0.25">
      <c r="A29" s="10" t="s">
        <v>9</v>
      </c>
      <c r="B29" s="9" t="s">
        <v>130</v>
      </c>
      <c r="C29" s="5" t="s">
        <v>19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/>
      <c r="L29" s="4"/>
      <c r="M29" s="4">
        <v>0</v>
      </c>
      <c r="N29" s="19" t="s">
        <v>44</v>
      </c>
      <c r="O29" s="4">
        <v>0</v>
      </c>
      <c r="P29" s="4">
        <v>0</v>
      </c>
      <c r="Q29" s="4">
        <v>0</v>
      </c>
      <c r="R29" s="4">
        <v>0</v>
      </c>
    </row>
    <row r="30" spans="1:18" ht="19" x14ac:dyDescent="0.25">
      <c r="A30" s="10" t="s">
        <v>9</v>
      </c>
      <c r="B30" s="9" t="s">
        <v>130</v>
      </c>
      <c r="C30" s="5" t="s">
        <v>65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/>
      <c r="L30" s="4"/>
      <c r="M30" s="4">
        <v>0</v>
      </c>
      <c r="N30" s="19" t="s">
        <v>44</v>
      </c>
      <c r="O30" s="4">
        <v>0</v>
      </c>
      <c r="P30" s="4">
        <v>0</v>
      </c>
      <c r="Q30" s="4">
        <v>0</v>
      </c>
      <c r="R30" s="4">
        <v>0</v>
      </c>
    </row>
    <row r="31" spans="1:18" ht="19" x14ac:dyDescent="0.25">
      <c r="A31" s="10" t="s">
        <v>9</v>
      </c>
      <c r="B31" s="9" t="s">
        <v>133</v>
      </c>
      <c r="C31" s="7" t="s">
        <v>134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/>
      <c r="L31" s="4"/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19" t="s">
        <v>44</v>
      </c>
    </row>
    <row r="32" spans="1:18" ht="19" x14ac:dyDescent="0.25">
      <c r="A32" s="5" t="s">
        <v>9</v>
      </c>
      <c r="B32" s="9" t="s">
        <v>128</v>
      </c>
      <c r="C32" s="7" t="s">
        <v>127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/>
      <c r="L32" s="4"/>
      <c r="M32" s="4">
        <v>0</v>
      </c>
      <c r="N32" s="4">
        <v>0</v>
      </c>
      <c r="O32" s="4">
        <v>0</v>
      </c>
      <c r="P32" s="19" t="s">
        <v>44</v>
      </c>
      <c r="Q32" s="19" t="s">
        <v>44</v>
      </c>
      <c r="R32" s="19" t="s">
        <v>44</v>
      </c>
    </row>
    <row r="33" spans="1:18" ht="19" x14ac:dyDescent="0.25">
      <c r="A33" s="10" t="s">
        <v>9</v>
      </c>
      <c r="B33" s="9" t="s">
        <v>131</v>
      </c>
      <c r="C33" s="7" t="s">
        <v>441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/>
      <c r="L33" s="4"/>
      <c r="M33" s="4">
        <v>0</v>
      </c>
      <c r="N33" s="19" t="s">
        <v>44</v>
      </c>
      <c r="O33" s="4">
        <v>0</v>
      </c>
      <c r="P33" s="4">
        <v>0</v>
      </c>
      <c r="Q33" s="4">
        <v>0</v>
      </c>
      <c r="R33" s="4">
        <v>0</v>
      </c>
    </row>
    <row r="34" spans="1:18" ht="19" x14ac:dyDescent="0.25">
      <c r="A34" s="5" t="s">
        <v>483</v>
      </c>
      <c r="B34" s="7" t="s">
        <v>484</v>
      </c>
      <c r="C34" s="7" t="s">
        <v>485</v>
      </c>
      <c r="E34" s="4">
        <v>0</v>
      </c>
      <c r="F34" s="4">
        <v>0</v>
      </c>
      <c r="G34" s="4">
        <v>0</v>
      </c>
      <c r="H34" s="4">
        <v>0</v>
      </c>
      <c r="I34" s="18" t="s">
        <v>44</v>
      </c>
      <c r="J34" s="4">
        <v>0</v>
      </c>
      <c r="K34" s="4"/>
      <c r="L34" s="4"/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</row>
    <row r="35" spans="1:18" ht="19" x14ac:dyDescent="0.25">
      <c r="A35" s="5" t="s">
        <v>10</v>
      </c>
      <c r="B35" s="7" t="s">
        <v>63</v>
      </c>
      <c r="C35" s="7" t="s">
        <v>62</v>
      </c>
      <c r="E35" s="4">
        <v>0</v>
      </c>
      <c r="F35" s="4">
        <v>0</v>
      </c>
      <c r="G35" s="4">
        <v>0</v>
      </c>
      <c r="H35" s="18" t="s">
        <v>44</v>
      </c>
      <c r="I35" s="18" t="s">
        <v>44</v>
      </c>
      <c r="J35" s="18" t="s">
        <v>44</v>
      </c>
      <c r="K35" s="4"/>
      <c r="L35" s="4"/>
      <c r="M35" s="4">
        <v>0</v>
      </c>
      <c r="N35" s="4">
        <v>0</v>
      </c>
      <c r="O35" s="4">
        <v>0</v>
      </c>
      <c r="P35" s="4">
        <v>0</v>
      </c>
      <c r="Q35" s="19" t="s">
        <v>44</v>
      </c>
      <c r="R35" s="4">
        <v>0</v>
      </c>
    </row>
    <row r="36" spans="1:18" ht="19" x14ac:dyDescent="0.25">
      <c r="A36" s="5" t="s">
        <v>10</v>
      </c>
      <c r="B36" s="7" t="s">
        <v>64</v>
      </c>
      <c r="C36" s="5" t="s">
        <v>19</v>
      </c>
      <c r="E36" s="4">
        <v>0</v>
      </c>
      <c r="F36" s="18" t="s">
        <v>44</v>
      </c>
      <c r="G36" s="4">
        <v>0</v>
      </c>
      <c r="H36" s="4">
        <v>0</v>
      </c>
      <c r="I36" s="4">
        <v>0</v>
      </c>
      <c r="J36" s="4">
        <v>0</v>
      </c>
      <c r="K36" s="4"/>
      <c r="L36" s="4"/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</row>
    <row r="37" spans="1:18" ht="19" x14ac:dyDescent="0.25">
      <c r="A37" s="5" t="s">
        <v>10</v>
      </c>
      <c r="B37" s="7" t="s">
        <v>135</v>
      </c>
      <c r="C37" s="7" t="s">
        <v>136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/>
      <c r="L37" s="4"/>
      <c r="M37" s="4">
        <v>0</v>
      </c>
      <c r="N37" s="19" t="s">
        <v>44</v>
      </c>
      <c r="O37" s="4">
        <v>0</v>
      </c>
      <c r="P37" s="4">
        <v>0</v>
      </c>
      <c r="Q37" s="4">
        <v>0</v>
      </c>
      <c r="R37" s="4">
        <v>0</v>
      </c>
    </row>
    <row r="38" spans="1:18" ht="19" x14ac:dyDescent="0.25">
      <c r="A38" s="5" t="s">
        <v>10</v>
      </c>
      <c r="B38" s="7" t="s">
        <v>443</v>
      </c>
      <c r="C38" s="5" t="s">
        <v>19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/>
      <c r="L38" s="4"/>
      <c r="M38" s="4">
        <v>0</v>
      </c>
      <c r="N38" s="4">
        <v>0</v>
      </c>
      <c r="O38" s="19" t="s">
        <v>44</v>
      </c>
      <c r="P38" s="4">
        <v>0</v>
      </c>
      <c r="Q38" s="4">
        <v>0</v>
      </c>
      <c r="R38" s="4">
        <v>0</v>
      </c>
    </row>
    <row r="39" spans="1:18" ht="19" x14ac:dyDescent="0.25">
      <c r="A39" s="5" t="s">
        <v>10</v>
      </c>
      <c r="B39" s="7" t="s">
        <v>444</v>
      </c>
      <c r="C39" s="7" t="s">
        <v>445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/>
      <c r="L39" s="4"/>
      <c r="M39" s="4">
        <v>0</v>
      </c>
      <c r="N39" s="19" t="s">
        <v>44</v>
      </c>
      <c r="O39" s="4">
        <v>0</v>
      </c>
      <c r="P39" s="4">
        <v>0</v>
      </c>
      <c r="Q39" s="4">
        <v>0</v>
      </c>
      <c r="R39" s="4">
        <v>0</v>
      </c>
    </row>
    <row r="40" spans="1:18" ht="19" x14ac:dyDescent="0.25">
      <c r="A40" s="5" t="s">
        <v>10</v>
      </c>
      <c r="B40" s="5"/>
      <c r="C40" s="8" t="s">
        <v>19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/>
      <c r="L40" s="4"/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19" t="s">
        <v>44</v>
      </c>
    </row>
    <row r="41" spans="1:18" ht="19" x14ac:dyDescent="0.25">
      <c r="A41" s="5" t="s">
        <v>10</v>
      </c>
      <c r="B41" s="5"/>
      <c r="C41" s="8" t="s">
        <v>65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/>
      <c r="L41" s="4"/>
      <c r="M41" s="19" t="s">
        <v>44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</row>
    <row r="42" spans="1:18" ht="19" x14ac:dyDescent="0.25">
      <c r="A42" s="5" t="s">
        <v>10</v>
      </c>
      <c r="B42" s="5"/>
      <c r="C42" s="8" t="s">
        <v>82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/>
      <c r="L42" s="4"/>
      <c r="M42" s="19" t="s">
        <v>44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</row>
    <row r="43" spans="1:18" ht="19" x14ac:dyDescent="0.25">
      <c r="A43" s="5" t="s">
        <v>6</v>
      </c>
      <c r="B43" s="7" t="s">
        <v>481</v>
      </c>
      <c r="C43" s="8" t="s">
        <v>19</v>
      </c>
      <c r="E43" s="4">
        <v>0</v>
      </c>
      <c r="F43" s="18" t="s">
        <v>44</v>
      </c>
      <c r="G43" s="4">
        <v>0</v>
      </c>
      <c r="H43" s="18" t="s">
        <v>44</v>
      </c>
      <c r="I43" s="18" t="s">
        <v>44</v>
      </c>
      <c r="J43" s="4">
        <v>0</v>
      </c>
      <c r="K43" s="4"/>
      <c r="L43" s="4"/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</row>
    <row r="44" spans="1:18" ht="19" x14ac:dyDescent="0.25">
      <c r="A44" s="5" t="s">
        <v>6</v>
      </c>
      <c r="B44" s="7" t="s">
        <v>48</v>
      </c>
      <c r="C44" s="7" t="s">
        <v>47</v>
      </c>
      <c r="E44" s="4">
        <v>0</v>
      </c>
      <c r="F44" s="18" t="s">
        <v>44</v>
      </c>
      <c r="G44" s="4">
        <v>0</v>
      </c>
      <c r="H44" s="4">
        <v>0</v>
      </c>
      <c r="I44" s="4">
        <v>0</v>
      </c>
      <c r="J44" s="4">
        <v>0</v>
      </c>
      <c r="K44" s="4"/>
      <c r="L44" s="4"/>
      <c r="M44" s="4">
        <v>0</v>
      </c>
      <c r="N44" s="19" t="s">
        <v>44</v>
      </c>
      <c r="O44" s="4">
        <v>0</v>
      </c>
      <c r="P44" s="4">
        <v>0</v>
      </c>
      <c r="Q44" s="4">
        <v>0</v>
      </c>
      <c r="R44" s="4">
        <v>0</v>
      </c>
    </row>
    <row r="45" spans="1:18" ht="19" x14ac:dyDescent="0.25">
      <c r="A45" s="5" t="s">
        <v>6</v>
      </c>
      <c r="B45" s="7" t="s">
        <v>48</v>
      </c>
      <c r="C45" s="7" t="s">
        <v>49</v>
      </c>
      <c r="E45" s="4">
        <v>0</v>
      </c>
      <c r="F45" s="18" t="s">
        <v>44</v>
      </c>
      <c r="G45" s="4">
        <v>0</v>
      </c>
      <c r="H45" s="4">
        <v>0</v>
      </c>
      <c r="I45" s="4">
        <v>0</v>
      </c>
      <c r="J45" s="4">
        <v>0</v>
      </c>
      <c r="K45" s="4"/>
      <c r="L45" s="4"/>
      <c r="M45" s="4">
        <v>0</v>
      </c>
      <c r="N45" s="19" t="s">
        <v>44</v>
      </c>
      <c r="O45" s="4">
        <v>0</v>
      </c>
      <c r="P45" s="4">
        <v>0</v>
      </c>
      <c r="Q45" s="4">
        <v>0</v>
      </c>
      <c r="R45" s="4">
        <v>0</v>
      </c>
    </row>
    <row r="46" spans="1:18" ht="19" x14ac:dyDescent="0.25">
      <c r="A46" s="5" t="s">
        <v>6</v>
      </c>
      <c r="B46" s="7" t="s">
        <v>48</v>
      </c>
      <c r="C46" s="5" t="s">
        <v>19</v>
      </c>
      <c r="E46" s="4">
        <v>0</v>
      </c>
      <c r="F46" s="4">
        <v>0</v>
      </c>
      <c r="G46" s="18" t="s">
        <v>44</v>
      </c>
      <c r="H46" s="4">
        <v>0</v>
      </c>
      <c r="I46" s="4">
        <v>0</v>
      </c>
      <c r="J46" s="4">
        <v>0</v>
      </c>
      <c r="K46" s="4"/>
      <c r="L46" s="4"/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</row>
    <row r="47" spans="1:18" ht="19" x14ac:dyDescent="0.25">
      <c r="A47" s="5" t="s">
        <v>11</v>
      </c>
      <c r="B47" s="7"/>
      <c r="C47" s="5" t="s">
        <v>19</v>
      </c>
      <c r="E47" s="18" t="s">
        <v>44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/>
      <c r="L47" s="4"/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</row>
    <row r="48" spans="1:18" ht="19" x14ac:dyDescent="0.25">
      <c r="A48" s="5" t="s">
        <v>12</v>
      </c>
      <c r="B48" s="7" t="s">
        <v>475</v>
      </c>
      <c r="C48" s="7" t="s">
        <v>476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/>
      <c r="L48" s="4"/>
      <c r="M48" s="19" t="s">
        <v>44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</row>
    <row r="49" spans="1:18" ht="19" x14ac:dyDescent="0.25">
      <c r="A49" s="5" t="s">
        <v>12</v>
      </c>
      <c r="B49" s="7"/>
      <c r="C49" s="5" t="s">
        <v>19</v>
      </c>
      <c r="E49" s="4">
        <v>0</v>
      </c>
      <c r="F49" s="18" t="s">
        <v>44</v>
      </c>
      <c r="G49" s="4">
        <v>0</v>
      </c>
      <c r="H49" s="4">
        <v>0</v>
      </c>
      <c r="I49" s="4">
        <v>0</v>
      </c>
      <c r="J49" s="4">
        <v>0</v>
      </c>
      <c r="K49" s="4"/>
      <c r="L49" s="4"/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</row>
    <row r="50" spans="1:18" ht="19" x14ac:dyDescent="0.25">
      <c r="A50" s="5" t="s">
        <v>12</v>
      </c>
      <c r="B50" s="7" t="s">
        <v>446</v>
      </c>
      <c r="C50" s="5" t="s">
        <v>19</v>
      </c>
      <c r="E50" s="18" t="s">
        <v>44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/>
      <c r="L50" s="4"/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</row>
    <row r="51" spans="1:18" ht="19" x14ac:dyDescent="0.25">
      <c r="A51" s="5" t="s">
        <v>31</v>
      </c>
      <c r="B51" s="7" t="s">
        <v>168</v>
      </c>
      <c r="C51" s="5" t="s">
        <v>19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/>
      <c r="L51" s="4"/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19" t="s">
        <v>44</v>
      </c>
    </row>
    <row r="52" spans="1:18" ht="19" x14ac:dyDescent="0.25">
      <c r="A52" s="5" t="s">
        <v>13</v>
      </c>
      <c r="B52" s="5" t="s">
        <v>477</v>
      </c>
      <c r="C52" s="5" t="s">
        <v>19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/>
      <c r="L52" s="4"/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19" t="s">
        <v>44</v>
      </c>
    </row>
    <row r="53" spans="1:18" ht="19" x14ac:dyDescent="0.25">
      <c r="A53" s="5" t="s">
        <v>13</v>
      </c>
      <c r="B53" s="7" t="s">
        <v>66</v>
      </c>
      <c r="C53" s="5" t="s">
        <v>19</v>
      </c>
      <c r="E53" s="4">
        <v>0</v>
      </c>
      <c r="F53" s="4">
        <v>0</v>
      </c>
      <c r="G53" s="18" t="s">
        <v>44</v>
      </c>
      <c r="H53" s="18" t="s">
        <v>44</v>
      </c>
      <c r="I53" s="18" t="s">
        <v>44</v>
      </c>
      <c r="J53" s="18" t="s">
        <v>44</v>
      </c>
      <c r="K53" s="4"/>
      <c r="L53" s="4"/>
      <c r="M53" s="4">
        <v>0</v>
      </c>
      <c r="N53" s="4">
        <v>0</v>
      </c>
      <c r="O53" s="4">
        <v>0</v>
      </c>
      <c r="P53" s="4">
        <v>0</v>
      </c>
      <c r="Q53" s="19" t="s">
        <v>44</v>
      </c>
      <c r="R53" s="19" t="s">
        <v>44</v>
      </c>
    </row>
    <row r="54" spans="1:18" ht="19" x14ac:dyDescent="0.25">
      <c r="A54" s="5" t="s">
        <v>15</v>
      </c>
      <c r="B54" s="7" t="s">
        <v>457</v>
      </c>
      <c r="C54" s="5" t="s">
        <v>19</v>
      </c>
      <c r="E54" s="4">
        <v>0</v>
      </c>
      <c r="F54" s="4">
        <v>0</v>
      </c>
      <c r="G54" s="4">
        <v>0</v>
      </c>
      <c r="H54" s="18" t="s">
        <v>44</v>
      </c>
      <c r="I54" s="4">
        <v>0</v>
      </c>
      <c r="J54" s="18" t="s">
        <v>44</v>
      </c>
      <c r="K54" s="4"/>
      <c r="L54" s="4"/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</row>
    <row r="55" spans="1:18" ht="19" x14ac:dyDescent="0.25">
      <c r="A55" s="5" t="s">
        <v>15</v>
      </c>
      <c r="B55" s="7" t="s">
        <v>430</v>
      </c>
      <c r="C55" s="5" t="s">
        <v>19</v>
      </c>
      <c r="E55" s="4">
        <v>0</v>
      </c>
      <c r="F55" s="18" t="s">
        <v>44</v>
      </c>
      <c r="G55" s="18" t="s">
        <v>44</v>
      </c>
      <c r="H55" s="4">
        <v>0</v>
      </c>
      <c r="I55" s="4">
        <v>0</v>
      </c>
      <c r="J55" s="4">
        <v>0</v>
      </c>
      <c r="K55" s="4"/>
      <c r="L55" s="4"/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</row>
    <row r="56" spans="1:18" ht="19" x14ac:dyDescent="0.25">
      <c r="A56" s="5" t="s">
        <v>15</v>
      </c>
      <c r="B56" s="7" t="s">
        <v>454</v>
      </c>
      <c r="C56" s="7" t="s">
        <v>455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/>
      <c r="L56" s="4"/>
      <c r="M56" s="4">
        <v>0</v>
      </c>
      <c r="N56" s="4">
        <v>0</v>
      </c>
      <c r="O56" s="4">
        <v>0</v>
      </c>
      <c r="P56" s="19" t="s">
        <v>44</v>
      </c>
      <c r="Q56" s="4">
        <v>0</v>
      </c>
      <c r="R56" s="4">
        <v>0</v>
      </c>
    </row>
    <row r="57" spans="1:18" ht="19" x14ac:dyDescent="0.25">
      <c r="A57" s="5" t="s">
        <v>15</v>
      </c>
      <c r="B57" s="7" t="s">
        <v>447</v>
      </c>
      <c r="C57" s="7" t="s">
        <v>199</v>
      </c>
      <c r="E57" s="4">
        <v>0</v>
      </c>
      <c r="F57" s="4">
        <v>0</v>
      </c>
      <c r="G57" s="4">
        <v>0</v>
      </c>
      <c r="H57" s="4">
        <v>0</v>
      </c>
      <c r="I57" s="18" t="s">
        <v>44</v>
      </c>
      <c r="J57" s="18" t="s">
        <v>44</v>
      </c>
      <c r="K57" s="4"/>
      <c r="L57" s="4"/>
      <c r="M57" s="4">
        <v>0</v>
      </c>
      <c r="N57" s="4">
        <v>0</v>
      </c>
      <c r="O57" s="4">
        <v>0</v>
      </c>
      <c r="P57" s="19" t="s">
        <v>44</v>
      </c>
      <c r="Q57" s="4">
        <v>0</v>
      </c>
      <c r="R57" s="19" t="s">
        <v>44</v>
      </c>
    </row>
    <row r="58" spans="1:18" ht="19" x14ac:dyDescent="0.25">
      <c r="A58" s="5" t="s">
        <v>15</v>
      </c>
      <c r="B58" s="7" t="s">
        <v>420</v>
      </c>
      <c r="C58" s="7" t="s">
        <v>421</v>
      </c>
      <c r="E58" s="4">
        <v>0</v>
      </c>
      <c r="F58" s="18" t="s">
        <v>44</v>
      </c>
      <c r="G58" s="4">
        <v>0</v>
      </c>
      <c r="H58" s="4">
        <v>0</v>
      </c>
      <c r="I58" s="4">
        <v>0</v>
      </c>
      <c r="J58" s="4">
        <v>0</v>
      </c>
      <c r="K58" s="4"/>
      <c r="L58" s="4"/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</row>
    <row r="59" spans="1:18" ht="19" x14ac:dyDescent="0.25">
      <c r="A59" s="5" t="s">
        <v>15</v>
      </c>
      <c r="B59" s="7" t="s">
        <v>420</v>
      </c>
      <c r="C59" s="5" t="s">
        <v>19</v>
      </c>
      <c r="E59" s="4">
        <v>0</v>
      </c>
      <c r="F59" s="18" t="s">
        <v>44</v>
      </c>
      <c r="G59" s="4">
        <v>0</v>
      </c>
      <c r="H59" s="4">
        <v>0</v>
      </c>
      <c r="I59" s="4">
        <v>0</v>
      </c>
      <c r="J59" s="4">
        <v>0</v>
      </c>
      <c r="K59" s="4"/>
      <c r="L59" s="4"/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</row>
    <row r="60" spans="1:18" ht="19" x14ac:dyDescent="0.25">
      <c r="A60" s="5" t="s">
        <v>15</v>
      </c>
      <c r="B60" s="7" t="s">
        <v>137</v>
      </c>
      <c r="C60" s="5" t="s">
        <v>19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/>
      <c r="L60" s="4"/>
      <c r="M60" s="4">
        <v>0</v>
      </c>
      <c r="N60" s="4">
        <v>0</v>
      </c>
      <c r="O60" s="4">
        <v>0</v>
      </c>
      <c r="P60" s="19" t="s">
        <v>44</v>
      </c>
      <c r="Q60" s="19" t="s">
        <v>44</v>
      </c>
      <c r="R60" s="4">
        <v>0</v>
      </c>
    </row>
    <row r="61" spans="1:18" ht="19" x14ac:dyDescent="0.25">
      <c r="A61" s="5" t="s">
        <v>15</v>
      </c>
      <c r="B61" s="7" t="s">
        <v>453</v>
      </c>
      <c r="C61" s="5" t="s">
        <v>19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/>
      <c r="L61" s="4"/>
      <c r="M61" s="4">
        <v>0</v>
      </c>
      <c r="N61" s="19" t="s">
        <v>44</v>
      </c>
      <c r="O61" s="4">
        <v>0</v>
      </c>
      <c r="P61" s="4">
        <v>0</v>
      </c>
      <c r="Q61" s="4">
        <v>0</v>
      </c>
      <c r="R61" s="4">
        <v>0</v>
      </c>
    </row>
    <row r="62" spans="1:18" ht="19" x14ac:dyDescent="0.25">
      <c r="A62" s="5" t="s">
        <v>15</v>
      </c>
      <c r="B62" s="7" t="s">
        <v>489</v>
      </c>
      <c r="C62" s="7" t="s">
        <v>488</v>
      </c>
      <c r="E62" s="4">
        <v>0</v>
      </c>
      <c r="F62" s="4">
        <v>0</v>
      </c>
      <c r="G62" s="4">
        <v>0</v>
      </c>
      <c r="H62" s="18" t="s">
        <v>44</v>
      </c>
      <c r="I62" s="4">
        <v>0</v>
      </c>
      <c r="J62" s="4">
        <v>0</v>
      </c>
      <c r="K62" s="4"/>
      <c r="L62" s="4"/>
      <c r="M62" s="19" t="s">
        <v>44</v>
      </c>
      <c r="N62" s="4">
        <v>0</v>
      </c>
      <c r="O62" s="19" t="s">
        <v>44</v>
      </c>
      <c r="P62" s="4">
        <v>0</v>
      </c>
      <c r="Q62" s="4">
        <v>0</v>
      </c>
      <c r="R62" s="4">
        <v>0</v>
      </c>
    </row>
    <row r="63" spans="1:18" ht="19" x14ac:dyDescent="0.25">
      <c r="A63" s="5" t="s">
        <v>15</v>
      </c>
      <c r="B63" s="7" t="s">
        <v>426</v>
      </c>
      <c r="C63" s="7" t="s">
        <v>427</v>
      </c>
      <c r="E63" s="4">
        <v>0</v>
      </c>
      <c r="F63" s="4">
        <v>0</v>
      </c>
      <c r="G63" s="4">
        <v>0</v>
      </c>
      <c r="H63" s="4">
        <v>0</v>
      </c>
      <c r="I63" s="18" t="s">
        <v>44</v>
      </c>
      <c r="J63" s="18" t="s">
        <v>44</v>
      </c>
      <c r="K63" s="4"/>
      <c r="L63" s="4"/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19" t="s">
        <v>44</v>
      </c>
    </row>
    <row r="64" spans="1:18" ht="19" x14ac:dyDescent="0.25">
      <c r="A64" s="5" t="s">
        <v>15</v>
      </c>
      <c r="B64" s="7" t="s">
        <v>422</v>
      </c>
      <c r="C64" s="7" t="s">
        <v>423</v>
      </c>
      <c r="E64" s="4">
        <v>0</v>
      </c>
      <c r="F64" s="18" t="s">
        <v>44</v>
      </c>
      <c r="G64" s="4">
        <v>0</v>
      </c>
      <c r="H64" s="4">
        <v>0</v>
      </c>
      <c r="I64" s="4">
        <v>0</v>
      </c>
      <c r="J64" s="4">
        <v>0</v>
      </c>
      <c r="K64" s="4"/>
      <c r="L64" s="4"/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</row>
    <row r="65" spans="1:18" ht="19" x14ac:dyDescent="0.25">
      <c r="A65" s="5" t="s">
        <v>15</v>
      </c>
      <c r="B65" s="7" t="s">
        <v>451</v>
      </c>
      <c r="C65" s="7" t="s">
        <v>452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/>
      <c r="L65" s="4"/>
      <c r="M65" s="4">
        <v>0</v>
      </c>
      <c r="N65" s="4">
        <v>0</v>
      </c>
      <c r="O65" s="19" t="s">
        <v>44</v>
      </c>
      <c r="P65" s="4">
        <v>0</v>
      </c>
      <c r="Q65" s="4">
        <v>0</v>
      </c>
      <c r="R65" s="4">
        <v>0</v>
      </c>
    </row>
    <row r="66" spans="1:18" ht="19" x14ac:dyDescent="0.25">
      <c r="A66" s="5" t="s">
        <v>15</v>
      </c>
      <c r="B66" s="7" t="s">
        <v>68</v>
      </c>
      <c r="C66" s="7" t="s">
        <v>490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18" t="s">
        <v>44</v>
      </c>
      <c r="K66" s="4"/>
      <c r="L66" s="4"/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</row>
    <row r="67" spans="1:18" ht="19" x14ac:dyDescent="0.25">
      <c r="A67" s="5" t="s">
        <v>15</v>
      </c>
      <c r="B67" s="7" t="s">
        <v>449</v>
      </c>
      <c r="C67" s="7" t="s">
        <v>450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/>
      <c r="L67" s="4"/>
      <c r="M67" s="19" t="s">
        <v>44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</row>
    <row r="68" spans="1:18" ht="19" x14ac:dyDescent="0.25">
      <c r="A68" s="5" t="s">
        <v>15</v>
      </c>
      <c r="B68" s="7" t="s">
        <v>449</v>
      </c>
      <c r="C68" s="5" t="s">
        <v>19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/>
      <c r="L68" s="4"/>
      <c r="M68" s="4">
        <v>0</v>
      </c>
      <c r="N68" s="19" t="s">
        <v>44</v>
      </c>
      <c r="O68" s="4">
        <v>0</v>
      </c>
      <c r="P68" s="4">
        <v>0</v>
      </c>
      <c r="Q68" s="4">
        <v>0</v>
      </c>
      <c r="R68" s="4">
        <v>0</v>
      </c>
    </row>
    <row r="69" spans="1:18" ht="19" x14ac:dyDescent="0.25">
      <c r="A69" s="5" t="s">
        <v>15</v>
      </c>
      <c r="B69" s="7" t="s">
        <v>69</v>
      </c>
      <c r="C69" s="7" t="s">
        <v>419</v>
      </c>
      <c r="E69" s="4">
        <v>0</v>
      </c>
      <c r="F69" s="18" t="s">
        <v>44</v>
      </c>
      <c r="G69" s="4">
        <v>0</v>
      </c>
      <c r="H69" s="4">
        <v>0</v>
      </c>
      <c r="I69" s="4">
        <v>0</v>
      </c>
      <c r="J69" s="4">
        <v>0</v>
      </c>
      <c r="K69" s="4"/>
      <c r="L69" s="4"/>
      <c r="M69" s="4">
        <v>0</v>
      </c>
      <c r="N69" s="19" t="s">
        <v>44</v>
      </c>
      <c r="O69" s="4">
        <v>0</v>
      </c>
      <c r="P69" s="4">
        <v>0</v>
      </c>
      <c r="Q69" s="4">
        <v>0</v>
      </c>
      <c r="R69" s="4">
        <v>0</v>
      </c>
    </row>
    <row r="70" spans="1:18" ht="19" x14ac:dyDescent="0.25">
      <c r="A70" s="5" t="s">
        <v>15</v>
      </c>
      <c r="B70" s="7" t="s">
        <v>456</v>
      </c>
      <c r="C70" s="5" t="s">
        <v>19</v>
      </c>
      <c r="E70" s="4">
        <v>0</v>
      </c>
      <c r="F70" s="18" t="s">
        <v>44</v>
      </c>
      <c r="G70" s="4">
        <v>0</v>
      </c>
      <c r="H70" s="18" t="s">
        <v>44</v>
      </c>
      <c r="I70" s="18" t="s">
        <v>44</v>
      </c>
      <c r="J70" s="4">
        <v>0</v>
      </c>
      <c r="K70" s="4"/>
      <c r="L70" s="4"/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</row>
    <row r="71" spans="1:18" ht="19" x14ac:dyDescent="0.25">
      <c r="A71" s="5" t="s">
        <v>15</v>
      </c>
      <c r="B71" s="7" t="s">
        <v>448</v>
      </c>
      <c r="C71" s="5" t="s">
        <v>19</v>
      </c>
      <c r="E71" s="4">
        <v>0</v>
      </c>
      <c r="F71" s="18" t="s">
        <v>44</v>
      </c>
      <c r="G71" s="4">
        <v>0</v>
      </c>
      <c r="H71" s="4">
        <v>0</v>
      </c>
      <c r="I71" s="4">
        <v>0</v>
      </c>
      <c r="J71" s="4">
        <v>0</v>
      </c>
      <c r="K71" s="4"/>
      <c r="L71" s="4"/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</row>
    <row r="72" spans="1:18" ht="19" x14ac:dyDescent="0.25">
      <c r="A72" s="5" t="s">
        <v>15</v>
      </c>
      <c r="B72" s="7" t="s">
        <v>448</v>
      </c>
      <c r="C72" s="5" t="s">
        <v>65</v>
      </c>
      <c r="E72" s="4">
        <v>0</v>
      </c>
      <c r="F72" s="18" t="s">
        <v>44</v>
      </c>
      <c r="G72" s="4">
        <v>0</v>
      </c>
      <c r="H72" s="4">
        <v>0</v>
      </c>
      <c r="I72" s="4">
        <v>0</v>
      </c>
      <c r="J72" s="4">
        <v>0</v>
      </c>
      <c r="K72" s="4"/>
      <c r="L72" s="4"/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</row>
    <row r="73" spans="1:18" ht="19" x14ac:dyDescent="0.25">
      <c r="A73" s="5" t="s">
        <v>15</v>
      </c>
      <c r="B73" s="7" t="s">
        <v>448</v>
      </c>
      <c r="C73" s="5" t="s">
        <v>82</v>
      </c>
      <c r="E73" s="4">
        <v>0</v>
      </c>
      <c r="F73" s="4">
        <v>0</v>
      </c>
      <c r="G73" s="4">
        <v>0</v>
      </c>
      <c r="H73" s="4">
        <v>0</v>
      </c>
      <c r="I73" s="18" t="s">
        <v>44</v>
      </c>
      <c r="J73" s="4">
        <v>0</v>
      </c>
      <c r="K73" s="4"/>
      <c r="L73" s="4"/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</row>
    <row r="74" spans="1:18" ht="19" x14ac:dyDescent="0.25">
      <c r="A74" s="5" t="s">
        <v>15</v>
      </c>
      <c r="B74" s="7" t="s">
        <v>448</v>
      </c>
      <c r="C74" s="5" t="s">
        <v>83</v>
      </c>
      <c r="E74" s="4">
        <v>0</v>
      </c>
      <c r="F74" s="18" t="s">
        <v>44</v>
      </c>
      <c r="G74" s="4">
        <v>0</v>
      </c>
      <c r="H74" s="4">
        <v>0</v>
      </c>
      <c r="I74" s="4">
        <v>0</v>
      </c>
      <c r="J74" s="4">
        <v>0</v>
      </c>
      <c r="K74" s="4"/>
      <c r="L74" s="4"/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</row>
    <row r="75" spans="1:18" ht="19" x14ac:dyDescent="0.25">
      <c r="A75" s="5" t="s">
        <v>15</v>
      </c>
      <c r="B75" s="7" t="s">
        <v>428</v>
      </c>
      <c r="C75" s="7" t="s">
        <v>429</v>
      </c>
      <c r="E75" s="4">
        <v>0</v>
      </c>
      <c r="F75" s="4">
        <v>0</v>
      </c>
      <c r="G75" s="4">
        <v>0</v>
      </c>
      <c r="H75" s="18" t="s">
        <v>44</v>
      </c>
      <c r="I75" s="18" t="s">
        <v>44</v>
      </c>
      <c r="J75" s="18" t="s">
        <v>44</v>
      </c>
      <c r="K75" s="4"/>
      <c r="L75" s="4"/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</row>
    <row r="76" spans="1:18" ht="19" x14ac:dyDescent="0.25">
      <c r="A76" s="5" t="s">
        <v>15</v>
      </c>
      <c r="B76" s="7"/>
      <c r="C76" s="5" t="s">
        <v>19</v>
      </c>
      <c r="E76" s="4">
        <v>0</v>
      </c>
      <c r="F76" s="4">
        <v>0</v>
      </c>
      <c r="G76" s="4">
        <v>0</v>
      </c>
      <c r="H76" s="18" t="s">
        <v>44</v>
      </c>
      <c r="I76" s="18" t="s">
        <v>44</v>
      </c>
      <c r="J76" s="18" t="s">
        <v>44</v>
      </c>
      <c r="K76" s="4"/>
      <c r="L76" s="4"/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</row>
    <row r="77" spans="1:18" ht="19" x14ac:dyDescent="0.25">
      <c r="A77" s="5" t="s">
        <v>15</v>
      </c>
      <c r="B77" s="7"/>
      <c r="C77" s="5" t="s">
        <v>491</v>
      </c>
      <c r="E77" s="4">
        <v>0</v>
      </c>
      <c r="F77" s="4">
        <v>0</v>
      </c>
      <c r="G77" s="4">
        <v>0</v>
      </c>
      <c r="H77" s="18" t="s">
        <v>44</v>
      </c>
      <c r="I77" s="4">
        <v>0</v>
      </c>
      <c r="J77" s="18" t="s">
        <v>44</v>
      </c>
      <c r="K77" s="4"/>
      <c r="L77" s="4"/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</row>
    <row r="78" spans="1:18" ht="19" x14ac:dyDescent="0.25">
      <c r="A78" s="5" t="s">
        <v>478</v>
      </c>
      <c r="B78" s="7"/>
      <c r="C78" s="5" t="s">
        <v>19</v>
      </c>
      <c r="E78" s="4">
        <v>0</v>
      </c>
      <c r="F78" s="4">
        <v>0</v>
      </c>
      <c r="G78" s="4">
        <v>0</v>
      </c>
      <c r="H78" s="4">
        <v>0</v>
      </c>
      <c r="I78" s="18" t="s">
        <v>44</v>
      </c>
      <c r="J78" s="18" t="s">
        <v>44</v>
      </c>
      <c r="K78" s="4"/>
      <c r="L78" s="4"/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</row>
    <row r="79" spans="1:18" ht="19" x14ac:dyDescent="0.25">
      <c r="A79" s="5" t="s">
        <v>478</v>
      </c>
      <c r="B79" s="7" t="s">
        <v>114</v>
      </c>
      <c r="C79" s="5" t="s">
        <v>19</v>
      </c>
      <c r="E79" s="4">
        <v>0</v>
      </c>
      <c r="F79" s="4">
        <v>0</v>
      </c>
      <c r="G79" s="4">
        <v>0</v>
      </c>
      <c r="H79" s="18" t="s">
        <v>44</v>
      </c>
      <c r="I79" s="4">
        <v>0</v>
      </c>
      <c r="J79" s="18" t="s">
        <v>44</v>
      </c>
      <c r="K79" s="4"/>
      <c r="L79" s="4"/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</row>
    <row r="80" spans="1:18" ht="19" x14ac:dyDescent="0.25">
      <c r="A80" s="5" t="s">
        <v>32</v>
      </c>
      <c r="B80" s="7" t="s">
        <v>464</v>
      </c>
      <c r="C80" s="5" t="s">
        <v>19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/>
      <c r="L80" s="4"/>
      <c r="M80" s="4">
        <v>0</v>
      </c>
      <c r="N80" s="19" t="s">
        <v>44</v>
      </c>
      <c r="O80" s="4">
        <v>0</v>
      </c>
      <c r="P80" s="4">
        <v>0</v>
      </c>
      <c r="Q80" s="4">
        <v>0</v>
      </c>
      <c r="R80" s="4">
        <v>0</v>
      </c>
    </row>
    <row r="81" spans="1:18" ht="19" x14ac:dyDescent="0.25">
      <c r="A81" s="5" t="s">
        <v>16</v>
      </c>
      <c r="B81" s="7" t="s">
        <v>458</v>
      </c>
      <c r="C81" s="5" t="s">
        <v>19</v>
      </c>
      <c r="E81" s="4">
        <v>0</v>
      </c>
      <c r="F81" s="4">
        <v>0</v>
      </c>
      <c r="G81" s="4">
        <v>0</v>
      </c>
      <c r="H81" s="18" t="s">
        <v>44</v>
      </c>
      <c r="I81" s="4">
        <v>0</v>
      </c>
      <c r="J81" s="4">
        <v>0</v>
      </c>
      <c r="K81" s="4"/>
      <c r="L81" s="4"/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</row>
    <row r="82" spans="1:18" ht="19" x14ac:dyDescent="0.25">
      <c r="A82" s="5" t="s">
        <v>16</v>
      </c>
      <c r="B82" s="7"/>
      <c r="C82" s="5" t="s">
        <v>19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/>
      <c r="L82" s="4"/>
      <c r="M82" s="4">
        <v>0</v>
      </c>
      <c r="N82" s="19" t="s">
        <v>44</v>
      </c>
      <c r="O82" s="4">
        <v>0</v>
      </c>
      <c r="P82" s="4">
        <v>0</v>
      </c>
      <c r="Q82" s="4">
        <v>0</v>
      </c>
      <c r="R82" s="4">
        <v>0</v>
      </c>
    </row>
    <row r="83" spans="1:18" ht="19" x14ac:dyDescent="0.25">
      <c r="A83" s="5" t="s">
        <v>16</v>
      </c>
      <c r="B83" s="7"/>
      <c r="C83" s="5" t="s">
        <v>65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/>
      <c r="L83" s="4"/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19" t="s">
        <v>44</v>
      </c>
    </row>
    <row r="84" spans="1:18" ht="19" x14ac:dyDescent="0.25">
      <c r="A84" s="5" t="s">
        <v>16</v>
      </c>
      <c r="B84" s="7"/>
      <c r="C84" s="5" t="s">
        <v>82</v>
      </c>
      <c r="E84" s="18" t="s">
        <v>44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/>
      <c r="L84" s="4"/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</row>
    <row r="85" spans="1:18" ht="19" x14ac:dyDescent="0.25">
      <c r="A85" s="5" t="s">
        <v>16</v>
      </c>
      <c r="B85" s="7"/>
      <c r="C85" s="5" t="s">
        <v>83</v>
      </c>
      <c r="E85" s="4">
        <v>0</v>
      </c>
      <c r="F85" s="4">
        <v>0</v>
      </c>
      <c r="G85" s="4">
        <v>0</v>
      </c>
      <c r="H85" s="18" t="s">
        <v>44</v>
      </c>
      <c r="I85" s="4">
        <v>0</v>
      </c>
      <c r="J85" s="4">
        <v>0</v>
      </c>
      <c r="K85" s="4"/>
      <c r="L85" s="4"/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</row>
    <row r="86" spans="1:18" ht="19" x14ac:dyDescent="0.25">
      <c r="A86" s="5" t="s">
        <v>16</v>
      </c>
      <c r="B86" s="7"/>
      <c r="C86" s="5" t="s">
        <v>154</v>
      </c>
      <c r="E86" s="4">
        <v>0</v>
      </c>
      <c r="F86" s="4">
        <v>0</v>
      </c>
      <c r="G86" s="4">
        <v>0</v>
      </c>
      <c r="H86" s="18" t="s">
        <v>44</v>
      </c>
      <c r="I86" s="4">
        <v>0</v>
      </c>
      <c r="J86" s="4">
        <v>0</v>
      </c>
      <c r="K86" s="4"/>
      <c r="L86" s="4"/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</row>
    <row r="87" spans="1:18" ht="19" x14ac:dyDescent="0.25">
      <c r="A87" s="5" t="s">
        <v>16</v>
      </c>
      <c r="B87" s="7"/>
      <c r="C87" s="8" t="s">
        <v>470</v>
      </c>
      <c r="E87" s="4">
        <v>0</v>
      </c>
      <c r="F87" s="4">
        <v>0</v>
      </c>
      <c r="G87" s="4">
        <v>0</v>
      </c>
      <c r="H87" s="18" t="s">
        <v>44</v>
      </c>
      <c r="I87" s="4">
        <v>0</v>
      </c>
      <c r="J87" s="4">
        <v>0</v>
      </c>
      <c r="K87" s="4"/>
      <c r="L87" s="4"/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</row>
    <row r="88" spans="1:18" ht="19" x14ac:dyDescent="0.25">
      <c r="A88" s="5" t="s">
        <v>16</v>
      </c>
      <c r="B88" s="7"/>
      <c r="C88" s="8" t="s">
        <v>467</v>
      </c>
      <c r="E88" s="4">
        <v>0</v>
      </c>
      <c r="F88" s="4">
        <v>0</v>
      </c>
      <c r="G88" s="4">
        <v>0</v>
      </c>
      <c r="H88" s="4">
        <v>0</v>
      </c>
      <c r="I88" s="18" t="s">
        <v>44</v>
      </c>
      <c r="J88" s="4">
        <v>0</v>
      </c>
      <c r="K88" s="4"/>
      <c r="L88" s="4"/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</row>
    <row r="89" spans="1:18" ht="19" x14ac:dyDescent="0.25">
      <c r="A89" s="5" t="s">
        <v>33</v>
      </c>
      <c r="B89" s="7" t="s">
        <v>138</v>
      </c>
      <c r="C89" s="7" t="s">
        <v>139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/>
      <c r="L89" s="4"/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19" t="s">
        <v>44</v>
      </c>
    </row>
    <row r="90" spans="1:18" ht="19" x14ac:dyDescent="0.25">
      <c r="A90" s="5" t="s">
        <v>34</v>
      </c>
      <c r="B90" s="7" t="s">
        <v>140</v>
      </c>
      <c r="C90" s="7" t="s">
        <v>125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/>
      <c r="L90" s="4"/>
      <c r="M90" s="4">
        <v>0</v>
      </c>
      <c r="N90" s="4">
        <v>0</v>
      </c>
      <c r="O90" s="19" t="s">
        <v>44</v>
      </c>
      <c r="P90" s="4">
        <v>0</v>
      </c>
      <c r="Q90" s="19" t="s">
        <v>44</v>
      </c>
      <c r="R90" s="19" t="s">
        <v>44</v>
      </c>
    </row>
    <row r="91" spans="1:18" ht="19" x14ac:dyDescent="0.25">
      <c r="A91" s="5" t="s">
        <v>17</v>
      </c>
      <c r="B91" s="7" t="s">
        <v>141</v>
      </c>
      <c r="C91" s="5" t="s">
        <v>19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/>
      <c r="L91" s="4"/>
      <c r="M91" s="4">
        <v>0</v>
      </c>
      <c r="N91" s="4">
        <v>0</v>
      </c>
      <c r="O91" s="4">
        <v>0</v>
      </c>
      <c r="P91" s="19" t="s">
        <v>44</v>
      </c>
      <c r="Q91" s="4">
        <v>0</v>
      </c>
      <c r="R91" s="19" t="s">
        <v>44</v>
      </c>
    </row>
    <row r="92" spans="1:18" ht="19" x14ac:dyDescent="0.25">
      <c r="A92" s="5" t="s">
        <v>434</v>
      </c>
      <c r="B92" s="7" t="s">
        <v>465</v>
      </c>
      <c r="C92" s="7" t="s">
        <v>466</v>
      </c>
      <c r="E92" s="18" t="s">
        <v>44</v>
      </c>
      <c r="F92" s="18" t="s">
        <v>44</v>
      </c>
      <c r="G92" s="4">
        <v>0</v>
      </c>
      <c r="H92" s="4">
        <v>0</v>
      </c>
      <c r="I92" s="4">
        <v>0</v>
      </c>
      <c r="J92" s="4">
        <v>0</v>
      </c>
      <c r="K92" s="4"/>
      <c r="L92" s="4"/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</row>
    <row r="93" spans="1:18" ht="19" x14ac:dyDescent="0.25">
      <c r="A93" s="5" t="s">
        <v>17</v>
      </c>
      <c r="B93" s="7"/>
      <c r="C93" s="8" t="s">
        <v>19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/>
      <c r="L93" s="4"/>
      <c r="M93" s="4">
        <v>0</v>
      </c>
      <c r="N93" s="19" t="s">
        <v>44</v>
      </c>
      <c r="O93" s="4">
        <v>0</v>
      </c>
      <c r="P93" s="4">
        <v>0</v>
      </c>
      <c r="Q93" s="4">
        <v>0</v>
      </c>
      <c r="R93" s="4">
        <v>0</v>
      </c>
    </row>
    <row r="94" spans="1:18" ht="19" x14ac:dyDescent="0.25">
      <c r="A94" s="5" t="s">
        <v>18</v>
      </c>
      <c r="B94" s="7" t="s">
        <v>71</v>
      </c>
      <c r="C94" s="5" t="s">
        <v>19</v>
      </c>
      <c r="E94" s="4">
        <v>0</v>
      </c>
      <c r="F94" s="4">
        <v>0</v>
      </c>
      <c r="G94" s="4">
        <v>0</v>
      </c>
      <c r="H94" s="18" t="s">
        <v>44</v>
      </c>
      <c r="I94" s="23" t="s">
        <v>44</v>
      </c>
      <c r="J94" s="4">
        <v>0</v>
      </c>
      <c r="K94" s="4"/>
      <c r="L94" s="4"/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</row>
    <row r="95" spans="1:18" ht="19" x14ac:dyDescent="0.25">
      <c r="A95" s="5" t="s">
        <v>18</v>
      </c>
      <c r="B95" s="7" t="s">
        <v>72</v>
      </c>
      <c r="C95" s="5" t="s">
        <v>19</v>
      </c>
      <c r="E95" s="4">
        <v>0</v>
      </c>
      <c r="F95" s="18" t="s">
        <v>44</v>
      </c>
      <c r="G95" s="4">
        <v>0</v>
      </c>
      <c r="H95" s="4">
        <v>0</v>
      </c>
      <c r="I95" s="4">
        <v>0</v>
      </c>
      <c r="J95" s="4">
        <v>0</v>
      </c>
      <c r="K95" s="4"/>
      <c r="L95" s="4"/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</row>
    <row r="96" spans="1:18" ht="19" x14ac:dyDescent="0.25">
      <c r="A96" s="5" t="s">
        <v>18</v>
      </c>
      <c r="B96" s="7"/>
      <c r="C96" s="5" t="s">
        <v>19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23" t="s">
        <v>44</v>
      </c>
      <c r="K96" s="4"/>
      <c r="L96" s="4"/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</row>
    <row r="97" spans="1:18" ht="19" x14ac:dyDescent="0.25">
      <c r="A97" s="10" t="s">
        <v>18</v>
      </c>
      <c r="B97" s="7"/>
      <c r="C97" s="5" t="s">
        <v>65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/>
      <c r="L97" s="4"/>
      <c r="M97" s="4">
        <v>0</v>
      </c>
      <c r="N97" s="4">
        <v>0</v>
      </c>
      <c r="O97" s="19" t="s">
        <v>44</v>
      </c>
      <c r="P97" s="4">
        <v>0</v>
      </c>
      <c r="Q97" s="4">
        <v>0</v>
      </c>
      <c r="R97" s="19" t="s">
        <v>44</v>
      </c>
    </row>
    <row r="98" spans="1:18" ht="19" x14ac:dyDescent="0.25">
      <c r="A98" s="5" t="s">
        <v>20</v>
      </c>
      <c r="B98" s="7" t="s">
        <v>142</v>
      </c>
      <c r="C98" s="5" t="s">
        <v>19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/>
      <c r="L98" s="4"/>
      <c r="M98" s="4">
        <v>0</v>
      </c>
      <c r="N98" s="4">
        <v>0</v>
      </c>
      <c r="O98" s="4">
        <v>0</v>
      </c>
      <c r="P98" s="4">
        <v>0</v>
      </c>
      <c r="Q98" s="19" t="s">
        <v>44</v>
      </c>
      <c r="R98" s="19" t="s">
        <v>44</v>
      </c>
    </row>
    <row r="99" spans="1:18" ht="19" x14ac:dyDescent="0.25">
      <c r="A99" s="5" t="s">
        <v>20</v>
      </c>
      <c r="B99" s="7" t="s">
        <v>142</v>
      </c>
      <c r="C99" s="5" t="s">
        <v>65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/>
      <c r="L99" s="4"/>
      <c r="M99" s="4">
        <v>0</v>
      </c>
      <c r="N99" s="4">
        <v>0</v>
      </c>
      <c r="O99" s="4">
        <v>0</v>
      </c>
      <c r="P99" s="19" t="s">
        <v>44</v>
      </c>
      <c r="Q99" s="4">
        <v>0</v>
      </c>
      <c r="R99" s="19" t="s">
        <v>44</v>
      </c>
    </row>
    <row r="100" spans="1:18" ht="19" x14ac:dyDescent="0.25">
      <c r="A100" s="5" t="s">
        <v>20</v>
      </c>
      <c r="B100" s="7" t="s">
        <v>142</v>
      </c>
      <c r="C100" s="5" t="s">
        <v>82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/>
      <c r="L100" s="4"/>
      <c r="M100" s="4">
        <v>0</v>
      </c>
      <c r="N100" s="4">
        <v>0</v>
      </c>
      <c r="O100" s="4">
        <v>0</v>
      </c>
      <c r="P100" s="4">
        <v>0</v>
      </c>
      <c r="Q100" s="19" t="s">
        <v>44</v>
      </c>
      <c r="R100" s="19" t="s">
        <v>44</v>
      </c>
    </row>
    <row r="101" spans="1:18" ht="19" x14ac:dyDescent="0.25">
      <c r="A101" s="5" t="s">
        <v>20</v>
      </c>
      <c r="B101" s="7" t="s">
        <v>73</v>
      </c>
      <c r="C101" s="5" t="s">
        <v>19</v>
      </c>
      <c r="E101" s="4">
        <v>0</v>
      </c>
      <c r="F101" s="18" t="s">
        <v>44</v>
      </c>
      <c r="G101" s="4">
        <v>0</v>
      </c>
      <c r="H101" s="4">
        <v>0</v>
      </c>
      <c r="I101" s="4">
        <v>0</v>
      </c>
      <c r="J101" s="4">
        <v>0</v>
      </c>
      <c r="K101" s="4"/>
      <c r="L101" s="4"/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</row>
    <row r="102" spans="1:18" ht="19" x14ac:dyDescent="0.25">
      <c r="A102" s="5" t="s">
        <v>21</v>
      </c>
      <c r="B102" s="7" t="s">
        <v>74</v>
      </c>
      <c r="C102" s="7" t="s">
        <v>459</v>
      </c>
      <c r="E102" s="4">
        <v>0</v>
      </c>
      <c r="F102" s="18" t="s">
        <v>44</v>
      </c>
      <c r="G102" s="4">
        <v>0</v>
      </c>
      <c r="H102" s="4">
        <v>0</v>
      </c>
      <c r="I102" s="4">
        <v>0</v>
      </c>
      <c r="J102" s="4">
        <v>0</v>
      </c>
      <c r="K102" s="4"/>
      <c r="L102" s="4"/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</row>
    <row r="103" spans="1:18" ht="19" x14ac:dyDescent="0.25">
      <c r="A103" s="5" t="s">
        <v>22</v>
      </c>
      <c r="B103" s="7" t="s">
        <v>75</v>
      </c>
      <c r="C103" s="5" t="s">
        <v>19</v>
      </c>
      <c r="E103" s="18" t="s">
        <v>44</v>
      </c>
      <c r="F103" s="18" t="s">
        <v>44</v>
      </c>
      <c r="G103" s="18" t="s">
        <v>44</v>
      </c>
      <c r="H103" s="18" t="s">
        <v>44</v>
      </c>
      <c r="I103" s="4">
        <v>0</v>
      </c>
      <c r="J103" s="4">
        <v>0</v>
      </c>
      <c r="K103" s="4"/>
      <c r="L103" s="4"/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</row>
    <row r="104" spans="1:18" ht="19" x14ac:dyDescent="0.25">
      <c r="A104" s="5" t="s">
        <v>22</v>
      </c>
      <c r="B104" s="7"/>
      <c r="C104" s="8" t="s">
        <v>19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/>
      <c r="L104" s="4"/>
      <c r="M104" s="4">
        <v>0</v>
      </c>
      <c r="N104" s="4">
        <v>0</v>
      </c>
      <c r="O104" s="19" t="s">
        <v>44</v>
      </c>
      <c r="P104" s="4">
        <v>0</v>
      </c>
      <c r="Q104" s="4">
        <v>0</v>
      </c>
      <c r="R104" s="19" t="s">
        <v>44</v>
      </c>
    </row>
    <row r="105" spans="1:18" ht="19" x14ac:dyDescent="0.25">
      <c r="A105" s="5" t="s">
        <v>22</v>
      </c>
      <c r="B105" s="7"/>
      <c r="C105" s="8" t="s">
        <v>65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/>
      <c r="L105" s="4"/>
      <c r="M105" s="4">
        <v>0</v>
      </c>
      <c r="N105" s="19" t="s">
        <v>44</v>
      </c>
      <c r="O105" s="4">
        <v>0</v>
      </c>
      <c r="P105" s="4">
        <v>0</v>
      </c>
      <c r="Q105" s="4">
        <v>0</v>
      </c>
      <c r="R105" s="4">
        <v>0</v>
      </c>
    </row>
    <row r="106" spans="1:18" ht="19" x14ac:dyDescent="0.25">
      <c r="A106" s="5" t="s">
        <v>14</v>
      </c>
      <c r="B106" s="7" t="s">
        <v>67</v>
      </c>
      <c r="C106" s="5" t="s">
        <v>19</v>
      </c>
      <c r="E106" s="18" t="s">
        <v>44</v>
      </c>
      <c r="F106" s="4">
        <v>0</v>
      </c>
      <c r="G106" s="18" t="s">
        <v>44</v>
      </c>
      <c r="H106" s="18" t="s">
        <v>44</v>
      </c>
      <c r="I106" s="18" t="s">
        <v>44</v>
      </c>
      <c r="J106" s="4">
        <v>0</v>
      </c>
      <c r="K106" s="4"/>
      <c r="L106" s="4"/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</row>
    <row r="107" spans="1:18" ht="19" x14ac:dyDescent="0.25">
      <c r="A107" s="10" t="s">
        <v>14</v>
      </c>
      <c r="B107" s="7" t="s">
        <v>143</v>
      </c>
      <c r="C107" s="5" t="s">
        <v>19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/>
      <c r="L107" s="4"/>
      <c r="M107" s="4">
        <v>0</v>
      </c>
      <c r="N107" s="4">
        <v>0</v>
      </c>
      <c r="O107" s="19" t="s">
        <v>44</v>
      </c>
      <c r="P107" s="19" t="s">
        <v>44</v>
      </c>
      <c r="Q107" s="19" t="s">
        <v>44</v>
      </c>
      <c r="R107" s="19" t="s">
        <v>44</v>
      </c>
    </row>
    <row r="108" spans="1:18" ht="19" x14ac:dyDescent="0.25">
      <c r="A108" s="5" t="s">
        <v>14</v>
      </c>
      <c r="B108" s="7" t="s">
        <v>144</v>
      </c>
      <c r="C108" s="7" t="s">
        <v>145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/>
      <c r="L108" s="4"/>
      <c r="M108" s="4">
        <v>0</v>
      </c>
      <c r="N108" s="4">
        <v>0</v>
      </c>
      <c r="O108" s="4">
        <v>0</v>
      </c>
      <c r="P108" s="19" t="s">
        <v>44</v>
      </c>
      <c r="Q108" s="4">
        <v>0</v>
      </c>
      <c r="R108" s="4">
        <v>0</v>
      </c>
    </row>
    <row r="109" spans="1:18" ht="19" x14ac:dyDescent="0.25">
      <c r="A109" s="8" t="s">
        <v>14</v>
      </c>
      <c r="B109" s="9" t="s">
        <v>146</v>
      </c>
      <c r="C109" s="7" t="s">
        <v>147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/>
      <c r="L109" s="4"/>
      <c r="M109" s="4">
        <v>0</v>
      </c>
      <c r="N109" s="4">
        <v>0</v>
      </c>
      <c r="O109" s="19" t="s">
        <v>44</v>
      </c>
      <c r="P109" s="19" t="s">
        <v>44</v>
      </c>
      <c r="Q109" s="19" t="s">
        <v>44</v>
      </c>
      <c r="R109" s="19" t="s">
        <v>44</v>
      </c>
    </row>
    <row r="110" spans="1:18" ht="19" x14ac:dyDescent="0.25">
      <c r="A110" s="5" t="s">
        <v>493</v>
      </c>
      <c r="B110" s="7" t="s">
        <v>70</v>
      </c>
      <c r="C110" s="5" t="s">
        <v>19</v>
      </c>
      <c r="E110" s="4">
        <v>0</v>
      </c>
      <c r="F110" s="4">
        <v>0</v>
      </c>
      <c r="G110" s="4">
        <v>0</v>
      </c>
      <c r="H110" s="4">
        <v>0</v>
      </c>
      <c r="I110" s="18" t="s">
        <v>44</v>
      </c>
      <c r="J110" s="4">
        <v>0</v>
      </c>
      <c r="K110" s="4"/>
      <c r="L110" s="4"/>
      <c r="M110" s="4">
        <v>0</v>
      </c>
      <c r="N110" s="4">
        <v>0</v>
      </c>
      <c r="O110" s="4">
        <v>0</v>
      </c>
      <c r="P110" s="19" t="s">
        <v>44</v>
      </c>
      <c r="Q110" s="19" t="s">
        <v>44</v>
      </c>
      <c r="R110" s="19" t="s">
        <v>44</v>
      </c>
    </row>
    <row r="111" spans="1:18" ht="19" x14ac:dyDescent="0.25">
      <c r="A111" s="10" t="s">
        <v>14</v>
      </c>
      <c r="B111" s="7"/>
      <c r="C111" s="5" t="s">
        <v>19</v>
      </c>
      <c r="E111" s="4">
        <v>0</v>
      </c>
      <c r="F111" s="18" t="s">
        <v>44</v>
      </c>
      <c r="G111" s="4">
        <v>0</v>
      </c>
      <c r="H111" s="4">
        <v>0</v>
      </c>
      <c r="I111" s="4">
        <v>0</v>
      </c>
      <c r="J111" s="4">
        <v>0</v>
      </c>
      <c r="K111" s="4"/>
      <c r="L111" s="4"/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</row>
    <row r="112" spans="1:18" ht="19" x14ac:dyDescent="0.25">
      <c r="A112" s="10" t="s">
        <v>36</v>
      </c>
      <c r="B112" s="7" t="s">
        <v>155</v>
      </c>
      <c r="C112" s="5" t="s">
        <v>19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/>
      <c r="L112" s="4"/>
      <c r="M112" s="4">
        <v>0</v>
      </c>
      <c r="N112" s="19" t="s">
        <v>44</v>
      </c>
      <c r="O112" s="4">
        <v>0</v>
      </c>
      <c r="P112" s="4">
        <v>0</v>
      </c>
      <c r="Q112" s="4">
        <v>0</v>
      </c>
      <c r="R112" s="4">
        <v>0</v>
      </c>
    </row>
    <row r="113" spans="1:18" ht="19" x14ac:dyDescent="0.25">
      <c r="A113" s="5" t="s">
        <v>35</v>
      </c>
      <c r="B113" s="7" t="s">
        <v>148</v>
      </c>
      <c r="C113" s="5" t="s">
        <v>19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/>
      <c r="L113" s="4"/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19" t="s">
        <v>44</v>
      </c>
    </row>
    <row r="114" spans="1:18" ht="19" x14ac:dyDescent="0.25">
      <c r="A114" s="5" t="s">
        <v>23</v>
      </c>
      <c r="B114" s="7" t="s">
        <v>76</v>
      </c>
      <c r="C114" s="5" t="s">
        <v>19</v>
      </c>
      <c r="E114" s="4">
        <v>0</v>
      </c>
      <c r="F114" s="18" t="s">
        <v>44</v>
      </c>
      <c r="G114" s="4">
        <v>0</v>
      </c>
      <c r="H114" s="18" t="s">
        <v>44</v>
      </c>
      <c r="I114" s="4">
        <v>0</v>
      </c>
      <c r="J114" s="4">
        <v>0</v>
      </c>
      <c r="K114" s="4"/>
      <c r="L114" s="4"/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</row>
    <row r="115" spans="1:18" ht="19" x14ac:dyDescent="0.25">
      <c r="A115" s="5" t="s">
        <v>23</v>
      </c>
      <c r="B115" s="7" t="s">
        <v>76</v>
      </c>
      <c r="C115" s="7" t="s">
        <v>480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/>
      <c r="L115" s="4"/>
      <c r="M115" s="4">
        <v>0</v>
      </c>
      <c r="N115" s="4">
        <v>0</v>
      </c>
      <c r="O115" s="4">
        <v>0</v>
      </c>
      <c r="P115" s="19" t="s">
        <v>44</v>
      </c>
      <c r="Q115" s="4">
        <v>0</v>
      </c>
      <c r="R115" s="4">
        <v>0</v>
      </c>
    </row>
    <row r="116" spans="1:18" ht="19" x14ac:dyDescent="0.25">
      <c r="A116" s="5" t="s">
        <v>24</v>
      </c>
      <c r="B116" s="7" t="s">
        <v>78</v>
      </c>
      <c r="C116" s="7" t="s">
        <v>77</v>
      </c>
      <c r="E116" s="18" t="s">
        <v>44</v>
      </c>
      <c r="F116" s="18" t="s">
        <v>44</v>
      </c>
      <c r="G116" s="4">
        <v>0</v>
      </c>
      <c r="H116" s="4">
        <v>0</v>
      </c>
      <c r="I116" s="4">
        <v>0</v>
      </c>
      <c r="J116" s="4">
        <v>0</v>
      </c>
      <c r="K116" s="4"/>
      <c r="L116" s="4"/>
      <c r="M116" s="19" t="s">
        <v>44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</row>
    <row r="117" spans="1:18" ht="19" x14ac:dyDescent="0.25">
      <c r="A117" s="5" t="s">
        <v>25</v>
      </c>
      <c r="B117" s="7" t="s">
        <v>79</v>
      </c>
      <c r="C117" s="7" t="s">
        <v>80</v>
      </c>
      <c r="E117" s="18" t="s">
        <v>44</v>
      </c>
      <c r="F117" s="18" t="s">
        <v>44</v>
      </c>
      <c r="G117" s="4">
        <v>0</v>
      </c>
      <c r="H117" s="4">
        <v>0</v>
      </c>
      <c r="I117" s="4">
        <v>0</v>
      </c>
      <c r="J117" s="4">
        <v>0</v>
      </c>
      <c r="K117" s="4"/>
      <c r="L117" s="4"/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</row>
    <row r="118" spans="1:18" ht="19" x14ac:dyDescent="0.25">
      <c r="A118" s="5" t="s">
        <v>26</v>
      </c>
      <c r="B118" s="7" t="s">
        <v>81</v>
      </c>
      <c r="C118" s="5" t="s">
        <v>19</v>
      </c>
      <c r="E118" s="4">
        <v>0</v>
      </c>
      <c r="F118" s="4">
        <v>0</v>
      </c>
      <c r="G118" s="18" t="s">
        <v>44</v>
      </c>
      <c r="H118" s="18" t="s">
        <v>44</v>
      </c>
      <c r="I118" s="4">
        <v>0</v>
      </c>
      <c r="J118" s="4">
        <v>0</v>
      </c>
      <c r="K118" s="4"/>
      <c r="L118" s="4"/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</row>
    <row r="119" spans="1:18" ht="19" x14ac:dyDescent="0.25">
      <c r="A119" s="5" t="s">
        <v>26</v>
      </c>
      <c r="B119" s="7" t="s">
        <v>149</v>
      </c>
      <c r="C119" s="5" t="s">
        <v>19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/>
      <c r="L119" s="4"/>
      <c r="M119" s="4">
        <v>0</v>
      </c>
      <c r="N119" s="19" t="s">
        <v>44</v>
      </c>
      <c r="O119" s="4">
        <v>0</v>
      </c>
      <c r="P119" s="4">
        <v>0</v>
      </c>
      <c r="Q119" s="4">
        <v>0</v>
      </c>
      <c r="R119" s="4">
        <v>0</v>
      </c>
    </row>
    <row r="120" spans="1:18" ht="19" x14ac:dyDescent="0.25">
      <c r="A120" s="10" t="s">
        <v>26</v>
      </c>
      <c r="B120" s="7" t="s">
        <v>149</v>
      </c>
      <c r="C120" s="5" t="s">
        <v>65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/>
      <c r="L120" s="4"/>
      <c r="M120" s="4">
        <v>0</v>
      </c>
      <c r="N120" s="4">
        <v>0</v>
      </c>
      <c r="O120" s="19" t="s">
        <v>44</v>
      </c>
      <c r="P120" s="4">
        <v>0</v>
      </c>
      <c r="Q120" s="4">
        <v>0</v>
      </c>
      <c r="R120" s="4">
        <v>0</v>
      </c>
    </row>
    <row r="121" spans="1:18" ht="19" x14ac:dyDescent="0.25">
      <c r="A121" s="10" t="s">
        <v>26</v>
      </c>
      <c r="B121" s="7" t="s">
        <v>460</v>
      </c>
      <c r="C121" s="5" t="s">
        <v>82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/>
      <c r="L121" s="4"/>
      <c r="M121" s="4">
        <v>0</v>
      </c>
      <c r="N121" s="19" t="s">
        <v>44</v>
      </c>
      <c r="O121" s="4">
        <v>0</v>
      </c>
      <c r="P121" s="4">
        <v>0</v>
      </c>
      <c r="Q121" s="4">
        <v>0</v>
      </c>
      <c r="R121" s="4">
        <v>0</v>
      </c>
    </row>
    <row r="122" spans="1:18" ht="19" x14ac:dyDescent="0.25">
      <c r="A122" s="5" t="s">
        <v>26</v>
      </c>
      <c r="B122" s="7" t="s">
        <v>150</v>
      </c>
      <c r="C122" s="5" t="s">
        <v>19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/>
      <c r="L122" s="4"/>
      <c r="M122" s="4">
        <v>0</v>
      </c>
      <c r="N122" s="4">
        <v>0</v>
      </c>
      <c r="O122" s="4">
        <v>0</v>
      </c>
      <c r="P122" s="19" t="s">
        <v>44</v>
      </c>
      <c r="Q122" s="4">
        <v>0</v>
      </c>
      <c r="R122" s="4">
        <v>0</v>
      </c>
    </row>
    <row r="123" spans="1:18" ht="19" x14ac:dyDescent="0.25">
      <c r="A123" s="5" t="s">
        <v>26</v>
      </c>
      <c r="B123" s="7" t="s">
        <v>84</v>
      </c>
      <c r="C123" s="5" t="s">
        <v>19</v>
      </c>
      <c r="E123" s="4">
        <v>0</v>
      </c>
      <c r="F123" s="18" t="s">
        <v>44</v>
      </c>
      <c r="G123" s="4">
        <v>0</v>
      </c>
      <c r="H123" s="4">
        <v>0</v>
      </c>
      <c r="I123" s="4">
        <v>0</v>
      </c>
      <c r="J123" s="4">
        <v>0</v>
      </c>
      <c r="K123" s="4"/>
      <c r="L123" s="4"/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</row>
    <row r="124" spans="1:18" ht="19" x14ac:dyDescent="0.25">
      <c r="A124" s="5" t="s">
        <v>26</v>
      </c>
      <c r="B124" s="7" t="s">
        <v>84</v>
      </c>
      <c r="C124" s="5" t="s">
        <v>65</v>
      </c>
      <c r="E124" s="4">
        <v>0</v>
      </c>
      <c r="F124" s="4">
        <v>0</v>
      </c>
      <c r="G124" s="4">
        <v>0</v>
      </c>
      <c r="H124" s="18" t="s">
        <v>44</v>
      </c>
      <c r="I124" s="18" t="s">
        <v>44</v>
      </c>
      <c r="J124" s="4">
        <v>0</v>
      </c>
      <c r="K124" s="4"/>
      <c r="L124" s="4"/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</row>
    <row r="125" spans="1:18" ht="19" x14ac:dyDescent="0.25">
      <c r="A125" s="5" t="s">
        <v>26</v>
      </c>
      <c r="B125" s="7" t="s">
        <v>84</v>
      </c>
      <c r="C125" s="5" t="s">
        <v>82</v>
      </c>
      <c r="E125" s="4">
        <v>0</v>
      </c>
      <c r="F125" s="4">
        <v>0</v>
      </c>
      <c r="G125" s="18" t="s">
        <v>44</v>
      </c>
      <c r="H125" s="18" t="s">
        <v>44</v>
      </c>
      <c r="I125" s="4">
        <v>0</v>
      </c>
      <c r="J125" s="4">
        <v>0</v>
      </c>
      <c r="K125" s="4"/>
      <c r="L125" s="4"/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</row>
    <row r="126" spans="1:18" ht="19" x14ac:dyDescent="0.25">
      <c r="A126" s="5" t="s">
        <v>26</v>
      </c>
      <c r="B126" s="7" t="s">
        <v>84</v>
      </c>
      <c r="C126" s="5" t="s">
        <v>83</v>
      </c>
      <c r="E126" s="4">
        <v>0</v>
      </c>
      <c r="F126" s="4">
        <v>0</v>
      </c>
      <c r="G126" s="4">
        <v>0</v>
      </c>
      <c r="H126" s="18" t="s">
        <v>44</v>
      </c>
      <c r="I126" s="18" t="s">
        <v>44</v>
      </c>
      <c r="J126" s="4">
        <v>0</v>
      </c>
      <c r="K126" s="4"/>
      <c r="L126" s="4"/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</row>
    <row r="127" spans="1:18" ht="19" x14ac:dyDescent="0.25">
      <c r="A127" s="10" t="s">
        <v>26</v>
      </c>
      <c r="B127" s="7" t="s">
        <v>84</v>
      </c>
      <c r="C127" s="5" t="s">
        <v>154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/>
      <c r="L127" s="4"/>
      <c r="M127" s="4">
        <v>0</v>
      </c>
      <c r="N127" s="4">
        <v>0</v>
      </c>
      <c r="O127" s="4">
        <v>0</v>
      </c>
      <c r="P127" s="4">
        <v>0</v>
      </c>
      <c r="Q127" s="19" t="s">
        <v>44</v>
      </c>
      <c r="R127" s="4">
        <v>0</v>
      </c>
    </row>
    <row r="128" spans="1:18" ht="19" x14ac:dyDescent="0.25">
      <c r="A128" s="10" t="s">
        <v>26</v>
      </c>
      <c r="B128" s="7" t="s">
        <v>151</v>
      </c>
      <c r="C128" s="7" t="s">
        <v>152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/>
      <c r="L128" s="4"/>
      <c r="M128" s="19" t="s">
        <v>44</v>
      </c>
      <c r="N128" s="19" t="s">
        <v>44</v>
      </c>
      <c r="O128" s="19" t="s">
        <v>44</v>
      </c>
      <c r="P128" s="4">
        <v>0</v>
      </c>
      <c r="Q128" s="4">
        <v>0</v>
      </c>
      <c r="R128" s="4">
        <v>0</v>
      </c>
    </row>
    <row r="129" spans="1:18" ht="19" x14ac:dyDescent="0.25">
      <c r="A129" s="10" t="s">
        <v>26</v>
      </c>
      <c r="B129" s="7" t="s">
        <v>153</v>
      </c>
      <c r="C129" s="5" t="s">
        <v>19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/>
      <c r="L129" s="4"/>
      <c r="M129" s="4">
        <v>0</v>
      </c>
      <c r="N129" s="19" t="s">
        <v>44</v>
      </c>
      <c r="O129" s="19" t="s">
        <v>44</v>
      </c>
      <c r="P129" s="19" t="s">
        <v>44</v>
      </c>
      <c r="Q129" s="4">
        <v>0</v>
      </c>
      <c r="R129" s="4">
        <v>0</v>
      </c>
    </row>
    <row r="130" spans="1:18" ht="19" x14ac:dyDescent="0.25">
      <c r="A130" s="10" t="s">
        <v>26</v>
      </c>
      <c r="B130" s="7" t="s">
        <v>153</v>
      </c>
      <c r="C130" s="5" t="s">
        <v>65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/>
      <c r="L130" s="4"/>
      <c r="M130" s="4">
        <v>0</v>
      </c>
      <c r="N130" s="4">
        <v>0</v>
      </c>
      <c r="O130" s="4">
        <v>0</v>
      </c>
      <c r="P130" s="19" t="s">
        <v>44</v>
      </c>
      <c r="Q130" s="19" t="s">
        <v>44</v>
      </c>
      <c r="R130" s="19" t="s">
        <v>44</v>
      </c>
    </row>
    <row r="131" spans="1:18" ht="19" x14ac:dyDescent="0.25">
      <c r="A131" s="10" t="s">
        <v>26</v>
      </c>
      <c r="B131" s="7" t="s">
        <v>153</v>
      </c>
      <c r="C131" s="5" t="s">
        <v>82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/>
      <c r="L131" s="4"/>
      <c r="M131" s="4">
        <v>0</v>
      </c>
      <c r="N131" s="19" t="s">
        <v>44</v>
      </c>
      <c r="O131" s="19" t="s">
        <v>44</v>
      </c>
      <c r="P131" s="4">
        <v>0</v>
      </c>
      <c r="Q131" s="4">
        <v>0</v>
      </c>
      <c r="R131" s="4">
        <v>0</v>
      </c>
    </row>
    <row r="132" spans="1:18" ht="19" x14ac:dyDescent="0.25">
      <c r="A132" s="5" t="s">
        <v>26</v>
      </c>
      <c r="B132" s="7" t="s">
        <v>85</v>
      </c>
      <c r="C132" s="5" t="s">
        <v>19</v>
      </c>
      <c r="E132" s="4">
        <v>0</v>
      </c>
      <c r="F132" s="18" t="s">
        <v>44</v>
      </c>
      <c r="G132" s="18" t="s">
        <v>44</v>
      </c>
      <c r="H132" s="18" t="s">
        <v>44</v>
      </c>
      <c r="I132" s="18" t="s">
        <v>44</v>
      </c>
      <c r="J132" s="4">
        <v>0</v>
      </c>
      <c r="K132" s="4"/>
      <c r="L132" s="4"/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</row>
    <row r="133" spans="1:18" ht="19" x14ac:dyDescent="0.25">
      <c r="A133" s="5" t="s">
        <v>37</v>
      </c>
      <c r="B133" s="7" t="s">
        <v>156</v>
      </c>
      <c r="C133" s="5" t="s">
        <v>19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/>
      <c r="L133" s="4"/>
      <c r="M133" s="4">
        <v>0</v>
      </c>
      <c r="N133" s="4">
        <v>0</v>
      </c>
      <c r="O133" s="4">
        <v>0</v>
      </c>
      <c r="P133" s="4">
        <v>0</v>
      </c>
      <c r="Q133" s="19" t="s">
        <v>44</v>
      </c>
      <c r="R133" s="4">
        <v>0</v>
      </c>
    </row>
    <row r="134" spans="1:18" ht="19" x14ac:dyDescent="0.25">
      <c r="A134" s="5" t="s">
        <v>27</v>
      </c>
      <c r="B134" s="7" t="s">
        <v>157</v>
      </c>
      <c r="C134" s="5" t="s">
        <v>19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/>
      <c r="L134" s="4"/>
      <c r="M134" s="4">
        <v>0</v>
      </c>
      <c r="N134" s="4">
        <v>0</v>
      </c>
      <c r="O134" s="4">
        <v>0</v>
      </c>
      <c r="P134" s="19" t="s">
        <v>44</v>
      </c>
      <c r="Q134" s="4">
        <v>0</v>
      </c>
      <c r="R134" s="4">
        <v>0</v>
      </c>
    </row>
    <row r="135" spans="1:18" ht="19" x14ac:dyDescent="0.25">
      <c r="A135" s="5" t="s">
        <v>27</v>
      </c>
      <c r="B135" s="7" t="s">
        <v>157</v>
      </c>
      <c r="C135" s="5" t="s">
        <v>65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/>
      <c r="L135" s="4"/>
      <c r="M135" s="4">
        <v>0</v>
      </c>
      <c r="N135" s="4">
        <v>0</v>
      </c>
      <c r="O135" s="4">
        <v>0</v>
      </c>
      <c r="P135" s="19" t="s">
        <v>44</v>
      </c>
      <c r="Q135" s="19" t="s">
        <v>44</v>
      </c>
      <c r="R135" s="4">
        <v>0</v>
      </c>
    </row>
    <row r="136" spans="1:18" ht="19" x14ac:dyDescent="0.25">
      <c r="A136" s="5" t="s">
        <v>27</v>
      </c>
      <c r="B136" s="7" t="s">
        <v>462</v>
      </c>
      <c r="C136" s="5" t="s">
        <v>19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/>
      <c r="L136" s="4"/>
      <c r="M136" s="19" t="s">
        <v>44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</row>
    <row r="137" spans="1:18" ht="19" x14ac:dyDescent="0.25">
      <c r="A137" s="5" t="s">
        <v>27</v>
      </c>
      <c r="B137" s="7" t="s">
        <v>462</v>
      </c>
      <c r="C137" s="5" t="s">
        <v>65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/>
      <c r="L137" s="4"/>
      <c r="M137" s="4">
        <v>0</v>
      </c>
      <c r="N137" s="4">
        <v>0</v>
      </c>
      <c r="O137" s="4">
        <v>0</v>
      </c>
      <c r="P137" s="19" t="s">
        <v>44</v>
      </c>
      <c r="Q137" s="4">
        <v>0</v>
      </c>
      <c r="R137" s="4">
        <v>0</v>
      </c>
    </row>
    <row r="138" spans="1:18" ht="19" x14ac:dyDescent="0.25">
      <c r="A138" s="5" t="s">
        <v>27</v>
      </c>
      <c r="B138" s="7" t="s">
        <v>86</v>
      </c>
      <c r="C138" s="5" t="s">
        <v>19</v>
      </c>
      <c r="E138" s="4">
        <v>0</v>
      </c>
      <c r="F138" s="4">
        <v>0</v>
      </c>
      <c r="G138" s="4">
        <v>0</v>
      </c>
      <c r="H138" s="4">
        <v>0</v>
      </c>
      <c r="I138" s="18" t="s">
        <v>44</v>
      </c>
      <c r="J138" s="4">
        <v>0</v>
      </c>
      <c r="K138" s="4"/>
      <c r="L138" s="4"/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</row>
    <row r="139" spans="1:18" ht="19" x14ac:dyDescent="0.25">
      <c r="A139" s="5" t="s">
        <v>27</v>
      </c>
      <c r="B139" s="7" t="s">
        <v>86</v>
      </c>
      <c r="C139" s="5" t="s">
        <v>65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/>
      <c r="L139" s="4"/>
      <c r="M139" s="4">
        <v>0</v>
      </c>
      <c r="N139" s="4">
        <v>0</v>
      </c>
      <c r="O139" s="19" t="s">
        <v>44</v>
      </c>
      <c r="P139" s="19" t="s">
        <v>44</v>
      </c>
      <c r="Q139" s="4">
        <v>0</v>
      </c>
      <c r="R139" s="4">
        <v>0</v>
      </c>
    </row>
    <row r="140" spans="1:18" ht="19" x14ac:dyDescent="0.25">
      <c r="A140" s="5" t="s">
        <v>27</v>
      </c>
      <c r="B140" s="7" t="s">
        <v>461</v>
      </c>
      <c r="C140" s="5" t="s">
        <v>19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18" t="s">
        <v>44</v>
      </c>
      <c r="K140" s="4"/>
      <c r="L140" s="4"/>
      <c r="M140" s="4">
        <v>0</v>
      </c>
      <c r="N140" s="4">
        <v>0</v>
      </c>
      <c r="O140" s="4">
        <v>0</v>
      </c>
      <c r="P140" s="20">
        <v>0</v>
      </c>
      <c r="Q140" s="4">
        <v>0</v>
      </c>
      <c r="R140" s="19" t="s">
        <v>44</v>
      </c>
    </row>
    <row r="141" spans="1:18" ht="19" x14ac:dyDescent="0.25">
      <c r="A141" s="5" t="s">
        <v>27</v>
      </c>
      <c r="B141" s="7" t="s">
        <v>463</v>
      </c>
      <c r="C141" s="8" t="s">
        <v>19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/>
      <c r="L141" s="4"/>
      <c r="M141" s="4">
        <v>0</v>
      </c>
      <c r="N141" s="4">
        <v>0</v>
      </c>
      <c r="O141" s="19" t="s">
        <v>44</v>
      </c>
      <c r="P141" s="4">
        <v>0</v>
      </c>
      <c r="Q141" s="4">
        <v>0</v>
      </c>
      <c r="R141" s="4">
        <v>0</v>
      </c>
    </row>
    <row r="142" spans="1:18" ht="19" x14ac:dyDescent="0.25">
      <c r="A142" s="5" t="s">
        <v>27</v>
      </c>
      <c r="B142" s="5"/>
      <c r="C142" s="8" t="s">
        <v>19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/>
      <c r="L142" s="4"/>
      <c r="M142" s="4">
        <v>0</v>
      </c>
      <c r="N142" s="4">
        <v>0</v>
      </c>
      <c r="O142" s="4">
        <v>0</v>
      </c>
      <c r="P142" s="4">
        <v>0</v>
      </c>
      <c r="Q142" s="19" t="s">
        <v>44</v>
      </c>
      <c r="R142" s="4">
        <v>0</v>
      </c>
    </row>
    <row r="143" spans="1:18" ht="19" x14ac:dyDescent="0.25">
      <c r="A143" s="5" t="s">
        <v>27</v>
      </c>
      <c r="B143" s="5"/>
      <c r="C143" s="8" t="s">
        <v>65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/>
      <c r="L143" s="4"/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19" t="s">
        <v>44</v>
      </c>
    </row>
    <row r="144" spans="1:18" ht="19" x14ac:dyDescent="0.25">
      <c r="A144" s="5" t="s">
        <v>27</v>
      </c>
      <c r="B144" s="5"/>
      <c r="C144" s="8" t="s">
        <v>82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/>
      <c r="L144" s="4"/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19" t="s">
        <v>44</v>
      </c>
    </row>
    <row r="145" spans="1:18" ht="19" x14ac:dyDescent="0.25">
      <c r="A145" s="5" t="s">
        <v>27</v>
      </c>
      <c r="B145" s="5"/>
      <c r="C145" s="8" t="s">
        <v>83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/>
      <c r="L145" s="4"/>
      <c r="M145" s="4">
        <v>0</v>
      </c>
      <c r="N145" s="4">
        <v>0</v>
      </c>
      <c r="O145" s="4">
        <v>0</v>
      </c>
      <c r="P145" s="4">
        <v>0</v>
      </c>
      <c r="Q145" s="19" t="s">
        <v>44</v>
      </c>
      <c r="R145" s="4">
        <v>0</v>
      </c>
    </row>
    <row r="146" spans="1:18" ht="19" x14ac:dyDescent="0.25">
      <c r="A146" s="5" t="s">
        <v>27</v>
      </c>
      <c r="B146" s="5"/>
      <c r="C146" s="8" t="s">
        <v>154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18" t="s">
        <v>44</v>
      </c>
      <c r="K146" s="4"/>
      <c r="L146" s="4"/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</row>
    <row r="147" spans="1:18" ht="19" x14ac:dyDescent="0.25">
      <c r="A147" s="5" t="s">
        <v>27</v>
      </c>
      <c r="B147" s="5"/>
      <c r="C147" s="8" t="s">
        <v>470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18" t="s">
        <v>44</v>
      </c>
      <c r="K147" s="4"/>
      <c r="L147" s="4"/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</row>
    <row r="148" spans="1:18" ht="19" x14ac:dyDescent="0.25">
      <c r="A148" s="5" t="s">
        <v>27</v>
      </c>
      <c r="B148" s="5"/>
      <c r="C148" s="8" t="s">
        <v>467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18" t="s">
        <v>44</v>
      </c>
      <c r="K148" s="4"/>
      <c r="L148" s="4"/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</row>
    <row r="149" spans="1:18" ht="19" x14ac:dyDescent="0.25">
      <c r="A149" s="5" t="s">
        <v>27</v>
      </c>
      <c r="B149" s="5"/>
      <c r="C149" s="8" t="s">
        <v>468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/>
      <c r="L149" s="4"/>
      <c r="M149" s="19" t="s">
        <v>44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</row>
    <row r="150" spans="1:18" ht="19" x14ac:dyDescent="0.25">
      <c r="A150" s="5" t="s">
        <v>27</v>
      </c>
      <c r="B150" s="5"/>
      <c r="C150" s="8" t="s">
        <v>471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/>
      <c r="L150" s="4"/>
      <c r="M150" s="4">
        <v>0</v>
      </c>
      <c r="N150" s="4">
        <v>0</v>
      </c>
      <c r="O150" s="4">
        <v>0</v>
      </c>
      <c r="P150" s="19" t="s">
        <v>44</v>
      </c>
      <c r="Q150" s="4">
        <v>0</v>
      </c>
      <c r="R150" s="4">
        <v>0</v>
      </c>
    </row>
    <row r="151" spans="1:18" ht="19" x14ac:dyDescent="0.25">
      <c r="A151" s="5" t="s">
        <v>27</v>
      </c>
      <c r="B151" s="5"/>
      <c r="C151" s="8" t="s">
        <v>472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/>
      <c r="L151" s="4"/>
      <c r="M151" s="4">
        <v>0</v>
      </c>
      <c r="N151" s="4">
        <v>0</v>
      </c>
      <c r="O151" s="4">
        <v>0</v>
      </c>
      <c r="P151" s="19" t="s">
        <v>44</v>
      </c>
      <c r="Q151" s="4">
        <v>0</v>
      </c>
      <c r="R151" s="4">
        <v>0</v>
      </c>
    </row>
    <row r="152" spans="1:18" ht="19" x14ac:dyDescent="0.25">
      <c r="A152" s="5" t="s">
        <v>27</v>
      </c>
      <c r="B152" s="5"/>
      <c r="C152" s="8" t="s">
        <v>473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/>
      <c r="L152" s="4"/>
      <c r="M152" s="4">
        <v>0</v>
      </c>
      <c r="N152" s="4">
        <v>0</v>
      </c>
      <c r="O152" s="4">
        <v>0</v>
      </c>
      <c r="P152" s="19" t="s">
        <v>44</v>
      </c>
      <c r="Q152" s="19" t="s">
        <v>44</v>
      </c>
      <c r="R152" s="19" t="s">
        <v>44</v>
      </c>
    </row>
    <row r="153" spans="1:18" ht="19" x14ac:dyDescent="0.25">
      <c r="A153" s="5" t="s">
        <v>27</v>
      </c>
      <c r="B153" s="5"/>
      <c r="C153" s="8" t="s">
        <v>474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/>
      <c r="L153" s="4"/>
      <c r="M153" s="4">
        <v>0</v>
      </c>
      <c r="N153" s="4">
        <v>0</v>
      </c>
      <c r="O153" s="4">
        <v>0</v>
      </c>
      <c r="P153" s="4">
        <v>0</v>
      </c>
      <c r="Q153" s="19" t="s">
        <v>44</v>
      </c>
      <c r="R153" s="4">
        <v>0</v>
      </c>
    </row>
    <row r="154" spans="1:18" ht="19" x14ac:dyDescent="0.25">
      <c r="A154" s="5" t="s">
        <v>27</v>
      </c>
      <c r="B154" s="5"/>
      <c r="C154" s="8" t="s">
        <v>469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/>
      <c r="L154" s="4"/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19" t="s">
        <v>44</v>
      </c>
    </row>
    <row r="155" spans="1:18" ht="19" x14ac:dyDescent="0.25">
      <c r="A155" s="5" t="s">
        <v>436</v>
      </c>
      <c r="B155" s="8" t="s">
        <v>435</v>
      </c>
      <c r="C155" s="5" t="s">
        <v>19</v>
      </c>
      <c r="E155" s="4">
        <v>0</v>
      </c>
      <c r="F155" s="4">
        <v>0</v>
      </c>
      <c r="G155" s="4">
        <v>0</v>
      </c>
      <c r="H155" s="4">
        <v>0</v>
      </c>
      <c r="I155" s="18" t="s">
        <v>44</v>
      </c>
      <c r="J155" s="18" t="s">
        <v>44</v>
      </c>
      <c r="K155" s="4"/>
      <c r="L155" s="4"/>
      <c r="M155" s="4">
        <v>0</v>
      </c>
      <c r="N155" s="4">
        <v>0</v>
      </c>
      <c r="O155" s="4">
        <v>0</v>
      </c>
      <c r="P155" s="19" t="s">
        <v>44</v>
      </c>
      <c r="Q155" s="19" t="s">
        <v>44</v>
      </c>
      <c r="R155" s="19" t="s">
        <v>44</v>
      </c>
    </row>
    <row r="156" spans="1:18" ht="19" x14ac:dyDescent="0.25">
      <c r="A156" s="5" t="s">
        <v>437</v>
      </c>
      <c r="B156" s="5"/>
      <c r="C156" s="5" t="s">
        <v>19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18" t="s">
        <v>44</v>
      </c>
      <c r="K156" s="4"/>
      <c r="L156" s="4"/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19" t="s">
        <v>44</v>
      </c>
    </row>
    <row r="157" spans="1:18" ht="19" x14ac:dyDescent="0.25">
      <c r="A157" s="5" t="s">
        <v>438</v>
      </c>
      <c r="B157" s="5"/>
      <c r="C157" s="5" t="s">
        <v>19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/>
      <c r="L157" s="4"/>
      <c r="M157" s="4">
        <v>0</v>
      </c>
      <c r="N157" s="19" t="s">
        <v>44</v>
      </c>
      <c r="O157" s="4">
        <v>0</v>
      </c>
      <c r="P157" s="4">
        <v>0</v>
      </c>
      <c r="Q157" s="4">
        <v>0</v>
      </c>
      <c r="R157" s="4">
        <v>0</v>
      </c>
    </row>
    <row r="158" spans="1:18" ht="19" x14ac:dyDescent="0.25">
      <c r="A158" s="5" t="s">
        <v>28</v>
      </c>
      <c r="B158" s="7" t="s">
        <v>90</v>
      </c>
      <c r="C158" s="5" t="s">
        <v>19</v>
      </c>
      <c r="E158" s="4">
        <v>0</v>
      </c>
      <c r="F158" s="4">
        <v>0</v>
      </c>
      <c r="G158" s="4">
        <v>0</v>
      </c>
      <c r="H158" s="18" t="s">
        <v>44</v>
      </c>
      <c r="I158" s="4">
        <v>0</v>
      </c>
      <c r="J158" s="4">
        <v>0</v>
      </c>
      <c r="K158" s="4"/>
      <c r="L158" s="4"/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</row>
    <row r="159" spans="1:18" ht="19" x14ac:dyDescent="0.25">
      <c r="A159" s="5" t="s">
        <v>28</v>
      </c>
      <c r="B159" s="7" t="s">
        <v>88</v>
      </c>
      <c r="C159" s="7" t="s">
        <v>87</v>
      </c>
      <c r="E159" s="18" t="s">
        <v>44</v>
      </c>
      <c r="F159" s="18" t="s">
        <v>44</v>
      </c>
      <c r="G159" s="4">
        <v>0</v>
      </c>
      <c r="H159" s="4">
        <v>0</v>
      </c>
      <c r="I159" s="4">
        <v>0</v>
      </c>
      <c r="J159" s="4">
        <v>0</v>
      </c>
      <c r="K159" s="4"/>
      <c r="L159" s="4"/>
      <c r="M159" s="19" t="s">
        <v>44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</row>
    <row r="160" spans="1:18" ht="19" x14ac:dyDescent="0.25">
      <c r="A160" s="5" t="s">
        <v>28</v>
      </c>
      <c r="B160" s="7" t="s">
        <v>88</v>
      </c>
      <c r="C160" s="7" t="s">
        <v>89</v>
      </c>
      <c r="E160" s="18" t="s">
        <v>44</v>
      </c>
      <c r="F160" s="18" t="s">
        <v>44</v>
      </c>
      <c r="G160" s="18" t="s">
        <v>44</v>
      </c>
      <c r="H160" s="4">
        <v>0</v>
      </c>
      <c r="I160" s="4">
        <v>0</v>
      </c>
      <c r="J160" s="4">
        <v>0</v>
      </c>
      <c r="K160" s="4"/>
      <c r="L160" s="4"/>
      <c r="M160" s="19" t="s">
        <v>44</v>
      </c>
      <c r="N160" s="19" t="s">
        <v>44</v>
      </c>
      <c r="O160" s="4">
        <v>0</v>
      </c>
      <c r="P160" s="4">
        <v>0</v>
      </c>
      <c r="Q160" s="4">
        <v>0</v>
      </c>
      <c r="R160" s="4">
        <v>0</v>
      </c>
    </row>
    <row r="161" spans="1:18" ht="19" x14ac:dyDescent="0.25">
      <c r="A161" s="5" t="s">
        <v>28</v>
      </c>
      <c r="B161" s="7" t="s">
        <v>88</v>
      </c>
      <c r="C161" s="5" t="s">
        <v>19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/>
      <c r="L161" s="4"/>
      <c r="M161" s="19" t="s">
        <v>44</v>
      </c>
      <c r="N161" s="19" t="s">
        <v>44</v>
      </c>
      <c r="O161" s="4">
        <v>0</v>
      </c>
      <c r="P161" s="4">
        <v>0</v>
      </c>
      <c r="Q161" s="4">
        <v>0</v>
      </c>
      <c r="R161" s="4">
        <v>0</v>
      </c>
    </row>
    <row r="162" spans="1:18" ht="19" x14ac:dyDescent="0.25">
      <c r="A162" s="5" t="s">
        <v>28</v>
      </c>
      <c r="B162" s="7" t="s">
        <v>164</v>
      </c>
      <c r="C162" s="7" t="s">
        <v>165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/>
      <c r="L162" s="4"/>
      <c r="M162" s="4">
        <v>0</v>
      </c>
      <c r="N162" s="4">
        <v>0</v>
      </c>
      <c r="O162" s="19" t="s">
        <v>44</v>
      </c>
      <c r="P162" s="4">
        <v>0</v>
      </c>
      <c r="Q162" s="4">
        <v>0</v>
      </c>
      <c r="R162" s="4">
        <v>0</v>
      </c>
    </row>
    <row r="163" spans="1:18" ht="19" x14ac:dyDescent="0.25">
      <c r="A163" s="5" t="s">
        <v>28</v>
      </c>
      <c r="B163" s="7" t="s">
        <v>91</v>
      </c>
      <c r="C163" s="5" t="s">
        <v>19</v>
      </c>
      <c r="E163" s="4">
        <v>0</v>
      </c>
      <c r="F163" s="18" t="s">
        <v>44</v>
      </c>
      <c r="G163" s="4">
        <v>0</v>
      </c>
      <c r="H163" s="4">
        <v>0</v>
      </c>
      <c r="I163" s="4">
        <v>0</v>
      </c>
      <c r="J163" s="4">
        <v>0</v>
      </c>
      <c r="K163" s="4"/>
      <c r="L163" s="4"/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</row>
    <row r="164" spans="1:18" ht="19" x14ac:dyDescent="0.25">
      <c r="A164" s="5" t="s">
        <v>28</v>
      </c>
      <c r="B164" s="7" t="s">
        <v>92</v>
      </c>
      <c r="C164" s="7" t="s">
        <v>93</v>
      </c>
      <c r="E164" s="4">
        <v>0</v>
      </c>
      <c r="F164" s="4">
        <v>0</v>
      </c>
      <c r="G164" s="4">
        <v>0</v>
      </c>
      <c r="H164" s="4">
        <v>0</v>
      </c>
      <c r="I164" s="18" t="s">
        <v>44</v>
      </c>
      <c r="J164" s="4">
        <v>0</v>
      </c>
      <c r="K164" s="4"/>
      <c r="L164" s="4"/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</row>
    <row r="165" spans="1:18" ht="19" x14ac:dyDescent="0.25">
      <c r="A165" s="5" t="s">
        <v>28</v>
      </c>
      <c r="B165" s="9" t="s">
        <v>94</v>
      </c>
      <c r="C165" s="7" t="s">
        <v>95</v>
      </c>
      <c r="E165" s="18" t="s">
        <v>44</v>
      </c>
      <c r="F165" s="18" t="s">
        <v>44</v>
      </c>
      <c r="G165" s="4">
        <v>0</v>
      </c>
      <c r="H165" s="4">
        <v>0</v>
      </c>
      <c r="I165" s="4">
        <v>0</v>
      </c>
      <c r="J165" s="4">
        <v>0</v>
      </c>
      <c r="K165" s="4"/>
      <c r="L165" s="4"/>
      <c r="M165" s="4">
        <v>0</v>
      </c>
      <c r="N165" s="19" t="s">
        <v>44</v>
      </c>
      <c r="O165" s="4">
        <v>0</v>
      </c>
      <c r="P165" s="4">
        <v>0</v>
      </c>
      <c r="Q165" s="4">
        <v>0</v>
      </c>
      <c r="R165" s="4">
        <v>0</v>
      </c>
    </row>
    <row r="166" spans="1:18" ht="19" x14ac:dyDescent="0.25">
      <c r="A166" s="5" t="s">
        <v>28</v>
      </c>
      <c r="B166" s="7" t="s">
        <v>94</v>
      </c>
      <c r="C166" s="7" t="s">
        <v>96</v>
      </c>
      <c r="E166" s="4">
        <v>0</v>
      </c>
      <c r="F166" s="18" t="s">
        <v>44</v>
      </c>
      <c r="G166" s="4">
        <v>0</v>
      </c>
      <c r="H166" s="4">
        <v>0</v>
      </c>
      <c r="I166" s="4">
        <v>0</v>
      </c>
      <c r="J166" s="4">
        <v>0</v>
      </c>
      <c r="K166" s="4"/>
      <c r="L166" s="4"/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</row>
    <row r="167" spans="1:18" ht="19" x14ac:dyDescent="0.25">
      <c r="A167" s="11" t="s">
        <v>28</v>
      </c>
      <c r="B167" s="12" t="s">
        <v>118</v>
      </c>
      <c r="C167" s="5" t="s">
        <v>19</v>
      </c>
      <c r="E167" s="4">
        <v>0</v>
      </c>
      <c r="F167" s="4">
        <v>0</v>
      </c>
      <c r="G167" s="4">
        <v>0</v>
      </c>
      <c r="H167" s="4">
        <v>0</v>
      </c>
      <c r="I167" s="18" t="s">
        <v>44</v>
      </c>
      <c r="J167" s="4">
        <v>0</v>
      </c>
      <c r="K167" s="4"/>
      <c r="L167" s="4"/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</row>
    <row r="168" spans="1:18" ht="19" x14ac:dyDescent="0.25">
      <c r="A168" s="5" t="s">
        <v>28</v>
      </c>
      <c r="B168" s="7" t="s">
        <v>97</v>
      </c>
      <c r="C168" s="7" t="s">
        <v>98</v>
      </c>
      <c r="E168" s="18" t="s">
        <v>44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/>
      <c r="L168" s="4"/>
      <c r="M168" s="19" t="s">
        <v>44</v>
      </c>
      <c r="N168" s="19" t="s">
        <v>44</v>
      </c>
      <c r="O168" s="4">
        <v>0</v>
      </c>
      <c r="P168" s="4">
        <v>0</v>
      </c>
      <c r="Q168" s="4">
        <v>0</v>
      </c>
      <c r="R168" s="4">
        <v>0</v>
      </c>
    </row>
    <row r="169" spans="1:18" ht="19" x14ac:dyDescent="0.25">
      <c r="A169" s="5" t="s">
        <v>28</v>
      </c>
      <c r="B169" s="7" t="s">
        <v>99</v>
      </c>
      <c r="C169" s="7" t="s">
        <v>100</v>
      </c>
      <c r="E169" s="4">
        <v>0</v>
      </c>
      <c r="F169" s="18" t="s">
        <v>44</v>
      </c>
      <c r="G169" s="4">
        <v>0</v>
      </c>
      <c r="H169" s="4">
        <v>0</v>
      </c>
      <c r="I169" s="4">
        <v>0</v>
      </c>
      <c r="J169" s="4">
        <v>0</v>
      </c>
      <c r="K169" s="4"/>
      <c r="L169" s="4"/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</row>
    <row r="170" spans="1:18" ht="19" x14ac:dyDescent="0.25">
      <c r="A170" s="5" t="s">
        <v>28</v>
      </c>
      <c r="B170" s="7" t="s">
        <v>99</v>
      </c>
      <c r="C170" s="7" t="s">
        <v>101</v>
      </c>
      <c r="E170" s="18" t="s">
        <v>44</v>
      </c>
      <c r="F170" s="18" t="s">
        <v>44</v>
      </c>
      <c r="G170" s="4">
        <v>0</v>
      </c>
      <c r="H170" s="4">
        <v>0</v>
      </c>
      <c r="I170" s="4">
        <v>0</v>
      </c>
      <c r="J170" s="4">
        <v>0</v>
      </c>
      <c r="K170" s="4"/>
      <c r="L170" s="4"/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</row>
    <row r="171" spans="1:18" ht="19" x14ac:dyDescent="0.25">
      <c r="A171" s="5" t="s">
        <v>28</v>
      </c>
      <c r="B171" s="7" t="s">
        <v>99</v>
      </c>
      <c r="C171" s="7" t="s">
        <v>102</v>
      </c>
      <c r="E171" s="4">
        <v>0</v>
      </c>
      <c r="F171" s="4">
        <v>0</v>
      </c>
      <c r="G171" s="4">
        <v>0</v>
      </c>
      <c r="H171" s="18" t="s">
        <v>44</v>
      </c>
      <c r="I171" s="18" t="s">
        <v>44</v>
      </c>
      <c r="J171" s="18" t="s">
        <v>44</v>
      </c>
      <c r="K171" s="4"/>
      <c r="L171" s="4"/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</row>
    <row r="172" spans="1:18" ht="19" x14ac:dyDescent="0.25">
      <c r="A172" s="8" t="s">
        <v>28</v>
      </c>
      <c r="B172" s="7" t="s">
        <v>99</v>
      </c>
      <c r="C172" s="7" t="s">
        <v>432</v>
      </c>
      <c r="E172" s="4">
        <v>0</v>
      </c>
      <c r="F172" s="18" t="s">
        <v>44</v>
      </c>
      <c r="G172" s="18" t="s">
        <v>44</v>
      </c>
      <c r="H172" s="18" t="s">
        <v>44</v>
      </c>
      <c r="I172" s="18" t="s">
        <v>44</v>
      </c>
      <c r="J172" s="4">
        <v>0</v>
      </c>
      <c r="K172" s="4"/>
      <c r="L172" s="4"/>
      <c r="M172" s="4">
        <v>0</v>
      </c>
      <c r="N172" s="19" t="s">
        <v>44</v>
      </c>
      <c r="O172" s="19" t="s">
        <v>44</v>
      </c>
      <c r="P172" s="4">
        <v>0</v>
      </c>
      <c r="Q172" s="4">
        <v>0</v>
      </c>
      <c r="R172" s="4">
        <v>0</v>
      </c>
    </row>
    <row r="173" spans="1:18" ht="19" x14ac:dyDescent="0.25">
      <c r="A173" s="5" t="s">
        <v>28</v>
      </c>
      <c r="B173" s="7" t="s">
        <v>99</v>
      </c>
      <c r="C173" s="7" t="s">
        <v>103</v>
      </c>
      <c r="E173" s="4">
        <v>0</v>
      </c>
      <c r="F173" s="18" t="s">
        <v>44</v>
      </c>
      <c r="G173" s="4">
        <v>0</v>
      </c>
      <c r="H173" s="4">
        <v>0</v>
      </c>
      <c r="I173" s="4">
        <v>0</v>
      </c>
      <c r="J173" s="4">
        <v>0</v>
      </c>
      <c r="K173" s="4"/>
      <c r="L173" s="4"/>
      <c r="M173" s="4">
        <v>0</v>
      </c>
      <c r="N173" s="19" t="s">
        <v>44</v>
      </c>
      <c r="O173" s="4">
        <v>0</v>
      </c>
      <c r="P173" s="4">
        <v>0</v>
      </c>
      <c r="Q173" s="4">
        <v>0</v>
      </c>
      <c r="R173" s="4">
        <v>0</v>
      </c>
    </row>
    <row r="174" spans="1:18" ht="19" x14ac:dyDescent="0.25">
      <c r="A174" s="5" t="s">
        <v>28</v>
      </c>
      <c r="B174" s="7" t="s">
        <v>99</v>
      </c>
      <c r="C174" s="7" t="s">
        <v>104</v>
      </c>
      <c r="E174" s="4">
        <v>0</v>
      </c>
      <c r="F174" s="4">
        <v>0</v>
      </c>
      <c r="G174" s="4">
        <v>0</v>
      </c>
      <c r="H174" s="18" t="s">
        <v>44</v>
      </c>
      <c r="I174" s="18" t="s">
        <v>44</v>
      </c>
      <c r="J174" s="4">
        <v>0</v>
      </c>
      <c r="K174" s="4"/>
      <c r="L174" s="4"/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</row>
    <row r="175" spans="1:18" ht="19" x14ac:dyDescent="0.25">
      <c r="A175" s="5" t="s">
        <v>28</v>
      </c>
      <c r="B175" s="7" t="s">
        <v>99</v>
      </c>
      <c r="C175" s="7" t="s">
        <v>433</v>
      </c>
      <c r="E175" s="4">
        <v>0</v>
      </c>
      <c r="F175" s="18" t="s">
        <v>44</v>
      </c>
      <c r="G175" s="18" t="s">
        <v>44</v>
      </c>
      <c r="H175" s="18" t="s">
        <v>44</v>
      </c>
      <c r="I175" s="4">
        <v>0</v>
      </c>
      <c r="J175" s="4">
        <v>0</v>
      </c>
      <c r="K175" s="4"/>
      <c r="L175" s="4"/>
      <c r="M175" s="4">
        <v>0</v>
      </c>
      <c r="N175" s="19" t="s">
        <v>44</v>
      </c>
      <c r="O175" s="19" t="s">
        <v>44</v>
      </c>
      <c r="P175" s="19" t="s">
        <v>44</v>
      </c>
      <c r="Q175" s="4">
        <v>0</v>
      </c>
      <c r="R175" s="4">
        <v>0</v>
      </c>
    </row>
    <row r="176" spans="1:18" ht="19" x14ac:dyDescent="0.25">
      <c r="A176" s="5" t="s">
        <v>28</v>
      </c>
      <c r="B176" s="7" t="s">
        <v>99</v>
      </c>
      <c r="C176" s="7" t="s">
        <v>105</v>
      </c>
      <c r="E176" s="4">
        <v>0</v>
      </c>
      <c r="F176" s="4">
        <v>0</v>
      </c>
      <c r="G176" s="18" t="s">
        <v>44</v>
      </c>
      <c r="H176" s="18" t="s">
        <v>44</v>
      </c>
      <c r="I176" s="4">
        <v>0</v>
      </c>
      <c r="J176" s="4">
        <v>0</v>
      </c>
      <c r="K176" s="4"/>
      <c r="L176" s="4"/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</row>
    <row r="177" spans="1:18" ht="19" x14ac:dyDescent="0.25">
      <c r="A177" s="5" t="s">
        <v>28</v>
      </c>
      <c r="B177" s="7" t="s">
        <v>106</v>
      </c>
      <c r="C177" s="7" t="s">
        <v>107</v>
      </c>
      <c r="E177" s="4">
        <v>0</v>
      </c>
      <c r="F177" s="4">
        <v>0</v>
      </c>
      <c r="G177" s="18" t="s">
        <v>44</v>
      </c>
      <c r="H177" s="4">
        <v>0</v>
      </c>
      <c r="I177" s="4">
        <v>0</v>
      </c>
      <c r="J177" s="4">
        <v>0</v>
      </c>
      <c r="K177" s="4"/>
      <c r="L177" s="4"/>
      <c r="M177" s="4">
        <v>0</v>
      </c>
      <c r="N177" s="4">
        <v>0</v>
      </c>
      <c r="O177" s="19" t="s">
        <v>44</v>
      </c>
      <c r="P177" s="4">
        <v>0</v>
      </c>
      <c r="Q177" s="4">
        <v>0</v>
      </c>
      <c r="R177" s="4">
        <v>0</v>
      </c>
    </row>
    <row r="178" spans="1:18" ht="19" x14ac:dyDescent="0.25">
      <c r="A178" s="5" t="s">
        <v>28</v>
      </c>
      <c r="B178" s="7" t="s">
        <v>158</v>
      </c>
      <c r="C178" s="7" t="s">
        <v>159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/>
      <c r="L178" s="4"/>
      <c r="M178" s="19" t="s">
        <v>44</v>
      </c>
      <c r="N178" s="19" t="s">
        <v>44</v>
      </c>
      <c r="O178" s="19" t="s">
        <v>44</v>
      </c>
      <c r="P178" s="4">
        <v>0</v>
      </c>
      <c r="Q178" s="4">
        <v>0</v>
      </c>
      <c r="R178" s="4">
        <v>0</v>
      </c>
    </row>
    <row r="179" spans="1:18" ht="19" x14ac:dyDescent="0.25">
      <c r="A179" s="5" t="s">
        <v>28</v>
      </c>
      <c r="B179" s="7" t="s">
        <v>108</v>
      </c>
      <c r="C179" s="5" t="s">
        <v>19</v>
      </c>
      <c r="E179" s="4">
        <v>0</v>
      </c>
      <c r="F179" s="18" t="s">
        <v>44</v>
      </c>
      <c r="G179" s="4">
        <v>0</v>
      </c>
      <c r="H179" s="4">
        <v>0</v>
      </c>
      <c r="I179" s="4">
        <v>0</v>
      </c>
      <c r="J179" s="4">
        <v>0</v>
      </c>
      <c r="K179" s="4"/>
      <c r="L179" s="4"/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</row>
    <row r="180" spans="1:18" ht="19" x14ac:dyDescent="0.25">
      <c r="A180" s="5" t="s">
        <v>28</v>
      </c>
      <c r="B180" s="7" t="s">
        <v>109</v>
      </c>
      <c r="C180" s="7" t="s">
        <v>110</v>
      </c>
      <c r="E180" s="4">
        <v>0</v>
      </c>
      <c r="F180" s="18" t="s">
        <v>44</v>
      </c>
      <c r="G180" s="4">
        <v>0</v>
      </c>
      <c r="H180" s="4">
        <v>0</v>
      </c>
      <c r="I180" s="4">
        <v>0</v>
      </c>
      <c r="J180" s="4">
        <v>0</v>
      </c>
      <c r="K180" s="4"/>
      <c r="L180" s="4"/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</row>
    <row r="181" spans="1:18" ht="19" x14ac:dyDescent="0.25">
      <c r="A181" s="5" t="s">
        <v>28</v>
      </c>
      <c r="B181" s="7" t="s">
        <v>109</v>
      </c>
      <c r="C181" s="7" t="s">
        <v>111</v>
      </c>
      <c r="E181" s="4">
        <v>0</v>
      </c>
      <c r="F181" s="18" t="s">
        <v>44</v>
      </c>
      <c r="G181" s="4">
        <v>0</v>
      </c>
      <c r="H181" s="4">
        <v>0</v>
      </c>
      <c r="I181" s="4">
        <v>0</v>
      </c>
      <c r="J181" s="4">
        <v>0</v>
      </c>
      <c r="K181" s="4"/>
      <c r="L181" s="4"/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</row>
    <row r="182" spans="1:18" ht="19" x14ac:dyDescent="0.25">
      <c r="A182" s="5" t="s">
        <v>28</v>
      </c>
      <c r="B182" s="7" t="s">
        <v>109</v>
      </c>
      <c r="C182" s="5" t="s">
        <v>19</v>
      </c>
      <c r="E182" s="18" t="s">
        <v>44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/>
      <c r="L182" s="4"/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</row>
    <row r="183" spans="1:18" ht="19" x14ac:dyDescent="0.25">
      <c r="A183" s="5" t="s">
        <v>28</v>
      </c>
      <c r="B183" s="7" t="s">
        <v>109</v>
      </c>
      <c r="C183" s="5" t="s">
        <v>65</v>
      </c>
      <c r="E183" s="4">
        <v>0</v>
      </c>
      <c r="F183" s="4">
        <v>0</v>
      </c>
      <c r="G183" s="4">
        <v>0</v>
      </c>
      <c r="H183" s="18" t="s">
        <v>44</v>
      </c>
      <c r="I183" s="4">
        <v>0</v>
      </c>
      <c r="J183" s="4">
        <v>0</v>
      </c>
      <c r="K183" s="4"/>
      <c r="L183" s="4"/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</row>
    <row r="184" spans="1:18" ht="19" x14ac:dyDescent="0.25">
      <c r="A184" s="5" t="s">
        <v>28</v>
      </c>
      <c r="B184" s="7" t="s">
        <v>112</v>
      </c>
      <c r="C184" s="7" t="s">
        <v>113</v>
      </c>
      <c r="E184" s="4">
        <v>0</v>
      </c>
      <c r="F184" s="4">
        <v>0</v>
      </c>
      <c r="G184" s="4">
        <v>0</v>
      </c>
      <c r="H184" s="18" t="s">
        <v>44</v>
      </c>
      <c r="I184" s="18" t="s">
        <v>44</v>
      </c>
      <c r="J184" s="4">
        <v>0</v>
      </c>
      <c r="K184" s="4"/>
      <c r="L184" s="4"/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</row>
    <row r="185" spans="1:18" ht="19" x14ac:dyDescent="0.25">
      <c r="A185" s="5" t="s">
        <v>482</v>
      </c>
      <c r="B185" s="7"/>
      <c r="C185" s="5" t="s">
        <v>160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/>
      <c r="L185" s="4"/>
      <c r="M185" s="4">
        <v>0</v>
      </c>
      <c r="N185" s="19" t="s">
        <v>44</v>
      </c>
      <c r="O185" s="19" t="s">
        <v>44</v>
      </c>
      <c r="P185" s="19" t="s">
        <v>44</v>
      </c>
      <c r="Q185" s="4">
        <v>0</v>
      </c>
      <c r="R185" s="4">
        <v>0</v>
      </c>
    </row>
    <row r="186" spans="1:18" ht="19" x14ac:dyDescent="0.25">
      <c r="A186" s="5" t="s">
        <v>28</v>
      </c>
      <c r="B186" s="7" t="s">
        <v>161</v>
      </c>
      <c r="C186" s="7" t="s">
        <v>162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/>
      <c r="L186" s="4"/>
      <c r="M186" s="19" t="s">
        <v>44</v>
      </c>
      <c r="N186" s="19" t="s">
        <v>44</v>
      </c>
      <c r="O186" s="4">
        <v>0</v>
      </c>
      <c r="P186" s="4">
        <v>0</v>
      </c>
      <c r="Q186" s="4">
        <v>0</v>
      </c>
      <c r="R186" s="4">
        <v>0</v>
      </c>
    </row>
    <row r="187" spans="1:18" ht="19" x14ac:dyDescent="0.25">
      <c r="A187" s="5" t="s">
        <v>28</v>
      </c>
      <c r="B187" s="7" t="s">
        <v>163</v>
      </c>
      <c r="C187" s="5" t="s">
        <v>19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/>
      <c r="L187" s="4"/>
      <c r="M187" s="4">
        <v>0</v>
      </c>
      <c r="N187" s="19" t="s">
        <v>44</v>
      </c>
      <c r="O187" s="4">
        <v>0</v>
      </c>
      <c r="P187" s="4">
        <v>0</v>
      </c>
      <c r="Q187" s="4">
        <v>0</v>
      </c>
      <c r="R187" s="4">
        <v>0</v>
      </c>
    </row>
    <row r="188" spans="1:18" ht="19" x14ac:dyDescent="0.25">
      <c r="A188" s="5" t="s">
        <v>28</v>
      </c>
      <c r="B188" s="7" t="s">
        <v>117</v>
      </c>
      <c r="C188" s="7" t="s">
        <v>431</v>
      </c>
      <c r="E188" s="18" t="s">
        <v>44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/>
      <c r="L188" s="4"/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</row>
    <row r="189" spans="1:18" ht="19" x14ac:dyDescent="0.25">
      <c r="A189" s="5" t="s">
        <v>28</v>
      </c>
      <c r="B189" s="7" t="s">
        <v>117</v>
      </c>
      <c r="C189" s="5" t="s">
        <v>19</v>
      </c>
      <c r="E189" s="4">
        <v>0</v>
      </c>
      <c r="F189" s="18" t="s">
        <v>44</v>
      </c>
      <c r="G189" s="4">
        <v>0</v>
      </c>
      <c r="H189" s="4">
        <v>0</v>
      </c>
      <c r="I189" s="4">
        <v>0</v>
      </c>
      <c r="J189" s="4">
        <v>0</v>
      </c>
      <c r="K189" s="4"/>
      <c r="L189" s="4"/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</row>
    <row r="190" spans="1:18" ht="19" x14ac:dyDescent="0.25">
      <c r="A190" s="5" t="s">
        <v>28</v>
      </c>
      <c r="B190" s="7" t="s">
        <v>117</v>
      </c>
      <c r="C190" s="5" t="s">
        <v>65</v>
      </c>
      <c r="E190" s="4">
        <v>0</v>
      </c>
      <c r="F190" s="18" t="s">
        <v>44</v>
      </c>
      <c r="G190" s="4">
        <v>0</v>
      </c>
      <c r="H190" s="4">
        <v>0</v>
      </c>
      <c r="I190" s="4">
        <v>0</v>
      </c>
      <c r="J190" s="4">
        <v>0</v>
      </c>
      <c r="K190" s="4"/>
      <c r="L190" s="4"/>
      <c r="M190" s="4">
        <v>0</v>
      </c>
      <c r="N190" s="19" t="s">
        <v>44</v>
      </c>
      <c r="O190" s="19" t="s">
        <v>44</v>
      </c>
      <c r="P190" s="4">
        <v>0</v>
      </c>
      <c r="Q190" s="4">
        <v>0</v>
      </c>
      <c r="R190" s="4">
        <v>0</v>
      </c>
    </row>
    <row r="191" spans="1:18" ht="19" x14ac:dyDescent="0.25">
      <c r="A191" s="5" t="s">
        <v>28</v>
      </c>
      <c r="B191" s="7" t="s">
        <v>117</v>
      </c>
      <c r="C191" s="5" t="s">
        <v>82</v>
      </c>
      <c r="E191" s="4">
        <v>0</v>
      </c>
      <c r="F191" s="18" t="s">
        <v>44</v>
      </c>
      <c r="G191" s="4">
        <v>0</v>
      </c>
      <c r="H191" s="4">
        <v>0</v>
      </c>
      <c r="I191" s="4">
        <v>0</v>
      </c>
      <c r="J191" s="4">
        <v>0</v>
      </c>
      <c r="K191" s="4"/>
      <c r="L191" s="4"/>
      <c r="M191" s="4">
        <v>0</v>
      </c>
      <c r="N191" s="19" t="s">
        <v>44</v>
      </c>
      <c r="O191" s="4">
        <v>0</v>
      </c>
      <c r="P191" s="4">
        <v>0</v>
      </c>
      <c r="Q191" s="4">
        <v>0</v>
      </c>
      <c r="R191" s="4">
        <v>0</v>
      </c>
    </row>
    <row r="192" spans="1:18" ht="19" x14ac:dyDescent="0.25">
      <c r="A192" s="5" t="s">
        <v>28</v>
      </c>
      <c r="B192" s="7" t="s">
        <v>115</v>
      </c>
      <c r="C192" s="7" t="s">
        <v>116</v>
      </c>
      <c r="E192" s="18" t="s">
        <v>44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/>
      <c r="L192" s="4"/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</row>
    <row r="193" spans="1:18" ht="19" x14ac:dyDescent="0.25">
      <c r="A193" s="5" t="s">
        <v>28</v>
      </c>
      <c r="B193" s="7"/>
      <c r="C193" s="5" t="s">
        <v>19</v>
      </c>
      <c r="E193" s="4">
        <v>0</v>
      </c>
      <c r="F193" s="18" t="s">
        <v>44</v>
      </c>
      <c r="G193" s="4">
        <v>0</v>
      </c>
      <c r="H193" s="4">
        <v>0</v>
      </c>
      <c r="I193" s="4">
        <v>0</v>
      </c>
      <c r="J193" s="4">
        <v>0</v>
      </c>
      <c r="K193" s="4"/>
      <c r="L193" s="4"/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</row>
    <row r="194" spans="1:18" ht="19" x14ac:dyDescent="0.25">
      <c r="A194" s="5" t="s">
        <v>28</v>
      </c>
      <c r="B194" s="7"/>
      <c r="C194" s="8" t="s">
        <v>65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/>
      <c r="L194" s="4"/>
      <c r="M194" s="4">
        <v>0</v>
      </c>
      <c r="N194" s="19" t="s">
        <v>44</v>
      </c>
      <c r="O194" s="19" t="s">
        <v>44</v>
      </c>
      <c r="P194" s="4">
        <v>0</v>
      </c>
      <c r="Q194" s="4">
        <v>0</v>
      </c>
      <c r="R194" s="4">
        <v>0</v>
      </c>
    </row>
    <row r="195" spans="1:18" ht="19" x14ac:dyDescent="0.25">
      <c r="A195" s="5" t="s">
        <v>29</v>
      </c>
      <c r="B195" s="7" t="s">
        <v>120</v>
      </c>
      <c r="C195" s="7" t="s">
        <v>119</v>
      </c>
      <c r="E195" s="4">
        <v>0</v>
      </c>
      <c r="F195" s="4">
        <v>0</v>
      </c>
      <c r="G195" s="18" t="s">
        <v>44</v>
      </c>
      <c r="H195" s="4">
        <v>0</v>
      </c>
      <c r="I195" s="4">
        <v>0</v>
      </c>
      <c r="J195" s="4">
        <v>0</v>
      </c>
      <c r="K195" s="4"/>
      <c r="L195" s="4"/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</row>
    <row r="197" spans="1:18" x14ac:dyDescent="0.2">
      <c r="D197" t="s">
        <v>499</v>
      </c>
      <c r="E197">
        <f>COUNTIF(E4:E195,"X")</f>
        <v>18</v>
      </c>
      <c r="F197">
        <f t="shared" ref="F197:J197" si="0">COUNTIF(F4:F195,"X")</f>
        <v>48</v>
      </c>
      <c r="G197">
        <f t="shared" si="0"/>
        <v>15</v>
      </c>
      <c r="H197">
        <f t="shared" si="0"/>
        <v>34</v>
      </c>
      <c r="I197">
        <f t="shared" si="0"/>
        <v>29</v>
      </c>
      <c r="J197">
        <f t="shared" si="0"/>
        <v>21</v>
      </c>
      <c r="M197">
        <f>COUNTIF(M4:M195,"X")</f>
        <v>19</v>
      </c>
      <c r="N197">
        <f t="shared" ref="N197:R197" si="1">COUNTIF(N4:N195,"X")</f>
        <v>47</v>
      </c>
      <c r="O197">
        <f t="shared" si="1"/>
        <v>28</v>
      </c>
      <c r="P197">
        <f t="shared" si="1"/>
        <v>28</v>
      </c>
      <c r="Q197">
        <f t="shared" si="1"/>
        <v>21</v>
      </c>
      <c r="R197">
        <f t="shared" si="1"/>
        <v>33</v>
      </c>
    </row>
    <row r="198" spans="1:18" x14ac:dyDescent="0.2">
      <c r="E198" s="2" t="s">
        <v>38</v>
      </c>
      <c r="F198" s="2" t="s">
        <v>39</v>
      </c>
      <c r="G198" s="2" t="s">
        <v>40</v>
      </c>
      <c r="H198" s="2" t="s">
        <v>41</v>
      </c>
      <c r="I198" s="2" t="s">
        <v>42</v>
      </c>
      <c r="J198" s="2" t="s">
        <v>43</v>
      </c>
      <c r="M198" s="2" t="s">
        <v>38</v>
      </c>
      <c r="N198" s="2" t="s">
        <v>39</v>
      </c>
      <c r="O198" s="2" t="s">
        <v>40</v>
      </c>
      <c r="P198" s="2" t="s">
        <v>41</v>
      </c>
      <c r="Q198" s="2" t="s">
        <v>42</v>
      </c>
      <c r="R198" s="2" t="s">
        <v>43</v>
      </c>
    </row>
    <row r="200" spans="1:18" x14ac:dyDescent="0.2">
      <c r="D200" t="s">
        <v>500</v>
      </c>
      <c r="E200">
        <f>E197+M197</f>
        <v>37</v>
      </c>
      <c r="F200">
        <f>F197+N197</f>
        <v>95</v>
      </c>
      <c r="G200">
        <f>G197+O197</f>
        <v>43</v>
      </c>
      <c r="H200">
        <f>H197+P197</f>
        <v>62</v>
      </c>
      <c r="I200">
        <f>I197+Q197</f>
        <v>50</v>
      </c>
      <c r="J200">
        <f t="shared" ref="F200:J200" si="2">J197+R197</f>
        <v>54</v>
      </c>
    </row>
    <row r="201" spans="1:18" x14ac:dyDescent="0.2">
      <c r="E201" s="2" t="s">
        <v>38</v>
      </c>
      <c r="F201" s="2" t="s">
        <v>39</v>
      </c>
      <c r="G201" s="2" t="s">
        <v>40</v>
      </c>
      <c r="H201" s="2" t="s">
        <v>41</v>
      </c>
      <c r="I201" s="2" t="s">
        <v>42</v>
      </c>
      <c r="J201" s="2" t="s">
        <v>43</v>
      </c>
    </row>
  </sheetData>
  <sortState xmlns:xlrd2="http://schemas.microsoft.com/office/spreadsheetml/2017/richdata2" ref="A111:UC112">
    <sortCondition ref="C111:C112"/>
    <sortCondition ref="B111:B112"/>
  </sortState>
  <phoneticPr fontId="15" type="noConversion"/>
  <pageMargins left="0.7" right="0.7" top="0.75" bottom="0.75" header="0.3" footer="0.3"/>
  <pageSetup scale="69" fitToHeight="4" orientation="portrait" horizontalDpi="4294967293" verticalDpi="4294967293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1"/>
  <sheetViews>
    <sheetView topLeftCell="A85" workbookViewId="0">
      <selection activeCell="D110" sqref="D110:J110"/>
    </sheetView>
  </sheetViews>
  <sheetFormatPr baseColWidth="10" defaultColWidth="8.83203125" defaultRowHeight="15" x14ac:dyDescent="0.2"/>
  <cols>
    <col min="1" max="1" width="18.83203125" customWidth="1"/>
    <col min="2" max="2" width="22.1640625" customWidth="1"/>
    <col min="3" max="3" width="16.1640625" customWidth="1"/>
    <col min="5" max="5" width="11.83203125" customWidth="1"/>
    <col min="7" max="7" width="10.5" customWidth="1"/>
    <col min="10" max="10" width="12" customWidth="1"/>
    <col min="13" max="13" width="12.1640625" customWidth="1"/>
    <col min="14" max="15" width="11" customWidth="1"/>
    <col min="18" max="18" width="12.5" customWidth="1"/>
  </cols>
  <sheetData>
    <row r="1" spans="1:18" ht="21" x14ac:dyDescent="0.25">
      <c r="A1" s="13" t="s">
        <v>332</v>
      </c>
    </row>
    <row r="2" spans="1:18" ht="19" x14ac:dyDescent="0.25">
      <c r="A2" s="5" t="s">
        <v>331</v>
      </c>
      <c r="B2" s="5"/>
      <c r="C2" s="5"/>
      <c r="E2" s="3" t="s">
        <v>494</v>
      </c>
      <c r="M2" s="3" t="s">
        <v>487</v>
      </c>
    </row>
    <row r="3" spans="1:18" ht="19" x14ac:dyDescent="0.25">
      <c r="A3" s="6" t="s">
        <v>1</v>
      </c>
      <c r="B3" s="6" t="s">
        <v>2</v>
      </c>
      <c r="C3" s="6" t="s">
        <v>3</v>
      </c>
      <c r="D3" s="1"/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/>
      <c r="L3" s="2"/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</row>
    <row r="4" spans="1:18" ht="19" x14ac:dyDescent="0.25">
      <c r="A4" s="5" t="s">
        <v>170</v>
      </c>
      <c r="B4" s="7" t="s">
        <v>196</v>
      </c>
      <c r="C4" s="7" t="s">
        <v>197</v>
      </c>
      <c r="E4" s="4">
        <v>0</v>
      </c>
      <c r="F4" s="4">
        <v>0</v>
      </c>
      <c r="G4" s="4">
        <v>0</v>
      </c>
      <c r="H4" s="18" t="s">
        <v>44</v>
      </c>
      <c r="I4" s="4">
        <v>0</v>
      </c>
      <c r="J4" s="4">
        <v>0</v>
      </c>
      <c r="K4" s="4"/>
      <c r="L4" s="4"/>
      <c r="M4" s="4">
        <v>0</v>
      </c>
      <c r="N4" s="4">
        <v>0</v>
      </c>
      <c r="O4" s="4">
        <v>0</v>
      </c>
      <c r="P4" s="4">
        <v>0</v>
      </c>
      <c r="Q4" s="19" t="s">
        <v>44</v>
      </c>
      <c r="R4" s="4">
        <v>0</v>
      </c>
    </row>
    <row r="5" spans="1:18" ht="19" x14ac:dyDescent="0.25">
      <c r="A5" s="5" t="s">
        <v>171</v>
      </c>
      <c r="B5" s="7" t="s">
        <v>198</v>
      </c>
      <c r="C5" s="7" t="s">
        <v>498</v>
      </c>
      <c r="E5" s="4">
        <v>0</v>
      </c>
      <c r="F5" s="4">
        <v>0</v>
      </c>
      <c r="G5" s="4">
        <v>0</v>
      </c>
      <c r="H5" s="18" t="s">
        <v>44</v>
      </c>
      <c r="I5" s="18" t="s">
        <v>44</v>
      </c>
      <c r="J5" s="18" t="s">
        <v>44</v>
      </c>
      <c r="K5" s="4"/>
      <c r="L5" s="4"/>
      <c r="M5" s="4">
        <v>0</v>
      </c>
      <c r="N5" s="4">
        <v>0</v>
      </c>
      <c r="O5" s="4">
        <v>0</v>
      </c>
      <c r="P5" s="4">
        <v>0</v>
      </c>
      <c r="Q5" s="4">
        <v>0</v>
      </c>
      <c r="R5" s="19" t="s">
        <v>44</v>
      </c>
    </row>
    <row r="6" spans="1:18" ht="19" x14ac:dyDescent="0.25">
      <c r="A6" s="5" t="s">
        <v>172</v>
      </c>
      <c r="B6" s="7" t="s">
        <v>200</v>
      </c>
      <c r="C6" s="7" t="s">
        <v>201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18" t="s">
        <v>44</v>
      </c>
      <c r="K6" s="4"/>
      <c r="L6" s="4"/>
      <c r="M6" s="4">
        <v>0</v>
      </c>
      <c r="N6" s="4">
        <v>0</v>
      </c>
      <c r="O6" s="4">
        <v>0</v>
      </c>
      <c r="P6" s="4">
        <v>0</v>
      </c>
      <c r="Q6" s="4">
        <v>0</v>
      </c>
      <c r="R6" s="19" t="s">
        <v>44</v>
      </c>
    </row>
    <row r="7" spans="1:18" ht="19" x14ac:dyDescent="0.25">
      <c r="A7" s="5" t="s">
        <v>173</v>
      </c>
      <c r="B7" s="7" t="s">
        <v>202</v>
      </c>
      <c r="C7" s="7" t="s">
        <v>204</v>
      </c>
      <c r="E7" s="4">
        <v>0</v>
      </c>
      <c r="F7" s="4">
        <v>0</v>
      </c>
      <c r="G7" s="4">
        <v>0</v>
      </c>
      <c r="H7" s="18" t="s">
        <v>44</v>
      </c>
      <c r="I7" s="4">
        <v>0</v>
      </c>
      <c r="J7" s="4">
        <v>0</v>
      </c>
      <c r="K7" s="4"/>
      <c r="L7" s="4"/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</row>
    <row r="8" spans="1:18" ht="19" x14ac:dyDescent="0.25">
      <c r="A8" s="5" t="s">
        <v>173</v>
      </c>
      <c r="B8" s="7" t="s">
        <v>202</v>
      </c>
      <c r="C8" s="7" t="s">
        <v>203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/>
      <c r="L8" s="4"/>
      <c r="M8" s="19" t="s">
        <v>44</v>
      </c>
      <c r="N8" s="19" t="s">
        <v>44</v>
      </c>
      <c r="O8" s="4">
        <v>0</v>
      </c>
      <c r="P8" s="19" t="s">
        <v>44</v>
      </c>
      <c r="Q8" s="19" t="s">
        <v>44</v>
      </c>
      <c r="R8" s="4">
        <v>0</v>
      </c>
    </row>
    <row r="9" spans="1:18" ht="19" x14ac:dyDescent="0.25">
      <c r="A9" s="5" t="s">
        <v>173</v>
      </c>
      <c r="B9" s="7" t="s">
        <v>205</v>
      </c>
      <c r="C9" s="7" t="s">
        <v>206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/>
      <c r="L9" s="4"/>
      <c r="M9" s="4">
        <v>0</v>
      </c>
      <c r="N9" s="4">
        <v>0</v>
      </c>
      <c r="O9" s="4">
        <v>0</v>
      </c>
      <c r="P9" s="4">
        <v>0</v>
      </c>
      <c r="Q9" s="4">
        <v>0</v>
      </c>
      <c r="R9" s="19" t="s">
        <v>44</v>
      </c>
    </row>
    <row r="10" spans="1:18" ht="19" x14ac:dyDescent="0.25">
      <c r="A10" s="5" t="s">
        <v>173</v>
      </c>
      <c r="B10" s="7" t="s">
        <v>205</v>
      </c>
      <c r="C10" s="7" t="s">
        <v>206</v>
      </c>
      <c r="E10" s="4">
        <v>0</v>
      </c>
      <c r="F10" s="4">
        <v>0</v>
      </c>
      <c r="G10" s="4">
        <v>0</v>
      </c>
      <c r="H10" s="18" t="s">
        <v>44</v>
      </c>
      <c r="I10" s="18" t="s">
        <v>44</v>
      </c>
      <c r="J10" s="18" t="s">
        <v>44</v>
      </c>
      <c r="K10" s="4"/>
      <c r="L10" s="4"/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</row>
    <row r="11" spans="1:18" ht="19" x14ac:dyDescent="0.25">
      <c r="A11" s="5" t="s">
        <v>173</v>
      </c>
      <c r="B11" s="7" t="s">
        <v>205</v>
      </c>
      <c r="C11" s="5" t="s">
        <v>412</v>
      </c>
      <c r="E11" s="4">
        <v>0</v>
      </c>
      <c r="F11" s="4">
        <v>0</v>
      </c>
      <c r="G11" s="18" t="s">
        <v>44</v>
      </c>
      <c r="H11" s="4">
        <v>0</v>
      </c>
      <c r="I11" s="4">
        <v>0</v>
      </c>
      <c r="J11" s="4">
        <v>0</v>
      </c>
      <c r="K11" s="4"/>
      <c r="L11" s="4"/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</row>
    <row r="12" spans="1:18" ht="19" x14ac:dyDescent="0.25">
      <c r="A12" s="5" t="s">
        <v>173</v>
      </c>
      <c r="B12" s="7" t="s">
        <v>205</v>
      </c>
      <c r="C12" s="7" t="s">
        <v>207</v>
      </c>
      <c r="E12" s="4">
        <v>0</v>
      </c>
      <c r="F12" s="4">
        <v>0</v>
      </c>
      <c r="G12" s="4">
        <v>0</v>
      </c>
      <c r="H12" s="4">
        <v>0</v>
      </c>
      <c r="I12" s="18" t="s">
        <v>44</v>
      </c>
      <c r="J12" s="18" t="s">
        <v>44</v>
      </c>
      <c r="K12" s="4"/>
      <c r="L12" s="4"/>
      <c r="M12" s="4">
        <v>0</v>
      </c>
      <c r="N12" s="4">
        <v>0</v>
      </c>
      <c r="O12" s="19" t="s">
        <v>44</v>
      </c>
      <c r="P12" s="4">
        <v>0</v>
      </c>
      <c r="Q12" s="19" t="s">
        <v>44</v>
      </c>
      <c r="R12" s="19" t="s">
        <v>44</v>
      </c>
    </row>
    <row r="13" spans="1:18" ht="19" x14ac:dyDescent="0.25">
      <c r="A13" s="5" t="s">
        <v>173</v>
      </c>
      <c r="B13" s="7" t="s">
        <v>208</v>
      </c>
      <c r="C13" s="7" t="s">
        <v>209</v>
      </c>
      <c r="E13" s="4">
        <v>0</v>
      </c>
      <c r="F13" s="4">
        <v>0</v>
      </c>
      <c r="G13" s="18" t="s">
        <v>44</v>
      </c>
      <c r="H13" s="4">
        <v>0</v>
      </c>
      <c r="I13" s="4">
        <v>0</v>
      </c>
      <c r="J13" s="4">
        <v>0</v>
      </c>
      <c r="K13" s="4"/>
      <c r="L13" s="4"/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</row>
    <row r="14" spans="1:18" ht="19" x14ac:dyDescent="0.25">
      <c r="A14" s="5" t="s">
        <v>173</v>
      </c>
      <c r="B14" s="7" t="s">
        <v>208</v>
      </c>
      <c r="C14" s="5" t="s">
        <v>413</v>
      </c>
      <c r="E14" s="4">
        <v>0</v>
      </c>
      <c r="F14" s="4">
        <v>0</v>
      </c>
      <c r="G14" s="4">
        <v>0</v>
      </c>
      <c r="H14" s="18" t="s">
        <v>44</v>
      </c>
      <c r="I14" s="18" t="s">
        <v>44</v>
      </c>
      <c r="J14" s="4">
        <v>0</v>
      </c>
      <c r="K14" s="4"/>
      <c r="L14" s="4"/>
      <c r="M14" s="4">
        <v>0</v>
      </c>
      <c r="N14" s="4">
        <v>0</v>
      </c>
      <c r="O14" s="4">
        <v>0</v>
      </c>
      <c r="P14" s="19" t="s">
        <v>44</v>
      </c>
      <c r="Q14" s="4">
        <v>0</v>
      </c>
      <c r="R14" s="4">
        <v>0</v>
      </c>
    </row>
    <row r="15" spans="1:18" ht="19" x14ac:dyDescent="0.25">
      <c r="A15" s="5" t="s">
        <v>173</v>
      </c>
      <c r="B15" s="7" t="s">
        <v>210</v>
      </c>
      <c r="C15" s="5" t="s">
        <v>414</v>
      </c>
      <c r="E15" s="4">
        <v>0</v>
      </c>
      <c r="F15" s="18" t="s">
        <v>44</v>
      </c>
      <c r="G15" s="4">
        <v>0</v>
      </c>
      <c r="H15" s="4">
        <v>0</v>
      </c>
      <c r="I15" s="4">
        <v>0</v>
      </c>
      <c r="J15" s="4">
        <v>0</v>
      </c>
      <c r="K15" s="4"/>
      <c r="L15" s="4"/>
      <c r="M15" s="4">
        <v>0</v>
      </c>
      <c r="N15" s="19" t="s">
        <v>44</v>
      </c>
      <c r="O15" s="19" t="s">
        <v>44</v>
      </c>
      <c r="P15" s="4">
        <v>0</v>
      </c>
      <c r="Q15" s="4">
        <v>0</v>
      </c>
      <c r="R15" s="4">
        <v>0</v>
      </c>
    </row>
    <row r="16" spans="1:18" ht="19" x14ac:dyDescent="0.25">
      <c r="A16" s="5" t="s">
        <v>173</v>
      </c>
      <c r="B16" s="7" t="s">
        <v>210</v>
      </c>
      <c r="C16" s="5" t="s">
        <v>65</v>
      </c>
      <c r="E16" s="4">
        <v>0</v>
      </c>
      <c r="F16" s="18" t="s">
        <v>44</v>
      </c>
      <c r="G16" s="4">
        <v>0</v>
      </c>
      <c r="H16" s="4">
        <v>0</v>
      </c>
      <c r="I16" s="4">
        <v>0</v>
      </c>
      <c r="J16" s="4">
        <v>0</v>
      </c>
      <c r="K16" s="4"/>
      <c r="L16" s="4"/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</row>
    <row r="17" spans="1:18" ht="19" x14ac:dyDescent="0.25">
      <c r="A17" s="5" t="s">
        <v>173</v>
      </c>
      <c r="B17" s="7" t="s">
        <v>211</v>
      </c>
      <c r="C17" s="7" t="s">
        <v>212</v>
      </c>
      <c r="E17" s="4">
        <v>0</v>
      </c>
      <c r="F17" s="18" t="s">
        <v>44</v>
      </c>
      <c r="G17" s="4">
        <v>0</v>
      </c>
      <c r="H17" s="4">
        <v>0</v>
      </c>
      <c r="I17" s="4">
        <v>0</v>
      </c>
      <c r="J17" s="4">
        <v>0</v>
      </c>
      <c r="K17" s="4"/>
      <c r="L17" s="4"/>
      <c r="M17" s="4">
        <v>0</v>
      </c>
      <c r="N17" s="19" t="s">
        <v>44</v>
      </c>
      <c r="O17" s="4">
        <v>0</v>
      </c>
      <c r="P17" s="4">
        <v>0</v>
      </c>
      <c r="Q17" s="4">
        <v>0</v>
      </c>
      <c r="R17" s="4">
        <v>0</v>
      </c>
    </row>
    <row r="18" spans="1:18" ht="19" x14ac:dyDescent="0.25">
      <c r="A18" s="5" t="s">
        <v>174</v>
      </c>
      <c r="B18" s="7" t="s">
        <v>213</v>
      </c>
      <c r="C18" s="5" t="s">
        <v>19</v>
      </c>
      <c r="E18" s="4">
        <v>0</v>
      </c>
      <c r="F18" s="18" t="s">
        <v>44</v>
      </c>
      <c r="G18" s="4">
        <v>0</v>
      </c>
      <c r="H18" s="4">
        <v>0</v>
      </c>
      <c r="I18" s="18" t="s">
        <v>44</v>
      </c>
      <c r="J18" s="18" t="s">
        <v>44</v>
      </c>
      <c r="K18" s="4"/>
      <c r="L18" s="4"/>
      <c r="M18" s="4">
        <v>0</v>
      </c>
      <c r="N18" s="19" t="s">
        <v>44</v>
      </c>
      <c r="O18" s="4">
        <v>0</v>
      </c>
      <c r="P18" s="4">
        <v>0</v>
      </c>
      <c r="Q18" s="4">
        <v>0</v>
      </c>
      <c r="R18" s="19" t="s">
        <v>44</v>
      </c>
    </row>
    <row r="19" spans="1:18" ht="19" x14ac:dyDescent="0.25">
      <c r="A19" s="5" t="s">
        <v>174</v>
      </c>
      <c r="B19" s="7" t="s">
        <v>216</v>
      </c>
      <c r="C19" s="7" t="s">
        <v>217</v>
      </c>
      <c r="E19" s="4">
        <v>0</v>
      </c>
      <c r="F19" s="18" t="s">
        <v>44</v>
      </c>
      <c r="G19" s="4">
        <v>0</v>
      </c>
      <c r="H19" s="4">
        <v>0</v>
      </c>
      <c r="I19" s="4">
        <v>0</v>
      </c>
      <c r="J19" s="4">
        <v>0</v>
      </c>
      <c r="K19" s="4"/>
      <c r="L19" s="4"/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</row>
    <row r="20" spans="1:18" ht="19" x14ac:dyDescent="0.25">
      <c r="A20" s="5" t="s">
        <v>174</v>
      </c>
      <c r="B20" s="7" t="s">
        <v>218</v>
      </c>
      <c r="C20" s="7" t="s">
        <v>219</v>
      </c>
      <c r="E20" s="18" t="s">
        <v>44</v>
      </c>
      <c r="F20" s="18" t="s">
        <v>44</v>
      </c>
      <c r="G20" s="4">
        <v>0</v>
      </c>
      <c r="H20" s="4">
        <v>0</v>
      </c>
      <c r="I20" s="4">
        <v>0</v>
      </c>
      <c r="J20" s="4">
        <v>0</v>
      </c>
      <c r="K20" s="4"/>
      <c r="L20" s="4"/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</row>
    <row r="21" spans="1:18" ht="19" x14ac:dyDescent="0.25">
      <c r="A21" s="5" t="s">
        <v>174</v>
      </c>
      <c r="B21" s="7" t="s">
        <v>214</v>
      </c>
      <c r="C21" s="7" t="s">
        <v>215</v>
      </c>
      <c r="E21" s="4">
        <v>0</v>
      </c>
      <c r="F21" s="4">
        <v>0</v>
      </c>
      <c r="G21" s="18" t="s">
        <v>44</v>
      </c>
      <c r="H21" s="18" t="s">
        <v>44</v>
      </c>
      <c r="I21" s="4">
        <v>0</v>
      </c>
      <c r="J21" s="4">
        <v>0</v>
      </c>
      <c r="K21" s="4"/>
      <c r="L21" s="4"/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</row>
    <row r="22" spans="1:18" ht="19" x14ac:dyDescent="0.25">
      <c r="A22" s="5" t="s">
        <v>174</v>
      </c>
      <c r="B22" s="7" t="s">
        <v>214</v>
      </c>
      <c r="C22" s="7" t="s">
        <v>220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18" t="s">
        <v>44</v>
      </c>
      <c r="K22" s="4"/>
      <c r="L22" s="4"/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</row>
    <row r="23" spans="1:18" ht="19" x14ac:dyDescent="0.25">
      <c r="A23" s="5" t="s">
        <v>175</v>
      </c>
      <c r="B23" s="7" t="s">
        <v>221</v>
      </c>
      <c r="C23" s="7" t="s">
        <v>222</v>
      </c>
      <c r="E23" s="4">
        <v>0</v>
      </c>
      <c r="F23" s="4">
        <v>0</v>
      </c>
      <c r="G23" s="18" t="s">
        <v>44</v>
      </c>
      <c r="H23" s="18" t="s">
        <v>44</v>
      </c>
      <c r="I23" s="4">
        <v>0</v>
      </c>
      <c r="J23" s="4">
        <v>0</v>
      </c>
      <c r="K23" s="4"/>
      <c r="L23" s="4"/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</row>
    <row r="24" spans="1:18" ht="19" x14ac:dyDescent="0.25">
      <c r="A24" s="5" t="s">
        <v>176</v>
      </c>
      <c r="B24" s="7" t="s">
        <v>223</v>
      </c>
      <c r="C24" s="5" t="s">
        <v>19</v>
      </c>
      <c r="E24" s="18" t="s">
        <v>44</v>
      </c>
      <c r="F24" s="18" t="s">
        <v>44</v>
      </c>
      <c r="G24" s="4">
        <v>0</v>
      </c>
      <c r="H24" s="4">
        <v>0</v>
      </c>
      <c r="I24" s="4">
        <v>0</v>
      </c>
      <c r="J24" s="4">
        <v>0</v>
      </c>
      <c r="K24" s="4"/>
      <c r="L24" s="4"/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</row>
    <row r="25" spans="1:18" ht="19" x14ac:dyDescent="0.25">
      <c r="A25" s="5" t="s">
        <v>177</v>
      </c>
      <c r="B25" s="7" t="s">
        <v>224</v>
      </c>
      <c r="C25" s="7" t="s">
        <v>225</v>
      </c>
      <c r="E25" s="4">
        <v>0</v>
      </c>
      <c r="F25" s="4">
        <v>0</v>
      </c>
      <c r="G25" s="4">
        <v>0</v>
      </c>
      <c r="H25" s="18" t="s">
        <v>44</v>
      </c>
      <c r="I25" s="18" t="s">
        <v>44</v>
      </c>
      <c r="J25" s="4">
        <v>0</v>
      </c>
      <c r="K25" s="4"/>
      <c r="L25" s="4"/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</row>
    <row r="26" spans="1:18" ht="19" x14ac:dyDescent="0.25">
      <c r="A26" s="5" t="s">
        <v>177</v>
      </c>
      <c r="B26" s="7" t="s">
        <v>224</v>
      </c>
      <c r="C26" s="7" t="s">
        <v>226</v>
      </c>
      <c r="E26" s="18" t="s">
        <v>44</v>
      </c>
      <c r="F26" s="18" t="s">
        <v>44</v>
      </c>
      <c r="G26" s="18" t="s">
        <v>44</v>
      </c>
      <c r="H26" s="4">
        <v>0</v>
      </c>
      <c r="I26" s="4">
        <v>0</v>
      </c>
      <c r="J26" s="4">
        <v>0</v>
      </c>
      <c r="K26" s="4"/>
      <c r="L26" s="4"/>
      <c r="M26" s="4">
        <v>0</v>
      </c>
      <c r="N26" s="19" t="s">
        <v>44</v>
      </c>
      <c r="O26" s="4">
        <v>0</v>
      </c>
      <c r="P26" s="4">
        <v>0</v>
      </c>
      <c r="Q26" s="4">
        <v>0</v>
      </c>
      <c r="R26" s="4">
        <v>0</v>
      </c>
    </row>
    <row r="27" spans="1:18" ht="19" x14ac:dyDescent="0.25">
      <c r="A27" s="5" t="s">
        <v>177</v>
      </c>
      <c r="B27" s="7" t="s">
        <v>224</v>
      </c>
      <c r="C27" s="7" t="s">
        <v>227</v>
      </c>
      <c r="E27" s="4">
        <v>0</v>
      </c>
      <c r="F27" s="18" t="s">
        <v>44</v>
      </c>
      <c r="G27" s="4">
        <v>0</v>
      </c>
      <c r="H27" s="4">
        <v>0</v>
      </c>
      <c r="I27" s="4">
        <v>0</v>
      </c>
      <c r="J27" s="4">
        <v>0</v>
      </c>
      <c r="K27" s="4"/>
      <c r="L27" s="4"/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</row>
    <row r="28" spans="1:18" ht="19" x14ac:dyDescent="0.25">
      <c r="A28" s="5" t="s">
        <v>177</v>
      </c>
      <c r="B28" s="7" t="s">
        <v>228</v>
      </c>
      <c r="C28" s="7" t="s">
        <v>226</v>
      </c>
      <c r="E28" s="18" t="s">
        <v>44</v>
      </c>
      <c r="F28" s="18" t="s">
        <v>44</v>
      </c>
      <c r="G28" s="4">
        <v>0</v>
      </c>
      <c r="H28" s="18" t="s">
        <v>44</v>
      </c>
      <c r="I28" s="4">
        <v>0</v>
      </c>
      <c r="J28" s="4">
        <v>0</v>
      </c>
      <c r="K28" s="4"/>
      <c r="L28" s="4"/>
      <c r="M28" s="19" t="s">
        <v>44</v>
      </c>
      <c r="N28" s="19" t="s">
        <v>44</v>
      </c>
      <c r="O28" s="4">
        <v>0</v>
      </c>
      <c r="P28" s="4">
        <v>0</v>
      </c>
      <c r="Q28" s="4">
        <v>0</v>
      </c>
      <c r="R28" s="4">
        <v>0</v>
      </c>
    </row>
    <row r="29" spans="1:18" ht="19" x14ac:dyDescent="0.25">
      <c r="A29" s="5" t="s">
        <v>177</v>
      </c>
      <c r="B29" s="7" t="s">
        <v>229</v>
      </c>
      <c r="C29" s="7" t="s">
        <v>230</v>
      </c>
      <c r="E29" s="4">
        <v>0</v>
      </c>
      <c r="F29" s="18" t="s">
        <v>44</v>
      </c>
      <c r="G29" s="18" t="s">
        <v>44</v>
      </c>
      <c r="H29" s="18" t="s">
        <v>44</v>
      </c>
      <c r="I29" s="4">
        <v>0</v>
      </c>
      <c r="J29" s="4">
        <v>0</v>
      </c>
      <c r="K29" s="4"/>
      <c r="L29" s="4"/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</row>
    <row r="30" spans="1:18" ht="19" x14ac:dyDescent="0.25">
      <c r="A30" s="5" t="s">
        <v>177</v>
      </c>
      <c r="B30" s="7" t="s">
        <v>231</v>
      </c>
      <c r="C30" s="7" t="s">
        <v>232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/>
      <c r="L30" s="4"/>
      <c r="M30" s="4">
        <v>0</v>
      </c>
      <c r="N30" s="19" t="s">
        <v>44</v>
      </c>
      <c r="O30" s="4">
        <v>0</v>
      </c>
      <c r="P30" s="4">
        <v>0</v>
      </c>
      <c r="Q30" s="4">
        <v>0</v>
      </c>
      <c r="R30" s="4">
        <v>0</v>
      </c>
    </row>
    <row r="31" spans="1:18" ht="19" x14ac:dyDescent="0.25">
      <c r="A31" s="5" t="s">
        <v>177</v>
      </c>
      <c r="B31" s="7" t="s">
        <v>231</v>
      </c>
      <c r="C31" s="7" t="s">
        <v>233</v>
      </c>
      <c r="E31" s="4">
        <v>0</v>
      </c>
      <c r="F31" s="18" t="s">
        <v>44</v>
      </c>
      <c r="G31" s="4">
        <v>0</v>
      </c>
      <c r="H31" s="18" t="s">
        <v>44</v>
      </c>
      <c r="I31" s="4">
        <v>0</v>
      </c>
      <c r="J31" s="4">
        <v>0</v>
      </c>
      <c r="K31" s="4"/>
      <c r="L31" s="4"/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</row>
    <row r="32" spans="1:18" ht="19" x14ac:dyDescent="0.25">
      <c r="A32" s="5" t="s">
        <v>177</v>
      </c>
      <c r="B32" s="7" t="s">
        <v>231</v>
      </c>
      <c r="C32" s="7" t="s">
        <v>234</v>
      </c>
      <c r="E32" s="18" t="s">
        <v>44</v>
      </c>
      <c r="F32" s="18" t="s">
        <v>44</v>
      </c>
      <c r="G32" s="4">
        <v>0</v>
      </c>
      <c r="H32" s="4">
        <v>0</v>
      </c>
      <c r="I32" s="4">
        <v>0</v>
      </c>
      <c r="J32" s="4">
        <v>0</v>
      </c>
      <c r="K32" s="4"/>
      <c r="L32" s="4"/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</row>
    <row r="33" spans="1:18" ht="19" x14ac:dyDescent="0.25">
      <c r="A33" s="5" t="s">
        <v>177</v>
      </c>
      <c r="B33" s="7" t="s">
        <v>235</v>
      </c>
      <c r="C33" s="7" t="s">
        <v>236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18" t="s">
        <v>44</v>
      </c>
      <c r="K33" s="4"/>
      <c r="L33" s="4"/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</row>
    <row r="34" spans="1:18" ht="19" x14ac:dyDescent="0.25">
      <c r="A34" s="5" t="s">
        <v>177</v>
      </c>
      <c r="B34" s="7" t="s">
        <v>235</v>
      </c>
      <c r="C34" s="7" t="s">
        <v>237</v>
      </c>
      <c r="E34" s="4">
        <v>0</v>
      </c>
      <c r="F34" s="4">
        <v>0</v>
      </c>
      <c r="G34" s="4">
        <v>0</v>
      </c>
      <c r="H34" s="18" t="s">
        <v>44</v>
      </c>
      <c r="I34" s="18" t="s">
        <v>44</v>
      </c>
      <c r="J34" s="18" t="s">
        <v>44</v>
      </c>
      <c r="K34" s="4"/>
      <c r="L34" s="4"/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</row>
    <row r="35" spans="1:18" ht="19" x14ac:dyDescent="0.25">
      <c r="A35" s="5" t="s">
        <v>177</v>
      </c>
      <c r="B35" s="7" t="s">
        <v>235</v>
      </c>
      <c r="C35" s="5" t="s">
        <v>19</v>
      </c>
      <c r="E35" s="4">
        <v>0</v>
      </c>
      <c r="F35" s="18" t="s">
        <v>44</v>
      </c>
      <c r="G35" s="18" t="s">
        <v>44</v>
      </c>
      <c r="H35" s="18" t="s">
        <v>44</v>
      </c>
      <c r="I35" s="18" t="s">
        <v>44</v>
      </c>
      <c r="J35" s="18" t="s">
        <v>44</v>
      </c>
      <c r="K35" s="4"/>
      <c r="L35" s="4"/>
      <c r="M35" s="4">
        <v>0</v>
      </c>
      <c r="N35" s="4">
        <v>0</v>
      </c>
      <c r="O35" s="4">
        <v>0</v>
      </c>
      <c r="P35" s="4">
        <v>0</v>
      </c>
      <c r="Q35" s="19" t="s">
        <v>44</v>
      </c>
      <c r="R35" s="19" t="s">
        <v>44</v>
      </c>
    </row>
    <row r="36" spans="1:18" ht="19" x14ac:dyDescent="0.25">
      <c r="A36" s="5" t="s">
        <v>177</v>
      </c>
      <c r="B36" s="7" t="s">
        <v>238</v>
      </c>
      <c r="C36" s="7" t="s">
        <v>239</v>
      </c>
      <c r="E36" s="4">
        <v>0</v>
      </c>
      <c r="F36" s="4">
        <v>0</v>
      </c>
      <c r="G36" s="4">
        <v>0</v>
      </c>
      <c r="H36" s="18" t="s">
        <v>44</v>
      </c>
      <c r="I36" s="4">
        <v>0</v>
      </c>
      <c r="J36" s="4">
        <v>0</v>
      </c>
      <c r="K36" s="4"/>
      <c r="L36" s="4"/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</row>
    <row r="37" spans="1:18" ht="19" x14ac:dyDescent="0.25">
      <c r="A37" s="5" t="s">
        <v>177</v>
      </c>
      <c r="B37" s="7" t="s">
        <v>240</v>
      </c>
      <c r="C37" s="7" t="s">
        <v>226</v>
      </c>
      <c r="E37" s="4">
        <v>0</v>
      </c>
      <c r="F37" s="18" t="s">
        <v>44</v>
      </c>
      <c r="G37" s="18" t="s">
        <v>44</v>
      </c>
      <c r="H37" s="4">
        <v>0</v>
      </c>
      <c r="I37" s="4">
        <v>0</v>
      </c>
      <c r="J37" s="4">
        <v>0</v>
      </c>
      <c r="K37" s="4"/>
      <c r="L37" s="4"/>
      <c r="M37" s="19" t="s">
        <v>44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</row>
    <row r="38" spans="1:18" ht="19" x14ac:dyDescent="0.25">
      <c r="A38" s="5" t="s">
        <v>177</v>
      </c>
      <c r="B38" s="7" t="s">
        <v>240</v>
      </c>
      <c r="C38" s="7" t="s">
        <v>242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/>
      <c r="L38" s="4"/>
      <c r="M38" s="4">
        <v>0</v>
      </c>
      <c r="N38" s="19" t="s">
        <v>44</v>
      </c>
      <c r="O38" s="4">
        <v>0</v>
      </c>
      <c r="P38" s="4">
        <v>0</v>
      </c>
      <c r="Q38" s="4">
        <v>0</v>
      </c>
      <c r="R38" s="4">
        <v>0</v>
      </c>
    </row>
    <row r="39" spans="1:18" ht="19" x14ac:dyDescent="0.25">
      <c r="A39" s="5" t="s">
        <v>177</v>
      </c>
      <c r="B39" s="7" t="s">
        <v>240</v>
      </c>
      <c r="C39" s="7" t="s">
        <v>243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/>
      <c r="L39" s="4"/>
      <c r="M39" s="4">
        <v>0</v>
      </c>
      <c r="N39" s="19" t="s">
        <v>44</v>
      </c>
      <c r="O39" s="4">
        <v>0</v>
      </c>
      <c r="P39" s="4">
        <v>0</v>
      </c>
      <c r="Q39" s="4">
        <v>0</v>
      </c>
      <c r="R39" s="4">
        <v>0</v>
      </c>
    </row>
    <row r="40" spans="1:18" ht="19" x14ac:dyDescent="0.25">
      <c r="A40" s="5" t="s">
        <v>177</v>
      </c>
      <c r="B40" s="7" t="s">
        <v>240</v>
      </c>
      <c r="C40" s="5" t="s">
        <v>415</v>
      </c>
      <c r="E40" s="4">
        <v>0</v>
      </c>
      <c r="F40" s="4">
        <v>0</v>
      </c>
      <c r="G40" s="4">
        <v>0</v>
      </c>
      <c r="H40" s="18" t="s">
        <v>44</v>
      </c>
      <c r="I40" s="18" t="s">
        <v>44</v>
      </c>
      <c r="J40" s="4">
        <v>0</v>
      </c>
      <c r="K40" s="4"/>
      <c r="L40" s="4"/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</row>
    <row r="41" spans="1:18" ht="19" x14ac:dyDescent="0.25">
      <c r="A41" s="5" t="s">
        <v>177</v>
      </c>
      <c r="B41" s="7" t="s">
        <v>240</v>
      </c>
      <c r="C41" s="7" t="s">
        <v>246</v>
      </c>
      <c r="E41" s="4">
        <v>0</v>
      </c>
      <c r="F41" s="4">
        <v>0</v>
      </c>
      <c r="G41" s="18" t="s">
        <v>44</v>
      </c>
      <c r="H41" s="18" t="s">
        <v>44</v>
      </c>
      <c r="I41" s="4">
        <v>0</v>
      </c>
      <c r="J41" s="4">
        <v>0</v>
      </c>
      <c r="K41" s="4"/>
      <c r="L41" s="4"/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</row>
    <row r="42" spans="1:18" ht="19" x14ac:dyDescent="0.25">
      <c r="A42" s="5" t="s">
        <v>177</v>
      </c>
      <c r="B42" s="7" t="s">
        <v>240</v>
      </c>
      <c r="C42" s="7" t="s">
        <v>245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/>
      <c r="L42" s="4"/>
      <c r="M42" s="19" t="s">
        <v>44</v>
      </c>
      <c r="N42" s="19" t="s">
        <v>44</v>
      </c>
      <c r="O42" s="4">
        <v>0</v>
      </c>
      <c r="P42" s="4">
        <v>0</v>
      </c>
      <c r="Q42" s="4">
        <v>0</v>
      </c>
      <c r="R42" s="4">
        <v>0</v>
      </c>
    </row>
    <row r="43" spans="1:18" ht="19" x14ac:dyDescent="0.25">
      <c r="A43" s="5" t="s">
        <v>177</v>
      </c>
      <c r="B43" s="7" t="s">
        <v>240</v>
      </c>
      <c r="C43" s="7" t="s">
        <v>241</v>
      </c>
      <c r="E43" s="18" t="s">
        <v>44</v>
      </c>
      <c r="F43" s="18" t="s">
        <v>44</v>
      </c>
      <c r="G43" s="18" t="s">
        <v>44</v>
      </c>
      <c r="H43" s="4">
        <v>0</v>
      </c>
      <c r="I43" s="4">
        <v>0</v>
      </c>
      <c r="J43" s="4">
        <v>0</v>
      </c>
      <c r="K43" s="4"/>
      <c r="L43" s="4"/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</row>
    <row r="44" spans="1:18" ht="19" x14ac:dyDescent="0.25">
      <c r="A44" s="5" t="s">
        <v>177</v>
      </c>
      <c r="B44" s="7" t="s">
        <v>240</v>
      </c>
      <c r="C44" s="7" t="s">
        <v>247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18" t="s">
        <v>44</v>
      </c>
      <c r="K44" s="4"/>
      <c r="L44" s="4"/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</row>
    <row r="45" spans="1:18" ht="19" x14ac:dyDescent="0.25">
      <c r="A45" s="5" t="s">
        <v>177</v>
      </c>
      <c r="B45" s="7" t="s">
        <v>240</v>
      </c>
      <c r="C45" s="7" t="s">
        <v>244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/>
      <c r="L45" s="4"/>
      <c r="M45" s="4">
        <v>0</v>
      </c>
      <c r="N45" s="4">
        <v>0</v>
      </c>
      <c r="O45" s="4">
        <v>0</v>
      </c>
      <c r="P45" s="19" t="s">
        <v>44</v>
      </c>
      <c r="Q45" s="4">
        <v>0</v>
      </c>
      <c r="R45" s="4">
        <v>0</v>
      </c>
    </row>
    <row r="46" spans="1:18" ht="19" x14ac:dyDescent="0.25">
      <c r="A46" s="5" t="s">
        <v>177</v>
      </c>
      <c r="B46" s="7" t="s">
        <v>248</v>
      </c>
      <c r="C46" s="7" t="s">
        <v>249</v>
      </c>
      <c r="E46" s="4">
        <v>0</v>
      </c>
      <c r="F46" s="18" t="s">
        <v>44</v>
      </c>
      <c r="G46" s="4">
        <v>0</v>
      </c>
      <c r="H46" s="4">
        <v>0</v>
      </c>
      <c r="I46" s="4">
        <v>0</v>
      </c>
      <c r="J46" s="4">
        <v>0</v>
      </c>
      <c r="K46" s="4"/>
      <c r="L46" s="4"/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</row>
    <row r="47" spans="1:18" ht="19" x14ac:dyDescent="0.25">
      <c r="A47" s="5" t="s">
        <v>177</v>
      </c>
      <c r="B47" s="7" t="s">
        <v>250</v>
      </c>
      <c r="C47" s="7" t="s">
        <v>251</v>
      </c>
      <c r="E47" s="18" t="s">
        <v>44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/>
      <c r="L47" s="4"/>
      <c r="M47" s="19" t="s">
        <v>44</v>
      </c>
      <c r="N47" s="4">
        <v>0</v>
      </c>
      <c r="O47" s="19" t="s">
        <v>44</v>
      </c>
      <c r="P47" s="4">
        <v>0</v>
      </c>
      <c r="Q47" s="4">
        <v>0</v>
      </c>
      <c r="R47" s="4">
        <v>0</v>
      </c>
    </row>
    <row r="48" spans="1:18" ht="19" x14ac:dyDescent="0.25">
      <c r="A48" s="5" t="s">
        <v>177</v>
      </c>
      <c r="B48" s="7" t="s">
        <v>252</v>
      </c>
      <c r="C48" s="5" t="s">
        <v>19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18" t="s">
        <v>44</v>
      </c>
      <c r="K48" s="4"/>
      <c r="L48" s="4"/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</row>
    <row r="49" spans="1:18" ht="19" x14ac:dyDescent="0.25">
      <c r="A49" s="5" t="s">
        <v>177</v>
      </c>
      <c r="B49" s="7" t="s">
        <v>253</v>
      </c>
      <c r="C49" s="7" t="s">
        <v>254</v>
      </c>
      <c r="E49" s="18" t="s">
        <v>44</v>
      </c>
      <c r="F49" s="18" t="s">
        <v>44</v>
      </c>
      <c r="G49" s="4">
        <v>0</v>
      </c>
      <c r="H49" s="4">
        <v>0</v>
      </c>
      <c r="I49" s="4">
        <v>0</v>
      </c>
      <c r="J49" s="4">
        <v>0</v>
      </c>
      <c r="K49" s="4"/>
      <c r="L49" s="4"/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</row>
    <row r="50" spans="1:18" ht="19" x14ac:dyDescent="0.25">
      <c r="A50" s="5" t="s">
        <v>177</v>
      </c>
      <c r="B50" s="7" t="s">
        <v>255</v>
      </c>
      <c r="C50" s="7" t="s">
        <v>256</v>
      </c>
      <c r="E50" s="4">
        <v>0</v>
      </c>
      <c r="F50" s="18" t="s">
        <v>44</v>
      </c>
      <c r="G50" s="18" t="s">
        <v>44</v>
      </c>
      <c r="H50" s="18" t="s">
        <v>44</v>
      </c>
      <c r="I50" s="18" t="s">
        <v>44</v>
      </c>
      <c r="J50" s="4">
        <v>0</v>
      </c>
      <c r="K50" s="4"/>
      <c r="L50" s="4"/>
      <c r="M50" s="4">
        <v>0</v>
      </c>
      <c r="N50" s="4">
        <v>0</v>
      </c>
      <c r="O50" s="19" t="s">
        <v>44</v>
      </c>
      <c r="P50" s="19" t="s">
        <v>44</v>
      </c>
      <c r="Q50" s="4">
        <v>0</v>
      </c>
      <c r="R50" s="4">
        <v>0</v>
      </c>
    </row>
    <row r="51" spans="1:18" ht="19" x14ac:dyDescent="0.25">
      <c r="A51" s="5" t="s">
        <v>177</v>
      </c>
      <c r="B51" s="7" t="s">
        <v>255</v>
      </c>
      <c r="C51" s="7" t="s">
        <v>257</v>
      </c>
      <c r="E51" s="4">
        <v>0</v>
      </c>
      <c r="F51" s="4">
        <v>0</v>
      </c>
      <c r="G51" s="4">
        <v>0</v>
      </c>
      <c r="H51" s="18" t="s">
        <v>44</v>
      </c>
      <c r="I51" s="18" t="s">
        <v>44</v>
      </c>
      <c r="J51" s="4">
        <v>0</v>
      </c>
      <c r="K51" s="4"/>
      <c r="L51" s="4"/>
      <c r="M51" s="4">
        <v>0</v>
      </c>
      <c r="N51" s="4">
        <v>0</v>
      </c>
      <c r="O51" s="4">
        <v>0</v>
      </c>
      <c r="P51" s="4">
        <v>0</v>
      </c>
      <c r="Q51" s="19" t="s">
        <v>44</v>
      </c>
      <c r="R51" s="4">
        <v>0</v>
      </c>
    </row>
    <row r="52" spans="1:18" ht="19" x14ac:dyDescent="0.25">
      <c r="A52" s="5" t="s">
        <v>177</v>
      </c>
      <c r="B52" s="7" t="s">
        <v>255</v>
      </c>
      <c r="C52" s="7" t="s">
        <v>258</v>
      </c>
      <c r="E52" s="18" t="s">
        <v>44</v>
      </c>
      <c r="F52" s="18" t="s">
        <v>44</v>
      </c>
      <c r="G52" s="4">
        <v>0</v>
      </c>
      <c r="H52" s="4">
        <v>0</v>
      </c>
      <c r="I52" s="4">
        <v>0</v>
      </c>
      <c r="J52" s="4">
        <v>0</v>
      </c>
      <c r="K52" s="4"/>
      <c r="L52" s="4"/>
      <c r="M52" s="4">
        <v>0</v>
      </c>
      <c r="N52" s="19" t="s">
        <v>44</v>
      </c>
      <c r="O52" s="4">
        <v>0</v>
      </c>
      <c r="P52" s="4">
        <v>0</v>
      </c>
      <c r="Q52" s="4">
        <v>0</v>
      </c>
      <c r="R52" s="4">
        <v>0</v>
      </c>
    </row>
    <row r="53" spans="1:18" ht="19" x14ac:dyDescent="0.25">
      <c r="A53" s="5" t="s">
        <v>178</v>
      </c>
      <c r="B53" s="7" t="s">
        <v>259</v>
      </c>
      <c r="C53" s="7" t="s">
        <v>226</v>
      </c>
      <c r="E53" s="4">
        <v>0</v>
      </c>
      <c r="F53" s="4">
        <v>0</v>
      </c>
      <c r="G53" s="4">
        <v>0</v>
      </c>
      <c r="H53" s="4">
        <v>0</v>
      </c>
      <c r="I53" s="18" t="s">
        <v>44</v>
      </c>
      <c r="J53" s="4">
        <v>0</v>
      </c>
      <c r="K53" s="4"/>
      <c r="L53" s="4"/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</row>
    <row r="54" spans="1:18" ht="19" x14ac:dyDescent="0.25">
      <c r="A54" s="5" t="s">
        <v>179</v>
      </c>
      <c r="B54" s="7" t="s">
        <v>260</v>
      </c>
      <c r="C54" s="7" t="s">
        <v>261</v>
      </c>
      <c r="E54" s="4">
        <v>0</v>
      </c>
      <c r="F54" s="18" t="s">
        <v>44</v>
      </c>
      <c r="G54" s="4">
        <v>0</v>
      </c>
      <c r="H54" s="18" t="s">
        <v>44</v>
      </c>
      <c r="I54" s="4">
        <v>0</v>
      </c>
      <c r="J54" s="4">
        <v>0</v>
      </c>
      <c r="K54" s="4"/>
      <c r="L54" s="4"/>
      <c r="M54" s="19" t="s">
        <v>44</v>
      </c>
      <c r="N54" s="19" t="s">
        <v>44</v>
      </c>
      <c r="O54" s="4">
        <v>0</v>
      </c>
      <c r="P54" s="19" t="s">
        <v>44</v>
      </c>
      <c r="Q54" s="4">
        <v>0</v>
      </c>
      <c r="R54" s="4">
        <v>0</v>
      </c>
    </row>
    <row r="55" spans="1:18" ht="19" x14ac:dyDescent="0.25">
      <c r="A55" s="5" t="s">
        <v>180</v>
      </c>
      <c r="B55" s="7" t="s">
        <v>262</v>
      </c>
      <c r="C55" s="5" t="s">
        <v>19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/>
      <c r="L55" s="4"/>
      <c r="M55" s="4">
        <v>0</v>
      </c>
      <c r="N55" s="19" t="s">
        <v>44</v>
      </c>
      <c r="O55" s="4">
        <v>0</v>
      </c>
      <c r="P55" s="4">
        <v>0</v>
      </c>
      <c r="Q55" s="19" t="s">
        <v>44</v>
      </c>
      <c r="R55" s="4">
        <v>0</v>
      </c>
    </row>
    <row r="56" spans="1:18" ht="19" x14ac:dyDescent="0.25">
      <c r="A56" s="5" t="s">
        <v>180</v>
      </c>
      <c r="B56" s="7" t="s">
        <v>263</v>
      </c>
      <c r="C56" s="5" t="s">
        <v>416</v>
      </c>
      <c r="E56" s="4">
        <v>0</v>
      </c>
      <c r="F56" s="18" t="s">
        <v>44</v>
      </c>
      <c r="G56" s="4">
        <v>0</v>
      </c>
      <c r="H56" s="4">
        <v>0</v>
      </c>
      <c r="I56" s="4">
        <v>0</v>
      </c>
      <c r="J56" s="4">
        <v>0</v>
      </c>
      <c r="K56" s="4"/>
      <c r="L56" s="4"/>
      <c r="M56" s="19" t="s">
        <v>44</v>
      </c>
      <c r="N56" s="19" t="s">
        <v>44</v>
      </c>
      <c r="O56" s="4">
        <v>0</v>
      </c>
      <c r="P56" s="4">
        <v>0</v>
      </c>
      <c r="Q56" s="4">
        <v>0</v>
      </c>
      <c r="R56" s="19" t="s">
        <v>44</v>
      </c>
    </row>
    <row r="57" spans="1:18" ht="19" x14ac:dyDescent="0.25">
      <c r="A57" s="5" t="s">
        <v>180</v>
      </c>
      <c r="B57" s="7" t="s">
        <v>264</v>
      </c>
      <c r="C57" s="7" t="s">
        <v>265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18" t="s">
        <v>44</v>
      </c>
      <c r="K57" s="4"/>
      <c r="L57" s="4"/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19" t="s">
        <v>44</v>
      </c>
    </row>
    <row r="58" spans="1:18" ht="19" x14ac:dyDescent="0.25">
      <c r="A58" s="5" t="s">
        <v>180</v>
      </c>
      <c r="B58" s="7" t="s">
        <v>266</v>
      </c>
      <c r="C58" s="5" t="s">
        <v>19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/>
      <c r="L58" s="4"/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19" t="s">
        <v>44</v>
      </c>
    </row>
    <row r="59" spans="1:18" ht="19" x14ac:dyDescent="0.25">
      <c r="A59" s="5" t="s">
        <v>180</v>
      </c>
      <c r="B59" s="7" t="s">
        <v>267</v>
      </c>
      <c r="C59" s="7" t="s">
        <v>268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/>
      <c r="L59" s="4"/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19" t="s">
        <v>44</v>
      </c>
    </row>
    <row r="60" spans="1:18" ht="19" x14ac:dyDescent="0.25">
      <c r="A60" s="5" t="s">
        <v>180</v>
      </c>
      <c r="B60" s="7" t="s">
        <v>269</v>
      </c>
      <c r="C60" s="5" t="s">
        <v>19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18" t="s">
        <v>44</v>
      </c>
      <c r="K60" s="4"/>
      <c r="L60" s="4"/>
      <c r="M60" s="4">
        <v>0</v>
      </c>
      <c r="N60" s="4">
        <v>0</v>
      </c>
      <c r="O60" s="4">
        <v>0</v>
      </c>
      <c r="P60" s="4">
        <v>0</v>
      </c>
      <c r="Q60" s="19" t="s">
        <v>44</v>
      </c>
      <c r="R60" s="19" t="s">
        <v>44</v>
      </c>
    </row>
    <row r="61" spans="1:18" ht="19" x14ac:dyDescent="0.25">
      <c r="A61" s="5" t="s">
        <v>180</v>
      </c>
      <c r="B61" s="7" t="s">
        <v>271</v>
      </c>
      <c r="C61" s="7" t="s">
        <v>272</v>
      </c>
      <c r="E61" s="4">
        <v>0</v>
      </c>
      <c r="F61" s="18" t="s">
        <v>44</v>
      </c>
      <c r="G61" s="4">
        <v>0</v>
      </c>
      <c r="H61" s="4">
        <v>0</v>
      </c>
      <c r="I61" s="4">
        <v>0</v>
      </c>
      <c r="J61" s="4">
        <v>0</v>
      </c>
      <c r="K61" s="4"/>
      <c r="L61" s="4"/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</row>
    <row r="62" spans="1:18" ht="19" x14ac:dyDescent="0.25">
      <c r="A62" s="5" t="s">
        <v>180</v>
      </c>
      <c r="B62" s="7" t="s">
        <v>270</v>
      </c>
      <c r="C62" s="5" t="s">
        <v>19</v>
      </c>
      <c r="E62" s="4">
        <v>0</v>
      </c>
      <c r="F62" s="4">
        <v>0</v>
      </c>
      <c r="G62" s="4">
        <v>0</v>
      </c>
      <c r="H62" s="18" t="s">
        <v>44</v>
      </c>
      <c r="I62" s="18" t="s">
        <v>44</v>
      </c>
      <c r="J62" s="18" t="s">
        <v>44</v>
      </c>
      <c r="K62" s="4"/>
      <c r="L62" s="4"/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</row>
    <row r="63" spans="1:18" ht="19" x14ac:dyDescent="0.25">
      <c r="A63" s="5" t="s">
        <v>180</v>
      </c>
      <c r="B63" s="7" t="s">
        <v>273</v>
      </c>
      <c r="C63" s="7" t="s">
        <v>275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/>
      <c r="L63" s="4"/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19" t="s">
        <v>44</v>
      </c>
    </row>
    <row r="64" spans="1:18" ht="19" x14ac:dyDescent="0.25">
      <c r="A64" s="5" t="s">
        <v>180</v>
      </c>
      <c r="B64" s="7" t="s">
        <v>273</v>
      </c>
      <c r="C64" s="7" t="s">
        <v>274</v>
      </c>
      <c r="E64" s="4">
        <v>0</v>
      </c>
      <c r="F64" s="4">
        <v>0</v>
      </c>
      <c r="G64" s="4">
        <v>0</v>
      </c>
      <c r="H64" s="4">
        <v>0</v>
      </c>
      <c r="I64" s="18" t="s">
        <v>44</v>
      </c>
      <c r="J64" s="18" t="s">
        <v>44</v>
      </c>
      <c r="K64" s="4"/>
      <c r="L64" s="4"/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19" t="s">
        <v>44</v>
      </c>
    </row>
    <row r="65" spans="1:18" ht="19" x14ac:dyDescent="0.25">
      <c r="A65" s="5" t="s">
        <v>180</v>
      </c>
      <c r="B65" s="7" t="s">
        <v>276</v>
      </c>
      <c r="C65" s="7" t="s">
        <v>277</v>
      </c>
      <c r="E65" s="4">
        <v>0</v>
      </c>
      <c r="F65" s="4">
        <v>0</v>
      </c>
      <c r="G65" s="4">
        <v>0</v>
      </c>
      <c r="H65" s="18" t="s">
        <v>44</v>
      </c>
      <c r="I65" s="18" t="s">
        <v>44</v>
      </c>
      <c r="J65" s="4">
        <v>0</v>
      </c>
      <c r="K65" s="4"/>
      <c r="L65" s="4"/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</row>
    <row r="66" spans="1:18" ht="19" x14ac:dyDescent="0.25">
      <c r="A66" s="5" t="s">
        <v>180</v>
      </c>
      <c r="B66" s="7" t="s">
        <v>278</v>
      </c>
      <c r="C66" s="7" t="s">
        <v>279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/>
      <c r="L66" s="4"/>
      <c r="M66" s="4">
        <v>0</v>
      </c>
      <c r="N66" s="19" t="s">
        <v>44</v>
      </c>
      <c r="O66" s="19" t="s">
        <v>44</v>
      </c>
      <c r="P66" s="19" t="s">
        <v>44</v>
      </c>
      <c r="Q66" s="4">
        <v>0</v>
      </c>
      <c r="R66" s="4">
        <v>0</v>
      </c>
    </row>
    <row r="67" spans="1:18" ht="19" x14ac:dyDescent="0.25">
      <c r="A67" s="5" t="s">
        <v>181</v>
      </c>
      <c r="B67" s="7" t="s">
        <v>280</v>
      </c>
      <c r="C67" s="7" t="s">
        <v>236</v>
      </c>
      <c r="E67" s="18" t="s">
        <v>44</v>
      </c>
      <c r="F67" s="18" t="s">
        <v>44</v>
      </c>
      <c r="G67" s="4">
        <v>0</v>
      </c>
      <c r="H67" s="4">
        <v>0</v>
      </c>
      <c r="I67" s="4">
        <v>0</v>
      </c>
      <c r="J67" s="4">
        <v>0</v>
      </c>
      <c r="K67" s="4"/>
      <c r="L67" s="4"/>
      <c r="M67" s="4">
        <v>0</v>
      </c>
      <c r="N67" s="19" t="s">
        <v>44</v>
      </c>
      <c r="O67" s="4">
        <v>0</v>
      </c>
      <c r="P67" s="4">
        <v>0</v>
      </c>
      <c r="Q67" s="4">
        <v>0</v>
      </c>
      <c r="R67" s="4">
        <v>0</v>
      </c>
    </row>
    <row r="68" spans="1:18" ht="19" x14ac:dyDescent="0.25">
      <c r="A68" s="5" t="s">
        <v>182</v>
      </c>
      <c r="B68" s="7" t="s">
        <v>281</v>
      </c>
      <c r="C68" s="7" t="s">
        <v>282</v>
      </c>
      <c r="E68" s="18" t="s">
        <v>44</v>
      </c>
      <c r="F68" s="18" t="s">
        <v>44</v>
      </c>
      <c r="G68" s="4">
        <v>0</v>
      </c>
      <c r="H68" s="18" t="s">
        <v>44</v>
      </c>
      <c r="I68" s="18" t="s">
        <v>44</v>
      </c>
      <c r="J68" s="18" t="s">
        <v>44</v>
      </c>
      <c r="K68" s="4"/>
      <c r="L68" s="4"/>
      <c r="M68" s="4">
        <v>0</v>
      </c>
      <c r="N68" s="4">
        <v>0</v>
      </c>
      <c r="O68" s="4">
        <v>0</v>
      </c>
      <c r="P68" s="19" t="s">
        <v>44</v>
      </c>
      <c r="Q68" s="19" t="s">
        <v>44</v>
      </c>
      <c r="R68" s="19" t="s">
        <v>44</v>
      </c>
    </row>
    <row r="69" spans="1:18" ht="19" x14ac:dyDescent="0.25">
      <c r="A69" s="5" t="s">
        <v>182</v>
      </c>
      <c r="B69" s="7" t="s">
        <v>284</v>
      </c>
      <c r="C69" s="7" t="s">
        <v>285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/>
      <c r="L69" s="4"/>
      <c r="M69" s="4">
        <v>0</v>
      </c>
      <c r="N69" s="4">
        <v>0</v>
      </c>
      <c r="O69" s="4">
        <v>0</v>
      </c>
      <c r="P69" s="19" t="s">
        <v>44</v>
      </c>
      <c r="Q69" s="19" t="s">
        <v>44</v>
      </c>
      <c r="R69" s="19" t="s">
        <v>44</v>
      </c>
    </row>
    <row r="70" spans="1:18" ht="19" x14ac:dyDescent="0.25">
      <c r="A70" s="5" t="s">
        <v>182</v>
      </c>
      <c r="B70" s="7" t="s">
        <v>284</v>
      </c>
      <c r="C70" s="7" t="s">
        <v>286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/>
      <c r="L70" s="4"/>
      <c r="M70" s="4">
        <v>0</v>
      </c>
      <c r="N70" s="4">
        <v>0</v>
      </c>
      <c r="O70" s="4">
        <v>0</v>
      </c>
      <c r="P70" s="19" t="s">
        <v>44</v>
      </c>
      <c r="Q70" s="4">
        <v>0</v>
      </c>
      <c r="R70" s="4">
        <v>0</v>
      </c>
    </row>
    <row r="71" spans="1:18" ht="19" x14ac:dyDescent="0.25">
      <c r="A71" s="5" t="s">
        <v>182</v>
      </c>
      <c r="B71" s="7" t="s">
        <v>287</v>
      </c>
      <c r="C71" s="7" t="s">
        <v>288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/>
      <c r="L71" s="4"/>
      <c r="M71" s="4">
        <v>0</v>
      </c>
      <c r="N71" s="19" t="s">
        <v>44</v>
      </c>
      <c r="O71" s="4">
        <v>0</v>
      </c>
      <c r="P71" s="4">
        <v>0</v>
      </c>
      <c r="Q71" s="19" t="s">
        <v>44</v>
      </c>
      <c r="R71" s="4">
        <v>0</v>
      </c>
    </row>
    <row r="72" spans="1:18" ht="19" x14ac:dyDescent="0.25">
      <c r="A72" s="5" t="s">
        <v>182</v>
      </c>
      <c r="B72" s="7" t="s">
        <v>287</v>
      </c>
      <c r="C72" s="5" t="s">
        <v>19</v>
      </c>
      <c r="E72" s="4">
        <v>0</v>
      </c>
      <c r="F72" s="18" t="s">
        <v>44</v>
      </c>
      <c r="G72" s="18" t="s">
        <v>44</v>
      </c>
      <c r="H72" s="18" t="s">
        <v>44</v>
      </c>
      <c r="I72" s="4">
        <v>0</v>
      </c>
      <c r="J72" s="4">
        <v>0</v>
      </c>
      <c r="K72" s="4"/>
      <c r="L72" s="4"/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</row>
    <row r="73" spans="1:18" ht="19" x14ac:dyDescent="0.25">
      <c r="A73" s="5" t="s">
        <v>183</v>
      </c>
      <c r="B73" s="7" t="s">
        <v>283</v>
      </c>
      <c r="C73" s="5" t="s">
        <v>19</v>
      </c>
      <c r="E73" s="4">
        <v>0</v>
      </c>
      <c r="F73" s="18" t="s">
        <v>44</v>
      </c>
      <c r="G73" s="18" t="s">
        <v>44</v>
      </c>
      <c r="H73" s="4">
        <v>0</v>
      </c>
      <c r="I73" s="4">
        <v>0</v>
      </c>
      <c r="J73" s="4">
        <v>0</v>
      </c>
      <c r="K73" s="4"/>
      <c r="L73" s="4"/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</row>
    <row r="74" spans="1:18" ht="19" x14ac:dyDescent="0.25">
      <c r="A74" s="5" t="s">
        <v>184</v>
      </c>
      <c r="B74" s="7" t="s">
        <v>289</v>
      </c>
      <c r="C74" s="7" t="s">
        <v>290</v>
      </c>
      <c r="E74" s="18" t="s">
        <v>44</v>
      </c>
      <c r="F74" s="18" t="s">
        <v>44</v>
      </c>
      <c r="G74" s="4">
        <v>0</v>
      </c>
      <c r="H74" s="4">
        <v>0</v>
      </c>
      <c r="I74" s="4">
        <v>0</v>
      </c>
      <c r="J74" s="4">
        <v>0</v>
      </c>
      <c r="K74" s="4"/>
      <c r="L74" s="4"/>
      <c r="M74" s="19" t="s">
        <v>44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</row>
    <row r="75" spans="1:18" ht="19" x14ac:dyDescent="0.25">
      <c r="A75" s="5" t="s">
        <v>184</v>
      </c>
      <c r="B75" s="7" t="s">
        <v>289</v>
      </c>
      <c r="C75" s="7" t="s">
        <v>291</v>
      </c>
      <c r="E75" s="4">
        <v>0</v>
      </c>
      <c r="F75" s="18" t="s">
        <v>44</v>
      </c>
      <c r="G75" s="4">
        <v>0</v>
      </c>
      <c r="H75" s="4">
        <v>0</v>
      </c>
      <c r="I75" s="4">
        <v>0</v>
      </c>
      <c r="J75" s="4">
        <v>0</v>
      </c>
      <c r="K75" s="4"/>
      <c r="L75" s="4"/>
      <c r="M75" s="4">
        <v>0</v>
      </c>
      <c r="N75" s="19" t="s">
        <v>44</v>
      </c>
      <c r="O75" s="4">
        <v>0</v>
      </c>
      <c r="P75" s="4">
        <v>0</v>
      </c>
      <c r="Q75" s="4">
        <v>0</v>
      </c>
      <c r="R75" s="4">
        <v>0</v>
      </c>
    </row>
    <row r="76" spans="1:18" ht="19" x14ac:dyDescent="0.25">
      <c r="A76" s="5" t="s">
        <v>185</v>
      </c>
      <c r="B76" s="7" t="s">
        <v>292</v>
      </c>
      <c r="C76" s="7" t="s">
        <v>293</v>
      </c>
      <c r="E76" s="18" t="s">
        <v>44</v>
      </c>
      <c r="F76" s="18" t="s">
        <v>44</v>
      </c>
      <c r="G76" s="4">
        <v>0</v>
      </c>
      <c r="H76" s="4">
        <v>0</v>
      </c>
      <c r="I76" s="4">
        <v>0</v>
      </c>
      <c r="J76" s="4">
        <v>0</v>
      </c>
      <c r="K76" s="4"/>
      <c r="L76" s="4"/>
      <c r="M76" s="19" t="s">
        <v>44</v>
      </c>
      <c r="N76" s="19" t="s">
        <v>44</v>
      </c>
      <c r="O76" s="4">
        <v>0</v>
      </c>
      <c r="P76" s="4">
        <v>0</v>
      </c>
      <c r="Q76" s="4">
        <v>0</v>
      </c>
      <c r="R76" s="4">
        <v>0</v>
      </c>
    </row>
    <row r="77" spans="1:18" ht="19" x14ac:dyDescent="0.25">
      <c r="A77" s="5" t="s">
        <v>185</v>
      </c>
      <c r="B77" s="7" t="s">
        <v>294</v>
      </c>
      <c r="C77" s="5" t="s">
        <v>19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/>
      <c r="L77" s="4"/>
      <c r="M77" s="4">
        <v>0</v>
      </c>
      <c r="N77" s="4">
        <v>0</v>
      </c>
      <c r="O77" s="19" t="s">
        <v>44</v>
      </c>
      <c r="P77" s="4">
        <v>0</v>
      </c>
      <c r="Q77" s="4">
        <v>0</v>
      </c>
      <c r="R77" s="4">
        <v>0</v>
      </c>
    </row>
    <row r="78" spans="1:18" ht="19" x14ac:dyDescent="0.25">
      <c r="A78" s="5" t="s">
        <v>186</v>
      </c>
      <c r="B78" s="7" t="s">
        <v>295</v>
      </c>
      <c r="C78" s="7" t="s">
        <v>296</v>
      </c>
      <c r="E78" s="4">
        <v>0</v>
      </c>
      <c r="F78" s="4">
        <v>0</v>
      </c>
      <c r="G78" s="18" t="s">
        <v>44</v>
      </c>
      <c r="H78" s="4">
        <v>0</v>
      </c>
      <c r="I78" s="4">
        <v>0</v>
      </c>
      <c r="J78" s="4">
        <v>0</v>
      </c>
      <c r="K78" s="4"/>
      <c r="L78" s="4"/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</row>
    <row r="79" spans="1:18" ht="19" x14ac:dyDescent="0.25">
      <c r="A79" s="5" t="s">
        <v>186</v>
      </c>
      <c r="B79" s="7" t="s">
        <v>297</v>
      </c>
      <c r="C79" s="7" t="s">
        <v>298</v>
      </c>
      <c r="E79" s="4">
        <v>0</v>
      </c>
      <c r="F79" s="4">
        <v>0</v>
      </c>
      <c r="G79" s="18" t="s">
        <v>44</v>
      </c>
      <c r="H79" s="4">
        <v>0</v>
      </c>
      <c r="I79" s="4">
        <v>0</v>
      </c>
      <c r="J79" s="4">
        <v>0</v>
      </c>
      <c r="K79" s="4"/>
      <c r="L79" s="4"/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</row>
    <row r="80" spans="1:18" ht="19" x14ac:dyDescent="0.25">
      <c r="A80" s="5" t="s">
        <v>187</v>
      </c>
      <c r="B80" s="7" t="s">
        <v>299</v>
      </c>
      <c r="C80" s="7" t="s">
        <v>300</v>
      </c>
      <c r="E80" s="4">
        <v>0</v>
      </c>
      <c r="F80" s="4">
        <v>0</v>
      </c>
      <c r="G80" s="18" t="s">
        <v>44</v>
      </c>
      <c r="H80" s="18" t="s">
        <v>44</v>
      </c>
      <c r="I80" s="18" t="s">
        <v>44</v>
      </c>
      <c r="J80" s="4">
        <v>0</v>
      </c>
      <c r="K80" s="4"/>
      <c r="L80" s="4"/>
      <c r="M80" s="4">
        <v>0</v>
      </c>
      <c r="N80" s="4">
        <v>0</v>
      </c>
      <c r="O80" s="19" t="s">
        <v>44</v>
      </c>
      <c r="P80" s="4">
        <v>0</v>
      </c>
      <c r="Q80" s="19" t="s">
        <v>44</v>
      </c>
      <c r="R80" s="4">
        <v>0</v>
      </c>
    </row>
    <row r="81" spans="1:18" ht="19" x14ac:dyDescent="0.25">
      <c r="A81" s="5" t="s">
        <v>187</v>
      </c>
      <c r="B81" s="7" t="s">
        <v>299</v>
      </c>
      <c r="C81" s="7" t="s">
        <v>301</v>
      </c>
      <c r="E81" s="4">
        <v>0</v>
      </c>
      <c r="F81" s="18" t="s">
        <v>44</v>
      </c>
      <c r="G81" s="4">
        <v>0</v>
      </c>
      <c r="H81" s="4">
        <v>0</v>
      </c>
      <c r="I81" s="4">
        <v>0</v>
      </c>
      <c r="J81" s="4">
        <v>0</v>
      </c>
      <c r="K81" s="4"/>
      <c r="L81" s="4"/>
      <c r="M81" s="4">
        <v>0</v>
      </c>
      <c r="N81" s="19" t="s">
        <v>44</v>
      </c>
      <c r="O81" s="4">
        <v>0</v>
      </c>
      <c r="P81" s="4">
        <v>0</v>
      </c>
      <c r="Q81" s="4">
        <v>0</v>
      </c>
      <c r="R81" s="4">
        <v>0</v>
      </c>
    </row>
    <row r="82" spans="1:18" ht="19" x14ac:dyDescent="0.25">
      <c r="A82" s="5" t="s">
        <v>188</v>
      </c>
      <c r="B82" s="7" t="s">
        <v>302</v>
      </c>
      <c r="C82" s="5" t="s">
        <v>417</v>
      </c>
      <c r="E82" s="18" t="s">
        <v>44</v>
      </c>
      <c r="F82" s="18" t="s">
        <v>44</v>
      </c>
      <c r="G82" s="4">
        <v>0</v>
      </c>
      <c r="H82" s="4">
        <v>0</v>
      </c>
      <c r="I82" s="4">
        <v>0</v>
      </c>
      <c r="J82" s="4">
        <v>0</v>
      </c>
      <c r="K82" s="4"/>
      <c r="L82" s="4"/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</row>
    <row r="83" spans="1:18" ht="19" x14ac:dyDescent="0.25">
      <c r="A83" s="5" t="s">
        <v>189</v>
      </c>
      <c r="B83" s="7" t="s">
        <v>303</v>
      </c>
      <c r="C83" s="5" t="s">
        <v>19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18" t="s">
        <v>44</v>
      </c>
      <c r="K83" s="4"/>
      <c r="L83" s="4"/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</row>
    <row r="84" spans="1:18" ht="19" x14ac:dyDescent="0.25">
      <c r="A84" s="5" t="s">
        <v>189</v>
      </c>
      <c r="B84" s="7" t="s">
        <v>304</v>
      </c>
      <c r="C84" s="7" t="s">
        <v>305</v>
      </c>
      <c r="E84" s="18" t="s">
        <v>44</v>
      </c>
      <c r="F84" s="18" t="s">
        <v>44</v>
      </c>
      <c r="G84" s="4">
        <v>0</v>
      </c>
      <c r="H84" s="4">
        <v>0</v>
      </c>
      <c r="I84" s="4">
        <v>0</v>
      </c>
      <c r="J84" s="4">
        <v>0</v>
      </c>
      <c r="K84" s="4"/>
      <c r="L84" s="4"/>
      <c r="M84" s="19" t="s">
        <v>44</v>
      </c>
      <c r="N84" s="19" t="s">
        <v>44</v>
      </c>
      <c r="O84" s="4">
        <v>0</v>
      </c>
      <c r="P84" s="4">
        <v>0</v>
      </c>
      <c r="Q84" s="4">
        <v>0</v>
      </c>
      <c r="R84" s="4">
        <v>0</v>
      </c>
    </row>
    <row r="85" spans="1:18" ht="19" x14ac:dyDescent="0.25">
      <c r="A85" s="5" t="s">
        <v>189</v>
      </c>
      <c r="B85" s="7" t="s">
        <v>304</v>
      </c>
      <c r="C85" s="7" t="s">
        <v>306</v>
      </c>
      <c r="E85" s="18" t="s">
        <v>44</v>
      </c>
      <c r="F85" s="4">
        <v>0</v>
      </c>
      <c r="G85" s="18" t="s">
        <v>44</v>
      </c>
      <c r="H85" s="4">
        <v>0</v>
      </c>
      <c r="I85" s="4">
        <v>0</v>
      </c>
      <c r="J85" s="4">
        <v>0</v>
      </c>
      <c r="K85" s="4"/>
      <c r="L85" s="4"/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</row>
    <row r="86" spans="1:18" ht="19" x14ac:dyDescent="0.25">
      <c r="A86" s="5" t="s">
        <v>189</v>
      </c>
      <c r="B86" s="7" t="s">
        <v>304</v>
      </c>
      <c r="C86" s="7" t="s">
        <v>307</v>
      </c>
      <c r="E86" s="4">
        <v>0</v>
      </c>
      <c r="F86" s="18" t="s">
        <v>44</v>
      </c>
      <c r="G86" s="4">
        <v>0</v>
      </c>
      <c r="H86" s="4">
        <v>0</v>
      </c>
      <c r="I86" s="4">
        <v>0</v>
      </c>
      <c r="J86" s="4">
        <v>0</v>
      </c>
      <c r="K86" s="4"/>
      <c r="L86" s="4"/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</row>
    <row r="87" spans="1:18" ht="19" x14ac:dyDescent="0.25">
      <c r="A87" s="5" t="s">
        <v>189</v>
      </c>
      <c r="B87" s="7" t="s">
        <v>304</v>
      </c>
      <c r="C87" s="7" t="s">
        <v>308</v>
      </c>
      <c r="E87" s="4">
        <v>0</v>
      </c>
      <c r="F87" s="18" t="s">
        <v>44</v>
      </c>
      <c r="G87" s="4">
        <v>0</v>
      </c>
      <c r="H87" s="18" t="s">
        <v>44</v>
      </c>
      <c r="I87" s="18" t="s">
        <v>44</v>
      </c>
      <c r="J87" s="4">
        <v>0</v>
      </c>
      <c r="K87" s="4"/>
      <c r="L87" s="4"/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</row>
    <row r="88" spans="1:18" ht="19" x14ac:dyDescent="0.25">
      <c r="A88" s="5" t="s">
        <v>189</v>
      </c>
      <c r="B88" s="7" t="s">
        <v>304</v>
      </c>
      <c r="C88" s="7" t="s">
        <v>309</v>
      </c>
      <c r="E88" s="4">
        <v>0</v>
      </c>
      <c r="F88" s="4">
        <v>0</v>
      </c>
      <c r="G88" s="18" t="s">
        <v>44</v>
      </c>
      <c r="H88" s="18" t="s">
        <v>44</v>
      </c>
      <c r="I88" s="4">
        <v>0</v>
      </c>
      <c r="J88" s="4">
        <v>0</v>
      </c>
      <c r="K88" s="4"/>
      <c r="L88" s="4"/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</row>
    <row r="89" spans="1:18" ht="19" x14ac:dyDescent="0.25">
      <c r="A89" s="5" t="s">
        <v>189</v>
      </c>
      <c r="B89" s="7" t="s">
        <v>310</v>
      </c>
      <c r="C89" s="5" t="s">
        <v>19</v>
      </c>
      <c r="E89" s="4">
        <v>0</v>
      </c>
      <c r="F89" s="4">
        <v>0</v>
      </c>
      <c r="G89" s="18" t="s">
        <v>44</v>
      </c>
      <c r="H89" s="4">
        <v>0</v>
      </c>
      <c r="I89" s="4">
        <v>0</v>
      </c>
      <c r="J89" s="4">
        <v>0</v>
      </c>
      <c r="K89" s="4"/>
      <c r="L89" s="4"/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</row>
    <row r="90" spans="1:18" ht="19" x14ac:dyDescent="0.25">
      <c r="A90" s="5" t="s">
        <v>190</v>
      </c>
      <c r="B90" s="7" t="s">
        <v>311</v>
      </c>
      <c r="C90" s="5" t="s">
        <v>19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/>
      <c r="L90" s="4"/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19" t="s">
        <v>44</v>
      </c>
    </row>
    <row r="91" spans="1:18" ht="19" x14ac:dyDescent="0.25">
      <c r="A91" s="5" t="s">
        <v>191</v>
      </c>
      <c r="B91" s="7" t="s">
        <v>312</v>
      </c>
      <c r="C91" s="7" t="s">
        <v>199</v>
      </c>
      <c r="E91" s="18" t="s">
        <v>44</v>
      </c>
      <c r="F91" s="18" t="s">
        <v>44</v>
      </c>
      <c r="G91" s="4">
        <v>0</v>
      </c>
      <c r="H91" s="4">
        <v>0</v>
      </c>
      <c r="I91" s="4">
        <v>0</v>
      </c>
      <c r="J91" s="4">
        <v>0</v>
      </c>
      <c r="K91" s="4"/>
      <c r="L91" s="4"/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</row>
    <row r="92" spans="1:18" ht="19" x14ac:dyDescent="0.25">
      <c r="A92" s="5" t="s">
        <v>192</v>
      </c>
      <c r="B92" s="7" t="s">
        <v>313</v>
      </c>
      <c r="C92" s="7" t="s">
        <v>314</v>
      </c>
      <c r="E92" s="4">
        <v>0</v>
      </c>
      <c r="F92" s="4">
        <v>0</v>
      </c>
      <c r="G92" s="18" t="s">
        <v>44</v>
      </c>
      <c r="H92" s="4">
        <v>0</v>
      </c>
      <c r="I92" s="4">
        <v>0</v>
      </c>
      <c r="J92" s="4">
        <v>0</v>
      </c>
      <c r="K92" s="4"/>
      <c r="L92" s="4"/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</row>
    <row r="93" spans="1:18" ht="19" x14ac:dyDescent="0.25">
      <c r="A93" s="5" t="s">
        <v>193</v>
      </c>
      <c r="B93" s="7" t="s">
        <v>315</v>
      </c>
      <c r="C93" s="7" t="s">
        <v>316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/>
      <c r="L93" s="4"/>
      <c r="M93" s="4">
        <v>0</v>
      </c>
      <c r="N93" s="4">
        <v>0</v>
      </c>
      <c r="O93" s="4">
        <v>0</v>
      </c>
      <c r="P93" s="4">
        <v>0</v>
      </c>
      <c r="Q93" s="19" t="s">
        <v>44</v>
      </c>
      <c r="R93" s="4">
        <v>0</v>
      </c>
    </row>
    <row r="94" spans="1:18" ht="19" x14ac:dyDescent="0.25">
      <c r="A94" s="5" t="s">
        <v>194</v>
      </c>
      <c r="B94" s="7" t="s">
        <v>317</v>
      </c>
      <c r="C94" s="7" t="s">
        <v>318</v>
      </c>
      <c r="E94" s="4">
        <v>0</v>
      </c>
      <c r="F94" s="18" t="s">
        <v>44</v>
      </c>
      <c r="G94" s="4">
        <v>0</v>
      </c>
      <c r="H94" s="4">
        <v>0</v>
      </c>
      <c r="I94" s="4">
        <v>0</v>
      </c>
      <c r="J94" s="4">
        <v>0</v>
      </c>
      <c r="K94" s="4"/>
      <c r="L94" s="4"/>
      <c r="M94" s="4">
        <v>0</v>
      </c>
      <c r="N94" s="19" t="s">
        <v>44</v>
      </c>
      <c r="O94" s="19" t="s">
        <v>44</v>
      </c>
      <c r="P94" s="4">
        <v>0</v>
      </c>
      <c r="Q94" s="4">
        <v>0</v>
      </c>
      <c r="R94" s="4">
        <v>0</v>
      </c>
    </row>
    <row r="95" spans="1:18" ht="19" x14ac:dyDescent="0.25">
      <c r="A95" s="5" t="s">
        <v>194</v>
      </c>
      <c r="B95" s="7" t="s">
        <v>317</v>
      </c>
      <c r="C95" s="7" t="s">
        <v>319</v>
      </c>
      <c r="E95" s="4">
        <v>0</v>
      </c>
      <c r="F95" s="4">
        <v>0</v>
      </c>
      <c r="G95" s="4">
        <v>0</v>
      </c>
      <c r="H95" s="4">
        <v>0</v>
      </c>
      <c r="I95" s="18" t="s">
        <v>44</v>
      </c>
      <c r="J95" s="4">
        <v>0</v>
      </c>
      <c r="K95" s="4"/>
      <c r="L95" s="4"/>
      <c r="M95" s="4">
        <v>0</v>
      </c>
      <c r="N95" s="19" t="s">
        <v>44</v>
      </c>
      <c r="O95" s="19" t="s">
        <v>44</v>
      </c>
      <c r="P95" s="19" t="s">
        <v>44</v>
      </c>
      <c r="Q95" s="19" t="s">
        <v>44</v>
      </c>
      <c r="R95" s="4">
        <v>0</v>
      </c>
    </row>
    <row r="96" spans="1:18" ht="19" x14ac:dyDescent="0.25">
      <c r="A96" s="5" t="s">
        <v>194</v>
      </c>
      <c r="B96" s="7" t="s">
        <v>320</v>
      </c>
      <c r="C96" s="7" t="s">
        <v>321</v>
      </c>
      <c r="E96" s="4">
        <v>0</v>
      </c>
      <c r="F96" s="18" t="s">
        <v>44</v>
      </c>
      <c r="G96" s="18" t="s">
        <v>44</v>
      </c>
      <c r="H96" s="4">
        <v>0</v>
      </c>
      <c r="I96" s="4">
        <v>0</v>
      </c>
      <c r="J96" s="4">
        <v>0</v>
      </c>
      <c r="K96" s="4"/>
      <c r="L96" s="4"/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</row>
    <row r="97" spans="1:18" ht="19" x14ac:dyDescent="0.25">
      <c r="A97" s="5" t="s">
        <v>194</v>
      </c>
      <c r="B97" s="7" t="s">
        <v>320</v>
      </c>
      <c r="C97" s="7" t="s">
        <v>322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/>
      <c r="L97" s="4"/>
      <c r="M97" s="19" t="s">
        <v>44</v>
      </c>
      <c r="N97" s="19" t="s">
        <v>44</v>
      </c>
      <c r="O97" s="4">
        <v>0</v>
      </c>
      <c r="P97" s="4">
        <v>0</v>
      </c>
      <c r="Q97" s="4">
        <v>0</v>
      </c>
      <c r="R97" s="4">
        <v>0</v>
      </c>
    </row>
    <row r="98" spans="1:18" ht="19" x14ac:dyDescent="0.25">
      <c r="A98" s="5" t="s">
        <v>194</v>
      </c>
      <c r="B98" s="7" t="s">
        <v>323</v>
      </c>
      <c r="C98" s="7" t="s">
        <v>324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/>
      <c r="L98" s="4"/>
      <c r="M98" s="4">
        <v>0</v>
      </c>
      <c r="N98" s="4">
        <v>0</v>
      </c>
      <c r="O98" s="4">
        <v>0</v>
      </c>
      <c r="P98" s="19" t="s">
        <v>44</v>
      </c>
      <c r="Q98" s="4">
        <v>0</v>
      </c>
      <c r="R98" s="4">
        <v>0</v>
      </c>
    </row>
    <row r="99" spans="1:18" ht="19" x14ac:dyDescent="0.25">
      <c r="A99" s="5" t="s">
        <v>194</v>
      </c>
      <c r="B99" s="7" t="s">
        <v>323</v>
      </c>
      <c r="C99" s="5" t="s">
        <v>19</v>
      </c>
      <c r="E99" s="4">
        <v>0</v>
      </c>
      <c r="F99" s="18" t="s">
        <v>44</v>
      </c>
      <c r="G99" s="4">
        <v>0</v>
      </c>
      <c r="H99" s="4">
        <v>0</v>
      </c>
      <c r="I99" s="4">
        <v>0</v>
      </c>
      <c r="J99" s="4">
        <v>0</v>
      </c>
      <c r="K99" s="4"/>
      <c r="L99" s="4"/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</row>
    <row r="100" spans="1:18" ht="19" x14ac:dyDescent="0.25">
      <c r="A100" s="5" t="s">
        <v>195</v>
      </c>
      <c r="B100" s="7" t="s">
        <v>325</v>
      </c>
      <c r="C100" s="7" t="s">
        <v>326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/>
      <c r="L100" s="4"/>
      <c r="M100" s="4">
        <v>0</v>
      </c>
      <c r="N100" s="4">
        <v>0</v>
      </c>
      <c r="O100" s="4">
        <v>0</v>
      </c>
      <c r="P100" s="4">
        <v>0</v>
      </c>
      <c r="Q100" s="19" t="s">
        <v>44</v>
      </c>
      <c r="R100" s="19" t="s">
        <v>44</v>
      </c>
    </row>
    <row r="101" spans="1:18" ht="19" x14ac:dyDescent="0.25">
      <c r="A101" s="5" t="s">
        <v>195</v>
      </c>
      <c r="B101" s="7" t="s">
        <v>325</v>
      </c>
      <c r="C101" s="7" t="s">
        <v>327</v>
      </c>
      <c r="E101" s="4">
        <v>0</v>
      </c>
      <c r="F101" s="18" t="s">
        <v>44</v>
      </c>
      <c r="G101" s="4">
        <v>0</v>
      </c>
      <c r="H101" s="18" t="s">
        <v>44</v>
      </c>
      <c r="I101" s="4">
        <v>0</v>
      </c>
      <c r="J101" s="4">
        <v>0</v>
      </c>
      <c r="K101" s="4"/>
      <c r="L101" s="4"/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</row>
    <row r="102" spans="1:18" ht="19" x14ac:dyDescent="0.25">
      <c r="A102" s="5" t="s">
        <v>195</v>
      </c>
      <c r="B102" s="7" t="s">
        <v>325</v>
      </c>
      <c r="C102" s="7" t="s">
        <v>328</v>
      </c>
      <c r="E102" s="4">
        <v>0</v>
      </c>
      <c r="F102" s="4">
        <v>0</v>
      </c>
      <c r="G102" s="4">
        <v>0</v>
      </c>
      <c r="H102" s="18" t="s">
        <v>44</v>
      </c>
      <c r="I102" s="18" t="s">
        <v>44</v>
      </c>
      <c r="J102" s="4">
        <v>0</v>
      </c>
      <c r="K102" s="4"/>
      <c r="L102" s="4"/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</row>
    <row r="103" spans="1:18" ht="19" x14ac:dyDescent="0.25">
      <c r="A103" s="5" t="s">
        <v>195</v>
      </c>
      <c r="B103" s="7" t="s">
        <v>325</v>
      </c>
      <c r="C103" s="7" t="s">
        <v>329</v>
      </c>
      <c r="E103" s="4">
        <v>0</v>
      </c>
      <c r="F103" s="18" t="s">
        <v>44</v>
      </c>
      <c r="G103" s="4">
        <v>0</v>
      </c>
      <c r="H103" s="4">
        <v>0</v>
      </c>
      <c r="I103" s="4">
        <v>0</v>
      </c>
      <c r="J103" s="4">
        <v>0</v>
      </c>
      <c r="K103" s="4"/>
      <c r="L103" s="4"/>
      <c r="M103" s="4">
        <v>0</v>
      </c>
      <c r="N103" s="19" t="s">
        <v>44</v>
      </c>
      <c r="O103" s="4">
        <v>0</v>
      </c>
      <c r="P103" s="4">
        <v>0</v>
      </c>
      <c r="Q103" s="4">
        <v>0</v>
      </c>
      <c r="R103" s="4">
        <v>0</v>
      </c>
    </row>
    <row r="104" spans="1:18" ht="19" x14ac:dyDescent="0.25">
      <c r="A104" s="5" t="s">
        <v>195</v>
      </c>
      <c r="B104" s="7" t="s">
        <v>325</v>
      </c>
      <c r="C104" s="7" t="s">
        <v>330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/>
      <c r="L104" s="4"/>
      <c r="M104" s="4">
        <v>0</v>
      </c>
      <c r="N104" s="4">
        <v>0</v>
      </c>
      <c r="O104" s="4">
        <v>0</v>
      </c>
      <c r="P104" s="4">
        <v>0</v>
      </c>
      <c r="Q104" s="19" t="s">
        <v>44</v>
      </c>
      <c r="R104" s="19" t="s">
        <v>44</v>
      </c>
    </row>
    <row r="105" spans="1:18" ht="19" x14ac:dyDescent="0.25">
      <c r="A105" s="5" t="s">
        <v>195</v>
      </c>
      <c r="B105" s="7" t="s">
        <v>325</v>
      </c>
      <c r="C105" s="5" t="s">
        <v>418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/>
      <c r="L105" s="4"/>
      <c r="M105" s="4">
        <v>0</v>
      </c>
      <c r="N105" s="19" t="s">
        <v>44</v>
      </c>
      <c r="O105" s="4">
        <v>0</v>
      </c>
      <c r="P105" s="4">
        <v>0</v>
      </c>
      <c r="Q105" s="4">
        <v>0</v>
      </c>
      <c r="R105" s="4">
        <v>0</v>
      </c>
    </row>
    <row r="107" spans="1:18" x14ac:dyDescent="0.2">
      <c r="D107" t="s">
        <v>499</v>
      </c>
      <c r="E107">
        <f>COUNTIF(E4:E105,"X")</f>
        <v>17</v>
      </c>
      <c r="F107">
        <f t="shared" ref="F107:J107" si="0">COUNTIF(F4:F105,"X")</f>
        <v>41</v>
      </c>
      <c r="G107">
        <f t="shared" si="0"/>
        <v>21</v>
      </c>
      <c r="H107">
        <f t="shared" si="0"/>
        <v>28</v>
      </c>
      <c r="I107">
        <f t="shared" si="0"/>
        <v>20</v>
      </c>
      <c r="J107">
        <f t="shared" si="0"/>
        <v>17</v>
      </c>
      <c r="M107">
        <f>COUNTIF(M4:M105,"X")</f>
        <v>11</v>
      </c>
      <c r="N107">
        <f t="shared" ref="N107:R107" si="1">COUNTIF(N4:N105,"X")</f>
        <v>26</v>
      </c>
      <c r="O107">
        <f t="shared" si="1"/>
        <v>9</v>
      </c>
      <c r="P107">
        <f t="shared" si="1"/>
        <v>11</v>
      </c>
      <c r="Q107">
        <f t="shared" si="1"/>
        <v>15</v>
      </c>
      <c r="R107">
        <f t="shared" si="1"/>
        <v>18</v>
      </c>
    </row>
    <row r="108" spans="1:18" x14ac:dyDescent="0.2">
      <c r="E108" s="2" t="s">
        <v>38</v>
      </c>
      <c r="F108" s="2" t="s">
        <v>39</v>
      </c>
      <c r="G108" s="2" t="s">
        <v>40</v>
      </c>
      <c r="H108" s="2" t="s">
        <v>41</v>
      </c>
      <c r="I108" s="2" t="s">
        <v>42</v>
      </c>
      <c r="J108" s="2" t="s">
        <v>43</v>
      </c>
      <c r="M108" s="2" t="s">
        <v>38</v>
      </c>
      <c r="N108" s="2" t="s">
        <v>39</v>
      </c>
      <c r="O108" s="2" t="s">
        <v>40</v>
      </c>
      <c r="P108" s="2" t="s">
        <v>41</v>
      </c>
      <c r="Q108" s="2" t="s">
        <v>42</v>
      </c>
      <c r="R108" s="2" t="s">
        <v>43</v>
      </c>
    </row>
    <row r="110" spans="1:18" x14ac:dyDescent="0.2">
      <c r="D110" t="s">
        <v>501</v>
      </c>
      <c r="E110">
        <f>E107+M107</f>
        <v>28</v>
      </c>
      <c r="F110">
        <f>F107+N107</f>
        <v>67</v>
      </c>
      <c r="G110">
        <f>G107+O107</f>
        <v>30</v>
      </c>
      <c r="H110">
        <f>H107+P107</f>
        <v>39</v>
      </c>
      <c r="I110">
        <f>I107+Q107</f>
        <v>35</v>
      </c>
      <c r="J110">
        <f t="shared" ref="J110" si="2">J107+R107</f>
        <v>35</v>
      </c>
    </row>
    <row r="111" spans="1:18" x14ac:dyDescent="0.2">
      <c r="E111" s="2" t="s">
        <v>38</v>
      </c>
      <c r="F111" s="2" t="s">
        <v>39</v>
      </c>
      <c r="G111" s="2" t="s">
        <v>40</v>
      </c>
      <c r="H111" s="2" t="s">
        <v>41</v>
      </c>
      <c r="I111" s="2" t="s">
        <v>42</v>
      </c>
      <c r="J111" s="2" t="s">
        <v>43</v>
      </c>
    </row>
  </sheetData>
  <sortState xmlns:xlrd2="http://schemas.microsoft.com/office/spreadsheetml/2017/richdata2" ref="A4:S105">
    <sortCondition ref="A4:A105"/>
    <sortCondition ref="B4:B105"/>
    <sortCondition ref="C4:C105"/>
  </sortState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4"/>
  <sheetViews>
    <sheetView topLeftCell="A5" workbookViewId="0">
      <selection activeCell="D33" sqref="D33:J33"/>
    </sheetView>
  </sheetViews>
  <sheetFormatPr baseColWidth="10" defaultColWidth="8.83203125" defaultRowHeight="15" x14ac:dyDescent="0.2"/>
  <cols>
    <col min="1" max="1" width="24.5" customWidth="1"/>
    <col min="2" max="2" width="21.33203125" customWidth="1"/>
    <col min="3" max="3" width="18.6640625" customWidth="1"/>
    <col min="5" max="9" width="9.5" customWidth="1"/>
    <col min="10" max="10" width="10.83203125" customWidth="1"/>
    <col min="13" max="13" width="12.1640625" customWidth="1"/>
    <col min="14" max="14" width="9.5" customWidth="1"/>
    <col min="15" max="15" width="10.33203125" customWidth="1"/>
    <col min="16" max="16" width="10.6640625" customWidth="1"/>
    <col min="17" max="17" width="9.5" customWidth="1"/>
    <col min="18" max="18" width="13.5" customWidth="1"/>
  </cols>
  <sheetData>
    <row r="1" spans="1:18" ht="21" x14ac:dyDescent="0.25">
      <c r="A1" s="13" t="s">
        <v>333</v>
      </c>
    </row>
    <row r="2" spans="1:18" ht="19" x14ac:dyDescent="0.25">
      <c r="A2" s="5" t="s">
        <v>497</v>
      </c>
      <c r="B2" s="5"/>
      <c r="C2" s="5"/>
      <c r="E2" s="3" t="s">
        <v>486</v>
      </c>
      <c r="M2" s="3" t="s">
        <v>487</v>
      </c>
    </row>
    <row r="3" spans="1:18" ht="19" x14ac:dyDescent="0.25">
      <c r="A3" s="6" t="s">
        <v>1</v>
      </c>
      <c r="B3" s="6" t="s">
        <v>2</v>
      </c>
      <c r="C3" s="6" t="s">
        <v>3</v>
      </c>
      <c r="D3" s="1"/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/>
      <c r="L3" s="2"/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</row>
    <row r="4" spans="1:18" ht="20" x14ac:dyDescent="0.25">
      <c r="A4" s="16" t="s">
        <v>377</v>
      </c>
      <c r="B4" s="7" t="s">
        <v>365</v>
      </c>
      <c r="C4" s="7" t="s">
        <v>366</v>
      </c>
      <c r="D4" s="5"/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/>
      <c r="L4" s="4"/>
      <c r="M4" s="4">
        <v>0</v>
      </c>
      <c r="N4" s="4">
        <v>0</v>
      </c>
      <c r="O4" s="4">
        <v>0</v>
      </c>
      <c r="P4" s="4">
        <v>0</v>
      </c>
      <c r="Q4" s="19" t="s">
        <v>44</v>
      </c>
      <c r="R4" s="4">
        <v>0</v>
      </c>
    </row>
    <row r="5" spans="1:18" ht="20" x14ac:dyDescent="0.25">
      <c r="A5" s="16" t="s">
        <v>377</v>
      </c>
      <c r="B5" s="7" t="s">
        <v>363</v>
      </c>
      <c r="C5" s="7" t="s">
        <v>364</v>
      </c>
      <c r="D5" s="5"/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/>
      <c r="L5" s="4"/>
      <c r="M5" s="4">
        <v>0</v>
      </c>
      <c r="N5" s="4">
        <v>0</v>
      </c>
      <c r="O5" s="4">
        <v>0</v>
      </c>
      <c r="P5" s="4">
        <v>0</v>
      </c>
      <c r="Q5" s="4">
        <v>0</v>
      </c>
      <c r="R5" s="19" t="s">
        <v>44</v>
      </c>
    </row>
    <row r="6" spans="1:18" ht="20" x14ac:dyDescent="0.25">
      <c r="A6" s="16" t="s">
        <v>377</v>
      </c>
      <c r="B6" s="7" t="s">
        <v>349</v>
      </c>
      <c r="C6" s="7" t="s">
        <v>350</v>
      </c>
      <c r="D6" s="5"/>
      <c r="E6" s="4">
        <v>0</v>
      </c>
      <c r="F6" s="4">
        <v>0</v>
      </c>
      <c r="G6" s="4">
        <v>0</v>
      </c>
      <c r="H6" s="18" t="s">
        <v>44</v>
      </c>
      <c r="I6" s="4">
        <v>0</v>
      </c>
      <c r="J6" s="4">
        <v>0</v>
      </c>
      <c r="K6" s="4"/>
      <c r="L6" s="4"/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</row>
    <row r="7" spans="1:18" ht="20" x14ac:dyDescent="0.25">
      <c r="A7" s="16" t="s">
        <v>377</v>
      </c>
      <c r="B7" s="7" t="s">
        <v>336</v>
      </c>
      <c r="C7" s="7" t="s">
        <v>337</v>
      </c>
      <c r="D7" s="5"/>
      <c r="E7" s="4">
        <v>0</v>
      </c>
      <c r="F7" s="18" t="s">
        <v>44</v>
      </c>
      <c r="G7" s="4">
        <v>0</v>
      </c>
      <c r="H7" s="4">
        <v>0</v>
      </c>
      <c r="I7" s="4">
        <v>0</v>
      </c>
      <c r="J7" s="4">
        <v>0</v>
      </c>
      <c r="K7" s="4"/>
      <c r="L7" s="4"/>
      <c r="M7" s="4">
        <v>0</v>
      </c>
      <c r="N7" s="19" t="s">
        <v>44</v>
      </c>
      <c r="O7" s="4">
        <v>0</v>
      </c>
      <c r="P7" s="4">
        <v>0</v>
      </c>
      <c r="Q7" s="4">
        <v>0</v>
      </c>
      <c r="R7" s="4">
        <v>0</v>
      </c>
    </row>
    <row r="8" spans="1:18" ht="19" x14ac:dyDescent="0.25">
      <c r="A8" s="5" t="s">
        <v>377</v>
      </c>
      <c r="B8" s="7" t="s">
        <v>359</v>
      </c>
      <c r="C8" s="7" t="s">
        <v>360</v>
      </c>
      <c r="D8" s="5"/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/>
      <c r="L8" s="4"/>
      <c r="M8" s="4">
        <v>0</v>
      </c>
      <c r="N8" s="19" t="s">
        <v>44</v>
      </c>
      <c r="O8" s="4">
        <v>0</v>
      </c>
      <c r="P8" s="4">
        <v>0</v>
      </c>
      <c r="Q8" s="4">
        <v>0</v>
      </c>
      <c r="R8" s="4">
        <v>0</v>
      </c>
    </row>
    <row r="9" spans="1:18" ht="19" x14ac:dyDescent="0.25">
      <c r="A9" s="15" t="s">
        <v>377</v>
      </c>
      <c r="B9" s="7" t="s">
        <v>343</v>
      </c>
      <c r="C9" s="7" t="s">
        <v>344</v>
      </c>
      <c r="D9" s="5"/>
      <c r="E9" s="4">
        <v>0</v>
      </c>
      <c r="F9" s="4">
        <v>0</v>
      </c>
      <c r="G9" s="18" t="s">
        <v>44</v>
      </c>
      <c r="H9" s="18" t="s">
        <v>44</v>
      </c>
      <c r="I9" s="4">
        <v>0</v>
      </c>
      <c r="J9" s="4">
        <v>0</v>
      </c>
      <c r="K9" s="4"/>
      <c r="L9" s="4"/>
      <c r="M9" s="4">
        <v>0</v>
      </c>
      <c r="N9" s="19" t="s">
        <v>44</v>
      </c>
      <c r="O9" s="4">
        <v>0</v>
      </c>
      <c r="P9" s="4">
        <v>0</v>
      </c>
      <c r="Q9" s="4">
        <v>0</v>
      </c>
      <c r="R9" s="4">
        <v>0</v>
      </c>
    </row>
    <row r="10" spans="1:18" ht="19" x14ac:dyDescent="0.25">
      <c r="A10" s="10" t="s">
        <v>377</v>
      </c>
      <c r="B10" s="7" t="s">
        <v>367</v>
      </c>
      <c r="C10" s="7" t="s">
        <v>368</v>
      </c>
      <c r="D10" s="5"/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/>
      <c r="L10" s="4"/>
      <c r="M10" s="4">
        <v>0</v>
      </c>
      <c r="N10" s="19" t="s">
        <v>44</v>
      </c>
      <c r="O10" s="4">
        <v>0</v>
      </c>
      <c r="P10" s="4">
        <v>0</v>
      </c>
      <c r="Q10" s="4">
        <v>0</v>
      </c>
      <c r="R10" s="4">
        <v>0</v>
      </c>
    </row>
    <row r="11" spans="1:18" ht="20" x14ac:dyDescent="0.25">
      <c r="A11" s="16" t="s">
        <v>377</v>
      </c>
      <c r="B11" s="7" t="s">
        <v>354</v>
      </c>
      <c r="C11" s="5" t="s">
        <v>160</v>
      </c>
      <c r="D11" s="5"/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/>
      <c r="L11" s="4"/>
      <c r="M11" s="4">
        <v>0</v>
      </c>
      <c r="N11" s="19" t="s">
        <v>44</v>
      </c>
      <c r="O11" s="4">
        <v>0</v>
      </c>
      <c r="P11" s="4">
        <v>0</v>
      </c>
      <c r="Q11" s="4">
        <v>0</v>
      </c>
      <c r="R11" s="4">
        <v>0</v>
      </c>
    </row>
    <row r="12" spans="1:18" ht="19" x14ac:dyDescent="0.25">
      <c r="A12" s="15" t="s">
        <v>377</v>
      </c>
      <c r="B12" s="7" t="s">
        <v>357</v>
      </c>
      <c r="C12" s="7" t="s">
        <v>358</v>
      </c>
      <c r="D12" s="5"/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/>
      <c r="L12" s="4"/>
      <c r="M12" s="4">
        <v>0</v>
      </c>
      <c r="N12" s="19" t="s">
        <v>44</v>
      </c>
      <c r="O12" s="4">
        <v>0</v>
      </c>
      <c r="P12" s="4">
        <v>0</v>
      </c>
      <c r="Q12" s="4">
        <v>0</v>
      </c>
      <c r="R12" s="4">
        <v>0</v>
      </c>
    </row>
    <row r="13" spans="1:18" ht="19" x14ac:dyDescent="0.25">
      <c r="A13" s="15" t="s">
        <v>377</v>
      </c>
      <c r="B13" s="7" t="s">
        <v>357</v>
      </c>
      <c r="C13" s="7" t="s">
        <v>361</v>
      </c>
      <c r="D13" s="5"/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/>
      <c r="L13" s="4"/>
      <c r="M13" s="4">
        <v>0</v>
      </c>
      <c r="N13" s="19" t="s">
        <v>44</v>
      </c>
      <c r="O13" s="19" t="s">
        <v>44</v>
      </c>
      <c r="P13" s="4">
        <v>0</v>
      </c>
      <c r="Q13" s="4">
        <v>0</v>
      </c>
      <c r="R13" s="4">
        <v>0</v>
      </c>
    </row>
    <row r="14" spans="1:18" ht="20" x14ac:dyDescent="0.25">
      <c r="A14" s="16" t="s">
        <v>377</v>
      </c>
      <c r="B14" s="7" t="s">
        <v>355</v>
      </c>
      <c r="C14" s="7" t="s">
        <v>356</v>
      </c>
      <c r="D14" s="5"/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/>
      <c r="L14" s="4"/>
      <c r="M14" s="4">
        <v>0</v>
      </c>
      <c r="N14" s="19" t="s">
        <v>44</v>
      </c>
      <c r="O14" s="4">
        <v>0</v>
      </c>
      <c r="P14" s="4">
        <v>0</v>
      </c>
      <c r="Q14" s="4">
        <v>0</v>
      </c>
      <c r="R14" s="4">
        <v>0</v>
      </c>
    </row>
    <row r="15" spans="1:18" ht="20" x14ac:dyDescent="0.25">
      <c r="A15" s="16" t="s">
        <v>377</v>
      </c>
      <c r="B15" s="7" t="s">
        <v>347</v>
      </c>
      <c r="C15" s="7" t="s">
        <v>348</v>
      </c>
      <c r="D15" s="5"/>
      <c r="E15" s="4">
        <v>0</v>
      </c>
      <c r="F15" s="18" t="s">
        <v>44</v>
      </c>
      <c r="G15" s="4">
        <v>0</v>
      </c>
      <c r="H15" s="4">
        <v>0</v>
      </c>
      <c r="I15" s="4">
        <v>0</v>
      </c>
      <c r="J15" s="4">
        <v>0</v>
      </c>
      <c r="K15" s="4"/>
      <c r="L15" s="4"/>
      <c r="M15" s="4">
        <v>0</v>
      </c>
      <c r="N15" s="19" t="s">
        <v>44</v>
      </c>
      <c r="O15" s="4">
        <v>0</v>
      </c>
      <c r="P15" s="4">
        <v>0</v>
      </c>
      <c r="Q15" s="4">
        <v>0</v>
      </c>
      <c r="R15" s="4">
        <v>0</v>
      </c>
    </row>
    <row r="16" spans="1:18" ht="19" x14ac:dyDescent="0.25">
      <c r="A16" s="15" t="s">
        <v>377</v>
      </c>
      <c r="B16" s="7" t="s">
        <v>342</v>
      </c>
      <c r="C16" s="5" t="s">
        <v>160</v>
      </c>
      <c r="D16" s="5"/>
      <c r="E16" s="18" t="s">
        <v>44</v>
      </c>
      <c r="F16" s="18" t="s">
        <v>44</v>
      </c>
      <c r="G16" s="4">
        <v>0</v>
      </c>
      <c r="H16" s="18" t="s">
        <v>44</v>
      </c>
      <c r="I16" s="4">
        <v>0</v>
      </c>
      <c r="J16" s="4">
        <v>0</v>
      </c>
      <c r="K16" s="4"/>
      <c r="L16" s="4"/>
      <c r="M16" s="4">
        <v>0</v>
      </c>
      <c r="N16" s="4">
        <v>0</v>
      </c>
      <c r="O16" s="4">
        <v>0</v>
      </c>
      <c r="P16" s="19" t="s">
        <v>44</v>
      </c>
      <c r="Q16" s="4">
        <v>0</v>
      </c>
      <c r="R16" s="4">
        <v>0</v>
      </c>
    </row>
    <row r="17" spans="1:18" ht="19" x14ac:dyDescent="0.25">
      <c r="A17" s="10" t="s">
        <v>380</v>
      </c>
      <c r="B17" s="7" t="s">
        <v>352</v>
      </c>
      <c r="C17" s="7" t="s">
        <v>353</v>
      </c>
      <c r="D17" s="5"/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/>
      <c r="L17" s="4"/>
      <c r="M17" s="19" t="s">
        <v>44</v>
      </c>
      <c r="N17" s="19" t="s">
        <v>44</v>
      </c>
      <c r="O17" s="4">
        <v>0</v>
      </c>
      <c r="P17" s="4">
        <v>0</v>
      </c>
      <c r="Q17" s="4">
        <v>0</v>
      </c>
      <c r="R17" s="4">
        <v>0</v>
      </c>
    </row>
    <row r="18" spans="1:18" ht="19" x14ac:dyDescent="0.25">
      <c r="A18" s="10" t="s">
        <v>380</v>
      </c>
      <c r="B18" s="7" t="s">
        <v>495</v>
      </c>
      <c r="C18" s="7" t="s">
        <v>362</v>
      </c>
      <c r="D18" s="5"/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/>
      <c r="L18" s="4"/>
      <c r="M18" s="4">
        <v>0</v>
      </c>
      <c r="N18" s="4">
        <v>0</v>
      </c>
      <c r="O18" s="19" t="s">
        <v>44</v>
      </c>
      <c r="P18" s="4">
        <v>0</v>
      </c>
      <c r="Q18" s="4">
        <v>0</v>
      </c>
      <c r="R18" s="4">
        <v>0</v>
      </c>
    </row>
    <row r="19" spans="1:18" ht="19" x14ac:dyDescent="0.25">
      <c r="A19" s="5" t="s">
        <v>373</v>
      </c>
      <c r="B19" s="17" t="s">
        <v>372</v>
      </c>
      <c r="C19" s="7" t="s">
        <v>351</v>
      </c>
      <c r="D19" s="5"/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/>
      <c r="L19" s="4"/>
      <c r="M19" s="4">
        <v>0</v>
      </c>
      <c r="N19" s="19" t="s">
        <v>44</v>
      </c>
      <c r="O19" s="4">
        <v>0</v>
      </c>
      <c r="P19" s="4">
        <v>0</v>
      </c>
      <c r="Q19" s="4">
        <v>0</v>
      </c>
      <c r="R19" s="4">
        <v>0</v>
      </c>
    </row>
    <row r="20" spans="1:18" ht="19" x14ac:dyDescent="0.25">
      <c r="A20" s="15" t="s">
        <v>373</v>
      </c>
      <c r="B20" s="7" t="s">
        <v>334</v>
      </c>
      <c r="C20" s="5" t="s">
        <v>160</v>
      </c>
      <c r="D20" s="5"/>
      <c r="E20" s="18" t="s">
        <v>44</v>
      </c>
      <c r="F20" s="18" t="s">
        <v>44</v>
      </c>
      <c r="G20" s="18" t="s">
        <v>44</v>
      </c>
      <c r="H20" s="18" t="s">
        <v>44</v>
      </c>
      <c r="I20" s="18" t="s">
        <v>44</v>
      </c>
      <c r="J20" s="4">
        <v>0</v>
      </c>
      <c r="K20" s="4"/>
      <c r="L20" s="4"/>
      <c r="M20" s="19" t="s">
        <v>44</v>
      </c>
      <c r="N20" s="19" t="s">
        <v>44</v>
      </c>
      <c r="O20" s="19" t="s">
        <v>44</v>
      </c>
      <c r="P20" s="19" t="s">
        <v>44</v>
      </c>
      <c r="Q20" s="4">
        <v>0</v>
      </c>
      <c r="R20" s="4">
        <v>0</v>
      </c>
    </row>
    <row r="21" spans="1:18" ht="19" x14ac:dyDescent="0.25">
      <c r="A21" s="10" t="s">
        <v>373</v>
      </c>
      <c r="B21" s="7" t="s">
        <v>369</v>
      </c>
      <c r="C21" s="5" t="s">
        <v>19</v>
      </c>
      <c r="D21" s="5"/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/>
      <c r="L21" s="4"/>
      <c r="M21" s="4">
        <v>0</v>
      </c>
      <c r="N21" s="4">
        <v>0</v>
      </c>
      <c r="O21" s="19" t="s">
        <v>44</v>
      </c>
      <c r="P21" s="4">
        <v>0</v>
      </c>
      <c r="Q21" s="4">
        <v>0</v>
      </c>
      <c r="R21" s="4">
        <v>0</v>
      </c>
    </row>
    <row r="22" spans="1:18" ht="20" x14ac:dyDescent="0.25">
      <c r="A22" s="16" t="s">
        <v>381</v>
      </c>
      <c r="B22" s="7" t="s">
        <v>370</v>
      </c>
      <c r="C22" s="7" t="s">
        <v>371</v>
      </c>
      <c r="D22" s="5"/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/>
      <c r="L22" s="4"/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19" t="s">
        <v>44</v>
      </c>
    </row>
    <row r="23" spans="1:18" ht="19" x14ac:dyDescent="0.25">
      <c r="A23" s="10" t="s">
        <v>378</v>
      </c>
      <c r="B23" s="7" t="s">
        <v>340</v>
      </c>
      <c r="C23" s="7" t="s">
        <v>341</v>
      </c>
      <c r="D23" s="5"/>
      <c r="E23" s="4">
        <v>0</v>
      </c>
      <c r="F23" s="18" t="s">
        <v>44</v>
      </c>
      <c r="G23" s="4">
        <v>0</v>
      </c>
      <c r="H23" s="4">
        <v>0</v>
      </c>
      <c r="I23" s="4">
        <v>0</v>
      </c>
      <c r="J23" s="4">
        <v>0</v>
      </c>
      <c r="K23" s="4"/>
      <c r="L23" s="4"/>
      <c r="M23" s="4">
        <v>0</v>
      </c>
      <c r="N23" s="19" t="s">
        <v>44</v>
      </c>
      <c r="O23" s="4">
        <v>0</v>
      </c>
      <c r="P23" s="4">
        <v>0</v>
      </c>
      <c r="Q23" s="4">
        <v>0</v>
      </c>
      <c r="R23" s="4">
        <v>0</v>
      </c>
    </row>
    <row r="24" spans="1:18" ht="20" x14ac:dyDescent="0.25">
      <c r="A24" s="16" t="s">
        <v>378</v>
      </c>
      <c r="B24" s="7" t="s">
        <v>338</v>
      </c>
      <c r="C24" s="7" t="s">
        <v>339</v>
      </c>
      <c r="D24" s="5"/>
      <c r="E24" s="18" t="s">
        <v>44</v>
      </c>
      <c r="F24" s="18" t="s">
        <v>44</v>
      </c>
      <c r="G24" s="4">
        <v>0</v>
      </c>
      <c r="H24" s="18" t="s">
        <v>44</v>
      </c>
      <c r="I24" s="4">
        <v>0</v>
      </c>
      <c r="J24" s="4">
        <v>0</v>
      </c>
      <c r="K24" s="4"/>
      <c r="L24" s="4"/>
      <c r="M24" s="4">
        <v>0</v>
      </c>
      <c r="N24" s="19" t="s">
        <v>44</v>
      </c>
      <c r="O24" s="19" t="s">
        <v>44</v>
      </c>
      <c r="P24" s="19" t="s">
        <v>44</v>
      </c>
      <c r="Q24" s="4">
        <v>0</v>
      </c>
      <c r="R24" s="4">
        <v>0</v>
      </c>
    </row>
    <row r="25" spans="1:18" ht="19" x14ac:dyDescent="0.25">
      <c r="A25" s="15" t="s">
        <v>375</v>
      </c>
      <c r="B25" s="7" t="s">
        <v>374</v>
      </c>
      <c r="C25" s="5" t="s">
        <v>160</v>
      </c>
      <c r="D25" s="5"/>
      <c r="E25" s="4">
        <v>0</v>
      </c>
      <c r="F25" s="4">
        <v>0</v>
      </c>
      <c r="G25" s="18" t="s">
        <v>44</v>
      </c>
      <c r="H25" s="18" t="s">
        <v>44</v>
      </c>
      <c r="I25" s="18" t="s">
        <v>44</v>
      </c>
      <c r="J25" s="18" t="s">
        <v>44</v>
      </c>
      <c r="K25" s="4"/>
      <c r="L25" s="4"/>
      <c r="M25" s="19" t="s">
        <v>44</v>
      </c>
      <c r="N25" s="19" t="s">
        <v>44</v>
      </c>
      <c r="O25" s="4">
        <v>0</v>
      </c>
      <c r="P25" s="4">
        <v>0</v>
      </c>
      <c r="Q25" s="4">
        <v>0</v>
      </c>
      <c r="R25" s="4">
        <v>0</v>
      </c>
    </row>
    <row r="26" spans="1:18" ht="19" x14ac:dyDescent="0.25">
      <c r="A26" s="15" t="s">
        <v>375</v>
      </c>
      <c r="B26" s="7" t="s">
        <v>496</v>
      </c>
      <c r="C26" s="7" t="s">
        <v>351</v>
      </c>
      <c r="D26" s="5"/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18" t="s">
        <v>44</v>
      </c>
      <c r="K26" s="4"/>
      <c r="L26" s="4"/>
      <c r="M26" s="4">
        <v>0</v>
      </c>
      <c r="N26" s="4">
        <v>0</v>
      </c>
      <c r="O26" s="4">
        <v>0</v>
      </c>
      <c r="P26" s="4">
        <v>0</v>
      </c>
      <c r="Q26" s="19" t="s">
        <v>44</v>
      </c>
      <c r="R26" s="4">
        <v>0</v>
      </c>
    </row>
    <row r="27" spans="1:18" ht="19" x14ac:dyDescent="0.25">
      <c r="A27" s="15" t="s">
        <v>376</v>
      </c>
      <c r="B27" s="7" t="s">
        <v>335</v>
      </c>
      <c r="C27" s="5" t="s">
        <v>160</v>
      </c>
      <c r="D27" s="5"/>
      <c r="E27" s="4">
        <v>0</v>
      </c>
      <c r="F27" s="18" t="s">
        <v>44</v>
      </c>
      <c r="G27" s="4">
        <v>0</v>
      </c>
      <c r="H27" s="4">
        <v>0</v>
      </c>
      <c r="I27" s="18" t="s">
        <v>44</v>
      </c>
      <c r="J27" s="4">
        <v>0</v>
      </c>
      <c r="K27" s="4"/>
      <c r="L27" s="4"/>
      <c r="M27" s="4">
        <v>0</v>
      </c>
      <c r="N27" s="19" t="s">
        <v>44</v>
      </c>
      <c r="O27" s="4">
        <v>0</v>
      </c>
      <c r="P27" s="4">
        <v>0</v>
      </c>
      <c r="Q27" s="4">
        <v>0</v>
      </c>
      <c r="R27" s="4">
        <v>0</v>
      </c>
    </row>
    <row r="28" spans="1:18" ht="20" x14ac:dyDescent="0.25">
      <c r="A28" s="16" t="s">
        <v>379</v>
      </c>
      <c r="B28" s="7" t="s">
        <v>345</v>
      </c>
      <c r="C28" s="7" t="s">
        <v>346</v>
      </c>
      <c r="D28" s="5"/>
      <c r="E28" s="4">
        <v>0</v>
      </c>
      <c r="F28" s="18" t="s">
        <v>44</v>
      </c>
      <c r="G28" s="4">
        <v>0</v>
      </c>
      <c r="H28" s="18" t="s">
        <v>44</v>
      </c>
      <c r="I28" s="4">
        <v>0</v>
      </c>
      <c r="J28" s="4">
        <v>0</v>
      </c>
      <c r="K28" s="4"/>
      <c r="L28" s="4"/>
      <c r="M28" s="4">
        <v>0</v>
      </c>
      <c r="N28" s="19" t="s">
        <v>44</v>
      </c>
      <c r="O28" s="4">
        <v>0</v>
      </c>
      <c r="P28" s="4">
        <v>0</v>
      </c>
      <c r="Q28" s="4">
        <v>0</v>
      </c>
      <c r="R28" s="4">
        <v>0</v>
      </c>
    </row>
    <row r="30" spans="1:18" x14ac:dyDescent="0.2">
      <c r="D30" t="s">
        <v>499</v>
      </c>
      <c r="E30">
        <f>COUNTIF(E4:E28,"X")</f>
        <v>3</v>
      </c>
      <c r="F30">
        <f t="shared" ref="F30:J30" si="0">COUNTIF(F4:F28,"X")</f>
        <v>8</v>
      </c>
      <c r="G30">
        <f t="shared" si="0"/>
        <v>3</v>
      </c>
      <c r="H30">
        <f t="shared" si="0"/>
        <v>7</v>
      </c>
      <c r="I30">
        <f t="shared" si="0"/>
        <v>3</v>
      </c>
      <c r="J30">
        <f t="shared" si="0"/>
        <v>2</v>
      </c>
      <c r="M30">
        <f>COUNTIF(M4:M28,"X")</f>
        <v>3</v>
      </c>
      <c r="N30">
        <f t="shared" ref="N30:R30" si="1">COUNTIF(N4:N28,"X")</f>
        <v>17</v>
      </c>
      <c r="O30">
        <f t="shared" si="1"/>
        <v>5</v>
      </c>
      <c r="P30">
        <f t="shared" si="1"/>
        <v>3</v>
      </c>
      <c r="Q30">
        <f t="shared" si="1"/>
        <v>2</v>
      </c>
      <c r="R30">
        <f t="shared" si="1"/>
        <v>2</v>
      </c>
    </row>
    <row r="31" spans="1:18" x14ac:dyDescent="0.2">
      <c r="E31" s="2" t="s">
        <v>38</v>
      </c>
      <c r="F31" s="2" t="s">
        <v>39</v>
      </c>
      <c r="G31" s="2" t="s">
        <v>40</v>
      </c>
      <c r="H31" s="2" t="s">
        <v>41</v>
      </c>
      <c r="I31" s="2" t="s">
        <v>42</v>
      </c>
      <c r="J31" s="2" t="s">
        <v>43</v>
      </c>
      <c r="M31" s="2" t="s">
        <v>38</v>
      </c>
      <c r="N31" s="2" t="s">
        <v>39</v>
      </c>
      <c r="O31" s="2" t="s">
        <v>40</v>
      </c>
      <c r="P31" s="2" t="s">
        <v>41</v>
      </c>
      <c r="Q31" s="2" t="s">
        <v>42</v>
      </c>
      <c r="R31" s="2" t="s">
        <v>43</v>
      </c>
    </row>
    <row r="33" spans="4:10" x14ac:dyDescent="0.2">
      <c r="D33" t="s">
        <v>502</v>
      </c>
      <c r="E33">
        <f>E30+M30</f>
        <v>6</v>
      </c>
      <c r="F33">
        <f>F30+N30</f>
        <v>25</v>
      </c>
      <c r="G33">
        <f>G30+O30</f>
        <v>8</v>
      </c>
      <c r="H33">
        <f>H30+P30</f>
        <v>10</v>
      </c>
      <c r="I33">
        <f>I30+Q30</f>
        <v>5</v>
      </c>
      <c r="J33">
        <f t="shared" ref="J33" si="2">J30+R30</f>
        <v>4</v>
      </c>
    </row>
    <row r="34" spans="4:10" x14ac:dyDescent="0.2">
      <c r="E34" s="2" t="s">
        <v>38</v>
      </c>
      <c r="F34" s="2" t="s">
        <v>39</v>
      </c>
      <c r="G34" s="2" t="s">
        <v>40</v>
      </c>
      <c r="H34" s="2" t="s">
        <v>41</v>
      </c>
      <c r="I34" s="2" t="s">
        <v>42</v>
      </c>
      <c r="J34" s="2" t="s">
        <v>43</v>
      </c>
    </row>
  </sheetData>
  <sortState xmlns:xlrd2="http://schemas.microsoft.com/office/spreadsheetml/2017/richdata2" ref="A4:R28">
    <sortCondition ref="A4:A28"/>
    <sortCondition ref="B4:B28"/>
    <sortCondition ref="C4:C28"/>
  </sortState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5"/>
  <sheetViews>
    <sheetView workbookViewId="0">
      <selection activeCell="D24" sqref="D24:J24"/>
    </sheetView>
  </sheetViews>
  <sheetFormatPr baseColWidth="10" defaultColWidth="8.83203125" defaultRowHeight="15" x14ac:dyDescent="0.2"/>
  <cols>
    <col min="1" max="1" width="20.33203125" customWidth="1"/>
    <col min="2" max="2" width="19.5" customWidth="1"/>
    <col min="3" max="3" width="13.83203125" customWidth="1"/>
    <col min="5" max="10" width="11.6640625" customWidth="1"/>
    <col min="11" max="12" width="4.33203125" customWidth="1"/>
    <col min="13" max="13" width="12.6640625" customWidth="1"/>
    <col min="14" max="14" width="11.6640625" customWidth="1"/>
    <col min="15" max="15" width="10.1640625" customWidth="1"/>
    <col min="18" max="18" width="12.83203125" customWidth="1"/>
  </cols>
  <sheetData>
    <row r="1" spans="1:18" ht="21" x14ac:dyDescent="0.25">
      <c r="A1" s="13" t="s">
        <v>382</v>
      </c>
    </row>
    <row r="2" spans="1:18" ht="19" x14ac:dyDescent="0.25">
      <c r="A2" s="5" t="s">
        <v>383</v>
      </c>
      <c r="B2" s="5"/>
      <c r="C2" s="5"/>
      <c r="E2" s="3" t="s">
        <v>486</v>
      </c>
      <c r="M2" s="3" t="s">
        <v>487</v>
      </c>
    </row>
    <row r="3" spans="1:18" ht="19" x14ac:dyDescent="0.25">
      <c r="A3" s="6" t="s">
        <v>1</v>
      </c>
      <c r="B3" s="6" t="s">
        <v>2</v>
      </c>
      <c r="C3" s="6" t="s">
        <v>3</v>
      </c>
      <c r="D3" s="1"/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/>
      <c r="L3" s="2"/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</row>
    <row r="4" spans="1:18" ht="19" x14ac:dyDescent="0.25">
      <c r="A4" s="5" t="s">
        <v>391</v>
      </c>
      <c r="B4" s="7" t="s">
        <v>403</v>
      </c>
      <c r="C4" s="7" t="s">
        <v>404</v>
      </c>
      <c r="D4" s="5"/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/>
      <c r="L4" s="4"/>
      <c r="M4" s="19" t="s">
        <v>44</v>
      </c>
      <c r="N4" s="19" t="s">
        <v>44</v>
      </c>
      <c r="O4" s="19" t="s">
        <v>44</v>
      </c>
      <c r="P4" s="4">
        <v>0</v>
      </c>
      <c r="Q4" s="4">
        <v>0</v>
      </c>
      <c r="R4" s="4">
        <v>0</v>
      </c>
    </row>
    <row r="5" spans="1:18" ht="19" x14ac:dyDescent="0.25">
      <c r="A5" s="5" t="s">
        <v>390</v>
      </c>
      <c r="B5" s="7" t="s">
        <v>401</v>
      </c>
      <c r="C5" s="7" t="s">
        <v>402</v>
      </c>
      <c r="D5" s="5"/>
      <c r="E5" s="4">
        <v>0</v>
      </c>
      <c r="F5" s="4">
        <v>0</v>
      </c>
      <c r="G5" s="4">
        <v>0</v>
      </c>
      <c r="H5" s="4">
        <v>0</v>
      </c>
      <c r="I5" s="18" t="s">
        <v>44</v>
      </c>
      <c r="J5" s="18" t="s">
        <v>44</v>
      </c>
      <c r="K5" s="4"/>
      <c r="L5" s="4"/>
      <c r="M5" s="4">
        <v>0</v>
      </c>
      <c r="N5" s="4">
        <v>0</v>
      </c>
      <c r="O5" s="4">
        <v>0</v>
      </c>
      <c r="P5" s="19" t="s">
        <v>44</v>
      </c>
      <c r="Q5" s="19" t="s">
        <v>44</v>
      </c>
      <c r="R5" s="19" t="s">
        <v>44</v>
      </c>
    </row>
    <row r="6" spans="1:18" ht="19" x14ac:dyDescent="0.25">
      <c r="A6" s="5" t="s">
        <v>386</v>
      </c>
      <c r="B6" s="7"/>
      <c r="C6" s="5" t="s">
        <v>19</v>
      </c>
      <c r="D6" s="5"/>
      <c r="E6" s="4">
        <v>0</v>
      </c>
      <c r="F6" s="4">
        <v>0</v>
      </c>
      <c r="G6" s="4">
        <v>0</v>
      </c>
      <c r="H6" s="4">
        <v>0</v>
      </c>
      <c r="I6" s="4">
        <v>0</v>
      </c>
      <c r="J6" s="4" t="s">
        <v>44</v>
      </c>
      <c r="K6" s="4"/>
      <c r="L6" s="4"/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</row>
    <row r="7" spans="1:18" ht="19" x14ac:dyDescent="0.25">
      <c r="A7" s="5" t="s">
        <v>386</v>
      </c>
      <c r="B7" s="7"/>
      <c r="C7" s="5" t="s">
        <v>65</v>
      </c>
      <c r="D7" s="5"/>
      <c r="E7" s="4">
        <v>0</v>
      </c>
      <c r="F7" s="18" t="s">
        <v>44</v>
      </c>
      <c r="G7" s="18" t="s">
        <v>44</v>
      </c>
      <c r="H7" s="18" t="s">
        <v>44</v>
      </c>
      <c r="I7" s="4">
        <v>0</v>
      </c>
      <c r="J7" s="4">
        <v>0</v>
      </c>
      <c r="K7" s="4"/>
      <c r="L7" s="4"/>
      <c r="M7" s="4">
        <v>0</v>
      </c>
      <c r="N7" s="19" t="s">
        <v>44</v>
      </c>
      <c r="O7" s="4">
        <v>0</v>
      </c>
      <c r="P7" s="4">
        <v>0</v>
      </c>
      <c r="Q7" s="4">
        <v>0</v>
      </c>
      <c r="R7" s="4">
        <v>0</v>
      </c>
    </row>
    <row r="8" spans="1:18" ht="19" x14ac:dyDescent="0.25">
      <c r="A8" s="5" t="s">
        <v>386</v>
      </c>
      <c r="B8" s="7"/>
      <c r="C8" s="5" t="s">
        <v>82</v>
      </c>
      <c r="D8" s="5"/>
      <c r="E8" s="4">
        <v>0</v>
      </c>
      <c r="F8" s="4">
        <v>0</v>
      </c>
      <c r="G8" s="4">
        <v>0</v>
      </c>
      <c r="H8" s="4">
        <v>0</v>
      </c>
      <c r="I8" s="4">
        <v>0</v>
      </c>
      <c r="J8" s="18" t="s">
        <v>44</v>
      </c>
      <c r="K8" s="4"/>
      <c r="L8" s="4"/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</row>
    <row r="9" spans="1:18" ht="19" x14ac:dyDescent="0.25">
      <c r="A9" s="5" t="s">
        <v>387</v>
      </c>
      <c r="B9" s="7"/>
      <c r="C9" s="5" t="s">
        <v>19</v>
      </c>
      <c r="D9" s="5"/>
      <c r="E9" s="4">
        <v>0</v>
      </c>
      <c r="F9" s="4">
        <v>0</v>
      </c>
      <c r="G9" s="4">
        <v>0</v>
      </c>
      <c r="H9" s="4">
        <v>0</v>
      </c>
      <c r="I9" s="18" t="s">
        <v>44</v>
      </c>
      <c r="J9" s="18" t="s">
        <v>44</v>
      </c>
      <c r="K9" s="4"/>
      <c r="L9" s="4"/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</row>
    <row r="10" spans="1:18" ht="19" x14ac:dyDescent="0.25">
      <c r="A10" s="5" t="s">
        <v>387</v>
      </c>
      <c r="B10" s="7"/>
      <c r="C10" s="5" t="s">
        <v>65</v>
      </c>
      <c r="D10" s="5"/>
      <c r="E10" s="4">
        <v>0</v>
      </c>
      <c r="F10" s="18" t="s">
        <v>44</v>
      </c>
      <c r="G10" s="18" t="s">
        <v>44</v>
      </c>
      <c r="H10" s="18" t="s">
        <v>44</v>
      </c>
      <c r="I10" s="18" t="s">
        <v>44</v>
      </c>
      <c r="J10" s="18" t="s">
        <v>44</v>
      </c>
      <c r="K10" s="4"/>
      <c r="L10" s="4"/>
      <c r="M10" s="4">
        <v>0</v>
      </c>
      <c r="N10" s="4">
        <v>0</v>
      </c>
      <c r="O10" s="19" t="s">
        <v>44</v>
      </c>
      <c r="P10" s="4">
        <v>0</v>
      </c>
      <c r="Q10" s="19" t="s">
        <v>44</v>
      </c>
      <c r="R10" s="4">
        <v>0</v>
      </c>
    </row>
    <row r="11" spans="1:18" ht="19" x14ac:dyDescent="0.25">
      <c r="A11" s="5" t="s">
        <v>387</v>
      </c>
      <c r="B11" s="7"/>
      <c r="C11" s="5" t="s">
        <v>82</v>
      </c>
      <c r="D11" s="5"/>
      <c r="E11" s="4">
        <v>0</v>
      </c>
      <c r="F11" s="4">
        <v>0</v>
      </c>
      <c r="G11" s="4">
        <v>0</v>
      </c>
      <c r="H11" s="18" t="s">
        <v>44</v>
      </c>
      <c r="I11" s="18" t="s">
        <v>44</v>
      </c>
      <c r="J11" s="18" t="s">
        <v>44</v>
      </c>
      <c r="K11" s="4"/>
      <c r="L11" s="4"/>
      <c r="M11" s="4">
        <v>0</v>
      </c>
      <c r="N11" s="19" t="s">
        <v>44</v>
      </c>
      <c r="O11" s="19" t="s">
        <v>44</v>
      </c>
      <c r="P11" s="19" t="s">
        <v>44</v>
      </c>
      <c r="Q11" s="19" t="s">
        <v>44</v>
      </c>
      <c r="R11" s="19" t="s">
        <v>44</v>
      </c>
    </row>
    <row r="12" spans="1:18" ht="19" x14ac:dyDescent="0.25">
      <c r="A12" s="5" t="s">
        <v>387</v>
      </c>
      <c r="B12" s="7"/>
      <c r="C12" s="5" t="s">
        <v>83</v>
      </c>
      <c r="D12" s="5"/>
      <c r="E12" s="4">
        <v>0</v>
      </c>
      <c r="F12" s="4">
        <v>0</v>
      </c>
      <c r="G12" s="4">
        <v>0</v>
      </c>
      <c r="H12" s="18" t="s">
        <v>44</v>
      </c>
      <c r="I12" s="18" t="s">
        <v>44</v>
      </c>
      <c r="J12" s="18" t="s">
        <v>44</v>
      </c>
      <c r="K12" s="4"/>
      <c r="L12" s="4"/>
      <c r="M12" s="4">
        <v>0</v>
      </c>
      <c r="N12" s="19" t="s">
        <v>44</v>
      </c>
      <c r="O12" s="19" t="s">
        <v>44</v>
      </c>
      <c r="P12" s="19" t="s">
        <v>44</v>
      </c>
      <c r="Q12" s="19" t="s">
        <v>44</v>
      </c>
      <c r="R12" s="19" t="s">
        <v>44</v>
      </c>
    </row>
    <row r="13" spans="1:18" ht="19" x14ac:dyDescent="0.25">
      <c r="A13" s="5" t="s">
        <v>393</v>
      </c>
      <c r="B13" s="7" t="s">
        <v>407</v>
      </c>
      <c r="C13" s="7" t="s">
        <v>408</v>
      </c>
      <c r="D13" s="5"/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/>
      <c r="L13" s="4"/>
      <c r="M13" s="4">
        <v>0</v>
      </c>
      <c r="N13" s="19" t="s">
        <v>44</v>
      </c>
      <c r="O13" s="4">
        <v>0</v>
      </c>
      <c r="P13" s="19" t="s">
        <v>44</v>
      </c>
      <c r="Q13" s="19" t="s">
        <v>44</v>
      </c>
      <c r="R13" s="4">
        <v>0</v>
      </c>
    </row>
    <row r="14" spans="1:18" ht="19" x14ac:dyDescent="0.25">
      <c r="A14" s="5" t="s">
        <v>388</v>
      </c>
      <c r="B14" s="7" t="s">
        <v>411</v>
      </c>
      <c r="C14" s="5" t="s">
        <v>19</v>
      </c>
      <c r="D14" s="5"/>
      <c r="E14" s="4">
        <v>0</v>
      </c>
      <c r="F14" s="4">
        <v>0</v>
      </c>
      <c r="G14" s="4">
        <v>0</v>
      </c>
      <c r="H14" s="18" t="s">
        <v>44</v>
      </c>
      <c r="I14" s="18" t="s">
        <v>44</v>
      </c>
      <c r="J14" s="18" t="s">
        <v>44</v>
      </c>
      <c r="K14" s="4"/>
      <c r="L14" s="4"/>
      <c r="M14" s="19" t="s">
        <v>44</v>
      </c>
      <c r="N14" s="4">
        <v>0</v>
      </c>
      <c r="O14" s="4">
        <v>0</v>
      </c>
      <c r="P14" s="19" t="s">
        <v>44</v>
      </c>
      <c r="Q14" s="19" t="s">
        <v>44</v>
      </c>
      <c r="R14" s="19" t="s">
        <v>44</v>
      </c>
    </row>
    <row r="15" spans="1:18" ht="19" x14ac:dyDescent="0.25">
      <c r="A15" s="5" t="s">
        <v>389</v>
      </c>
      <c r="B15" s="7" t="s">
        <v>399</v>
      </c>
      <c r="C15" s="7" t="s">
        <v>400</v>
      </c>
      <c r="D15" s="5"/>
      <c r="E15" s="4">
        <v>0</v>
      </c>
      <c r="F15" s="4">
        <v>0</v>
      </c>
      <c r="G15" s="4">
        <v>0</v>
      </c>
      <c r="H15" s="18" t="s">
        <v>44</v>
      </c>
      <c r="I15" s="4">
        <v>0</v>
      </c>
      <c r="J15" s="4">
        <v>0</v>
      </c>
      <c r="K15" s="4"/>
      <c r="L15" s="4"/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</row>
    <row r="16" spans="1:18" ht="19" x14ac:dyDescent="0.25">
      <c r="A16" s="5" t="s">
        <v>384</v>
      </c>
      <c r="B16" s="7" t="s">
        <v>395</v>
      </c>
      <c r="C16" s="7" t="s">
        <v>396</v>
      </c>
      <c r="D16" s="5"/>
      <c r="E16" s="18" t="s">
        <v>44</v>
      </c>
      <c r="F16" s="18" t="s">
        <v>44</v>
      </c>
      <c r="G16" s="18" t="s">
        <v>44</v>
      </c>
      <c r="H16" s="4">
        <v>0</v>
      </c>
      <c r="I16" s="4">
        <v>0</v>
      </c>
      <c r="J16" s="4">
        <v>0</v>
      </c>
      <c r="K16" s="4"/>
      <c r="L16" s="4"/>
      <c r="M16" s="19" t="s">
        <v>44</v>
      </c>
      <c r="N16" s="19" t="s">
        <v>44</v>
      </c>
      <c r="O16" s="19" t="s">
        <v>44</v>
      </c>
      <c r="P16" s="19" t="s">
        <v>44</v>
      </c>
      <c r="Q16" s="4">
        <v>0</v>
      </c>
      <c r="R16" s="4">
        <v>0</v>
      </c>
    </row>
    <row r="17" spans="1:18" ht="19" x14ac:dyDescent="0.25">
      <c r="A17" s="5" t="s">
        <v>385</v>
      </c>
      <c r="B17" s="7" t="s">
        <v>397</v>
      </c>
      <c r="C17" s="7" t="s">
        <v>398</v>
      </c>
      <c r="D17" s="5"/>
      <c r="E17" s="18" t="s">
        <v>44</v>
      </c>
      <c r="F17" s="18" t="s">
        <v>44</v>
      </c>
      <c r="G17" s="4">
        <v>0</v>
      </c>
      <c r="H17" s="4">
        <v>0</v>
      </c>
      <c r="I17" s="4">
        <v>0</v>
      </c>
      <c r="J17" s="4">
        <v>0</v>
      </c>
      <c r="K17" s="4"/>
      <c r="L17" s="4"/>
      <c r="M17" s="19" t="s">
        <v>44</v>
      </c>
      <c r="N17" s="19" t="s">
        <v>44</v>
      </c>
      <c r="O17" s="19" t="s">
        <v>44</v>
      </c>
      <c r="P17" s="4">
        <v>0</v>
      </c>
      <c r="Q17" s="4">
        <v>0</v>
      </c>
      <c r="R17" s="4">
        <v>0</v>
      </c>
    </row>
    <row r="18" spans="1:18" ht="19" x14ac:dyDescent="0.25">
      <c r="A18" s="5" t="s">
        <v>394</v>
      </c>
      <c r="B18" s="7" t="s">
        <v>409</v>
      </c>
      <c r="C18" s="7" t="s">
        <v>410</v>
      </c>
      <c r="D18" s="5"/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/>
      <c r="L18" s="4"/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19" t="s">
        <v>44</v>
      </c>
    </row>
    <row r="19" spans="1:18" ht="19" x14ac:dyDescent="0.25">
      <c r="A19" s="5" t="s">
        <v>392</v>
      </c>
      <c r="B19" s="7" t="s">
        <v>405</v>
      </c>
      <c r="C19" s="7" t="s">
        <v>406</v>
      </c>
      <c r="D19" s="5"/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/>
      <c r="L19" s="4"/>
      <c r="M19" s="19" t="s">
        <v>44</v>
      </c>
      <c r="N19" s="19" t="s">
        <v>44</v>
      </c>
      <c r="O19" s="4">
        <v>0</v>
      </c>
      <c r="P19" s="4">
        <v>0</v>
      </c>
      <c r="Q19" s="4">
        <v>0</v>
      </c>
      <c r="R19" s="4">
        <v>0</v>
      </c>
    </row>
    <row r="20" spans="1:18" x14ac:dyDescent="0.2"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1:18" x14ac:dyDescent="0.2">
      <c r="D21" t="s">
        <v>499</v>
      </c>
      <c r="E21">
        <f>COUNTIF(E4:E19,"X")</f>
        <v>2</v>
      </c>
      <c r="F21">
        <f t="shared" ref="F21:J21" si="0">COUNTIF(F4:F19,"X")</f>
        <v>4</v>
      </c>
      <c r="G21">
        <f t="shared" si="0"/>
        <v>3</v>
      </c>
      <c r="H21">
        <f t="shared" si="0"/>
        <v>6</v>
      </c>
      <c r="I21">
        <f t="shared" si="0"/>
        <v>6</v>
      </c>
      <c r="J21">
        <f t="shared" si="0"/>
        <v>8</v>
      </c>
      <c r="M21">
        <f>COUNTIF(M4:M19,"X")</f>
        <v>5</v>
      </c>
      <c r="N21">
        <f t="shared" ref="N21:R21" si="1">COUNTIF(N4:N19,"X")</f>
        <v>8</v>
      </c>
      <c r="O21">
        <f t="shared" si="1"/>
        <v>6</v>
      </c>
      <c r="P21">
        <f t="shared" si="1"/>
        <v>6</v>
      </c>
      <c r="Q21">
        <f t="shared" si="1"/>
        <v>6</v>
      </c>
      <c r="R21">
        <f t="shared" si="1"/>
        <v>5</v>
      </c>
    </row>
    <row r="22" spans="1:18" x14ac:dyDescent="0.2">
      <c r="E22" s="2" t="s">
        <v>38</v>
      </c>
      <c r="F22" s="2" t="s">
        <v>39</v>
      </c>
      <c r="G22" s="2" t="s">
        <v>40</v>
      </c>
      <c r="H22" s="2" t="s">
        <v>41</v>
      </c>
      <c r="I22" s="2" t="s">
        <v>42</v>
      </c>
      <c r="J22" s="2" t="s">
        <v>43</v>
      </c>
      <c r="M22" s="2" t="s">
        <v>38</v>
      </c>
      <c r="N22" s="2" t="s">
        <v>39</v>
      </c>
      <c r="O22" s="2" t="s">
        <v>40</v>
      </c>
      <c r="P22" s="2" t="s">
        <v>41</v>
      </c>
      <c r="Q22" s="2" t="s">
        <v>42</v>
      </c>
      <c r="R22" s="2" t="s">
        <v>43</v>
      </c>
    </row>
    <row r="24" spans="1:18" x14ac:dyDescent="0.2">
      <c r="D24" t="s">
        <v>503</v>
      </c>
      <c r="E24">
        <f>E21+M21</f>
        <v>7</v>
      </c>
      <c r="F24">
        <f>F21+N21</f>
        <v>12</v>
      </c>
      <c r="G24">
        <f>G21+O21</f>
        <v>9</v>
      </c>
      <c r="H24">
        <f>H21+P21</f>
        <v>12</v>
      </c>
      <c r="I24">
        <f>I21+Q21</f>
        <v>12</v>
      </c>
      <c r="J24">
        <f t="shared" ref="J24" si="2">J21+R21</f>
        <v>13</v>
      </c>
    </row>
    <row r="25" spans="1:18" x14ac:dyDescent="0.2">
      <c r="E25" s="2" t="s">
        <v>38</v>
      </c>
      <c r="F25" s="2" t="s">
        <v>39</v>
      </c>
      <c r="G25" s="2" t="s">
        <v>40</v>
      </c>
      <c r="H25" s="2" t="s">
        <v>41</v>
      </c>
      <c r="I25" s="2" t="s">
        <v>42</v>
      </c>
      <c r="J25" s="2" t="s">
        <v>43</v>
      </c>
    </row>
  </sheetData>
  <sortState xmlns:xlrd2="http://schemas.microsoft.com/office/spreadsheetml/2017/richdata2" ref="A4:S19">
    <sortCondition ref="A4:A19"/>
    <sortCondition ref="B4:B19"/>
    <sortCondition ref="C4:C19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B5C4D-7F88-B641-BE84-629FE0BCA8C9}">
  <dimension ref="A1:G6"/>
  <sheetViews>
    <sheetView tabSelected="1" workbookViewId="0">
      <selection activeCell="C15" sqref="C15"/>
    </sheetView>
  </sheetViews>
  <sheetFormatPr baseColWidth="10" defaultRowHeight="15" x14ac:dyDescent="0.2"/>
  <sheetData>
    <row r="1" spans="1:7" x14ac:dyDescent="0.2"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2">
      <c r="A2" t="s">
        <v>500</v>
      </c>
      <c r="B2">
        <v>37</v>
      </c>
      <c r="C2">
        <v>95</v>
      </c>
      <c r="D2">
        <v>43</v>
      </c>
      <c r="E2">
        <v>62</v>
      </c>
      <c r="F2">
        <v>50</v>
      </c>
      <c r="G2">
        <v>54</v>
      </c>
    </row>
    <row r="3" spans="1:7" x14ac:dyDescent="0.2">
      <c r="A3" t="s">
        <v>501</v>
      </c>
      <c r="B3">
        <v>28</v>
      </c>
      <c r="C3">
        <v>67</v>
      </c>
      <c r="D3">
        <v>30</v>
      </c>
      <c r="E3">
        <v>39</v>
      </c>
      <c r="F3">
        <v>35</v>
      </c>
      <c r="G3">
        <v>35</v>
      </c>
    </row>
    <row r="4" spans="1:7" x14ac:dyDescent="0.2">
      <c r="A4" t="s">
        <v>502</v>
      </c>
      <c r="B4">
        <v>6</v>
      </c>
      <c r="C4">
        <v>25</v>
      </c>
      <c r="D4">
        <v>8</v>
      </c>
      <c r="E4">
        <v>10</v>
      </c>
      <c r="F4">
        <v>5</v>
      </c>
      <c r="G4">
        <v>4</v>
      </c>
    </row>
    <row r="5" spans="1:7" x14ac:dyDescent="0.2">
      <c r="A5" t="s">
        <v>503</v>
      </c>
      <c r="B5">
        <v>7</v>
      </c>
      <c r="C5">
        <v>12</v>
      </c>
      <c r="D5">
        <v>9</v>
      </c>
      <c r="E5">
        <v>12</v>
      </c>
      <c r="F5">
        <v>12</v>
      </c>
      <c r="G5">
        <v>13</v>
      </c>
    </row>
    <row r="6" spans="1:7" x14ac:dyDescent="0.2">
      <c r="A6" t="s">
        <v>504</v>
      </c>
      <c r="B6">
        <f>SUM(B2:B5)</f>
        <v>78</v>
      </c>
      <c r="C6">
        <f t="shared" ref="C6:G6" si="0">SUM(C2:C5)</f>
        <v>199</v>
      </c>
      <c r="D6">
        <f t="shared" si="0"/>
        <v>90</v>
      </c>
      <c r="E6">
        <f t="shared" si="0"/>
        <v>123</v>
      </c>
      <c r="F6">
        <f t="shared" si="0"/>
        <v>102</v>
      </c>
      <c r="G6">
        <f t="shared" si="0"/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Coleoptera</vt:lpstr>
      <vt:lpstr>Araneae</vt:lpstr>
      <vt:lpstr>Orthoptera</vt:lpstr>
      <vt:lpstr>Myriapoda</vt:lpstr>
      <vt:lpstr>ALL arthropods</vt:lpstr>
      <vt:lpstr>Coleoptera!Print_Area</vt:lpstr>
    </vt:vector>
  </TitlesOfParts>
  <Company>Pomona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Martin Meyer</dc:creator>
  <cp:lastModifiedBy>Nathan Upham</cp:lastModifiedBy>
  <cp:lastPrinted>2014-11-04T22:54:21Z</cp:lastPrinted>
  <dcterms:created xsi:type="dcterms:W3CDTF">2014-09-16T21:51:29Z</dcterms:created>
  <dcterms:modified xsi:type="dcterms:W3CDTF">2026-02-22T00:27:45Z</dcterms:modified>
</cp:coreProperties>
</file>