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athan/ASU Dropbox/Nathan Upham/PROJECTS/SantaCatalinas_project/MS_2024-2025/sc_mamm_survey/Figures/Fig2_samplingSummary/"/>
    </mc:Choice>
  </mc:AlternateContent>
  <xr:revisionPtr revIDLastSave="0" documentId="13_ncr:1_{8F32B586-3DE0-F24D-9EEB-AC527E731FC6}" xr6:coauthVersionLast="47" xr6:coauthVersionMax="47" xr10:uidLastSave="{00000000-0000-0000-0000-000000000000}"/>
  <bookViews>
    <workbookView xWindow="780" yWindow="1000" windowWidth="27640" windowHeight="16440" activeTab="2" xr2:uid="{9C673B22-5BAD-EE42-A147-E53009C652CC}"/>
  </bookViews>
  <sheets>
    <sheet name="AllMammalRecords_2021-23_Refine" sheetId="1" r:id="rId1"/>
    <sheet name="summary-raw" sheetId="2" r:id="rId2"/>
    <sheet name="summary-cleaned" sheetId="3" r:id="rId3"/>
    <sheet name="sum-lethal-non" sheetId="5" r:id="rId4"/>
  </sheets>
  <definedNames>
    <definedName name="_xlnm._FilterDatabase" localSheetId="0" hidden="1">'AllMammalRecords_2021-23_Refine'!$A$1:$BL$1802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4" i="2"/>
  <c r="F12" i="2"/>
  <c r="F6" i="2"/>
  <c r="F8" i="2"/>
  <c r="F9" i="2"/>
</calcChain>
</file>

<file path=xl/sharedStrings.xml><?xml version="1.0" encoding="utf-8"?>
<sst xmlns="http://schemas.openxmlformats.org/spreadsheetml/2006/main" count="69736" uniqueCount="6182">
  <si>
    <t>OID_</t>
  </si>
  <si>
    <t>gbifID</t>
  </si>
  <si>
    <t>datasetKey</t>
  </si>
  <si>
    <t>occurrenceID</t>
  </si>
  <si>
    <t>kingdom</t>
  </si>
  <si>
    <t>phylum</t>
  </si>
  <si>
    <t>class</t>
  </si>
  <si>
    <t>order_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</si>
  <si>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</si>
  <si>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</si>
  <si>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</si>
  <si>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</si>
  <si>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</si>
  <si>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</si>
  <si>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</si>
  <si>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</si>
  <si>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</si>
  <si>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</si>
  <si>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locationRemarks</t>
  </si>
  <si>
    <t>stateProvince</t>
  </si>
  <si>
    <t>habitat</t>
  </si>
  <si>
    <t>burnStatus</t>
  </si>
  <si>
    <t>eventDate</t>
  </si>
  <si>
    <t>site</t>
  </si>
  <si>
    <t>recordNumber</t>
  </si>
  <si>
    <t>occurrenceStatus</t>
  </si>
  <si>
    <t>individualCount</t>
  </si>
  <si>
    <t>dynamicProperties</t>
  </si>
  <si>
    <t>preparations</t>
  </si>
  <si>
    <t>sex</t>
  </si>
  <si>
    <t>lifeStage</t>
  </si>
  <si>
    <t>reproductiveCondition</t>
  </si>
  <si>
    <t>associatedOccurrences</t>
  </si>
  <si>
    <t>publishingOrgKey</t>
  </si>
  <si>
    <t>decimalLatitude</t>
  </si>
  <si>
    <t>decimalLongitude</t>
  </si>
  <si>
    <t>coordinateUncertaintyInMeters</t>
  </si>
  <si>
    <t>coordinatePrecision</t>
  </si>
  <si>
    <t>verbatimElevation</t>
  </si>
  <si>
    <t>elevationAccuracy</t>
  </si>
  <si>
    <t>elevation</t>
  </si>
  <si>
    <t>elevationDEM</t>
  </si>
  <si>
    <t>depth</t>
  </si>
  <si>
    <t>depthAccuracy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</si>
  <si>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</si>
  <si>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</si>
  <si>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</si>
  <si>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</si>
  <si>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</si>
  <si>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</si>
  <si>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</si>
  <si>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</si>
  <si>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</si>
  <si>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</si>
  <si>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</si>
  <si>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</si>
  <si>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</si>
  <si>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</si>
  <si>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</si>
  <si>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</si>
  <si>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</si>
  <si>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</si>
  <si>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</si>
  <si>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375fe518-f58b-4ec7-868c-99218dfd2866</t>
  </si>
  <si>
    <t>a448055c-85d5-4ccc-978b-322c266f17b1</t>
  </si>
  <si>
    <t>Animalia</t>
  </si>
  <si>
    <t>Chordata</t>
  </si>
  <si>
    <t>Mammalia</t>
  </si>
  <si>
    <t>Rodentia</t>
  </si>
  <si>
    <t>Heteromyidae</t>
  </si>
  <si>
    <t>Chaetodipus</t>
  </si>
  <si>
    <t>Chaetodipus baileyi</t>
  </si>
  <si>
    <t>SPECIES</t>
  </si>
  <si>
    <t>Chaetodipus baileyi (Merriam, 1894)</t>
  </si>
  <si>
    <t>(Merriam, 1894)</t>
  </si>
  <si>
    <t>US</t>
  </si>
  <si>
    <t>Santa Catalina Mts., Stratton Canyon SE intersection with Old Mt. Lemmon Hwy</t>
  </si>
  <si>
    <t>Trap Line 5-1</t>
  </si>
  <si>
    <t>Arizona</t>
  </si>
  <si>
    <t>Interior Chaparral</t>
  </si>
  <si>
    <t>unburned</t>
  </si>
  <si>
    <t>ICN</t>
  </si>
  <si>
    <t>DMR0051</t>
  </si>
  <si>
    <t>PRESENT</t>
  </si>
  <si>
    <t>{ "measurements" : "TOT: 176, TV: 90, HFL: 27, EAR: 10, WGT: 19 g" , "preservationFluid" : "70 percent ethanol" }</t>
  </si>
  <si>
    <t>alc | tiss</t>
  </si>
  <si>
    <t>f</t>
  </si>
  <si>
    <t>subadult</t>
  </si>
  <si>
    <t>Mammae #: Ax. 0 Ab. 0 Ing. 4 | Mammae Condition: Sm. | Vagina condition: Imp. | Reproductive Stage: Nul. | Embryos: 0 | Placental scars: 0</t>
  </si>
  <si>
    <t>originatingSampleOf (tissue): https://csvcoll.org/portal/collections/individual/index.php?guid=0a1063e9-45d7-4538-a50d-eaa6c02fb061 | originatingSampleOf (tissue): https://csvcoll.org/portal/collections/individual/index.php?guid=ef489a8d-9528-4d28-a15c-c96b49d4b016 | originatingSampleOf (tissue): https://csvcoll.org/portal/collections/individual/index.php?guid=fb93393e-725b-42d4-8047-fbcc49faf62a | originatingSampleOf (tissue): https://csvcoll.org/portal/collections/individual/index.php?guid=f749bdf8-f137-4ff3-a3f6-5da17493c01a | originatingSampleOf (fecal): https://csvcoll.org/portal/collections/individual/index.php?guid=471c661c-bf5b-4f73-8ece-9c0f3d05e009 | originatingSampleOf (tissue): https://csvcoll.org/portal/collections/individual/index.php?guid=66de0816-258f-4d1f-bc45-e364c41b8afb | originatingSampleOf (tissue): https://csvcoll.org/portal/collections/individual/index.php?guid=44fc7707-9f1d-4039-a7be-f98500d2fedc | originatingSampleOf (blood): https://csvcoll.org/portal/collections/individual/index.php?guid=e2b520ed-1860-4410-8036-7f81a486c5bb</t>
  </si>
  <si>
    <t>814cdfb5-d4f8-4453-815f-ea5df98e76bf</t>
  </si>
  <si>
    <t>PRESERVED_SPECIMEN</t>
  </si>
  <si>
    <t>ASU</t>
  </si>
  <si>
    <t>ASUMAC</t>
  </si>
  <si>
    <t>ASUMAC008614</t>
  </si>
  <si>
    <t>Rowsey, Dakota M.</t>
  </si>
  <si>
    <t>CC0_1_0</t>
  </si>
  <si>
    <t>Rowsey, Dakota M.; Upham, Nathan S.; Smith, Stephanie M.</t>
  </si>
  <si>
    <t>Native</t>
  </si>
  <si>
    <t>2024-01-23T19:40:07.921Z</t>
  </si>
  <si>
    <t>COORDINATE_ROUNDED;CONTINENT_DERIVED_FROM_COORDINATES;TAXON_MATCH_TAXON_ID_IGNORED;OCCURRENCE_STATUS_INFERRED_FROM_INDIVIDUAL_COUNT;INSTITUTION_MATCH_FUZZY;COLLECTION_MATCH_FUZZY</t>
  </si>
  <si>
    <t>0a24d08e-be47-4042-b8da-3e800c3eb5f9</t>
  </si>
  <si>
    <t>0a1063e9-45d7-4538-a50d-eaa6c02fb061</t>
  </si>
  <si>
    <t>{ "preservationMeans" : "frozen -80 C" , "preservationFluid" : "95 percent ethanol" }</t>
  </si>
  <si>
    <t>liver</t>
  </si>
  <si>
    <t>subsampleOf (tissue): https://csvcoll.org/portal/collections/individual/index.php?guid=a448055c-85d5-4ccc-978b-322c266f17b1</t>
  </si>
  <si>
    <t>MATERIAL_SAMPLE</t>
  </si>
  <si>
    <t>ASUVTC</t>
  </si>
  <si>
    <t>ASUVTC000712</t>
  </si>
  <si>
    <t>2024-01-22T23:57:03.666Z</t>
  </si>
  <si>
    <t>COORDINATE_ROUNDED;CONTINENT_DERIVED_FROM_COORDINATES;TAXON_MATCH_TAXON_ID_IGNORED;OCCURRENCE_STATUS_INFERRED_FROM_INDIVIDUAL_COUNT;COLLECTION_MATCH_NONE;INSTITUTION_MATCH_FUZZY</t>
  </si>
  <si>
    <t>ef489a8d-9528-4d28-a15c-c96b49d4b016</t>
  </si>
  <si>
    <t>skeletal muscle</t>
  </si>
  <si>
    <t>ASUVTC000713</t>
  </si>
  <si>
    <t>2024-01-22T23:57:03.683Z</t>
  </si>
  <si>
    <t>fb93393e-725b-42d4-8047-fbcc49faf62a</t>
  </si>
  <si>
    <t>kidney</t>
  </si>
  <si>
    <t>ASUVTC000714</t>
  </si>
  <si>
    <t>f749bdf8-f137-4ff3-a3f6-5da17493c01a</t>
  </si>
  <si>
    <t>ectos</t>
  </si>
  <si>
    <t>ASUVTC000715</t>
  </si>
  <si>
    <t>2024-01-22T23:57:03.667Z</t>
  </si>
  <si>
    <t>471c661c-bf5b-4f73-8ece-9c0f3d05e009</t>
  </si>
  <si>
    <t>heart</t>
  </si>
  <si>
    <t>ASUVTC000716</t>
  </si>
  <si>
    <t>2024-01-22T23:57:03.658Z</t>
  </si>
  <si>
    <t>66de0816-258f-4d1f-bc45-e364c41b8afb</t>
  </si>
  <si>
    <t>{ "preservationMeans" : "frozen -80 C" , "preservationFluid" : "none" }</t>
  </si>
  <si>
    <t>feces</t>
  </si>
  <si>
    <t>subsampleOf (fecal): https://csvcoll.org/portal/collections/individual/index.php?guid=a448055c-85d5-4ccc-978b-322c266f17b1</t>
  </si>
  <si>
    <t>ASUVTC000806</t>
  </si>
  <si>
    <t>2024-01-22T23:57:03.659Z</t>
  </si>
  <si>
    <t>44fc7707-9f1d-4039-a7be-f98500d2fedc</t>
  </si>
  <si>
    <t>{ "preservationMeans" : "Nobuto filter strip, room temp." , "preservationFluid" : "none" }</t>
  </si>
  <si>
    <t>blood</t>
  </si>
  <si>
    <t>subsampleOf (blood): https://csvcoll.org/portal/collections/individual/index.php?guid=a448055c-85d5-4ccc-978b-322c266f17b1</t>
  </si>
  <si>
    <t>ASUVTC000807</t>
  </si>
  <si>
    <t>2024-01-22T23:57:03.657Z</t>
  </si>
  <si>
    <t>e2b520ed-1860-4410-8036-7f81a486c5bb</t>
  </si>
  <si>
    <t>lung</t>
  </si>
  <si>
    <t>ASUVTC000887</t>
  </si>
  <si>
    <t>b42a5cc4-e1ec-4324-912d-8318fec13b57</t>
  </si>
  <si>
    <t>Trap Line 5-2</t>
  </si>
  <si>
    <t>DMR0052</t>
  </si>
  <si>
    <t>{ "measurements" : "TOT: 184, TV: 97, HFL: 26, EAR: 9, WGT: 23 g" , "preservationFluid" : "70 percent ethanol" }</t>
  </si>
  <si>
    <t>m</t>
  </si>
  <si>
    <t>adult</t>
  </si>
  <si>
    <t>Testes Position: Abd. | Testis size: 5 x 3 R | Epididymus: Con.</t>
  </si>
  <si>
    <t>originatingSampleOf (tissue): https://csvcoll.org/portal/collections/individual/index.php?guid=e1c88097-4bb8-4a52-9e65-4e17d7d850fd | originatingSampleOf (tissue): https://csvcoll.org/portal/collections/individual/index.php?guid=56ebf5aa-2d38-40c7-a65c-ecdd2df0455c | originatingSampleOf (tissue): https://csvcoll.org/portal/collections/individual/index.php?guid=74450d14-d78c-4ec9-a516-749eda6fa224 | originatingSampleOf (tissue): https://csvcoll.org/portal/collections/individual/index.php?guid=ff11fd8b-de4d-4798-816a-c81777b94e9a | originatingSampleOf (fecal): https://csvcoll.org/portal/collections/individual/index.php?guid=064ece00-26e1-4100-9a20-c7582c881968 | originatingSampleOf (tissue): https://csvcoll.org/portal/collections/individual/index.php?guid=5bd030da-88e0-49a0-9ba9-ef224d95f19d | originatingSampleOf (tissue): https://csvcoll.org/portal/collections/individual/index.php?guid=5a687101-9d83-4d4b-b5ea-55c368f1023a | originatingSampleOf (blood): https://csvcoll.org/portal/collections/individual/index.php?guid=20f46acf-cd02-4284-9aa3-aa1f25c32c0b</t>
  </si>
  <si>
    <t>ASUMAC008637</t>
  </si>
  <si>
    <t>2024-01-23T19:40:07.920Z</t>
  </si>
  <si>
    <t>e1c88097-4bb8-4a52-9e65-4e17d7d850fd</t>
  </si>
  <si>
    <t>Testes Position: Abd. | Testis size: 5 x 3 R | Epididymis: Con.</t>
  </si>
  <si>
    <t>subsampleOf (tissue): https://csvcoll.org/portal/collections/individual/index.php?guid=b42a5cc4-e1ec-4324-912d-8318fec13b57</t>
  </si>
  <si>
    <t>ASUVTC000717</t>
  </si>
  <si>
    <t>2024-01-22T23:57:03.681Z</t>
  </si>
  <si>
    <t>56ebf5aa-2d38-40c7-a65c-ecdd2df0455c</t>
  </si>
  <si>
    <t>ASUVTC000718</t>
  </si>
  <si>
    <t>2024-01-22T23:57:03.653Z</t>
  </si>
  <si>
    <t>74450d14-d78c-4ec9-a516-749eda6fa224</t>
  </si>
  <si>
    <t>ASUVTC000719</t>
  </si>
  <si>
    <t>2024-01-22T23:57:03.652Z</t>
  </si>
  <si>
    <t>ff11fd8b-de4d-4798-816a-c81777b94e9a</t>
  </si>
  <si>
    <t>ASUVTC000720</t>
  </si>
  <si>
    <t>064ece00-26e1-4100-9a20-c7582c881968</t>
  </si>
  <si>
    <t>ASUVTC000721</t>
  </si>
  <si>
    <t>5bd030da-88e0-49a0-9ba9-ef224d95f19d</t>
  </si>
  <si>
    <t>subsampleOf (fecal): https://csvcoll.org/portal/collections/individual/index.php?guid=b42a5cc4-e1ec-4324-912d-8318fec13b57</t>
  </si>
  <si>
    <t>ASUVTC000854</t>
  </si>
  <si>
    <t>5a687101-9d83-4d4b-b5ea-55c368f1023a</t>
  </si>
  <si>
    <t>ASUVTC000855</t>
  </si>
  <si>
    <t>2024-01-22T23:57:03.645Z</t>
  </si>
  <si>
    <t>20f46acf-cd02-4284-9aa3-aa1f25c32c0b</t>
  </si>
  <si>
    <t>subsampleOf (blood): https://csvcoll.org/portal/collections/individual/index.php?guid=b42a5cc4-e1ec-4324-912d-8318fec13b57</t>
  </si>
  <si>
    <t>ASUVTC000888</t>
  </si>
  <si>
    <t>171c5447-08bd-4c55-811b-f0201b7b28d9</t>
  </si>
  <si>
    <t>Cricetidae</t>
  </si>
  <si>
    <t>Peromyscus</t>
  </si>
  <si>
    <t>Peromyscus boylii</t>
  </si>
  <si>
    <t>Peromyscus boylii (Baird, 1855)</t>
  </si>
  <si>
    <t>(Baird, 1855)</t>
  </si>
  <si>
    <t>Trap Line 6-1</t>
  </si>
  <si>
    <t>DMR0053</t>
  </si>
  <si>
    <t>{ "measurements" : "TOT: 206, TV: 106, HFL: 22, EAR: 18, WGT: 31 g" , "preservationFluid" : "70 percent ethanol" }</t>
  </si>
  <si>
    <t>Mammae #: Ax. 2 Ab. 0 Ing. 4 | Mammae Condition: Lg. | Vagina condition: Imp. | Reproductive Stage: Nul. | Embryos: 0 | Placental scars: 0</t>
  </si>
  <si>
    <t>originatingSampleOf (tissue): https://csvcoll.org/portal/collections/individual/index.php?guid=2b17dc72-1f95-4f6b-a32b-8e2cceb798c0 | originatingSampleOf (tissue): https://csvcoll.org/portal/collections/individual/index.php?guid=4cbad651-b514-4fa8-9fa3-84f6f956ee98 | originatingSampleOf (tissue): https://csvcoll.org/portal/collections/individual/index.php?guid=e0e6bc87-6a9b-43e1-9e11-0517abdc0f16 | originatingSampleOf (tissue): https://csvcoll.org/portal/collections/individual/index.php?guid=8cbc1677-2411-4e98-bab8-95e471cfa06b | originatingSampleOf (fecal): https://csvcoll.org/portal/collections/individual/index.php?guid=e5445bfd-623f-4e3b-8938-338ac3be435d | originatingSampleOf (tissue): https://csvcoll.org/portal/collections/individual/index.php?guid=1f18a974-1d8b-42ff-8e5e-355876197e3b | originatingSampleOf (tissue): https://csvcoll.org/portal/collections/individual/index.php?guid=0b85e2a9-0394-42ec-9134-4fc8cdf69395 | originatingSampleOf (blood): https://csvcoll.org/portal/collections/individual/index.php?guid=1fbd9567-9d51-4919-8d54-2004e2c740f0</t>
  </si>
  <si>
    <t>ASUMAC008644</t>
  </si>
  <si>
    <t>2024-01-23T19:40:07.922Z</t>
  </si>
  <si>
    <t>2b17dc72-1f95-4f6b-a32b-8e2cceb798c0</t>
  </si>
  <si>
    <t>subsampleOf (tissue): https://csvcoll.org/portal/collections/individual/index.php?guid=171c5447-08bd-4c55-811b-f0201b7b28d9</t>
  </si>
  <si>
    <t>ASUVTC000722</t>
  </si>
  <si>
    <t>4cbad651-b514-4fa8-9fa3-84f6f956ee98</t>
  </si>
  <si>
    <t>ASUVTC000723</t>
  </si>
  <si>
    <t>e0e6bc87-6a9b-43e1-9e11-0517abdc0f16</t>
  </si>
  <si>
    <t>ASUVTC000724</t>
  </si>
  <si>
    <t>8cbc1677-2411-4e98-bab8-95e471cfa06b</t>
  </si>
  <si>
    <t>subsampleOf (fecal): https://csvcoll.org/portal/collections/individual/index.php?guid=171c5447-08bd-4c55-811b-f0201b7b28d9</t>
  </si>
  <si>
    <t>ASUVTC000725</t>
  </si>
  <si>
    <t>2024-01-22T23:57:03.654Z</t>
  </si>
  <si>
    <t>e5445bfd-623f-4e3b-8938-338ac3be435d</t>
  </si>
  <si>
    <t>ASUVTC000726</t>
  </si>
  <si>
    <t>1f18a974-1d8b-42ff-8e5e-355876197e3b</t>
  </si>
  <si>
    <t>ASUVTC000866</t>
  </si>
  <si>
    <t>2024-01-22T23:57:03.640Z</t>
  </si>
  <si>
    <t>0b85e2a9-0394-42ec-9134-4fc8cdf69395</t>
  </si>
  <si>
    <t>ASUVTC000867</t>
  </si>
  <si>
    <t>2024-01-22T23:57:03.644Z</t>
  </si>
  <si>
    <t>1fbd9567-9d51-4919-8d54-2004e2c740f0</t>
  </si>
  <si>
    <t>subsampleOf (blood): https://csvcoll.org/portal/collections/individual/index.php?guid=171c5447-08bd-4c55-811b-f0201b7b28d9</t>
  </si>
  <si>
    <t>ASUVTC000889</t>
  </si>
  <si>
    <t>69b734c1-9ba6-465e-af1a-bb80f3949526</t>
  </si>
  <si>
    <t>Trap Line 6-2</t>
  </si>
  <si>
    <t>DMR0054</t>
  </si>
  <si>
    <t>{ "measurements" : "TOT: 191, TV: 97, HFL: 21, EAR: 17, WGT: 27 g" , "preservationFluid" : "70 percent ethanol" }</t>
  </si>
  <si>
    <t>Testes Position: Scrot. | Testis size: 13 x 8 R | Epididymus: Con.</t>
  </si>
  <si>
    <t>originatingSampleOf (tissue): https://csvcoll.org/portal/collections/individual/index.php?guid=ac664a31-f57b-474f-a370-8612bab33192 | originatingSampleOf (tissue): https://csvcoll.org/portal/collections/individual/index.php?guid=6252879e-a78a-4eab-b4e6-13af524f1dce | originatingSampleOf (tissue): https://csvcoll.org/portal/collections/individual/index.php?guid=3cf5dab8-da01-484b-8829-635d12011118 | originatingSampleOf (tissue): https://csvcoll.org/portal/collections/individual/index.php?guid=166dfce8-27c8-4570-8d3e-e5353ea4913e | originatingSampleOf (fecal): https://csvcoll.org/portal/collections/individual/index.php?guid=323a84a2-a95b-4102-9423-33db6f83a040 | originatingSampleOf (tissue): https://csvcoll.org/portal/collections/individual/index.php?guid=beb4490d-2eca-4096-92c6-663e3f3be429 | originatingSampleOf (tissue): https://csvcoll.org/portal/collections/individual/index.php?guid=56c452cb-3ade-4be1-b7e0-f44a49981648 | originatingSampleOf (blood): https://csvcoll.org/portal/collections/individual/index.php?guid=509aaa78-d907-4170-9471-1d2c749bc9a3</t>
  </si>
  <si>
    <t>ASUMAC008645</t>
  </si>
  <si>
    <t>ac664a31-f57b-474f-a370-8612bab33192</t>
  </si>
  <si>
    <t>Testes Position: Scrot. | Testis size: 13 x 8 R | Epididymis: Con.</t>
  </si>
  <si>
    <t>subsampleOf (tissue): https://csvcoll.org/portal/collections/individual/index.php?guid=69b734c1-9ba6-465e-af1a-bb80f3949526</t>
  </si>
  <si>
    <t>ASUVTC000727</t>
  </si>
  <si>
    <t>2024-01-22T23:57:03.633Z</t>
  </si>
  <si>
    <t>6252879e-a78a-4eab-b4e6-13af524f1dce</t>
  </si>
  <si>
    <t>ASUVTC000728</t>
  </si>
  <si>
    <t>2024-01-22T23:57:03.632Z</t>
  </si>
  <si>
    <t>3cf5dab8-da01-484b-8829-635d12011118</t>
  </si>
  <si>
    <t>ASUVTC000729</t>
  </si>
  <si>
    <t>2024-01-22T23:57:03.637Z</t>
  </si>
  <si>
    <t>166dfce8-27c8-4570-8d3e-e5353ea4913e</t>
  </si>
  <si>
    <t>ASUVTC000730</t>
  </si>
  <si>
    <t>2024-01-22T23:57:03.636Z</t>
  </si>
  <si>
    <t>323a84a2-a95b-4102-9423-33db6f83a040</t>
  </si>
  <si>
    <t>ASUVTC000731</t>
  </si>
  <si>
    <t>2024-01-22T23:57:03.628Z</t>
  </si>
  <si>
    <t>beb4490d-2eca-4096-92c6-663e3f3be429</t>
  </si>
  <si>
    <t>subsampleOf (fecal): https://csvcoll.org/portal/collections/individual/index.php?guid=69b734c1-9ba6-465e-af1a-bb80f3949526</t>
  </si>
  <si>
    <t>ASUVTC000868</t>
  </si>
  <si>
    <t>56c452cb-3ade-4be1-b7e0-f44a49981648</t>
  </si>
  <si>
    <t>subsampleOf (blood): https://csvcoll.org/portal/collections/individual/index.php?guid=69b734c1-9ba6-465e-af1a-bb80f3949526</t>
  </si>
  <si>
    <t>ASUVTC000869</t>
  </si>
  <si>
    <t>2024-01-22T23:57:03.625Z</t>
  </si>
  <si>
    <t>509aaa78-d907-4170-9471-1d2c749bc9a3</t>
  </si>
  <si>
    <t>ASUVTC000890</t>
  </si>
  <si>
    <t>2024-01-22T23:57:03.627Z</t>
  </si>
  <si>
    <t>ee757df1-f2cf-47f9-a224-b41ccd7407ed</t>
  </si>
  <si>
    <t>Trap Line 6-3</t>
  </si>
  <si>
    <t>DMR0055</t>
  </si>
  <si>
    <t>{ "measurements" : "TOT: 180, TV: 95, HFL: 26, EAR: 10, WGT: 22 g" , "preservationFluid" : "70 percent ethanol" }</t>
  </si>
  <si>
    <t>Testes Position: Abd. | Testis size: 3 x 2 R | Epididymus: Con.</t>
  </si>
  <si>
    <t>originatingSampleOf (tissue): https://csvcoll.org/portal/collections/individual/index.php?guid=27663b29-dc32-464a-a8b7-70d987b80c4d | originatingSampleOf (tissue): https://csvcoll.org/portal/collections/individual/index.php?guid=b571f895-7950-4dcf-b6e2-fbecf7a329b5 | originatingSampleOf (tissue): https://csvcoll.org/portal/collections/individual/index.php?guid=258a124a-ba9e-454d-89f2-ad9f9eaa7d26 | originatingSampleOf (tissue): https://csvcoll.org/portal/collections/individual/index.php?guid=a2d7a6cc-ab88-42e0-b6eb-300072bea186 | originatingSampleOf (fecal): https://csvcoll.org/portal/collections/individual/index.php?guid=8718b1c2-35a6-4976-8405-01e2109665be | originatingSampleOf (tissue): https://csvcoll.org/portal/collections/individual/index.php?guid=18c291ba-155c-473c-b6b4-e44e5ae025ae | originatingSampleOf (tissue): https://csvcoll.org/portal/collections/individual/index.php?guid=c2cb9a5e-51a3-417a-a2c5-875f14e60db3 | originatingSampleOf (blood): https://csvcoll.org/portal/collections/individual/index.php?guid=e04c29f6-e374-4c06-adb0-099e86ecad66</t>
  </si>
  <si>
    <t>ASUMAC008606</t>
  </si>
  <si>
    <t>2024-01-23T19:40:07.917Z</t>
  </si>
  <si>
    <t>27663b29-dc32-464a-a8b7-70d987b80c4d</t>
  </si>
  <si>
    <t>Testes Position: Abd. | Testis size: 3 x 2 R | Epididymis: Con.</t>
  </si>
  <si>
    <t>subsampleOf (tissue): https://csvcoll.org/portal/collections/individual/index.php?guid=ee757df1-f2cf-47f9-a224-b41ccd7407ed</t>
  </si>
  <si>
    <t>ASUVTC000732</t>
  </si>
  <si>
    <t>b571f895-7950-4dcf-b6e2-fbecf7a329b5</t>
  </si>
  <si>
    <t>ASUVTC000733</t>
  </si>
  <si>
    <t>258a124a-ba9e-454d-89f2-ad9f9eaa7d26</t>
  </si>
  <si>
    <t>ASUVTC000734</t>
  </si>
  <si>
    <t>2024-01-22T23:57:03.620Z</t>
  </si>
  <si>
    <t>a2d7a6cc-ab88-42e0-b6eb-300072bea186</t>
  </si>
  <si>
    <t>subsampleOf (fecal): https://csvcoll.org/portal/collections/individual/index.php?guid=ee757df1-f2cf-47f9-a224-b41ccd7407ed</t>
  </si>
  <si>
    <t>ASUVTC000735</t>
  </si>
  <si>
    <t>8718b1c2-35a6-4976-8405-01e2109665be</t>
  </si>
  <si>
    <t>ASUVTC000736</t>
  </si>
  <si>
    <t>2024-01-22T23:57:03.618Z</t>
  </si>
  <si>
    <t>18c291ba-155c-473c-b6b4-e44e5ae025ae</t>
  </si>
  <si>
    <t>ASUVTC000808</t>
  </si>
  <si>
    <t>2024-01-22T23:57:03.621Z</t>
  </si>
  <si>
    <t>c2cb9a5e-51a3-417a-a2c5-875f14e60db3</t>
  </si>
  <si>
    <t>ASUVTC000809</t>
  </si>
  <si>
    <t>2024-01-22T23:57:03.617Z</t>
  </si>
  <si>
    <t>e04c29f6-e374-4c06-adb0-099e86ecad66</t>
  </si>
  <si>
    <t>subsampleOf (blood): https://csvcoll.org/portal/collections/individual/index.php?guid=ee757df1-f2cf-47f9-a224-b41ccd7407ed</t>
  </si>
  <si>
    <t>ASUVTC000891</t>
  </si>
  <si>
    <t>e262d1a0-454e-4933-a65d-0d3d2a6943eb</t>
  </si>
  <si>
    <t>Santa Catalina Mts., Stratton Canyon NW immediately NW intersection with Old Mt. Lemmon Hwy</t>
  </si>
  <si>
    <t>Trap Line 7-1</t>
  </si>
  <si>
    <t>DMR0056</t>
  </si>
  <si>
    <t>{ "measurements" : "TOT: 170, TV: 91, HFL: 23, EAR: 18, WGT: 16 g" , "preservationFluid" : "70 percent ethanol" }</t>
  </si>
  <si>
    <t>juvenile</t>
  </si>
  <si>
    <t>Mammae #: Ax. 0 Ab. 0 Ing. 0 | Mammae Condition: Sm. | Vagina condition: Perf. | Reproductive Stage: Nul. | Embryos: 0 | Placental scars: 0</t>
  </si>
  <si>
    <t>originatingSampleOf (tissue): https://csvcoll.org/portal/collections/individual/index.php?guid=6c1ea7ab-c9aa-4e72-90a6-f40f29e25b94 | originatingSampleOf (tissue): https://csvcoll.org/portal/collections/individual/index.php?guid=89ac1d22-8a90-4696-b65e-876acfcbf590 | originatingSampleOf (tissue): https://csvcoll.org/portal/collections/individual/index.php?guid=93cc7e89-f44d-4e2b-9dab-cd3f4f822c08 | originatingSampleOf (tissue): https://csvcoll.org/portal/collections/individual/index.php?guid=14f5da57-134d-4dca-8b99-cfde12532563 | originatingSampleOf (fecal): https://csvcoll.org/portal/collections/individual/index.php?guid=f5784a39-5022-47a7-8041-6f954d488ae0 | originatingSampleOf (tissue): https://csvcoll.org/portal/collections/individual/index.php?guid=84460823-e5ff-467f-8ac7-a097dc5670f3 | originatingSampleOf (blood): https://csvcoll.org/portal/collections/individual/index.php?guid=95759abb-3c05-4da6-a963-b72ff924cd24</t>
  </si>
  <si>
    <t>ASUMAC008646</t>
  </si>
  <si>
    <t>2024-01-23T19:40:07.916Z</t>
  </si>
  <si>
    <t>6c1ea7ab-c9aa-4e72-90a6-f40f29e25b94</t>
  </si>
  <si>
    <t>Santa Catalina Mts., Stratton Canyon NW intersection with Old Mt. Lemmon Hwy</t>
  </si>
  <si>
    <t>subsampleOf (tissue): https://csvcoll.org/portal/collections/individual/index.php?guid=e262d1a0-454e-4933-a65d-0d3d2a6943eb</t>
  </si>
  <si>
    <t>ASUVTC000737</t>
  </si>
  <si>
    <t>89ac1d22-8a90-4696-b65e-876acfcbf590</t>
  </si>
  <si>
    <t>ASUVTC000738</t>
  </si>
  <si>
    <t>2024-01-22T23:57:03.614Z</t>
  </si>
  <si>
    <t>93cc7e89-f44d-4e2b-9dab-cd3f4f822c08</t>
  </si>
  <si>
    <t>ASUVTC000739</t>
  </si>
  <si>
    <t>2024-01-22T23:57:03.612Z</t>
  </si>
  <si>
    <t>14f5da57-134d-4dca-8b99-cfde12532563</t>
  </si>
  <si>
    <t>ASUVTC000740</t>
  </si>
  <si>
    <t>2024-01-22T23:57:03.616Z</t>
  </si>
  <si>
    <t>f5784a39-5022-47a7-8041-6f954d488ae0</t>
  </si>
  <si>
    <t>heart+lung</t>
  </si>
  <si>
    <t>ASUVTC000741</t>
  </si>
  <si>
    <t>2024-01-22T23:57:03.609Z</t>
  </si>
  <si>
    <t>84460823-e5ff-467f-8ac7-a097dc5670f3</t>
  </si>
  <si>
    <t>subsampleOf (fecal): https://csvcoll.org/portal/collections/individual/index.php?guid=e262d1a0-454e-4933-a65d-0d3d2a6943eb</t>
  </si>
  <si>
    <t>ASUVTC000870</t>
  </si>
  <si>
    <t>2024-01-22T23:57:03.613Z</t>
  </si>
  <si>
    <t>95759abb-3c05-4da6-a963-b72ff924cd24</t>
  </si>
  <si>
    <t>subsampleOf (blood): https://csvcoll.org/portal/collections/individual/index.php?guid=e262d1a0-454e-4933-a65d-0d3d2a6943eb</t>
  </si>
  <si>
    <t>ASUVTC000892</t>
  </si>
  <si>
    <t>19332940-aad2-4bbf-8164-25767185bc94</t>
  </si>
  <si>
    <t>Santa Catalina Mts., Stratton Canyon at intersection with Old Mt. Lemmon Hwy, deciduous woodland along W bank of wash N of road</t>
  </si>
  <si>
    <t>Trap 11-1</t>
  </si>
  <si>
    <t>DMR0066</t>
  </si>
  <si>
    <t>{ "measurements" : "TOT: 215, TV: 107, HFL: 22, EAR: 21, WGT: 31 g" , "preservationFluid" : "70 percent ethanol" }</t>
  </si>
  <si>
    <t>Mammae #: Ax. 0 Ab. 0 Ing. 4 | Mammae Condition: Sm. | Vagina condition: Perf. | Reproductive Stage: Nul. | Embryos: 0 | Placental scars: 0</t>
  </si>
  <si>
    <t>originatingSampleOf (tissue): https://csvcoll.org/portal/collections/individual/index.php?guid=019ad5d0-845f-4129-a9b4-7dfb1853a291 | originatingSampleOf (tissue): https://csvcoll.org/portal/collections/individual/index.php?guid=00d5e5ea-94e7-402f-9ae7-209f6832c18f | originatingSampleOf (tissue): https://csvcoll.org/portal/collections/individual/index.php?guid=2baff200-8902-42a9-b8d6-2fcdc772ff54 | originatingSampleOf (tissue): https://csvcoll.org/portal/collections/individual/index.php?guid=54f4c211-719f-41db-a8e0-d20cfef3337c | originatingSampleOf (fecal): https://csvcoll.org/portal/collections/individual/index.php?guid=82a9b087-0b12-4314-b6d2-ce61c25bc9c5 | originatingSampleOf (tissue): https://csvcoll.org/portal/collections/individual/index.php?guid=c9fc4df5-b388-4512-acdf-52d714bfddca | originatingSampleOf (tissue): https://csvcoll.org/portal/collections/individual/index.php?guid=1cf28be8-5218-4507-bc6a-a3c21dc3ddca | originatingSampleOf (blood): https://csvcoll.org/portal/collections/individual/index.php?guid=884adb27-2404-4fd3-8949-4b75f522c0e0</t>
  </si>
  <si>
    <t>ASUMAC008619</t>
  </si>
  <si>
    <t>019ad5d0-845f-4129-a9b4-7dfb1853a291</t>
  </si>
  <si>
    <t>subsampleOf (tissue): https://csvcoll.org/portal/collections/individual/index.php?guid=19332940-aad2-4bbf-8164-25767185bc94</t>
  </si>
  <si>
    <t>ASUVTC000777</t>
  </si>
  <si>
    <t>2024-01-22T23:57:04.154Z</t>
  </si>
  <si>
    <t>00d5e5ea-94e7-402f-9ae7-209f6832c18f</t>
  </si>
  <si>
    <t>ASUVTC000778</t>
  </si>
  <si>
    <t>2024-01-22T23:57:04.155Z</t>
  </si>
  <si>
    <t>2baff200-8902-42a9-b8d6-2fcdc772ff54</t>
  </si>
  <si>
    <t>ASUVTC000779</t>
  </si>
  <si>
    <t>2024-01-22T23:57:04.161Z</t>
  </si>
  <si>
    <t>54f4c211-719f-41db-a8e0-d20cfef3337c</t>
  </si>
  <si>
    <t>ASUVTC000780</t>
  </si>
  <si>
    <t>2024-01-22T23:57:04.153Z</t>
  </si>
  <si>
    <t>82a9b087-0b12-4314-b6d2-ce61c25bc9c5</t>
  </si>
  <si>
    <t>subsampleOf (fecal): https://csvcoll.org/portal/collections/individual/index.php?guid=19332940-aad2-4bbf-8164-25767185bc94</t>
  </si>
  <si>
    <t>ASUVTC000781</t>
  </si>
  <si>
    <t>c9fc4df5-b388-4512-acdf-52d714bfddca</t>
  </si>
  <si>
    <t>ASUVTC000822</t>
  </si>
  <si>
    <t>1cf28be8-5218-4507-bc6a-a3c21dc3ddca</t>
  </si>
  <si>
    <t>ASUVTC000823</t>
  </si>
  <si>
    <t>884adb27-2404-4fd3-8949-4b75f522c0e0</t>
  </si>
  <si>
    <t>subsampleOf (blood): https://csvcoll.org/portal/collections/individual/index.php?guid=19332940-aad2-4bbf-8164-25767185bc94</t>
  </si>
  <si>
    <t>ASUVTC000899</t>
  </si>
  <si>
    <t>24acfa5b-fc56-4f42-96d6-1cc8a372e385</t>
  </si>
  <si>
    <t>DMR0067</t>
  </si>
  <si>
    <t>ear</t>
  </si>
  <si>
    <t>Testes Position: Scrot. | Testis size: ND | Epididymis: ND</t>
  </si>
  <si>
    <t>ASUVTC000782</t>
  </si>
  <si>
    <t>aa41ff10-4f2a-492b-a02f-f338cee9c33f</t>
  </si>
  <si>
    <t>ASUVTC000783</t>
  </si>
  <si>
    <t>2024-01-22T23:57:04.152Z</t>
  </si>
  <si>
    <t>2d9c8413-250e-4d08-b6e9-10d8f1aee9f0</t>
  </si>
  <si>
    <t>Sciuridae</t>
  </si>
  <si>
    <t>Neotamias</t>
  </si>
  <si>
    <t>Neotamias dorsalis</t>
  </si>
  <si>
    <t>Neotamias dorsalis (Baird, 1855)</t>
  </si>
  <si>
    <t>Santa Catalina Mts., Manzanita Vista</t>
  </si>
  <si>
    <t>Line 4-1</t>
  </si>
  <si>
    <t>ICS</t>
  </si>
  <si>
    <t>DMR0218</t>
  </si>
  <si>
    <t>{ "measurements" : "TOT: 226, TV: 96, HFL: 31, EAR: 18.5, WGT: 54.5" , "preservationFluid" : "70 percent ethanol, formalin fixed" }</t>
  </si>
  <si>
    <t>Juvenile</t>
  </si>
  <si>
    <t>Testes Position: Abd. | Testis size: 6 x 3 R | Epididymis: Not Con.</t>
  </si>
  <si>
    <t>originatingSampleOf (fecal): https://csvcoll.org/portal/collections/individual/index.php?guid=7d1a453c-f9e9-4761-bab5-59202a2dacb5 | hostOf (tissue): https://csvcoll.org/portal/collections/individual/index.php?guid=6dfb949c-c8b0-4ca8-9798-b20f8cb1c61a | originatingSampleOf (tissue): https://csvcoll.org/portal/collections/individual/index.php?guid=8bc250fb-b1b1-4bb1-82cd-11e91c17a2a3 | originatingSampleOf (tissue): https://csvcoll.org/portal/collections/individual/index.php?guid=16721acc-67e2-4ca7-b8ec-93fd5164aef2 | originatingSampleOf (tissue): https://csvcoll.org/portal/collections/individual/index.php?guid=ac14940c-00a1-4462-9887-b2aa274b030a | originatingSampleOf (tissue): https://csvcoll.org/portal/collections/individual/index.php?guid=dff48722-e5c0-4923-8fb9-6469692483d4 | originatingSampleOf (tissue): https://csvcoll.org/portal/collections/individual/index.php?guid=d4eba88f-0199-4154-aafc-bb074d3a7747 | originatingSampleOf (blood): https://csvcoll.org/portal/collections/individual/index.php?guid=086d7823-4524-46ae-954b-24ea524c098f | originatingSampleOf (tissue): https://csvcoll.org/portal/collections/individual/index.php?guid=c3952775-de92-4b1d-9d72-04f0dada3334</t>
  </si>
  <si>
    <t>ASUMAC009012</t>
  </si>
  <si>
    <t>Rowsey, Dakota M.; Zamora Chavez, Luisa J.; Rivera, Damien; Jones, Matthew F.; Mohammadian, Shahrzad</t>
  </si>
  <si>
    <t>2024-01-23T19:40:09.666Z</t>
  </si>
  <si>
    <t>StillImage</t>
  </si>
  <si>
    <t>7d1a453c-f9e9-4761-bab5-59202a2dacb5</t>
  </si>
  <si>
    <t>{ "preservationMeans" : "flash frozen, stored at -80C" , "preservationFluid" : "no preservative fluid" }</t>
  </si>
  <si>
    <t>subsampleOf (tissue): https://csvcoll.org/portal/collections/individual/index.php?guid=2d9c8413-250e-4d08-b6e9-10d8f1aee9f0</t>
  </si>
  <si>
    <t>ASUVTC002500</t>
  </si>
  <si>
    <t>2024-01-22T23:57:04.191Z</t>
  </si>
  <si>
    <t>6dfb949c-c8b0-4ca8-9798-b20f8cb1c61a</t>
  </si>
  <si>
    <t>{ "preservationMeans" : "Nobuto strip, room temperature" , "preservationFluid" : "no preservative fluid" }</t>
  </si>
  <si>
    <t>subsampleOf (blood): https://csvcoll.org/portal/collections/individual/index.php?guid=2d9c8413-250e-4d08-b6e9-10d8f1aee9f0</t>
  </si>
  <si>
    <t>ASUVTC002501</t>
  </si>
  <si>
    <t>2024-01-22T23:57:04.190Z</t>
  </si>
  <si>
    <t>8bc250fb-b1b1-4bb1-82cd-11e91c17a2a3</t>
  </si>
  <si>
    <t>{ "preservationMeans" : "15 mL falcon tube, room temperature" , "preservationFluid" : "95 percent ethanol" }</t>
  </si>
  <si>
    <t>Whole GI</t>
  </si>
  <si>
    <t>ASUVTC002505</t>
  </si>
  <si>
    <t>2024-01-22T23:57:04.189Z</t>
  </si>
  <si>
    <t>16721acc-67e2-4ca7-b8ec-93fd5164aef2</t>
  </si>
  <si>
    <t>subsampleOf (fecal): https://csvcoll.org/portal/collections/individual/index.php?guid=2d9c8413-250e-4d08-b6e9-10d8f1aee9f0</t>
  </si>
  <si>
    <t>ASUVTC002506</t>
  </si>
  <si>
    <t>ac14940c-00a1-4462-9887-b2aa274b030a</t>
  </si>
  <si>
    <t>{ "preservationMeans" : "flash frozen, stored at -80C" , "preservationFluid" : "95 percent ethanol" }</t>
  </si>
  <si>
    <t>hasHost (tissue): https://csvcoll.org/portal/collections/individual/index.php?guid=2d9c8413-250e-4d08-b6e9-10d8f1aee9f0</t>
  </si>
  <si>
    <t>ASUVTC002507</t>
  </si>
  <si>
    <t>dff48722-e5c0-4923-8fb9-6469692483d4</t>
  </si>
  <si>
    <t>ASUVTC002508</t>
  </si>
  <si>
    <t>2024-01-22T23:57:04.184Z</t>
  </si>
  <si>
    <t>d4eba88f-0199-4154-aafc-bb074d3a7747</t>
  </si>
  <si>
    <t>ASUVTC002509</t>
  </si>
  <si>
    <t>086d7823-4524-46ae-954b-24ea524c098f</t>
  </si>
  <si>
    <t>ASUVTC002606</t>
  </si>
  <si>
    <t>2024-01-22T23:57:04.186Z</t>
  </si>
  <si>
    <t>c3952775-de92-4b1d-9d72-04f0dada3334</t>
  </si>
  <si>
    <t>ASUVTC002767</t>
  </si>
  <si>
    <t>5f1196b7-7b64-44fc-8f58-990fa03b15cc</t>
  </si>
  <si>
    <t>Line 2-2</t>
  </si>
  <si>
    <t>DMR0219</t>
  </si>
  <si>
    <t>{ "measurements" : "TOT: 223, TV: 105, HFL: 21, EAR: 23, WGT: 26.5" , "preservationFluid" : "70 percent ethanol, formalin fixed" }</t>
  </si>
  <si>
    <t>Adult</t>
  </si>
  <si>
    <t>Testes Position: Scrot. | Testis size: 15 x 9 R | Epididymis: Con.</t>
  </si>
  <si>
    <t>originatingSampleOf (fecal): https://csvcoll.org/portal/collections/individual/index.php?guid=cd316019-0daa-4938-b4d3-696fcc5ed953 | hostOf (tissue): https://csvcoll.org/portal/collections/individual/index.php?guid=991b989d-d3c5-499e-81d3-878d2ab7641f | originatingSampleOf (tissue): https://csvcoll.org/portal/collections/individual/index.php?guid=2711cba3-26ba-430c-b640-a9e68b3bfe04 | originatingSampleOf (tissue): https://csvcoll.org/portal/collections/individual/index.php?guid=9cd72609-b756-4f39-a6f2-e685c4f39def | originatingSampleOf (tissue): https://csvcoll.org/portal/collections/individual/index.php?guid=0319bbe0-be70-4eff-a353-67aff83465c8 | originatingSampleOf (tissue): https://csvcoll.org/portal/collections/individual/index.php?guid=9a71799a-71e8-4398-9ae7-713c81ab6a72 | originatingSampleOf (tissue): https://csvcoll.org/portal/collections/individual/index.php?guid=a6cf43c7-344d-43c2-878e-3d97bd444768 | originatingSampleOf (blood): https://csvcoll.org/portal/collections/individual/index.php?guid=d22b4e2a-1fe0-481c-a912-91b2dfbe74a3 | originatingSampleOf (tissue): https://csvcoll.org/portal/collections/individual/index.php?guid=f6801dee-0a17-446b-9ee2-681c277488b1</t>
  </si>
  <si>
    <t>ASUMAC009013</t>
  </si>
  <si>
    <t>2024-01-23T19:40:09.672Z</t>
  </si>
  <si>
    <t>CONTINENT_DERIVED_FROM_COORDINATES;TAXON_MATCH_TAXON_ID_IGNORED;OCCURRENCE_STATUS_INFERRED_FROM_INDIVIDUAL_COUNT;INSTITUTION_MATCH_FUZZY;COLLECTION_MATCH_FUZZY</t>
  </si>
  <si>
    <t>cd316019-0daa-4938-b4d3-696fcc5ed953</t>
  </si>
  <si>
    <t>subsampleOf (fecal): https://csvcoll.org/portal/collections/individual/index.php?guid=5f1196b7-7b64-44fc-8f58-990fa03b15cc</t>
  </si>
  <si>
    <t>ASUVTC002502</t>
  </si>
  <si>
    <t>2024-01-22T23:57:04.188Z</t>
  </si>
  <si>
    <t>CONTINENT_DERIVED_FROM_COORDINATES;TAXON_MATCH_TAXON_ID_IGNORED;OCCURRENCE_STATUS_INFERRED_FROM_INDIVIDUAL_COUNT;COLLECTION_MATCH_NONE;INSTITUTION_MATCH_FUZZY</t>
  </si>
  <si>
    <t>991b989d-d3c5-499e-81d3-878d2ab7641f</t>
  </si>
  <si>
    <t>hasHost (tissue): https://csvcoll.org/portal/collections/individual/index.php?guid=5f1196b7-7b64-44fc-8f58-990fa03b15cc</t>
  </si>
  <si>
    <t>ASUVTC002503</t>
  </si>
  <si>
    <t>2711cba3-26ba-430c-b640-a9e68b3bfe04</t>
  </si>
  <si>
    <t>subsampleOf (tissue): https://csvcoll.org/portal/collections/individual/index.php?guid=5f1196b7-7b64-44fc-8f58-990fa03b15cc</t>
  </si>
  <si>
    <t>ASUVTC002510</t>
  </si>
  <si>
    <t>2024-01-22T23:57:04.187Z</t>
  </si>
  <si>
    <t>9cd72609-b756-4f39-a6f2-e685c4f39def</t>
  </si>
  <si>
    <t>ASUVTC002511</t>
  </si>
  <si>
    <t>0319bbe0-be70-4eff-a353-67aff83465c8</t>
  </si>
  <si>
    <t>ASUVTC002512</t>
  </si>
  <si>
    <t>9a71799a-71e8-4398-9ae7-713c81ab6a72</t>
  </si>
  <si>
    <t>ASUVTC002513</t>
  </si>
  <si>
    <t>a6cf43c7-344d-43c2-878e-3d97bd444768</t>
  </si>
  <si>
    <t>ASUVTC002514</t>
  </si>
  <si>
    <t>2024-01-22T23:57:04.182Z</t>
  </si>
  <si>
    <t>d22b4e2a-1fe0-481c-a912-91b2dfbe74a3</t>
  </si>
  <si>
    <t>subsampleOf (blood): https://csvcoll.org/portal/collections/individual/index.php?guid=5f1196b7-7b64-44fc-8f58-990fa03b15cc</t>
  </si>
  <si>
    <t>ASUVTC002607</t>
  </si>
  <si>
    <t>2024-01-22T23:57:04.181Z</t>
  </si>
  <si>
    <t>f6801dee-0a17-446b-9ee2-681c277488b1</t>
  </si>
  <si>
    <t>{ "preservationMeans" : "15 mL centrifuge tube, room temperatuer" , "preservationFluid" : "95 percent ethanol" }</t>
  </si>
  <si>
    <t>ASUVTC002768</t>
  </si>
  <si>
    <t>bbc67ae5-3def-4a1c-9134-dc1b0af0fc80</t>
  </si>
  <si>
    <t>Line 3-3</t>
  </si>
  <si>
    <t>DMR0220</t>
  </si>
  <si>
    <t>{ "measurements" : "TOT: 196, TV: 103, HFL: 21, EAR: 20, WGT: 22" , "preservationFluid" : "70 percent ethanol, formalin fixed" }</t>
  </si>
  <si>
    <t>Mammae #: Ax. 0 Ab. 0 Ing. 0 | Mammae Condition: Sm. | Vagina condition: Imp. | Reproductive Stage: Prim. | Embryos: L 3 R 2 CR 2 mm | Placental scars: L 0 R 0</t>
  </si>
  <si>
    <t>originatingSampleOf (fecal): https://csvcoll.org/portal/collections/individual/index.php?guid=c0aefcab-89a5-44fd-a32b-c7f478bf7395 | originatingSampleOf (tissue): https://csvcoll.org/portal/collections/individual/index.php?guid=b4ef6a5c-c134-43b6-96e9-e27a33d4a9c0 | originatingSampleOf (tissue): https://csvcoll.org/portal/collections/individual/index.php?guid=cce83836-b424-469b-a389-2fcec157c18f | originatingSampleOf (tissue): https://csvcoll.org/portal/collections/individual/index.php?guid=4d93e18d-e87a-4ad2-8b1f-71b7e5d45700 | originatingSampleOf (tissue): https://csvcoll.org/portal/collections/individual/index.php?guid=ff3756e7-2cad-4bc8-b6e5-9214477dcad6 | originatingSampleOf (tissue): https://csvcoll.org/portal/collections/individual/index.php?guid=4b51655c-7eee-455a-a909-e4c8477c9851 | hostOf (tissue): https://csvcoll.org/portal/collections/individual/index.php?guid=c610ff32-204b-426e-aa80-62c000197a0b | originatingSampleOf (blood): https://csvcoll.org/portal/collections/individual/index.php?guid=1e7f8192-c5eb-4f22-b684-0273fee0636c</t>
  </si>
  <si>
    <t>ASUMAC009014</t>
  </si>
  <si>
    <t>2024-01-23T19:40:09.659Z</t>
  </si>
  <si>
    <t>c0aefcab-89a5-44fd-a32b-c7f478bf7395</t>
  </si>
  <si>
    <t>hasHost (tissue): https://csvcoll.org/portal/collections/individual/index.php?guid=bbc67ae5-3def-4a1c-9134-dc1b0af0fc80</t>
  </si>
  <si>
    <t>ASUVTC002504</t>
  </si>
  <si>
    <t>b4ef6a5c-c134-43b6-96e9-e27a33d4a9c0</t>
  </si>
  <si>
    <t>subsampleOf (fecal): https://csvcoll.org/portal/collections/individual/index.php?guid=bbc67ae5-3def-4a1c-9134-dc1b0af0fc80</t>
  </si>
  <si>
    <t>ASUVTC002515</t>
  </si>
  <si>
    <t>2024-01-22T23:57:04.185Z</t>
  </si>
  <si>
    <t>cce83836-b424-469b-a389-2fcec157c18f</t>
  </si>
  <si>
    <t>subsampleOf (tissue): https://csvcoll.org/portal/collections/individual/index.php?guid=bbc67ae5-3def-4a1c-9134-dc1b0af0fc80</t>
  </si>
  <si>
    <t>ASUVTC002516</t>
  </si>
  <si>
    <t>4d93e18d-e87a-4ad2-8b1f-71b7e5d45700</t>
  </si>
  <si>
    <t>ASUVTC002517</t>
  </si>
  <si>
    <t>2024-01-22T23:57:04.183Z</t>
  </si>
  <si>
    <t>ff3756e7-2cad-4bc8-b6e5-9214477dcad6</t>
  </si>
  <si>
    <t>ASUVTC002518</t>
  </si>
  <si>
    <t>4b51655c-7eee-455a-a909-e4c8477c9851</t>
  </si>
  <si>
    <t>ASUVTC002519</t>
  </si>
  <si>
    <t>c610ff32-204b-426e-aa80-62c000197a0b</t>
  </si>
  <si>
    <t>ASUVTC002562</t>
  </si>
  <si>
    <t>1e7f8192-c5eb-4f22-b684-0273fee0636c</t>
  </si>
  <si>
    <t>{ "preservationMeans" : "15 mL centrifuge tube, room temperatuer" , "preservationFluid" : "no preservative fluid" }</t>
  </si>
  <si>
    <t>subsampleOf (blood): https://csvcoll.org/portal/collections/individual/index.php?guid=bbc67ae5-3def-4a1c-9134-dc1b0af0fc80</t>
  </si>
  <si>
    <t>ASUVTC002608</t>
  </si>
  <si>
    <t>2024-01-22T23:57:04.176Z</t>
  </si>
  <si>
    <t>b6eb536e-6a7e-4d6d-9298-4b065742b4a4</t>
  </si>
  <si>
    <t>Line 1-2</t>
  </si>
  <si>
    <t>DMR0221</t>
  </si>
  <si>
    <t>{ "measurements" : "TOT: 187, TV: 98, HFL: 21, EAR: 29, WGT: 20.75" , "preservationFluid" : "70 percent ethanol, formalin fixed" }</t>
  </si>
  <si>
    <t>originatingSampleOf (tissue): https://csvcoll.org/portal/collections/individual/index.php?guid=fd694ee3-ed16-4b50-8287-c39d7f86ddf5 | originatingSampleOf (tissue): https://csvcoll.org/portal/collections/individual/index.php?guid=2db316ee-87e5-40d0-8399-a8c179c5d2fd | originatingSampleOf (tissue): https://csvcoll.org/portal/collections/individual/index.php?guid=5c822fa5-2f29-43c0-b8f1-b9cc96a32856 | originatingSampleOf (tissue): https://csvcoll.org/portal/collections/individual/index.php?guid=40d04900-63f0-4950-8779-00eb91059424 | originatingSampleOf (tissue): https://csvcoll.org/portal/collections/individual/index.php?guid=ded884cf-0dca-4e15-98c7-ae3d50449b34 | originatingSampleOf (fecal): https://csvcoll.org/portal/collections/individual/index.php?guid=2ef59b11-39d5-4332-8ad5-c2fd35c95032 | originatingSampleOf (blood): https://csvcoll.org/portal/collections/individual/index.php?guid=87dba282-e935-4500-9e3d-c8cc57adce18</t>
  </si>
  <si>
    <t>ASUMAC009015</t>
  </si>
  <si>
    <t>2024-01-23T19:40:09.675Z</t>
  </si>
  <si>
    <t>fd694ee3-ed16-4b50-8287-c39d7f86ddf5</t>
  </si>
  <si>
    <t>subsampleOf (tissue): https://csvcoll.org/portal/collections/individual/index.php?guid=b6eb536e-6a7e-4d6d-9298-4b065742b4a4</t>
  </si>
  <si>
    <t>ASUVTC002520</t>
  </si>
  <si>
    <t>2024-01-22T23:57:04.177Z</t>
  </si>
  <si>
    <t>2db316ee-87e5-40d0-8399-a8c179c5d2fd</t>
  </si>
  <si>
    <t>ASUVTC002521</t>
  </si>
  <si>
    <t>5c822fa5-2f29-43c0-b8f1-b9cc96a32856</t>
  </si>
  <si>
    <t>subsampleOf (fecal): https://csvcoll.org/portal/collections/individual/index.php?guid=b6eb536e-6a7e-4d6d-9298-4b065742b4a4</t>
  </si>
  <si>
    <t>ASUVTC002522</t>
  </si>
  <si>
    <t>40d04900-63f0-4950-8779-00eb91059424</t>
  </si>
  <si>
    <t>subsampleOf (blood): https://csvcoll.org/portal/collections/individual/index.php?guid=b6eb536e-6a7e-4d6d-9298-4b065742b4a4</t>
  </si>
  <si>
    <t>ASUVTC002523</t>
  </si>
  <si>
    <t>ded884cf-0dca-4e15-98c7-ae3d50449b34</t>
  </si>
  <si>
    <t>ASUVTC002524</t>
  </si>
  <si>
    <t>2ef59b11-39d5-4332-8ad5-c2fd35c95032</t>
  </si>
  <si>
    <t>ASUVTC002525</t>
  </si>
  <si>
    <t>87dba282-e935-4500-9e3d-c8cc57adce18</t>
  </si>
  <si>
    <t>ASUVTC002609</t>
  </si>
  <si>
    <t>743f8390-2cbe-4e04-b77b-15b1eb6ae917</t>
  </si>
  <si>
    <t>Line 3-4</t>
  </si>
  <si>
    <t>DMR0222</t>
  </si>
  <si>
    <t>{ "measurements" : "TOT: 162, TV: 96, HFL: 20, EAR: 17, WGT: 21.5" ,"preservationMeans" : "flash frozen, stored at -80C", "preservationFluid" : "no preservative fluid" }</t>
  </si>
  <si>
    <t>Mammae #: Ax. 0 Ab. 0 Ing. 1 | Mammae Condition: Sm. | Vagina condition: ND | Reproductive Stage: ND | Embryos: ND | Placental scars: ND</t>
  </si>
  <si>
    <t>ASUVTC002526</t>
  </si>
  <si>
    <t>2024-01-22T23:57:04.239Z</t>
  </si>
  <si>
    <t>30c4a14f-d196-48a7-8ebc-ac5f89182a42</t>
  </si>
  <si>
    <t>ASUVTC002527</t>
  </si>
  <si>
    <t>2024-01-22T23:57:04.179Z</t>
  </si>
  <si>
    <t>d60caabe-73f4-46c8-afee-47e8e7776024</t>
  </si>
  <si>
    <t>Line 1-3</t>
  </si>
  <si>
    <t>DMR0223</t>
  </si>
  <si>
    <t>{ "measurements" : "TOT: 187, TV: 99, HFL: 21, EAR: 18, WGT: 32" ,"preservationMeans" : "flash frozen, stored at -80C", "preservationFluid" : "no preservative fluid" }</t>
  </si>
  <si>
    <t>Mammae #: Ax. 0 Ab. 0 Ing. 2 | Mammae Condition: Lg. | Vagina condition: ND | Reproductive Stage: Pregnant | Embryos: ND | Placental scars: ND</t>
  </si>
  <si>
    <t>ASUVTC002528</t>
  </si>
  <si>
    <t>2024-01-22T23:57:04.238Z</t>
  </si>
  <si>
    <t>3d984069-92f0-4ab9-831b-23c5d1e95ea4</t>
  </si>
  <si>
    <t>ASUVTC002529</t>
  </si>
  <si>
    <t>83ddc1dc-0f2f-43eb-9bdc-8c13513f3fa1</t>
  </si>
  <si>
    <t>Line 4-3</t>
  </si>
  <si>
    <t>DMR0224</t>
  </si>
  <si>
    <t>{ "measurements" : "TOT: 146, TV: 78, HFL: 20, EAR: 15, WGT: 11.5" ,"preservationMeans" : "flash frozen, stored at -80C", "preservationFluid" : "no preservative fluid" }</t>
  </si>
  <si>
    <t>Mammae #: Ax. 0 Ab. 0 Ing. 0 | Mammae Condition: Sm. | Vagina condition: Imp. | Reproductive Stage: Nul. | Embryos: ND | Placental scars: ND</t>
  </si>
  <si>
    <t>ASUVTC002530</t>
  </si>
  <si>
    <t>4b82ada8-d6d2-48c6-b05d-6b969a32a337</t>
  </si>
  <si>
    <t>ASUVTC002531</t>
  </si>
  <si>
    <t>2024-01-22T23:57:04.237Z</t>
  </si>
  <si>
    <t>004119bc-6c4f-48c9-a2c2-397301207003</t>
  </si>
  <si>
    <t>Line 1-1</t>
  </si>
  <si>
    <t>DMR0225</t>
  </si>
  <si>
    <t>{ "measurements" : "TOT: 179, TV: 90, HFL: 21, EAR: 18, WGT: 22" ,"preservationMeans" : "flash frozen, stored at -80C", "preservationFluid" : "no preservative fluid" }</t>
  </si>
  <si>
    <t>ASUVTC002532</t>
  </si>
  <si>
    <t>e5d12c76-1ce2-4e9a-aac0-b035843d01fb</t>
  </si>
  <si>
    <t>ASUVTC002533</t>
  </si>
  <si>
    <t>afc6ac61-7893-40eb-89fa-76e0b9b87c81</t>
  </si>
  <si>
    <t>Line 2-1</t>
  </si>
  <si>
    <t>DMR0226</t>
  </si>
  <si>
    <t>{ "measurements" : "TOT: 192, TV: 109, HFL: 21, EAR: 18, WGT: 30" ,"preservationMeans" : "flash frozen, stored at -80C", "preservationFluid" : "no preservative fluid" }</t>
  </si>
  <si>
    <t>Mammae #: Ax. 0. Ab. 0 Ing. 2 | Mammae Condition: Lg. | Vagina condition: ND | Reproductive Stage: Pregnant | Embryos: ND | Placental scars: ND</t>
  </si>
  <si>
    <t>ASUVTC002534</t>
  </si>
  <si>
    <t>2024-01-22T23:57:04.241Z</t>
  </si>
  <si>
    <t>64075788-1674-4b0f-934b-49f61f046eec</t>
  </si>
  <si>
    <t>ASUVTC002535</t>
  </si>
  <si>
    <t>74461709-a233-44e1-a6e9-f722f567340c</t>
  </si>
  <si>
    <t>Line 1-4</t>
  </si>
  <si>
    <t>DMR0227</t>
  </si>
  <si>
    <t>{ "measurements" : "TOT: 180, TV: 95, HFL: 20, EAR: 17, WGT: 20" ,"preservationMeans" : "flash frozen, stored at -80C", "preservationFluid" : "no preservative fluid" }</t>
  </si>
  <si>
    <t>ASUVTC002536</t>
  </si>
  <si>
    <t>2024-01-22T23:57:04.240Z</t>
  </si>
  <si>
    <t>4dd1350f-990c-4211-9b5e-62e9b9fc5236</t>
  </si>
  <si>
    <t>ASUVTC002537</t>
  </si>
  <si>
    <t>2024-01-22T23:57:04.236Z</t>
  </si>
  <si>
    <t>36e71164-601a-41b0-97db-ef8b8eeebe55</t>
  </si>
  <si>
    <t>Line 4-2</t>
  </si>
  <si>
    <t>DMR0228</t>
  </si>
  <si>
    <t>{ "measurements" : "TOT: 214, TV: 111, HFL: 21, EAR: 18, WGT: 30" ,"preservationMeans" : "flash frozen, stored at -80C", "preservationFluid" : "no preservative fluid" }</t>
  </si>
  <si>
    <t>Mammae #: Ax. 0 Ab. 0 Ing. 2 | Mammae Condition: Lact. | Vagina condition: Perf. | Reproductive Stage: ND | Embryos: ND | Placental scars: ND</t>
  </si>
  <si>
    <t>ASUVTC002538</t>
  </si>
  <si>
    <t>2024-01-22T23:57:04.235Z</t>
  </si>
  <si>
    <t>ba0e0e4b-461a-404b-a9b9-21378348cbfd</t>
  </si>
  <si>
    <t>ASUVTC002539</t>
  </si>
  <si>
    <t>adbc48e9-04e8-47c1-bb26-79e672fdc048</t>
  </si>
  <si>
    <t>ASUVTC002540</t>
  </si>
  <si>
    <t>1c690982-b6ee-4760-9974-7fcf600b0b15</t>
  </si>
  <si>
    <t>Line 3-1</t>
  </si>
  <si>
    <t>DMR0229</t>
  </si>
  <si>
    <t>Mammae #: ND | Mammae Condition: ND | Vagina condition: ND | Reproductive Stage: ND | Embryos: ND | Placental scars: ND</t>
  </si>
  <si>
    <t>ASUVTC002541</t>
  </si>
  <si>
    <t>2024-01-22T23:57:04.195Z</t>
  </si>
  <si>
    <t>8f72cd62-630f-40f5-9260-299969acff5d</t>
  </si>
  <si>
    <t>ASUVTC002542</t>
  </si>
  <si>
    <t>b1e66e3a-753a-4eed-91a5-817a65a2e9de</t>
  </si>
  <si>
    <t>{ "measurements" : "TOT: 187, TV: 111, HFL: 21, EAR: 18, WGT: 23.5" ,"preservationMeans" : "flash frozen, stored at -80C", "preservationFluid" : "no preservative fluid" }</t>
  </si>
  <si>
    <t>ASUVTC002543</t>
  </si>
  <si>
    <t>9eaa96b4-965e-44c0-8bda-e16f2f4661ff</t>
  </si>
  <si>
    <t>Line 3-2</t>
  </si>
  <si>
    <t>DMR0230</t>
  </si>
  <si>
    <t>{ "measurements" : "TOT: 177, TV: 93, HFL: 20, EAR: 17, WGT: 18" ,"preservationMeans" : "flash frozen, stored at -80C", "preservationFluid" : "no preservative fluid" }</t>
  </si>
  <si>
    <t>ASUVTC002544</t>
  </si>
  <si>
    <t>334cae95-29b2-4d90-ae03-a8c58b84aa24</t>
  </si>
  <si>
    <t>ASUVTC002545</t>
  </si>
  <si>
    <t>71b170a4-415b-4384-9824-7b2b4e81716b</t>
  </si>
  <si>
    <t>Line 2-3</t>
  </si>
  <si>
    <t>DMR0231</t>
  </si>
  <si>
    <t>{ "measurements" : "TOT: 182, TV: 99, HFL: 20.5, EAR: 16, WGT: 25" ,"preservationMeans" : "flash frozen, stored at -80C", "preservationFluid" : "no preservative fluid" }</t>
  </si>
  <si>
    <t>Mammae #: Ax. 0 Ab. 0 Ing. 0 | Mammae Condition: Sm. | Vagina condition: Perf. | Reproductive Stage: ND | Embryos: ND | Placental scars: ND</t>
  </si>
  <si>
    <t>ASUVTC002546</t>
  </si>
  <si>
    <t>8e9e0e04-30a8-4c7b-9f1a-707078e252ce</t>
  </si>
  <si>
    <t>ASUVTC002547</t>
  </si>
  <si>
    <t>2024-01-22T23:57:04.194Z</t>
  </si>
  <si>
    <t>135de3a0-6a39-401c-9dcb-ac89ee6376f8</t>
  </si>
  <si>
    <t>ASUVTC002563</t>
  </si>
  <si>
    <t>512a4812-859b-42a4-90b9-9a0707f944ef</t>
  </si>
  <si>
    <t>ASUVTC002564</t>
  </si>
  <si>
    <t>c904a829-2806-4334-bff7-7f7939d5410d</t>
  </si>
  <si>
    <t>Line 1-6</t>
  </si>
  <si>
    <t>DMR0232</t>
  </si>
  <si>
    <t>{ "measurements" : "TOT: 212, TV: 124, HFL: 21, EAR: 19, WGT: 28" ,"preservationMeans" : "flash frozen, stored at -80C", "preservationFluid" : "no preservative fluid" }</t>
  </si>
  <si>
    <t>Mammae #: ND | Mammae Condition: Lact. | Vagina condition: Perf. | Reproductive Stage: ND | Embryos: ND | Placental scars: ND</t>
  </si>
  <si>
    <t>ASUVTC002548</t>
  </si>
  <si>
    <t>8c472828-f6b5-4197-9f6e-7d0b19b39b32</t>
  </si>
  <si>
    <t>ASUVTC002549</t>
  </si>
  <si>
    <t>2024-01-22T23:57:04.193Z</t>
  </si>
  <si>
    <t>bbd363f8-b7ae-4afb-97a1-2ad5220b2cd1</t>
  </si>
  <si>
    <t>Line 4-4</t>
  </si>
  <si>
    <t>DMR0233</t>
  </si>
  <si>
    <t>{ "measurements" : "TOT: 188, TV: 99, HFL: 21, EAR: 17, WGT: 30" ,"preservationMeans" : "flash frozen, stored at -80C", "preservationFluid" : "no preservative fluid" }</t>
  </si>
  <si>
    <t>Mammae #: Ax. 0 Ab. 0 Ing. 1 | Mammae Condition: Lg. | Vagina condition: Imp. | Reproductive Stage: Pregnant | Embryos: ND | Placental scars: ND</t>
  </si>
  <si>
    <t>ASUVTC002550</t>
  </si>
  <si>
    <t>ab4e72d9-d759-4562-ba88-741a9a57bfc9</t>
  </si>
  <si>
    <t>ASUVTC002551</t>
  </si>
  <si>
    <t>2024-01-22T23:57:04.192Z</t>
  </si>
  <si>
    <t>4bb66807-63c1-48e9-8a0a-0bb17548c050</t>
  </si>
  <si>
    <t>Line 2-5</t>
  </si>
  <si>
    <t>DMR0234</t>
  </si>
  <si>
    <t>{ "measurements" : "TOT: 172, TV: 96, HFL: 17, EAR: 17, WGT: 17" ,"preservationMeans" : "flash frozen, stored at -80C", "preservationFluid" : "no preservative fluid" }</t>
  </si>
  <si>
    <t>Subadult</t>
  </si>
  <si>
    <t>ASUVTC002552</t>
  </si>
  <si>
    <t>70016398-13ae-4142-8642-f02842aaa80f</t>
  </si>
  <si>
    <t>ASUVTC002553</t>
  </si>
  <si>
    <t>72bd6931-a26d-434a-853c-3d2fa557e7be</t>
  </si>
  <si>
    <t>Line 2-4</t>
  </si>
  <si>
    <t>DMR0235</t>
  </si>
  <si>
    <t>{ "measurements" : "TOT: 178, TV: 14, HFL: 21, EAR: 16, WGT: 28.5" ,"preservationMeans" : "flash frozen, stored at -80C", "preservationFluid" : "no preservative fluid" }</t>
  </si>
  <si>
    <t>ASUVTC002554</t>
  </si>
  <si>
    <t>6e14d5c7-4d88-4116-a363-441285f3d56b</t>
  </si>
  <si>
    <t>ASUVTC002555</t>
  </si>
  <si>
    <t>c9882fa7-7a36-4964-a195-a010b6c372d3</t>
  </si>
  <si>
    <t>Line 1-5</t>
  </si>
  <si>
    <t>DMR0236</t>
  </si>
  <si>
    <t>{ "measurements" : "TOT: [148], TV: [69], HFL: 21, EAR: 16, WGT: 25" ,"preservationMeans" : "flash frozen, stored at -80C", "preservationFluid" : "no preservative fluid" }</t>
  </si>
  <si>
    <t>Mammae #: Ax. 0 Ab. 0 Ing. 1 | Mammae Condition: Lg. | Vagina condition: Imp. | Reproductive Stage: Possibly pregnant | Embryos: ND | Placental scars: ND</t>
  </si>
  <si>
    <t>ASUVTC002556</t>
  </si>
  <si>
    <t>2024-01-22T23:57:03.565Z</t>
  </si>
  <si>
    <t>20c0ff02-8595-49f2-8593-2db2ff504f63</t>
  </si>
  <si>
    <t>ASUVTC002557</t>
  </si>
  <si>
    <t>2024-01-22T23:57:03.567Z</t>
  </si>
  <si>
    <t>fe75dc7d-3286-4e1d-a7ea-d0c8100d7001</t>
  </si>
  <si>
    <t>Line 2-6</t>
  </si>
  <si>
    <t>DMR0237</t>
  </si>
  <si>
    <t>{ "measurements" : "TOT: 180, TV: 91, HFL: 20, EAR: 17, WGT: 23" ,"preservationMeans" : "flash frozen, stored at -80C", "preservationFluid" : "no preservative fluid" }</t>
  </si>
  <si>
    <t>ASUVTC002558</t>
  </si>
  <si>
    <t>2024-01-22T23:57:03.587Z</t>
  </si>
  <si>
    <t>7c72c48c-e0c5-4ba2-8f29-1bd57a1be894</t>
  </si>
  <si>
    <t>ASUVTC002559</t>
  </si>
  <si>
    <t>2024-01-22T23:57:03.563Z</t>
  </si>
  <si>
    <t>34b095e5-6e25-47e5-a4fe-a4362a1d2f6c</t>
  </si>
  <si>
    <t>ASUVTC002560</t>
  </si>
  <si>
    <t>2024-01-22T23:57:03.561Z</t>
  </si>
  <si>
    <t>27d159fd-a20e-4664-b0fb-219d0b1a06db</t>
  </si>
  <si>
    <t>Santa Catalina Mts., Rose Canyon Campground, NW (Downstream) of Rose Canyon Dam</t>
  </si>
  <si>
    <t>Trap: Line 1-1</t>
  </si>
  <si>
    <t>Madrean Oak Woodland</t>
  </si>
  <si>
    <t>OWS</t>
  </si>
  <si>
    <t>DMR0115</t>
  </si>
  <si>
    <t>{ "measurements" : "TOT: 165, TV: [76], HFL: 23, EAR: 20, WGT: 26 g" , "preservationFluid" : "none" }</t>
  </si>
  <si>
    <t>skin | skull | skel | tiss</t>
  </si>
  <si>
    <t>Testes Position: Scrot. | Testis size: 12 x 8 R | Epididymus: Con.</t>
  </si>
  <si>
    <t>originatingSampleOf (blood): https://csvcoll.org/portal/collections/individual/index.php?guid=b9746387-b779-40c9-9ee1-7b4f8e53b26d | originatingSampleOf (tissue): https://csvcoll.org/portal/collections/individual/index.php?guid=8384c27d-d91f-4e16-b43d-99d660fc8a40 | originatingSampleOf (tissue): https://csvcoll.org/portal/collections/individual/index.php?guid=1ebdd408-0d2f-4486-8792-0210c8315bf1 | originatingSampleOf (tissue): https://csvcoll.org/portal/collections/individual/index.php?guid=1d78bc14-1896-49d7-a469-41f84d2a3ff3 | hostOf (tissue): https://csvcoll.org/portal/collections/individual/index.php?guid=e012f0c6-4897-4692-af0c-ec96557b9253 | originatingSampleOf (fecal): https://csvcoll.org/portal/collections/individual/index.php?guid=a3edb15a-9226-4d5a-b5df-eeae4c044813 | originatingSampleOf (tissue): https://csvcoll.org/portal/collections/individual/index.php?guid=7494e803-3988-48ea-87ac-e18d8734bfa2 | originatingSampleOf (tissue): https://csvcoll.org/portal/collections/individual/index.php?guid=433f25ee-8e54-4d6a-8e15-613318ad0a6a | originatingSampleOf: https://csvcoll.org/portal/collections/individual/index.php?guid=48d12a1c-9028-4b71-981f-a7b05b3a9867</t>
  </si>
  <si>
    <t>ASUMAC008923</t>
  </si>
  <si>
    <t>Rowsey, Dakota M.; Upham, Nathan S.; Smith, Stephanie M.; Zamora Chavez, Luisa; Vidaure, Michael; Gilbert, Edward; Gilbert Kleker, Aven; Luedke, Kory; Walker, Lindsay; Pearson, Katie; Post, Greg</t>
  </si>
  <si>
    <t>2024-01-23T19:40:09.719Z</t>
  </si>
  <si>
    <t>b9746387-b779-40c9-9ee1-7b4f8e53b26d</t>
  </si>
  <si>
    <t>{ "preservationMeans" : "frozen -80C" , "preservationFluid" : "95 percent ethanol" }</t>
  </si>
  <si>
    <t>Testes Position: Scrot. | Testis size: 12 x 8 R | Epididymis: Con.</t>
  </si>
  <si>
    <t>hasHost (tissue): https://csvcoll.org/portal/collections/individual/index.php?guid=27d159fd-a20e-4664-b0fb-219d0b1a06db</t>
  </si>
  <si>
    <t>ASUVTC001302</t>
  </si>
  <si>
    <t>2024-01-22T23:57:04.005Z</t>
  </si>
  <si>
    <t>8384c27d-d91f-4e16-b43d-99d660fc8a40</t>
  </si>
  <si>
    <t>subsampleOf (tissue): https://csvcoll.org/portal/collections/individual/index.php?guid=27d159fd-a20e-4664-b0fb-219d0b1a06db</t>
  </si>
  <si>
    <t>ASUVTC001326</t>
  </si>
  <si>
    <t>2024-01-22T23:57:03.746Z</t>
  </si>
  <si>
    <t>1ebdd408-0d2f-4486-8792-0210c8315bf1</t>
  </si>
  <si>
    <t>ASUVTC001327</t>
  </si>
  <si>
    <t>2024-01-22T23:57:03.744Z</t>
  </si>
  <si>
    <t>1d78bc14-1896-49d7-a469-41f84d2a3ff3</t>
  </si>
  <si>
    <t>ASUVTC001328</t>
  </si>
  <si>
    <t>e012f0c6-4897-4692-af0c-ec96557b9253</t>
  </si>
  <si>
    <t>{ "preservationMeans" : "Nobuto strip, room temperature" , "preservationFluid" : "none" }</t>
  </si>
  <si>
    <t>subsampleOf (blood): https://csvcoll.org/portal/collections/individual/index.php?guid=27d159fd-a20e-4664-b0fb-219d0b1a06db</t>
  </si>
  <si>
    <t>ASUVTC001329</t>
  </si>
  <si>
    <t>2024-01-22T23:57:03.747Z</t>
  </si>
  <si>
    <t>a3edb15a-9226-4d5a-b5df-eeae4c044813</t>
  </si>
  <si>
    <t>{ "preservationMeans" : "frozen -80C" , "preservationFluid" : "none" }</t>
  </si>
  <si>
    <t>subsampleOf (fecal): https://csvcoll.org/portal/collections/individual/index.php?guid=27d159fd-a20e-4664-b0fb-219d0b1a06db</t>
  </si>
  <si>
    <t>ASUVTC001330</t>
  </si>
  <si>
    <t>2024-01-22T23:57:03.748Z</t>
  </si>
  <si>
    <t>7494e803-3988-48ea-87ac-e18d8734bfa2</t>
  </si>
  <si>
    <t>ASUVTC001688</t>
  </si>
  <si>
    <t>2024-01-22T23:57:04.132Z</t>
  </si>
  <si>
    <t>COORDINATE_ROUNDED;GEODETIC_DATUM_INVALID;GEODETIC_DATUM_ASSUMED_WGS84;CONTINENT_DERIVED_FROM_COORDINATES;TAXON_MATCH_TAXON_ID_IGNORED;OCCURRENCE_STATUS_INFERRED_FROM_INDIVIDUAL_COUNT;COLLECTION_MATCH_NONE;INSTITUTION_MATCH_FUZZY</t>
  </si>
  <si>
    <t>433f25ee-8e54-4d6a-8e15-613318ad0a6a</t>
  </si>
  <si>
    <t>{ "measurements" : "TOT: 165, TV: [76], HFL: 23, EAR: 20, WGT: 26 g" , "preservationFluid" : "95 percent ethanol" , "preservationMeans" : "Room Temperature" } }</t>
  </si>
  <si>
    <t>subsampleOf: https://csvcoll.org/portal/collections/individual/index.php?guid=27d159fd-a20e-4664-b0fb-219d0b1a06db</t>
  </si>
  <si>
    <t>ASUVTC001689</t>
  </si>
  <si>
    <t>2024-01-22T23:57:04.126Z</t>
  </si>
  <si>
    <t>48d12a1c-9028-4b71-981f-a7b05b3a9867</t>
  </si>
  <si>
    <t>ASUVTC001811</t>
  </si>
  <si>
    <t>2024-01-22T23:57:03.965Z</t>
  </si>
  <si>
    <t>6dc605f5-c359-49e9-a709-966cea54e07c</t>
  </si>
  <si>
    <t>Trap: Line 1-2</t>
  </si>
  <si>
    <t>DMR0116</t>
  </si>
  <si>
    <t>{ "measurements" : "TOT: 193, TV: 103, HFL: 22, EAR: 19, WGT: 26 g" , "preservationFluid" : "70 percent ethyl alcohol, formalin fixed" }</t>
  </si>
  <si>
    <t>Mammae #: Ax. 0 Ab. 0 Ing. 0 | Mammae Condition: Sm. | Vagina condition: Perf. | Reproductive Stage: Prim. | Embryos: L 1 R 1 CR 3 mm | Placental scars: L 0 R 0</t>
  </si>
  <si>
    <t>originatingSampleOf (blood): https://csvcoll.org/portal/collections/individual/index.php?guid=0935a054-e90a-48f9-9d71-79568d1ed9be | originatingSampleOf (tissue): https://csvcoll.org/portal/collections/individual/index.php?guid=cf5dcb88-e001-4009-9aa8-f2ae435717de | originatingSampleOf (tissue): https://csvcoll.org/portal/collections/individual/index.php?guid=722e3737-c8cc-4797-b7ab-3a154c539238 | originatingSampleOf (tissue): https://csvcoll.org/portal/collections/individual/index.php?guid=31563de9-0cb2-4833-8da3-763186895af5 | hostOf (tissue): https://csvcoll.org/portal/collections/individual/index.php?guid=9ae70faa-9255-49b8-b83c-d1dfddcecb79 | originatingSampleOf (fecal): https://csvcoll.org/portal/collections/individual/index.php?guid=245d7991-783d-440d-b2af-f13c36f553fc | originatingSampleOf (tissue): https://csvcoll.org/portal/collections/individual/index.php?guid=fd4b4586-39db-4280-8ca3-e178cf61cc4c | originatingSampleOf (tissue): https://csvcoll.org/portal/collections/individual/index.php?guid=84c12327-7bc5-408b-8c41-ac4a17fbda40</t>
  </si>
  <si>
    <t>ASUMAC008929</t>
  </si>
  <si>
    <t>0935a054-e90a-48f9-9d71-79568d1ed9be</t>
  </si>
  <si>
    <t>subsampleOf (tissue): https://csvcoll.org/portal/collections/individual/index.php?guid=6dc605f5-c359-49e9-a709-966cea54e07c</t>
  </si>
  <si>
    <t>ASUVTC001303</t>
  </si>
  <si>
    <t>2024-01-22T23:57:04.006Z</t>
  </si>
  <si>
    <t>cf5dcb88-e001-4009-9aa8-f2ae435717de</t>
  </si>
  <si>
    <t>subsampleOf (blood): https://csvcoll.org/portal/collections/individual/index.php?guid=6dc605f5-c359-49e9-a709-966cea54e07c</t>
  </si>
  <si>
    <t>ASUVTC001331</t>
  </si>
  <si>
    <t>2024-01-22T23:57:03.745Z</t>
  </si>
  <si>
    <t>722e3737-c8cc-4797-b7ab-3a154c539238</t>
  </si>
  <si>
    <t>subsampleOf (fecal): https://csvcoll.org/portal/collections/individual/index.php?guid=6dc605f5-c359-49e9-a709-966cea54e07c</t>
  </si>
  <si>
    <t>ASUVTC001332</t>
  </si>
  <si>
    <t>2024-01-22T23:57:03.750Z</t>
  </si>
  <si>
    <t>31563de9-0cb2-4833-8da3-763186895af5</t>
  </si>
  <si>
    <t>hasHost (tissue): https://csvcoll.org/portal/collections/individual/index.php?guid=6dc605f5-c359-49e9-a709-966cea54e07c</t>
  </si>
  <si>
    <t>ASUVTC001333</t>
  </si>
  <si>
    <t>9ae70faa-9255-49b8-b83c-d1dfddcecb79</t>
  </si>
  <si>
    <t>ASUVTC001334</t>
  </si>
  <si>
    <t>2024-01-22T23:57:03.749Z</t>
  </si>
  <si>
    <t>245d7991-783d-440d-b2af-f13c36f553fc</t>
  </si>
  <si>
    <t>ASUVTC001335</t>
  </si>
  <si>
    <t>fd4b4586-39db-4280-8ca3-e178cf61cc4c</t>
  </si>
  <si>
    <t>ASUVTC001706</t>
  </si>
  <si>
    <t>2024-01-22T23:57:03.832Z</t>
  </si>
  <si>
    <t>84c12327-7bc5-408b-8c41-ac4a17fbda40</t>
  </si>
  <si>
    <t>ASUVTC001707</t>
  </si>
  <si>
    <t>2024-01-22T23:57:03.814Z</t>
  </si>
  <si>
    <t>8a5aa359-65b1-4b69-8e7a-a6b02fac2bd6</t>
  </si>
  <si>
    <t>Trap: Line 1-3</t>
  </si>
  <si>
    <t>DMR0117</t>
  </si>
  <si>
    <t>{ "measurements" : "TOT: 195, TV: 103, HFL: 22, EAR: 21, WGT: 26 g" , "preservationFluid" : "none" }</t>
  </si>
  <si>
    <t>Testes Position: Scrot. | Testis size: 14 x 8 R | Epididymus: Con.</t>
  </si>
  <si>
    <t>originatingSampleOf (blood): https://csvcoll.org/portal/collections/individual/index.php?guid=ead21a9a-3ad6-48c2-9bb6-a21bb55fd612 | originatingSampleOf (tissue): https://csvcoll.org/portal/collections/individual/index.php?guid=b1cfbf12-af5b-4f31-a4bb-8e1a1ef828a6 | originatingSampleOf (tissue): https://csvcoll.org/portal/collections/individual/index.php?guid=d8bb3418-b07b-44c4-92ee-7a138190bb16 | hostOf (tissue): https://csvcoll.org/portal/collections/individual/index.php?guid=c6f99091-d2d4-4fcf-836c-ae2f2b3c2bbf | originatingSampleOf (fecal): https://csvcoll.org/portal/collections/individual/index.php?guid=57812c3f-4835-40ed-a85c-41e53af83e3c | originatingSampleOf (tissue): https://csvcoll.org/portal/collections/individual/index.php?guid=8544b176-0cc3-46d9-8539-1f595e758fd8 | originatingSampleOf (tissue): https://csvcoll.org/portal/collections/individual/index.php?guid=3ac6f696-075f-4783-b833-f99699e1a1f0 | originatingSampleOf (tissue): https://csvcoll.org/portal/collections/individual/index.php?guid=49bcd105-b3a0-468e-9798-a3fa226670d1 | originatingSampleOf (tissue): https://csvcoll.org/portal/collections/individual/index.php?guid=bbafe130-da85-4a69-92db-0a75cca85ccd</t>
  </si>
  <si>
    <t>ASUMAC008924</t>
  </si>
  <si>
    <t>2024-01-23T19:40:09.718Z</t>
  </si>
  <si>
    <t>ead21a9a-3ad6-48c2-9bb6-a21bb55fd612</t>
  </si>
  <si>
    <t>Testes Position: Scrot. | Testis size: 14 x 8 R | Epididymis: Con.</t>
  </si>
  <si>
    <t>subsampleOf (tissue): https://csvcoll.org/portal/collections/individual/index.php?guid=8a5aa359-65b1-4b69-8e7a-a6b02fac2bd6</t>
  </si>
  <si>
    <t>ASUVTC001304</t>
  </si>
  <si>
    <t>b1cfbf12-af5b-4f31-a4bb-8e1a1ef828a6</t>
  </si>
  <si>
    <t>ASUVTC001336</t>
  </si>
  <si>
    <t>2024-01-22T23:57:03.742Z</t>
  </si>
  <si>
    <t>d8bb3418-b07b-44c4-92ee-7a138190bb16</t>
  </si>
  <si>
    <t>subsampleOf (blood): https://csvcoll.org/portal/collections/individual/index.php?guid=8a5aa359-65b1-4b69-8e7a-a6b02fac2bd6</t>
  </si>
  <si>
    <t>ASUVTC001337</t>
  </si>
  <si>
    <t>c6f99091-d2d4-4fcf-836c-ae2f2b3c2bbf</t>
  </si>
  <si>
    <t>subsampleOf (fecal): https://csvcoll.org/portal/collections/individual/index.php?guid=8a5aa359-65b1-4b69-8e7a-a6b02fac2bd6</t>
  </si>
  <si>
    <t>ASUVTC001338</t>
  </si>
  <si>
    <t>2024-01-22T23:57:03.743Z</t>
  </si>
  <si>
    <t>57812c3f-4835-40ed-a85c-41e53af83e3c</t>
  </si>
  <si>
    <t>hasHost (tissue): https://csvcoll.org/portal/collections/individual/index.php?guid=8a5aa359-65b1-4b69-8e7a-a6b02fac2bd6</t>
  </si>
  <si>
    <t>ASUVTC001339</t>
  </si>
  <si>
    <t>8544b176-0cc3-46d9-8539-1f595e758fd8</t>
  </si>
  <si>
    <t>ASUVTC001486</t>
  </si>
  <si>
    <t>2024-01-22T23:57:04.015Z</t>
  </si>
  <si>
    <t>3ac6f696-075f-4783-b833-f99699e1a1f0</t>
  </si>
  <si>
    <t>ASUVTC001690</t>
  </si>
  <si>
    <t>49bcd105-b3a0-468e-9798-a3fa226670d1</t>
  </si>
  <si>
    <t>ASUVTC001691</t>
  </si>
  <si>
    <t>2024-01-22T23:57:04.128Z</t>
  </si>
  <si>
    <t>bbafe130-da85-4a69-92db-0a75cca85ccd</t>
  </si>
  <si>
    <t>ASUVTC001692</t>
  </si>
  <si>
    <t>2024-01-22T23:57:04.127Z</t>
  </si>
  <si>
    <t>bae48bf3-0e79-45fe-a101-b567512532cd</t>
  </si>
  <si>
    <t>Trap: Line 1-4</t>
  </si>
  <si>
    <t>DMR0118</t>
  </si>
  <si>
    <t>Testes Position: Scrot.</t>
  </si>
  <si>
    <t>ASUVTC001340</t>
  </si>
  <si>
    <t>217838f6-1fcf-4e52-b04b-ab2a48cecea7</t>
  </si>
  <si>
    <t>ASUVTC001341</t>
  </si>
  <si>
    <t>2024-01-22T23:57:03.740Z</t>
  </si>
  <si>
    <t>00b35750-dfd4-49b3-80da-09df7a311ea8</t>
  </si>
  <si>
    <t>ASUVTC001342</t>
  </si>
  <si>
    <t>d47664e6-c20b-4276-afab-5f0dec6fbc75</t>
  </si>
  <si>
    <t>Neotoma</t>
  </si>
  <si>
    <t>Neotoma mexicana</t>
  </si>
  <si>
    <t>Neotoma mexicana Baird, 1855</t>
  </si>
  <si>
    <t>Baird, 1855</t>
  </si>
  <si>
    <t>Trap: Line 1-5</t>
  </si>
  <si>
    <t>DMR0119</t>
  </si>
  <si>
    <t>{ "measurements" : "TOT: 317, TV: 148, HFL: 31, EAR: 27, WGT: 155 g" , "preservationFluid" : "70 percent ethyl alcohol, formalin fixed" }</t>
  </si>
  <si>
    <t>skull | asr | tiss</t>
  </si>
  <si>
    <t>Mammae #: Ax. 0 Ab. 0 Ing. 4 | Mammae Condition: Lg. | Vagina condition: Perf. | Reproductive Stage: ND | Embryos: L 2 R 0 CR 48 mm | Placental scars: ND</t>
  </si>
  <si>
    <t>originatingSampleOf (blood): https://csvcoll.org/portal/collections/individual/index.php?guid=f93f1d46-ea2d-4eb1-b5cd-19145db966d7 | originatingSampleOf (tissue): https://csvcoll.org/portal/collections/individual/index.php?guid=b2826e58-6f95-4f25-89cb-12b137b2ac84 | originatingSampleOf (tissue): https://csvcoll.org/portal/collections/individual/index.php?guid=7694d111-9fde-414b-9579-32766ae583f0 | originatingSampleOf (tissue): https://csvcoll.org/portal/collections/individual/index.php?guid=a62d6f78-663c-4eb7-be5d-7b0deb618910 | hostOf (tissue): https://csvcoll.org/portal/collections/individual/index.php?guid=73327901-0fd0-478b-a19b-5a441f665c1a | originatingSampleOf (fecal): https://csvcoll.org/portal/collections/individual/index.php?guid=4bd5de3e-cbf6-4bb6-a0f5-6b63f8ee617f | originatingSampleOf (tissue): https://csvcoll.org/portal/collections/individual/index.php?guid=50649b3b-a2ca-4b51-bbf4-e712e6b8e76e | originatingSampleOf (tissue): https://csvcoll.org/portal/collections/individual/index.php?guid=9c2ad6b3-0753-4426-a4b9-02aa193d4422 | originatingSampleOf: https://csvcoll.org/portal/collections/individual/index.php?guid=ce00073e-329b-49b3-b824-18e249bbe5d1</t>
  </si>
  <si>
    <t>ASUMAC008925</t>
  </si>
  <si>
    <t>f93f1d46-ea2d-4eb1-b5cd-19145db966d7</t>
  </si>
  <si>
    <t>hasHost (tissue): https://csvcoll.org/portal/collections/individual/index.php?guid=d47664e6-c20b-4276-afab-5f0dec6fbc75</t>
  </si>
  <si>
    <t>ASUVTC001305</t>
  </si>
  <si>
    <t>2024-01-22T23:57:04.011Z</t>
  </si>
  <si>
    <t>b2826e58-6f95-4f25-89cb-12b137b2ac84</t>
  </si>
  <si>
    <t>subsampleOf (tissue): https://csvcoll.org/portal/collections/individual/index.php?guid=d47664e6-c20b-4276-afab-5f0dec6fbc75</t>
  </si>
  <si>
    <t>ASUVTC001343</t>
  </si>
  <si>
    <t>7694d111-9fde-414b-9579-32766ae583f0</t>
  </si>
  <si>
    <t>subsampleOf (blood): https://csvcoll.org/portal/collections/individual/index.php?guid=d47664e6-c20b-4276-afab-5f0dec6fbc75</t>
  </si>
  <si>
    <t>ASUVTC001344</t>
  </si>
  <si>
    <t>a62d6f78-663c-4eb7-be5d-7b0deb618910</t>
  </si>
  <si>
    <t>subsampleOf (fecal): https://csvcoll.org/portal/collections/individual/index.php?guid=d47664e6-c20b-4276-afab-5f0dec6fbc75</t>
  </si>
  <si>
    <t>ASUVTC001345</t>
  </si>
  <si>
    <t>73327901-0fd0-478b-a19b-5a441f665c1a</t>
  </si>
  <si>
    <t>ASUVTC001346</t>
  </si>
  <si>
    <t>2024-01-22T23:57:03.751Z</t>
  </si>
  <si>
    <t>4bd5de3e-cbf6-4bb6-a0f5-6b63f8ee617f</t>
  </si>
  <si>
    <t>ASUVTC001347</t>
  </si>
  <si>
    <t>2024-01-22T23:57:03.753Z</t>
  </si>
  <si>
    <t>50649b3b-a2ca-4b51-bbf4-e712e6b8e76e</t>
  </si>
  <si>
    <t>{ "measurements" : "TOT: 427, TV: 148, HFL: 31, EAR: 27, WGT: 155 g" , "preservationFluid" : "95 percent ethanol, formalin fixed" , "preservationMeans" : "Room Temp" }</t>
  </si>
  <si>
    <t>subsampleOf: https://csvcoll.org/portal/collections/individual/index.php?guid=d47664e6-c20b-4276-afab-5f0dec6fbc75</t>
  </si>
  <si>
    <t>ASUVTC001693</t>
  </si>
  <si>
    <t>2024-01-22T23:57:04.133Z</t>
  </si>
  <si>
    <t>9c2ad6b3-0753-4426-a4b9-02aa193d4422</t>
  </si>
  <si>
    <t>ASUVTC001694</t>
  </si>
  <si>
    <t>ce00073e-329b-49b3-b824-18e249bbe5d1</t>
  </si>
  <si>
    <t>ASUVTC002165</t>
  </si>
  <si>
    <t>2024-01-22T23:57:03.687Z</t>
  </si>
  <si>
    <t>115b7513-bb16-4260-b306-49935ad42aa1</t>
  </si>
  <si>
    <t>Santa Catalina Mts., Rose Canyon Campground, Hillside NE of Rose Canyon Lake</t>
  </si>
  <si>
    <t>Trap: Line 2-1</t>
  </si>
  <si>
    <t>DMR0120</t>
  </si>
  <si>
    <t>ASUVTC001348</t>
  </si>
  <si>
    <t>2024-01-22T23:57:03.754Z</t>
  </si>
  <si>
    <t>148f3763-077d-4135-b840-91c8d8c7e84e</t>
  </si>
  <si>
    <t>ASUVTC001349</t>
  </si>
  <si>
    <t>2024-01-22T23:57:03.756Z</t>
  </si>
  <si>
    <t>c06409bb-ed78-4081-b81a-ad9e85fb25aa</t>
  </si>
  <si>
    <t>Trap: Line 2-2</t>
  </si>
  <si>
    <t>DMR0121</t>
  </si>
  <si>
    <t>ASUVTC001350</t>
  </si>
  <si>
    <t>2024-01-22T23:57:03.755Z</t>
  </si>
  <si>
    <t>36d439f4-9237-4369-a1fd-fa5c0c6ac753</t>
  </si>
  <si>
    <t>ASUVTC001351</t>
  </si>
  <si>
    <t>f7f09917-0da5-4591-b8ab-88b8a65df07f</t>
  </si>
  <si>
    <t>Trap: Line 2-3</t>
  </si>
  <si>
    <t>DMR0122</t>
  </si>
  <si>
    <t>Vagina Condition: Imp.</t>
  </si>
  <si>
    <t>ASUVTC001352</t>
  </si>
  <si>
    <t>d7e184fd-023c-4b74-a4e5-7e6e092e6891</t>
  </si>
  <si>
    <t>ASUVTC001353</t>
  </si>
  <si>
    <t>2024-01-22T23:57:03.752Z</t>
  </si>
  <si>
    <t>143fe214-2ba5-4f83-991b-3c1a82ea8a9f</t>
  </si>
  <si>
    <t>Trap: Line 2-4</t>
  </si>
  <si>
    <t>DMR0123</t>
  </si>
  <si>
    <t>{ "measurements" : "TOT: 225, TV: 97, HFL: 32, EAR: 22, WGT: 65 g" , "preservationFluid" : "none" }</t>
  </si>
  <si>
    <t>originatingSampleOf (blood): https://csvcoll.org/portal/collections/individual/index.php?guid=f3ab42e0-02b5-4fb2-927e-d36d42b61910 | originatingSampleOf (tissue): https://csvcoll.org/portal/collections/individual/index.php?guid=09d201b3-705b-4529-8fa1-98929a49ed7a | originatingSampleOf (tissue): https://csvcoll.org/portal/collections/individual/index.php?guid=ddc92c50-da45-4164-aef0-ab775c6ec161 | hostOf (tissue): https://csvcoll.org/portal/collections/individual/index.php?guid=2b15d062-098e-4164-abdf-def223938fd6 | originatingSampleOf (fecal): https://csvcoll.org/portal/collections/individual/index.php?guid=e5d1f004-0c67-4c50-b5fd-26e605964efc | originatingSampleOf (tissue): https://csvcoll.org/portal/collections/individual/index.php?guid=97ff4ef2-3631-441c-8561-5e7c7da60e9b | originatingSampleOf (tissue): https://csvcoll.org/portal/collections/individual/index.php?guid=23657c21-6e7b-4104-8540-4662e9a8a74d | originatingSampleOf (tissue): https://csvcoll.org/portal/collections/individual/index.php?guid=482a753c-5d15-4aab-b9d8-dd4d8b409fd4 | originatingSampleOf: https://csvcoll.org/portal/collections/individual/index.php?guid=c9d0851e-a839-408c-b2e8-d758ee430e56</t>
  </si>
  <si>
    <t>ASUMAC008927</t>
  </si>
  <si>
    <t>2024-01-23T19:40:09.717Z</t>
  </si>
  <si>
    <t>f3ab42e0-02b5-4fb2-927e-d36d42b61910</t>
  </si>
  <si>
    <t>subsampleOf (tissue): https://csvcoll.org/portal/collections/individual/index.php?guid=143fe214-2ba5-4f83-991b-3c1a82ea8a9f</t>
  </si>
  <si>
    <t>ASUVTC001306</t>
  </si>
  <si>
    <t>09d201b3-705b-4529-8fa1-98929a49ed7a</t>
  </si>
  <si>
    <t>hasHost (tissue): https://csvcoll.org/portal/collections/individual/index.php?guid=143fe214-2ba5-4f83-991b-3c1a82ea8a9f</t>
  </si>
  <si>
    <t>ASUVTC001354</t>
  </si>
  <si>
    <t>ddc92c50-da45-4164-aef0-ab775c6ec161</t>
  </si>
  <si>
    <t>ASUVTC001355</t>
  </si>
  <si>
    <t>2b15d062-098e-4164-abdf-def223938fd6</t>
  </si>
  <si>
    <t>ASUVTC001356</t>
  </si>
  <si>
    <t>e5d1f004-0c67-4c50-b5fd-26e605964efc</t>
  </si>
  <si>
    <t>subsampleOf (blood): https://csvcoll.org/portal/collections/individual/index.php?guid=143fe214-2ba5-4f83-991b-3c1a82ea8a9f</t>
  </si>
  <si>
    <t>ASUVTC001357</t>
  </si>
  <si>
    <t>97ff4ef2-3631-441c-8561-5e7c7da60e9b</t>
  </si>
  <si>
    <t>subsampleOf (fecal): https://csvcoll.org/portal/collections/individual/index.php?guid=143fe214-2ba5-4f83-991b-3c1a82ea8a9f</t>
  </si>
  <si>
    <t>ASUVTC001487</t>
  </si>
  <si>
    <t>2024-01-22T23:57:04.014Z</t>
  </si>
  <si>
    <t>GEODETIC_DATUM_INVALID;GEODETIC_DATUM_ASSUMED_WGS84;CONTINENT_DERIVED_FROM_COORDINATES;TAXON_MATCH_TAXON_ID_IGNORED;OCCURRENCE_STATUS_INFERRED_FROM_INDIVIDUAL_COUNT;COLLECTION_MATCH_NONE;INSTITUTION_MATCH_FUZZY</t>
  </si>
  <si>
    <t>23657c21-6e7b-4104-8540-4662e9a8a74d</t>
  </si>
  <si>
    <t>ASUVTC001702</t>
  </si>
  <si>
    <t>2024-01-22T23:57:04.129Z</t>
  </si>
  <si>
    <t>482a753c-5d15-4aab-b9d8-dd4d8b409fd4</t>
  </si>
  <si>
    <t>{ "measurements" : "TOT: 225, TV: 97, HFL: 32, EAR: 22, WGT: 65 g" , "preservationFluid" : "95 percent ethanol" , "preservationMeans" , "Room Temperature" }</t>
  </si>
  <si>
    <t>subsampleOf: https://csvcoll.org/portal/collections/individual/index.php?guid=143fe214-2ba5-4f83-991b-3c1a82ea8a9f</t>
  </si>
  <si>
    <t>ASUVTC001703</t>
  </si>
  <si>
    <t>2024-01-22T23:57:04.122Z</t>
  </si>
  <si>
    <t>c9d0851e-a839-408c-b2e8-d758ee430e56</t>
  </si>
  <si>
    <t>ASUVTC001812</t>
  </si>
  <si>
    <t>62d52954-d7eb-4c75-af45-ee949cf8304c</t>
  </si>
  <si>
    <t>Trap: Line 3-1</t>
  </si>
  <si>
    <t>DMR0124</t>
  </si>
  <si>
    <t>No data</t>
  </si>
  <si>
    <t>ASUVTC001358</t>
  </si>
  <si>
    <t>5608fdc4-2d55-49f4-9c4e-d699d185b53b</t>
  </si>
  <si>
    <t>ASUVTC001359</t>
  </si>
  <si>
    <t>02a368d5-9382-4beb-bac2-ea6136f34cbd</t>
  </si>
  <si>
    <t>Trap: Line 3-2</t>
  </si>
  <si>
    <t>DMR0125</t>
  </si>
  <si>
    <t>Mammae Condition: Lact. | Vagina Condition: Perf.</t>
  </si>
  <si>
    <t>ASUVTC001360</t>
  </si>
  <si>
    <t>1eccb44f-2841-4728-8a19-1679420e0076</t>
  </si>
  <si>
    <t>ASUVTC001361</t>
  </si>
  <si>
    <t>68411a89-8322-4976-bf70-d1eeac7bb3de</t>
  </si>
  <si>
    <t>Trap: Line 4-1</t>
  </si>
  <si>
    <t>DMR0126</t>
  </si>
  <si>
    <t>{ "measurements" : "TOT: 207, TV: 78, HFL: 31, EAR: 18, WGT: 56 g" , "preservationFluid" : "none" }</t>
  </si>
  <si>
    <t>Testes Position: Scrot. | Testis size: 17 x 8 R | Epididymus: Con.</t>
  </si>
  <si>
    <t>originatingSampleOf (blood): https://csvcoll.org/portal/collections/individual/index.php?guid=76e44633-867c-4279-a7b9-a970b75a08ff | originatingSampleOf (tissue): https://csvcoll.org/portal/collections/individual/index.php?guid=dee94557-0253-47d6-b477-ecd2778623bd | originatingSampleOf (tissue): https://csvcoll.org/portal/collections/individual/index.php?guid=4c498999-7df6-4c45-84d5-5fd0d073de9a | originatingSampleOf (tissue): https://csvcoll.org/portal/collections/individual/index.php?guid=59a0b928-28ed-41a3-8f39-a511b8a29f61 | originatingSampleOf (fecal): https://csvcoll.org/portal/collections/individual/index.php?guid=3d0df261-ae23-4e3f-8508-5036b9baba24 | originatingSampleOf (tissue): https://csvcoll.org/portal/collections/individual/index.php?guid=c1f0b7d0-129c-404e-94d3-1365ed1e106e | originatingSampleOf (tissue): https://csvcoll.org/portal/collections/individual/index.php?guid=bd16cb33-ad2c-481c-948b-8d7e08417320</t>
  </si>
  <si>
    <t>ASUMAC008928</t>
  </si>
  <si>
    <t>2024-01-23T19:40:09.746Z</t>
  </si>
  <si>
    <t>76e44633-867c-4279-a7b9-a970b75a08ff</t>
  </si>
  <si>
    <t>Testes Position: Scrot. | Testis size: 17 x 8 R | Epididymis: Con.</t>
  </si>
  <si>
    <t>subsampleOf (blood): https://csvcoll.org/portal/collections/individual/index.php?guid=68411a89-8322-4976-bf70-d1eeac7bb3de</t>
  </si>
  <si>
    <t>ASUVTC001307</t>
  </si>
  <si>
    <t>2024-01-22T23:57:03.993Z</t>
  </si>
  <si>
    <t>dee94557-0253-47d6-b477-ecd2778623bd</t>
  </si>
  <si>
    <t>subsampleOf (fecal): https://csvcoll.org/portal/collections/individual/index.php?guid=68411a89-8322-4976-bf70-d1eeac7bb3de</t>
  </si>
  <si>
    <t>ASUVTC001362</t>
  </si>
  <si>
    <t>4c498999-7df6-4c45-84d5-5fd0d073de9a</t>
  </si>
  <si>
    <t>subsampleOf (tissue): https://csvcoll.org/portal/collections/individual/index.php?guid=68411a89-8322-4976-bf70-d1eeac7bb3de</t>
  </si>
  <si>
    <t>ASUVTC001363</t>
  </si>
  <si>
    <t>59a0b928-28ed-41a3-8f39-a511b8a29f61</t>
  </si>
  <si>
    <t>ASUVTC001364</t>
  </si>
  <si>
    <t>3d0df261-ae23-4e3f-8508-5036b9baba24</t>
  </si>
  <si>
    <t>ASUVTC001365</t>
  </si>
  <si>
    <t>c1f0b7d0-129c-404e-94d3-1365ed1e106e</t>
  </si>
  <si>
    <t>ASUVTC001704</t>
  </si>
  <si>
    <t>2024-01-22T23:57:04.123Z</t>
  </si>
  <si>
    <t>bd16cb33-ad2c-481c-948b-8d7e08417320</t>
  </si>
  <si>
    <t>ASUVTC001705</t>
  </si>
  <si>
    <t>2024-01-22T23:57:04.124Z</t>
  </si>
  <si>
    <t>082531d8-8694-4d9b-86a1-6f98303184cb</t>
  </si>
  <si>
    <t>Trap: Line 4-2</t>
  </si>
  <si>
    <t>DMR0127</t>
  </si>
  <si>
    <t>{ "measurements" : "TOT: 183, TV: 99, HFL: 21, EAR: 22, WGT: 20 g" , "preservationFluid" : "70 percent ethyl alcohol, formalin fixed" }</t>
  </si>
  <si>
    <t>Testes Position: Abd. | Testis size: 11 x 6 R | Epididymus: Not Con.</t>
  </si>
  <si>
    <t>originatingSampleOf (blood): https://csvcoll.org/portal/collections/individual/index.php?guid=8434c23d-233c-4fe6-8edc-4d274a441838 | originatingSampleOf (tissue): https://csvcoll.org/portal/collections/individual/index.php?guid=da6a15b7-15ed-430e-8dd8-e7fac0089ae3 | originatingSampleOf (tissue): https://csvcoll.org/portal/collections/individual/index.php?guid=f3eb12aa-c854-4b7f-ab78-17362dbbf62b | originatingSampleOf (tissue): https://csvcoll.org/portal/collections/individual/index.php?guid=7a1ad23e-0ce3-4668-bec3-af7be1d2f3b6 | originatingSampleOf (tissue): https://csvcoll.org/portal/collections/individual/index.php?guid=87c9a2b8-5df6-45ad-b968-bc0ccf5c1456 | hostOf (tissue): https://csvcoll.org/portal/collections/individual/index.php?guid=5547a90e-1d32-42e0-ace5-52d52715358a | originatingSampleOf (fecal): https://csvcoll.org/portal/collections/individual/index.php?guid=6a5c5c02-e7e0-4561-8058-f4c177c003e3 | originatingSampleOf (tissue): https://csvcoll.org/portal/collections/individual/index.php?guid=dc5f0c0f-798e-4271-b223-d13f4834b655 | originatingSampleOf (tissue): https://csvcoll.org/portal/collections/individual/index.php?guid=83c7d526-20d3-4de1-9b4c-ca6ba8270167</t>
  </si>
  <si>
    <t>ASUMAC008930</t>
  </si>
  <si>
    <t>8434c23d-233c-4fe6-8edc-4d274a441838</t>
  </si>
  <si>
    <t>Testes Position: Abd. | Testis size: 11 x 6 R | Epididymis: Not Con.</t>
  </si>
  <si>
    <t>hasHost (tissue): https://csvcoll.org/portal/collections/individual/index.php?guid=082531d8-8694-4d9b-86a1-6f98303184cb</t>
  </si>
  <si>
    <t>ASUVTC001308</t>
  </si>
  <si>
    <t>2024-01-22T23:57:03.995Z</t>
  </si>
  <si>
    <t>da6a15b7-15ed-430e-8dd8-e7fac0089ae3</t>
  </si>
  <si>
    <t>subsampleOf (tissue): https://csvcoll.org/portal/collections/individual/index.php?guid=082531d8-8694-4d9b-86a1-6f98303184cb</t>
  </si>
  <si>
    <t>ASUVTC001366</t>
  </si>
  <si>
    <t>2024-01-22T23:57:04.160Z</t>
  </si>
  <si>
    <t>f3eb12aa-c854-4b7f-ab78-17362dbbf62b</t>
  </si>
  <si>
    <t>ASUVTC001367</t>
  </si>
  <si>
    <t>2024-01-22T23:57:04.162Z</t>
  </si>
  <si>
    <t>7a1ad23e-0ce3-4668-bec3-af7be1d2f3b6</t>
  </si>
  <si>
    <t>ASUVTC001368</t>
  </si>
  <si>
    <t>2024-01-22T23:57:04.158Z</t>
  </si>
  <si>
    <t>87c9a2b8-5df6-45ad-b968-bc0ccf5c1456</t>
  </si>
  <si>
    <t>ASUVTC001369</t>
  </si>
  <si>
    <t>2024-01-22T23:57:04.159Z</t>
  </si>
  <si>
    <t>5547a90e-1d32-42e0-ace5-52d52715358a</t>
  </si>
  <si>
    <t>subsampleOf (blood): https://csvcoll.org/portal/collections/individual/index.php?guid=082531d8-8694-4d9b-86a1-6f98303184cb</t>
  </si>
  <si>
    <t>ASUVTC001370</t>
  </si>
  <si>
    <t>2024-01-22T23:57:04.156Z</t>
  </si>
  <si>
    <t>6a5c5c02-e7e0-4561-8058-f4c177c003e3</t>
  </si>
  <si>
    <t>subsampleOf (fecal): https://csvcoll.org/portal/collections/individual/index.php?guid=082531d8-8694-4d9b-86a1-6f98303184cb</t>
  </si>
  <si>
    <t>ASUVTC001371</t>
  </si>
  <si>
    <t>dc5f0c0f-798e-4271-b223-d13f4834b655</t>
  </si>
  <si>
    <t>ASUVTC001708</t>
  </si>
  <si>
    <t>2024-01-22T23:57:03.816Z</t>
  </si>
  <si>
    <t>83c7d526-20d3-4de1-9b4c-ca6ba8270167</t>
  </si>
  <si>
    <t>ASUVTC001709</t>
  </si>
  <si>
    <t>f2008ca6-476b-4438-93fb-e7b2515c14d8</t>
  </si>
  <si>
    <t>Trap: Line 4-3</t>
  </si>
  <si>
    <t>DMR0128</t>
  </si>
  <si>
    <t>Mammae #: Ax. 2 Ab. 2 Ing. 4 | Mammae Condition: Lact. | Vagina condition: Perf.</t>
  </si>
  <si>
    <t>ASUVTC001372</t>
  </si>
  <si>
    <t>2024-01-22T23:57:04.157Z</t>
  </si>
  <si>
    <t>55b1d28d-e511-488f-ae6f-e60e872ef521</t>
  </si>
  <si>
    <t>ASUVTC001373</t>
  </si>
  <si>
    <t>919e0b0a-5b27-4c92-84b7-1fa4d50ab912</t>
  </si>
  <si>
    <t>Trap: Line 4-4</t>
  </si>
  <si>
    <t>DMR0129</t>
  </si>
  <si>
    <t>ASUVTC001374</t>
  </si>
  <si>
    <t>05f2e5be-8e15-4438-b339-1660bcd0981e</t>
  </si>
  <si>
    <t>ASUVTC001375</t>
  </si>
  <si>
    <t>2024-01-22T23:57:04.168Z</t>
  </si>
  <si>
    <t>ef0bfe19-a0ea-43f4-a985-5d6ec54cada7</t>
  </si>
  <si>
    <t>Trap: Line 4-5</t>
  </si>
  <si>
    <t>DMR0130</t>
  </si>
  <si>
    <t>Mammae #: Ax. 2 Ab. 2 Ing. 4 | Mammae Condition: Lg.</t>
  </si>
  <si>
    <t>ASUVTC001376</t>
  </si>
  <si>
    <t>2024-01-22T23:57:04.163Z</t>
  </si>
  <si>
    <t>47ad9f94-fcf0-4e47-b2d8-464219968013</t>
  </si>
  <si>
    <t>ASUVTC001488</t>
  </si>
  <si>
    <t>2024-01-22T23:57:04.016Z</t>
  </si>
  <si>
    <t>683029ce-8df7-42dd-a844-e59817c65246</t>
  </si>
  <si>
    <t>Santa Catalina Mts., Rose Canyon Campground, Riparian Corridor E (Upstream) of Rose Canyon Lake</t>
  </si>
  <si>
    <t>Trap: Line 5-1</t>
  </si>
  <si>
    <t>DMR0131</t>
  </si>
  <si>
    <t>Testes Position: Abd.</t>
  </si>
  <si>
    <t>ASUVTC001377</t>
  </si>
  <si>
    <t>2464431b-df91-45fe-ae1e-2765d8e1569b</t>
  </si>
  <si>
    <t>ASUVTC001378</t>
  </si>
  <si>
    <t>f4ff4e83-ed78-4e12-88ca-960227f0ef4f</t>
  </si>
  <si>
    <t>ASUVTC001379</t>
  </si>
  <si>
    <t>e3705ccd-09ef-45d9-9351-0b9d2ea7639a</t>
  </si>
  <si>
    <t>Trap: Line 5-2</t>
  </si>
  <si>
    <t>DMR0132</t>
  </si>
  <si>
    <t>ASUVTC001380</t>
  </si>
  <si>
    <t>d3c74cbd-e268-44da-8f99-dad768889d14</t>
  </si>
  <si>
    <t>ASUVTC001381</t>
  </si>
  <si>
    <t>aa0c91ec-5da2-4ade-81e9-db7c02e03a01</t>
  </si>
  <si>
    <t>Trap: Line 2-5; Trap-level coordinate data lost - used data for start of line and adjusted coordinate uncertainty accordingly</t>
  </si>
  <si>
    <t>DMR0133</t>
  </si>
  <si>
    <t>{ "measurements" : "TOT: 203, TV: 84, HFL: 33, EAR: 20, WGT: 74 g" , "preservationFluid" : "70 percent ethyl alcohol, formalin fixed" }</t>
  </si>
  <si>
    <t>Mammae #: Ax. 0 Ab. 0 Ing. 4 | Mammae Condition: Lg. | Vagina condition: Perf. | Reproductive Stage: ND | Embryos: ND | Placental scars: ND</t>
  </si>
  <si>
    <t>originatingSampleOf (blood): https://csvcoll.org/portal/collections/individual/index.php?guid=201bbbd2-13a2-4055-9a36-7d4c2c9e28b6 | originatingSampleOf (tissue): https://csvcoll.org/portal/collections/individual/index.php?guid=4583e0c2-4964-4423-944e-36807ed1a82f | originatingSampleOf (tissue): https://csvcoll.org/portal/collections/individual/index.php?guid=f9795f4b-affb-4920-957c-0535a3b8a322 | originatingSampleOf (tissue): https://csvcoll.org/portal/collections/individual/index.php?guid=51b8360a-4fd8-4411-ad59-94e9169360f4 | originatingSampleOf (fecal): https://csvcoll.org/portal/collections/individual/index.php?guid=e97e924f-65fe-49fa-9652-4335fb089920 | originatingSampleOf (tissue): https://csvcoll.org/portal/collections/individual/index.php?guid=cc4bf4d1-9206-4766-a511-e7c6fc7a7537 | originatingSampleOf (tissue): https://csvcoll.org/portal/collections/individual/index.php?guid=fc424b44-016c-4826-9b09-26587147af76 | originatingSampleOf (tissue): https://csvcoll.org/portal/collections/individual/index.php?guid=64bc581d-585a-4c9c-b076-d1b24e46e291</t>
  </si>
  <si>
    <t>ASUMAC008935</t>
  </si>
  <si>
    <t>2024-01-23T19:40:10.587Z</t>
  </si>
  <si>
    <t>201bbbd2-13a2-4055-9a36-7d4c2c9e28b6</t>
  </si>
  <si>
    <t>subsampleOf (blood): https://csvcoll.org/portal/collections/individual/index.php?guid=aa0c91ec-5da2-4ade-81e9-db7c02e03a01</t>
  </si>
  <si>
    <t>ASUVTC001309</t>
  </si>
  <si>
    <t>4583e0c2-4964-4423-944e-36807ed1a82f</t>
  </si>
  <si>
    <t>subsampleOf (fecal): https://csvcoll.org/portal/collections/individual/index.php?guid=aa0c91ec-5da2-4ade-81e9-db7c02e03a01</t>
  </si>
  <si>
    <t>ASUVTC001382</t>
  </si>
  <si>
    <t>f9795f4b-affb-4920-957c-0535a3b8a322</t>
  </si>
  <si>
    <t>subsampleOf (tissue): https://csvcoll.org/portal/collections/individual/index.php?guid=aa0c91ec-5da2-4ade-81e9-db7c02e03a01</t>
  </si>
  <si>
    <t>ASUVTC001383</t>
  </si>
  <si>
    <t>51b8360a-4fd8-4411-ad59-94e9169360f4</t>
  </si>
  <si>
    <t>ASUVTC001384</t>
  </si>
  <si>
    <t>2024-01-22T23:57:04.165Z</t>
  </si>
  <si>
    <t>e97e924f-65fe-49fa-9652-4335fb089920</t>
  </si>
  <si>
    <t>ASUVTC001385</t>
  </si>
  <si>
    <t>2024-01-22T23:57:04.164Z</t>
  </si>
  <si>
    <t>cc4bf4d1-9206-4766-a511-e7c6fc7a7537</t>
  </si>
  <si>
    <t>ASUVTC001719</t>
  </si>
  <si>
    <t>2024-01-22T23:57:03.795Z</t>
  </si>
  <si>
    <t>fc424b44-016c-4826-9b09-26587147af76</t>
  </si>
  <si>
    <t>ASUVTC001720</t>
  </si>
  <si>
    <t>2024-01-22T23:57:03.797Z</t>
  </si>
  <si>
    <t>64bc581d-585a-4c9c-b076-d1b24e46e291</t>
  </si>
  <si>
    <t>ASUVTC001721</t>
  </si>
  <si>
    <t>2024-01-22T23:57:03.796Z</t>
  </si>
  <si>
    <t>13185588-c652-43fc-aec9-e1355198c2c8</t>
  </si>
  <si>
    <t>Trap: Line 2-6; Trap-level coordinate data lost - used data for start of line and adjusted coordinate uncertainty accordingly</t>
  </si>
  <si>
    <t>DMR0134</t>
  </si>
  <si>
    <t>Testes Position: Scrot</t>
  </si>
  <si>
    <t>ASUVTC001386</t>
  </si>
  <si>
    <t>a2515ce1-27f7-441b-9ab9-e8d18cda7597</t>
  </si>
  <si>
    <t>ASUVTC001387</t>
  </si>
  <si>
    <t>7df34aad-5d70-4f60-ae37-85e5ac107eaa</t>
  </si>
  <si>
    <t>Trap: Line 5-3</t>
  </si>
  <si>
    <t>DMR0135</t>
  </si>
  <si>
    <t>Mammae #: Ax. 2 Ab. 2 Ing. 4 | Mammae Condition: Lact.</t>
  </si>
  <si>
    <t>ASUVTC001388</t>
  </si>
  <si>
    <t>1965deea-57f9-4d48-b504-9bd596a207f6</t>
  </si>
  <si>
    <t>ASUVTC001389</t>
  </si>
  <si>
    <t>490f3716-be93-4c02-816a-a0166cf5b337</t>
  </si>
  <si>
    <t>Trap: Line 5-4</t>
  </si>
  <si>
    <t>DMR0136</t>
  </si>
  <si>
    <t>ASUVTC001390</t>
  </si>
  <si>
    <t>b838a863-2476-464a-8855-cb9dbf8e6cd8</t>
  </si>
  <si>
    <t>ASUVTC001391</t>
  </si>
  <si>
    <t>2024-01-22T23:57:04.166Z</t>
  </si>
  <si>
    <t>d0d1202c-c643-4755-b734-99e73533288d</t>
  </si>
  <si>
    <t>Trap: Line 5-5</t>
  </si>
  <si>
    <t>DMR0137</t>
  </si>
  <si>
    <t>{ "measurements" : "TOT: 197, TV: 72, HFL: 31, EAR: 18, WGT: 66 g" , "preservationFluid" : "" }</t>
  </si>
  <si>
    <t>Mammae #: Ax. 2 Ab. 2 Ing. 4 | Mammae Condition: Lg. | Vagina condition: Perf. | Reproductive Stage: Multi. | Embryos: L 1 R 1 CR 20 mm | Placental scars: L 1 R 0</t>
  </si>
  <si>
    <t>originatingSampleOf (blood): https://csvcoll.org/portal/collections/individual/index.php?guid=e52adfb7-c7ef-4142-b92a-8d5bc4bbabdb | originatingSampleOf (tissue): https://csvcoll.org/portal/collections/individual/index.php?guid=a3e111a2-7d6f-4a03-9b2c-afadb971fbd3 | originatingSampleOf (tissue): https://csvcoll.org/portal/collections/individual/index.php?guid=03823676-cf71-4c08-83c4-8c04b36b004f | originatingSampleOf (tissue): https://csvcoll.org/portal/collections/individual/index.php?guid=f28fce0f-b329-427f-b072-a7605ac223a7 | originatingSampleOf (fecal): https://csvcoll.org/portal/collections/individual/index.php?guid=b2da2a33-6cb2-4ab4-9be8-3d254c4a23f2</t>
  </si>
  <si>
    <t>ASUMAC008937</t>
  </si>
  <si>
    <t>e52adfb7-c7ef-4142-b92a-8d5bc4bbabdb</t>
  </si>
  <si>
    <t>subsampleOf (blood): https://csvcoll.org/portal/collections/individual/index.php?guid=d0d1202c-c643-4755-b734-99e73533288d</t>
  </si>
  <si>
    <t>ASUVTC001310</t>
  </si>
  <si>
    <t>a3e111a2-7d6f-4a03-9b2c-afadb971fbd3</t>
  </si>
  <si>
    <t>subsampleOf (fecal): https://csvcoll.org/portal/collections/individual/index.php?guid=d0d1202c-c643-4755-b734-99e73533288d</t>
  </si>
  <si>
    <t>ASUVTC001392</t>
  </si>
  <si>
    <t>03823676-cf71-4c08-83c4-8c04b36b004f</t>
  </si>
  <si>
    <t>subsampleOf (tissue): https://csvcoll.org/portal/collections/individual/index.php?guid=d0d1202c-c643-4755-b734-99e73533288d</t>
  </si>
  <si>
    <t>ASUVTC001393</t>
  </si>
  <si>
    <t>f28fce0f-b329-427f-b072-a7605ac223a7</t>
  </si>
  <si>
    <t>ASUVTC001394</t>
  </si>
  <si>
    <t>b2da2a33-6cb2-4ab4-9be8-3d254c4a23f2</t>
  </si>
  <si>
    <t>ASUVTC001395</t>
  </si>
  <si>
    <t>1b321ae1-93d9-49d6-8018-4d6abfbec27c</t>
  </si>
  <si>
    <t>Trap: Line 5-6</t>
  </si>
  <si>
    <t>DMR0138</t>
  </si>
  <si>
    <t>ASUVTC001396</t>
  </si>
  <si>
    <t>fe1ff452-3092-4a82-847d-b2a0b5359fab</t>
  </si>
  <si>
    <t>ASUVTC001397</t>
  </si>
  <si>
    <t>8d32b1fd-2c2f-48a3-9dc2-bfcfebf62924</t>
  </si>
  <si>
    <t>GENUS</t>
  </si>
  <si>
    <t>Neotoma Say &amp; Ord, 1825</t>
  </si>
  <si>
    <t>Say and Ord, 1825</t>
  </si>
  <si>
    <t>Trap: Line 1-6</t>
  </si>
  <si>
    <t>DMR0139</t>
  </si>
  <si>
    <t>tail</t>
  </si>
  <si>
    <t>u</t>
  </si>
  <si>
    <t>unknown</t>
  </si>
  <si>
    <t>ASUVTC001398</t>
  </si>
  <si>
    <t>Rowsey, Dakota M.; Upham, Nathan S.; Smith, Stephanie M.; Zamora Chavez, Luisa; Liao, Rosie; Vidaure, Michael; Gilbert, Edward; Kleker, Dorea; Gilbert Kleker, Aven; Luedke, Kory</t>
  </si>
  <si>
    <t>0b72d836-c45d-4a5a-a325-20a0ede29dc1</t>
  </si>
  <si>
    <t>Trap: Line 2-8</t>
  </si>
  <si>
    <t>DMR0140</t>
  </si>
  <si>
    <t>ASUVTC001399</t>
  </si>
  <si>
    <t>23608726-9d29-491a-9e21-52f98018753e</t>
  </si>
  <si>
    <t>ASUVTC001400</t>
  </si>
  <si>
    <t>bdb1ea60-a8c3-483f-9f25-a246de6e3c49</t>
  </si>
  <si>
    <t>Trap: Line 2-9</t>
  </si>
  <si>
    <t>DMR0141</t>
  </si>
  <si>
    <t>Mammae #: Ax. 0 Ab. 0 Ing. 0 | Mammae Condition: Sm. | Vagina Condition: Imp.</t>
  </si>
  <si>
    <t>ASUVTC001401</t>
  </si>
  <si>
    <t>867557e5-4317-476e-a1e3-ed033a9f16c0</t>
  </si>
  <si>
    <t>ASUVTC001402</t>
  </si>
  <si>
    <t>a77225ec-c203-4158-b5db-6186c3f90102</t>
  </si>
  <si>
    <t>Trap: Line 2-13</t>
  </si>
  <si>
    <t>DMR0142</t>
  </si>
  <si>
    <t>ASUVTC001403</t>
  </si>
  <si>
    <t>2024-01-22T23:57:04.170Z</t>
  </si>
  <si>
    <t>55fea95e-e0f2-438a-ad2e-85a3e7da4c23</t>
  </si>
  <si>
    <t>ASUVTC001404</t>
  </si>
  <si>
    <t>34fc2ad5-78cf-4e09-893d-03993fd5edbb</t>
  </si>
  <si>
    <t>Trap: Line 3-3</t>
  </si>
  <si>
    <t>DMR0143</t>
  </si>
  <si>
    <t>ASUVTC001405</t>
  </si>
  <si>
    <t>2024-01-22T23:57:04.171Z</t>
  </si>
  <si>
    <t>dc33ae10-a664-4691-8c03-17a1557716cd</t>
  </si>
  <si>
    <t>ASUVTC001489</t>
  </si>
  <si>
    <t>6c64a147-a6c2-4313-92e9-6365f2974b5f</t>
  </si>
  <si>
    <t>Trap: Line 3-5</t>
  </si>
  <si>
    <t>DMR0144</t>
  </si>
  <si>
    <t>Mammae #: Ax. 0 Ab. 0 Ing. 0 | Mammae Condition: Sm. |Vagina Condition: Imp.</t>
  </si>
  <si>
    <t>ASUVTC001406</t>
  </si>
  <si>
    <t>9fa6c3ef-e8a5-4e37-ae5e-cdee4e80d4e0</t>
  </si>
  <si>
    <t>ASUVTC001407</t>
  </si>
  <si>
    <t>2024-01-22T23:57:04.172Z</t>
  </si>
  <si>
    <t>34bd1e1f-ad8c-437a-a6de-2786c37bfc7c</t>
  </si>
  <si>
    <t>Trap: Line 3-7</t>
  </si>
  <si>
    <t>DMR0145</t>
  </si>
  <si>
    <t>ASUVTC001408</t>
  </si>
  <si>
    <t>1026336b-7ced-4cab-9e75-d8f791ef341a</t>
  </si>
  <si>
    <t>ASUVTC001409</t>
  </si>
  <si>
    <t>2024-01-22T23:57:04.173Z</t>
  </si>
  <si>
    <t>3ebb45bb-ef94-4a20-9223-68218c007c9b</t>
  </si>
  <si>
    <t>Trap: Line 4-6</t>
  </si>
  <si>
    <t>DMR0146</t>
  </si>
  <si>
    <t>ASUVTC001410</t>
  </si>
  <si>
    <t>fa4b2511-fa2a-4a85-94db-1a128114fba0</t>
  </si>
  <si>
    <t>ASUVTC001490</t>
  </si>
  <si>
    <t>ecb816ca-fca9-4349-a83d-03b78b3ce4ee</t>
  </si>
  <si>
    <t>Trap: Line 4-8</t>
  </si>
  <si>
    <t>DMR0147</t>
  </si>
  <si>
    <t>ASUVTC001411</t>
  </si>
  <si>
    <t>2b2d1e2d-475c-4196-933b-2a3fba347968</t>
  </si>
  <si>
    <t>ASUVTC001412</t>
  </si>
  <si>
    <t>2f93b149-484f-4c80-8ba2-9cacfb15a323</t>
  </si>
  <si>
    <t>Trap: Line 4-9</t>
  </si>
  <si>
    <t>DMR0148</t>
  </si>
  <si>
    <t>ASUVTC001413</t>
  </si>
  <si>
    <t>83f0f80b-37f6-4053-ae4e-a1e89c7ea27b</t>
  </si>
  <si>
    <t>ASUVTC001414</t>
  </si>
  <si>
    <t>964c0c95-7fff-4669-98b1-e23c1e4eea6d</t>
  </si>
  <si>
    <t>Trap: Line 4-10</t>
  </si>
  <si>
    <t>DMR0149</t>
  </si>
  <si>
    <t>ASUVTC001415</t>
  </si>
  <si>
    <t>2024-01-22T23:57:04.167Z</t>
  </si>
  <si>
    <t>fdb04548-dd01-4674-b828-e74c5c4699b6</t>
  </si>
  <si>
    <t>ASUVTC001416</t>
  </si>
  <si>
    <t>1b74d541-c472-456f-82f9-5af6d1a0e2db</t>
  </si>
  <si>
    <t>Trap: Line 5-8</t>
  </si>
  <si>
    <t>DMR0150</t>
  </si>
  <si>
    <t>ASUVTC001417</t>
  </si>
  <si>
    <t>8a16f7a9-42fd-4dbc-be70-c1eebe7a57b5</t>
  </si>
  <si>
    <t>ASUVTC001418</t>
  </si>
  <si>
    <t>1a1318b7-fc51-4765-bd04-e02c245387ea</t>
  </si>
  <si>
    <t>ASUVTC001419</t>
  </si>
  <si>
    <t>2024-01-22T23:57:04.169Z</t>
  </si>
  <si>
    <t>8ec4bb36-e08b-489a-9be8-6d59c27061d7</t>
  </si>
  <si>
    <t>Trap: Line 5-9</t>
  </si>
  <si>
    <t>DMR0151</t>
  </si>
  <si>
    <t>Mammae #: Ax. 0 Ab. 0 Ing. 4 | Mammae Condition: Lact.</t>
  </si>
  <si>
    <t>ASUVTC001420</t>
  </si>
  <si>
    <t>b3e49ae6-2d48-40be-ab3e-a9bd660e4823</t>
  </si>
  <si>
    <t>ASUVTC001491</t>
  </si>
  <si>
    <t>9135e4c5-aec2-4d29-967b-4fd72ac239f0</t>
  </si>
  <si>
    <t>Trap: Line 5-10</t>
  </si>
  <si>
    <t>DMR0152</t>
  </si>
  <si>
    <t>Mammae #: Ax. ND Ab. ND Ing. 4 | Mammae Condition: Lg. | Vagina Condition: Imp.?</t>
  </si>
  <si>
    <t>ASUVTC001421</t>
  </si>
  <si>
    <t>21745fc4-88a4-47bd-a89b-e0c629b4cc98</t>
  </si>
  <si>
    <t>ASUVTC001422</t>
  </si>
  <si>
    <t>be5981fd-a73c-4da6-8439-efe6dc0e8745</t>
  </si>
  <si>
    <t>Reithrodontomys</t>
  </si>
  <si>
    <t>Reithrodontomys megalotis</t>
  </si>
  <si>
    <t>Reithrodontomys megalotis (Baird, 1857)</t>
  </si>
  <si>
    <t>(Baird, 1858)</t>
  </si>
  <si>
    <t>Santa Catalina Mts., Old Mt. Lemmon Rd. 0.917 km E Green Spring</t>
  </si>
  <si>
    <t>Line 2-8</t>
  </si>
  <si>
    <t>burned</t>
  </si>
  <si>
    <t>OWN</t>
  </si>
  <si>
    <t>NSU0108</t>
  </si>
  <si>
    <t>{ "measurements" : "TOT: 140, TV: 73, HFL: 16, EAR: 15, WGT: 11" , "preservationFluid" : "70 percent ethanol, formalin fixed" }</t>
  </si>
  <si>
    <t>Testes Position: Scrot. | Testis size: 8 x 5 R | Epididymis: Not Con.</t>
  </si>
  <si>
    <t>originatingSampleOf (fecal): https://csvcoll.org/portal/collections/individual/index.php?guid=0c80b772-ed2b-40e3-bfff-bbb122ff95c5 | originatingSampleOf (tissue): https://csvcoll.org/portal/collections/individual/index.php?guid=b7f638a5-f0fe-4c90-ab4c-34ee6d9d9807 | originatingSampleOf (tissue): https://csvcoll.org/portal/collections/individual/index.php?guid=2b0966f9-65cc-4168-986d-067e05c6cb0c | originatingSampleOf (tissue): https://csvcoll.org/portal/collections/individual/index.php?guid=4a542200-7ed6-4f87-aae8-adfa8314f826 | originatingSampleOf (tissue): https://csvcoll.org/portal/collections/individual/index.php?guid=6cac4ebd-c190-415e-ae0c-a2f037a3a81f | originatingSampleOf (tissue): https://csvcoll.org/portal/collections/individual/index.php?guid=23aa27e2-65f8-4cae-a762-508d196d781e | originatingSampleOf (tissue): https://csvcoll.org/portal/collections/individual/index.php?guid=8330b704-0a46-4603-b643-87980f5aa006 | originatingSampleOf (blood): https://csvcoll.org/portal/collections/individual/index.php?guid=32793ab8-4f08-4e8b-be2e-558892a3f1b5 | originatingSampleOf (tissue): https://csvcoll.org/portal/collections/individual/index.php?guid=3e1a2379-c60c-424a-af92-5114fe3d9b65</t>
  </si>
  <si>
    <t>ASUMAC008994</t>
  </si>
  <si>
    <t>Rowsey, Dakota M.; Upham, Nathan S.</t>
  </si>
  <si>
    <t>Upham, Nathan S.; Rowsey, Dakota M.; Rivera, Damien; Zamora Chavez, Luisa J.; Gutierrez, Eduardo; De Leon, Gilma; Mohammadian, Shahrzad; Baez, Justin</t>
  </si>
  <si>
    <t>2024-01-23T19:40:09.645Z</t>
  </si>
  <si>
    <t>32793ab8-4f08-4e8b-be2e-558892a3f1b5</t>
  </si>
  <si>
    <t>subsampleOf (tissue): https://csvcoll.org/portal/collections/individual/index.php?guid=be5981fd-a73c-4da6-8439-efe6dc0e8745</t>
  </si>
  <si>
    <t>ASUVTC002066</t>
  </si>
  <si>
    <t>2024-01-22T23:57:03.674Z</t>
  </si>
  <si>
    <t>0c80b772-ed2b-40e3-bfff-bbb122ff95c5</t>
  </si>
  <si>
    <t>subsampleOf (blood): https://csvcoll.org/portal/collections/individual/index.php?guid=be5981fd-a73c-4da6-8439-efe6dc0e8745</t>
  </si>
  <si>
    <t>ASUVTC002269</t>
  </si>
  <si>
    <t>2024-01-22T23:57:03.560Z</t>
  </si>
  <si>
    <t>b7f638a5-f0fe-4c90-ab4c-34ee6d9d9807</t>
  </si>
  <si>
    <t>ASUVTC002273</t>
  </si>
  <si>
    <t>2024-01-22T23:57:03.604Z</t>
  </si>
  <si>
    <t>2b0966f9-65cc-4168-986d-067e05c6cb0c</t>
  </si>
  <si>
    <t>ASUVTC002274</t>
  </si>
  <si>
    <t>2024-01-22T23:57:03.581Z</t>
  </si>
  <si>
    <t>4a542200-7ed6-4f87-aae8-adfa8314f826</t>
  </si>
  <si>
    <t>ASUVTC002277</t>
  </si>
  <si>
    <t>2024-01-22T23:57:03.576Z</t>
  </si>
  <si>
    <t>6cac4ebd-c190-415e-ae0c-a2f037a3a81f</t>
  </si>
  <si>
    <t>GI</t>
  </si>
  <si>
    <t>ASUVTC002278</t>
  </si>
  <si>
    <t>23aa27e2-65f8-4cae-a762-508d196d781e</t>
  </si>
  <si>
    <t>subsampleOf (fecal): https://csvcoll.org/portal/collections/individual/index.php?guid=be5981fd-a73c-4da6-8439-efe6dc0e8745</t>
  </si>
  <si>
    <t>ASUVTC002279</t>
  </si>
  <si>
    <t>2024-01-22T23:57:03.676Z</t>
  </si>
  <si>
    <t>8330b704-0a46-4603-b643-87980f5aa006</t>
  </si>
  <si>
    <t>ASUVTC002486</t>
  </si>
  <si>
    <t>2024-01-22T23:57:03.673Z</t>
  </si>
  <si>
    <t>1127bb9b-69db-48e4-918b-d1da374e01df</t>
  </si>
  <si>
    <t>NSU0109</t>
  </si>
  <si>
    <t>{ "measurements" : "TOT: 142, TV: 75, HFL: 17, EAR: 12, WGT: 12" , "preservationFluid" : "70 percent ethanol, formalin fixed" }</t>
  </si>
  <si>
    <t>Testes Position: Scrot. | Testis size: 7 x 4 R | Epididymis: Con.</t>
  </si>
  <si>
    <t>originatingSampleOf (fecal): https://csvcoll.org/portal/collections/individual/index.php?guid=6d50840d-ee32-4b2e-94a9-a082f2b0f44f | hostOf (tissue): https://csvcoll.org/portal/collections/individual/index.php?guid=76c9a3d8-27b8-40c4-bd77-2e13cd0647d0 | originatingSampleOf (tissue): https://csvcoll.org/portal/collections/individual/index.php?guid=32a5a166-6ee7-4f78-a5e9-dfc25e6df400 | originatingSampleOf (tissue): https://csvcoll.org/portal/collections/individual/index.php?guid=c317fde8-afe7-4337-9570-d34ce3d777d7 | originatingSampleOf (tissue): https://csvcoll.org/portal/collections/individual/index.php?guid=d4c6672b-a040-4a39-bbaf-35fd8f10807e | originatingSampleOf (tissue): https://csvcoll.org/portal/collections/individual/index.php?guid=97b6c796-15aa-4306-bac7-d47f9a6821b1 | originatingSampleOf (tissue): https://csvcoll.org/portal/collections/individual/index.php?guid=42cc9f3d-0d21-4154-901e-a61ba938e629 | originatingSampleOf (blood): https://csvcoll.org/portal/collections/individual/index.php?guid=7a1603f1-84c6-4230-b8da-47b75388ce16</t>
  </si>
  <si>
    <t>ASUMAC008995</t>
  </si>
  <si>
    <t>2024-01-23T19:40:09.661Z</t>
  </si>
  <si>
    <t>3e1a2379-c60c-424a-af92-5114fe3d9b65</t>
  </si>
  <si>
    <t>{ "preservationMeans" : "15 mL centrifuge tube, room temperature" , "preservationFluid" : "95 percent ethanol" }</t>
  </si>
  <si>
    <t>ASUVTC001843</t>
  </si>
  <si>
    <t>2024-01-22T23:57:03.664Z</t>
  </si>
  <si>
    <t>7a1603f1-84c6-4230-b8da-47b75388ce16</t>
  </si>
  <si>
    <t>subsampleOf (tissue): https://csvcoll.org/portal/collections/individual/index.php?guid=1127bb9b-69db-48e4-918b-d1da374e01df</t>
  </si>
  <si>
    <t>ASUVTC002067</t>
  </si>
  <si>
    <t>2024-01-22T23:57:03.663Z</t>
  </si>
  <si>
    <t>6d50840d-ee32-4b2e-94a9-a082f2b0f44f</t>
  </si>
  <si>
    <t>ASUVTC002270</t>
  </si>
  <si>
    <t>76c9a3d8-27b8-40c4-bd77-2e13cd0647d0</t>
  </si>
  <si>
    <t>subsampleOf (blood): https://csvcoll.org/portal/collections/individual/index.php?guid=1127bb9b-69db-48e4-918b-d1da374e01df</t>
  </si>
  <si>
    <t>ASUVTC002271</t>
  </si>
  <si>
    <t>32a5a166-6ee7-4f78-a5e9-dfc25e6df400</t>
  </si>
  <si>
    <t>subsampleOf (fecal): https://csvcoll.org/portal/collections/individual/index.php?guid=1127bb9b-69db-48e4-918b-d1da374e01df</t>
  </si>
  <si>
    <t>ASUVTC002280</t>
  </si>
  <si>
    <t>c317fde8-afe7-4337-9570-d34ce3d777d7</t>
  </si>
  <si>
    <t>hasHost (tissue): https://csvcoll.org/portal/collections/individual/index.php?guid=1127bb9b-69db-48e4-918b-d1da374e01df</t>
  </si>
  <si>
    <t>ASUVTC002281</t>
  </si>
  <si>
    <t>d4c6672b-a040-4a39-bbaf-35fd8f10807e</t>
  </si>
  <si>
    <t>ASUVTC002282</t>
  </si>
  <si>
    <t>2024-01-22T23:57:03.677Z</t>
  </si>
  <si>
    <t>97b6c796-15aa-4306-bac7-d47f9a6821b1</t>
  </si>
  <si>
    <t>ASUVTC002283</t>
  </si>
  <si>
    <t>42cc9f3d-0d21-4154-901e-a61ba938e629</t>
  </si>
  <si>
    <t>ASUVTC002284</t>
  </si>
  <si>
    <t>2024-01-22T23:57:03.678Z</t>
  </si>
  <si>
    <t>8c05aadb-c2a7-4a54-9e00-7853f22cc5fa</t>
  </si>
  <si>
    <t>Sigmodon</t>
  </si>
  <si>
    <t>Sigmodon ochrognathus</t>
  </si>
  <si>
    <t>Sigmodon ochrognathus Bailey, 1902</t>
  </si>
  <si>
    <t>V. Bailey, 1902</t>
  </si>
  <si>
    <t>NSU0110</t>
  </si>
  <si>
    <t>{ "measurements" : "TOT: 184, TV: 84, HFL: 26, EAR: 15, WGT: 31" , "preservationFluid" : "70 percent ethanol, formalin fixed" }</t>
  </si>
  <si>
    <t>Mammae #: Ax. 0 Ab. 0 Ing. 0 | Mammae Condition: Sm. | Vagina condition: Imp. | Reproductive Stage: Nul. | Embryos: L 0 R 0 | Placental scars: L 0 R 0</t>
  </si>
  <si>
    <t>originatingSampleOf (fecal): https://csvcoll.org/portal/collections/individual/index.php?guid=990487ab-5a84-463e-848f-b3e385e01854 | originatingSampleOf (tissue): https://csvcoll.org/portal/collections/individual/index.php?guid=4831c372-b8f9-44ce-99cc-1cc9ce59e790 | originatingSampleOf (tissue): https://csvcoll.org/portal/collections/individual/index.php?guid=0b72eef2-0f05-4308-a433-740dc2e56a80 | originatingSampleOf (tissue): https://csvcoll.org/portal/collections/individual/index.php?guid=b3886cc0-4660-47aa-82f9-af53a3f46f16 | originatingSampleOf (tissue): https://csvcoll.org/portal/collections/individual/index.php?guid=00aeddae-ea87-4db0-949a-41ea069a4a27 | originatingSampleOf (tissue): https://csvcoll.org/portal/collections/individual/index.php?guid=7d37215e-f600-4407-8322-9f542a0e4734 | originatingSampleOf (blood): https://csvcoll.org/portal/collections/individual/index.php?guid=650395eb-3533-4010-b076-3bca3495d615</t>
  </si>
  <si>
    <t>ASUMAC008996</t>
  </si>
  <si>
    <t>2024-01-23T19:40:09.652Z</t>
  </si>
  <si>
    <t>650395eb-3533-4010-b076-3bca3495d615</t>
  </si>
  <si>
    <t>subsampleOf (tissue): https://csvcoll.org/portal/collections/individual/index.php?guid=8c05aadb-c2a7-4a54-9e00-7853f22cc5fa</t>
  </si>
  <si>
    <t>ASUVTC002068</t>
  </si>
  <si>
    <t>2024-01-22T23:57:03.669Z</t>
  </si>
  <si>
    <t>990487ab-5a84-463e-848f-b3e385e01854</t>
  </si>
  <si>
    <t>subsampleOf (fecal): https://csvcoll.org/portal/collections/individual/index.php?guid=8c05aadb-c2a7-4a54-9e00-7853f22cc5fa</t>
  </si>
  <si>
    <t>ASUVTC002272</t>
  </si>
  <si>
    <t>4831c372-b8f9-44ce-99cc-1cc9ce59e790</t>
  </si>
  <si>
    <t>ASUVTC002286</t>
  </si>
  <si>
    <t>0b72eef2-0f05-4308-a433-740dc2e56a80</t>
  </si>
  <si>
    <t>ASUVTC002287</t>
  </si>
  <si>
    <t>b3886cc0-4660-47aa-82f9-af53a3f46f16</t>
  </si>
  <si>
    <t>ASUVTC002288</t>
  </si>
  <si>
    <t>2024-01-22T23:57:03.662Z</t>
  </si>
  <si>
    <t>00aeddae-ea87-4db0-949a-41ea069a4a27</t>
  </si>
  <si>
    <t>ASUVTC002289</t>
  </si>
  <si>
    <t>7d37215e-f600-4407-8322-9f542a0e4734</t>
  </si>
  <si>
    <t>subsampleOf (blood): https://csvcoll.org/portal/collections/individual/index.php?guid=8c05aadb-c2a7-4a54-9e00-7853f22cc5fa</t>
  </si>
  <si>
    <t>ASUVTC002290</t>
  </si>
  <si>
    <t>3cc0bbfc-8c13-4642-a6d0-7a891efea664</t>
  </si>
  <si>
    <t>Line 1-16</t>
  </si>
  <si>
    <t>NSU0111</t>
  </si>
  <si>
    <t>{ "measurements" : "TOT: 140, TV: 73, HFL: 16, EAR: 13, WGT: 9" , "preservationFluid" : "70 percent ethanol, formalin fixed" }</t>
  </si>
  <si>
    <t>Mammae #: Scrot. | Mammae Condition: 6 x 4.5 R | Vagina condition: Not Con. | Reproductive Stage: | Embryos: | Placental scars:</t>
  </si>
  <si>
    <t>originatingSampleOf (fecal): https://csvcoll.org/portal/collections/individual/index.php?guid=f60e1c18-6f0a-406f-8d37-0939750aed0a | originatingSampleOf (tissue): https://csvcoll.org/portal/collections/individual/index.php?guid=39d4bc1f-445a-4c74-ba4e-c0fb8258c218 | originatingSampleOf (tissue): https://csvcoll.org/portal/collections/individual/index.php?guid=4b9362da-d29e-4253-bf5f-ab01313c764c | originatingSampleOf (tissue): https://csvcoll.org/portal/collections/individual/index.php?guid=bed3bbd9-5cb3-4a7d-9d3a-ec792e65b6c3 | originatingSampleOf (tissue): https://csvcoll.org/portal/collections/individual/index.php?guid=f3fba202-af07-4fda-b49d-399c6ac33eae | originatingSampleOf (tissue): https://csvcoll.org/portal/collections/individual/index.php?guid=2bec928c-d28b-4f9d-ad00-698e2032ffcf | originatingSampleOf (blood): https://csvcoll.org/portal/collections/individual/index.php?guid=21b29be9-9a66-457d-827e-df01abf377ac</t>
  </si>
  <si>
    <t>ASUMAC008997</t>
  </si>
  <si>
    <t>2024-01-23T19:40:09.655Z</t>
  </si>
  <si>
    <t>21b29be9-9a66-457d-827e-df01abf377ac</t>
  </si>
  <si>
    <t>subsampleOf (tissue): https://csvcoll.org/portal/collections/individual/index.php?guid=3cc0bbfc-8c13-4642-a6d0-7a891efea664</t>
  </si>
  <si>
    <t>ASUVTC002069</t>
  </si>
  <si>
    <t>f60e1c18-6f0a-406f-8d37-0939750aed0a</t>
  </si>
  <si>
    <t>subsampleOf (fecal): https://csvcoll.org/portal/collections/individual/index.php?guid=3cc0bbfc-8c13-4642-a6d0-7a891efea664</t>
  </si>
  <si>
    <t>ASUVTC002275</t>
  </si>
  <si>
    <t>39d4bc1f-445a-4c74-ba4e-c0fb8258c218</t>
  </si>
  <si>
    <t>subsampleOf (blood): https://csvcoll.org/portal/collections/individual/index.php?guid=3cc0bbfc-8c13-4642-a6d0-7a891efea664</t>
  </si>
  <si>
    <t>ASUVTC002294</t>
  </si>
  <si>
    <t>4b9362da-d29e-4253-bf5f-ab01313c764c</t>
  </si>
  <si>
    <t>ASUVTC002295</t>
  </si>
  <si>
    <t>2024-01-22T23:57:03.649Z</t>
  </si>
  <si>
    <t>bed3bbd9-5cb3-4a7d-9d3a-ec792e65b6c3</t>
  </si>
  <si>
    <t>ASUVTC002296</t>
  </si>
  <si>
    <t>f3fba202-af07-4fda-b49d-399c6ac33eae</t>
  </si>
  <si>
    <t>ASUVTC002297</t>
  </si>
  <si>
    <t>2024-01-22T23:57:03.647Z</t>
  </si>
  <si>
    <t>2bec928c-d28b-4f9d-ad00-698e2032ffcf</t>
  </si>
  <si>
    <t>ASUVTC002298</t>
  </si>
  <si>
    <t>f726ff7a-46a7-4e88-b105-4697e4025a85</t>
  </si>
  <si>
    <t>NSU0112</t>
  </si>
  <si>
    <t>{ "measurements" : "TOT: 223, TV: 94, HFL: 27, EAR: 17, WGT: 60" , "preservationFluid" : "70 percent ethanol, formalin fixed" }</t>
  </si>
  <si>
    <t>Testes Position: Scrot. | Testis size: 9 x 6 R | Epididymis: Con.</t>
  </si>
  <si>
    <t>originatingSampleOf (fecal): https://csvcoll.org/portal/collections/individual/index.php?guid=738426e1-e4f1-4449-a371-24ce13e0e5d1 | hostOf (tissue): https://csvcoll.org/portal/collections/individual/index.php?guid=9c6d4699-c663-4673-b96d-c0cef0a0b16c | originatingSampleOf (tissue): https://csvcoll.org/portal/collections/individual/index.php?guid=15be3a6d-d13f-451b-b068-ec04a20b9e03 | originatingSampleOf (tissue): https://csvcoll.org/portal/collections/individual/index.php?guid=39f4f020-81d5-47b5-a23e-8ef576eed2d4 | originatingSampleOf (tissue): https://csvcoll.org/portal/collections/individual/index.php?guid=d75608d2-5880-4c80-9694-0f48b96f587d | originatingSampleOf (tissue): https://csvcoll.org/portal/collections/individual/index.php?guid=0c6be84d-4413-4e2b-931b-044acb6f0c1b | originatingSampleOf (tissue): https://csvcoll.org/portal/collections/individual/index.php?guid=dbc7d42f-89bf-42ce-8a4a-5e2a62817547 | hostOf (tissue): https://csvcoll.org/portal/collections/individual/index.php?guid=17652e33-18d1-4561-ac03-0c2f48c1d750 | originatingSampleOf (blood): https://csvcoll.org/portal/collections/individual/index.php?guid=9d0a3625-ccb5-4c2f-9798-55e7a040412e | originatingSampleOf (tissue): https://csvcoll.org/portal/collections/individual/index.php?guid=eaff0ebb-12b8-4947-abc1-7975382f98fe</t>
  </si>
  <si>
    <t>ASUMAC008998</t>
  </si>
  <si>
    <t>2024-01-23T19:40:09.643Z</t>
  </si>
  <si>
    <t>9d0a3625-ccb5-4c2f-9798-55e7a040412e</t>
  </si>
  <si>
    <t>subsampleOf (tissue): https://csvcoll.org/portal/collections/individual/index.php?guid=f726ff7a-46a7-4e88-b105-4697e4025a85</t>
  </si>
  <si>
    <t>ASUVTC002070</t>
  </si>
  <si>
    <t>2024-01-22T23:57:03.642Z</t>
  </si>
  <si>
    <t>eaff0ebb-12b8-4947-abc1-7975382f98fe</t>
  </si>
  <si>
    <t>endos</t>
  </si>
  <si>
    <t>hasHost (tissue): https://csvcoll.org/portal/collections/individual/index.php?guid=f726ff7a-46a7-4e88-b105-4697e4025a85</t>
  </si>
  <si>
    <t>ASUVTC002175</t>
  </si>
  <si>
    <t>2024-01-22T23:57:03.651Z</t>
  </si>
  <si>
    <t>738426e1-e4f1-4449-a371-24ce13e0e5d1</t>
  </si>
  <si>
    <t>subsampleOf (fecal): https://csvcoll.org/portal/collections/individual/index.php?guid=f726ff7a-46a7-4e88-b105-4697e4025a85</t>
  </si>
  <si>
    <t>ASUVTC002276</t>
  </si>
  <si>
    <t>9c6d4699-c663-4673-b96d-c0cef0a0b16c</t>
  </si>
  <si>
    <t>ASUVTC002292</t>
  </si>
  <si>
    <t>15be3a6d-d13f-451b-b068-ec04a20b9e03</t>
  </si>
  <si>
    <t>ASUVTC002305</t>
  </si>
  <si>
    <t>39f4f020-81d5-47b5-a23e-8ef576eed2d4</t>
  </si>
  <si>
    <t>ASUVTC002306</t>
  </si>
  <si>
    <t>2024-01-22T23:57:03.650Z</t>
  </si>
  <si>
    <t>d75608d2-5880-4c80-9694-0f48b96f587d</t>
  </si>
  <si>
    <t>subsampleOf (blood): https://csvcoll.org/portal/collections/individual/index.php?guid=f726ff7a-46a7-4e88-b105-4697e4025a85</t>
  </si>
  <si>
    <t>ASUVTC002307</t>
  </si>
  <si>
    <t>0c6be84d-4413-4e2b-931b-044acb6f0c1b</t>
  </si>
  <si>
    <t>{ "preservationMeans" : "50 mL centrifuge tube, flash frozen" , "preservationFluid" : "no preservative fluid" }</t>
  </si>
  <si>
    <t>ASUVTC002308</t>
  </si>
  <si>
    <t>2024-01-22T23:57:03.631Z</t>
  </si>
  <si>
    <t>dbc7d42f-89bf-42ce-8a4a-5e2a62817547</t>
  </si>
  <si>
    <t>ASUVTC002309</t>
  </si>
  <si>
    <t>2024-01-22T23:57:03.643Z</t>
  </si>
  <si>
    <t>17652e33-18d1-4561-ac03-0c2f48c1d750</t>
  </si>
  <si>
    <t>ASUVTC002487</t>
  </si>
  <si>
    <t>2024-01-22T23:57:03.638Z</t>
  </si>
  <si>
    <t>15d6881d-8a6b-4559-9ec6-72b12825e897</t>
  </si>
  <si>
    <t>Neotoma albigula</t>
  </si>
  <si>
    <t>Neotoma albigula Hartley, 1894</t>
  </si>
  <si>
    <t>Hartley, 1894</t>
  </si>
  <si>
    <t>NSU0113</t>
  </si>
  <si>
    <t>Mammae #: Ax. 0 Ab. 0 Ing. 2 | Mammae Condition: Lact. | Vagina condition: ND | Reproductive Stage: ND | Embryos: ND | Placental scars: ND</t>
  </si>
  <si>
    <t>ASUVTC002285</t>
  </si>
  <si>
    <t>52777013-a7f8-4214-86f4-15386151da95</t>
  </si>
  <si>
    <t>Line 1-10</t>
  </si>
  <si>
    <t>NSU0114</t>
  </si>
  <si>
    <t>{ "measurements" : "TOT: 204, TV: 110, HFL: 22, EAR: 18, WGT: 24" , "preservationFluid" : "70 percent ethanol, formalin fixed" }</t>
  </si>
  <si>
    <t>Testes Position: Scrot. | Testis size: 12.5 x 7 R | Epididymis: Con.</t>
  </si>
  <si>
    <t>originatingSampleOf (fecal): https://csvcoll.org/portal/collections/individual/index.php?guid=98c2ce06-536a-48f8-9e5d-05e878bccca7 | hostOf (tissue): https://csvcoll.org/portal/collections/individual/index.php?guid=c6b5290a-29b5-480a-81ee-b362f9c71812 | originatingSampleOf (tissue): https://csvcoll.org/portal/collections/individual/index.php?guid=91a8c1d9-91b3-4b1e-8b91-f1a70227e4f6 | originatingSampleOf (tissue): https://csvcoll.org/portal/collections/individual/index.php?guid=0a2f9c62-abc5-4cd9-aa09-0ee450e40169 | originatingSampleOf (tissue): https://csvcoll.org/portal/collections/individual/index.php?guid=aec1bb4b-53fd-403e-9284-6a817a59c38e | originatingSampleOf (tissue): https://csvcoll.org/portal/collections/individual/index.php?guid=9f43ce75-0cea-4c5e-8980-23ef3e165dc2 | originatingSampleOf (tissue): https://csvcoll.org/portal/collections/individual/index.php?guid=347435f5-eccc-429e-8350-a748759ad7e5 | originatingSampleOf (blood): https://csvcoll.org/portal/collections/individual/index.php?guid=e082085d-65c3-4e5a-8c29-959aa9b61d01 | originatingSampleOf (tissue): https://csvcoll.org/portal/collections/individual/index.php?guid=d24106fe-d91a-495b-b451-b12e239593d1</t>
  </si>
  <si>
    <t>ASUMAC008999</t>
  </si>
  <si>
    <t>2024-01-23T19:40:09.656Z</t>
  </si>
  <si>
    <t>e082085d-65c3-4e5a-8c29-959aa9b61d01</t>
  </si>
  <si>
    <t>subsampleOf (tissue): https://csvcoll.org/portal/collections/individual/index.php?guid=52777013-a7f8-4214-86f4-15386151da95</t>
  </si>
  <si>
    <t>ASUVTC002071</t>
  </si>
  <si>
    <t>2024-01-22T23:57:03.710Z</t>
  </si>
  <si>
    <t>98c2ce06-536a-48f8-9e5d-05e878bccca7</t>
  </si>
  <si>
    <t>subsampleOf (fecal): https://csvcoll.org/portal/collections/individual/index.php?guid=52777013-a7f8-4214-86f4-15386151da95</t>
  </si>
  <si>
    <t>ASUVTC002291</t>
  </si>
  <si>
    <t>c6b5290a-29b5-480a-81ee-b362f9c71812</t>
  </si>
  <si>
    <t>hasHost (tissue): https://csvcoll.org/portal/collections/individual/index.php?guid=52777013-a7f8-4214-86f4-15386151da95</t>
  </si>
  <si>
    <t>ASUVTC002293</t>
  </si>
  <si>
    <t>2024-01-22T23:57:03.639Z</t>
  </si>
  <si>
    <t>91a8c1d9-91b3-4b1e-8b91-f1a70227e4f6</t>
  </si>
  <si>
    <t>ASUVTC002300</t>
  </si>
  <si>
    <t>0a2f9c62-abc5-4cd9-aa09-0ee450e40169</t>
  </si>
  <si>
    <t>ASUVTC002301</t>
  </si>
  <si>
    <t>2024-01-22T23:57:03.724Z</t>
  </si>
  <si>
    <t>aec1bb4b-53fd-403e-9284-6a817a59c38e</t>
  </si>
  <si>
    <t>subsampleOf (blood): https://csvcoll.org/portal/collections/individual/index.php?guid=52777013-a7f8-4214-86f4-15386151da95</t>
  </si>
  <si>
    <t>ASUVTC002302</t>
  </si>
  <si>
    <t>2024-01-22T23:57:03.706Z</t>
  </si>
  <si>
    <t>9f43ce75-0cea-4c5e-8980-23ef3e165dc2</t>
  </si>
  <si>
    <t>ASUVTC002303</t>
  </si>
  <si>
    <t>347435f5-eccc-429e-8350-a748759ad7e5</t>
  </si>
  <si>
    <t>ASUVTC002304</t>
  </si>
  <si>
    <t>2024-01-22T23:57:03.715Z</t>
  </si>
  <si>
    <t>d24106fe-d91a-495b-b451-b12e239593d1</t>
  </si>
  <si>
    <t>ASUVTC002764</t>
  </si>
  <si>
    <t>2024-01-22T23:57:03.708Z</t>
  </si>
  <si>
    <t>06c407b9-5f5e-4b58-9d6b-c351d5882826</t>
  </si>
  <si>
    <t>Line 1-9</t>
  </si>
  <si>
    <t>NSU0115</t>
  </si>
  <si>
    <t>{ "measurements" : "TOT: 189, TV: 97, HFL: 21, EAR: 19, WGT: 17" , "preservationFluid" : "70 percent ethanol, formalin fixed" }</t>
  </si>
  <si>
    <t>Mammae #: Ax. 0 Ab. 0 Ing. 0 | Mammae Condition: Sm. | Vagina condition: Perf. | Reproductive Stage: Nul. | Embryos: L 0 R 0 | Placental scars: L 0 R 0</t>
  </si>
  <si>
    <t>originatingSampleOf (tissue): https://csvcoll.org/portal/collections/individual/index.php?guid=63d4ee01-c814-4192-bf34-a7bb2144f517 | originatingSampleOf (tissue): https://csvcoll.org/portal/collections/individual/index.php?guid=07ce2875-875b-4961-af3b-c4a5918f9d1f | originatingSampleOf (tissue): https://csvcoll.org/portal/collections/individual/index.php?guid=c7673f6e-1a79-44d5-815f-5f0135e9d749 | originatingSampleOf (tissue): https://csvcoll.org/portal/collections/individual/index.php?guid=a2768dfc-f568-4bf6-adcc-33b84794be2f | originatingSampleOf (tissue): https://csvcoll.org/portal/collections/individual/index.php?guid=4aaaf0bf-d80a-47c5-aabd-76948a9587e7 | hostOf (tissue): https://csvcoll.org/portal/collections/individual/index.php?guid=94d29937-f84c-400f-9e83-30ab2f115e34 | hostOf (tissue): https://csvcoll.org/portal/collections/individual/index.php?guid=dd41f3df-133f-41a1-ab05-da3392db97b0 | originatingSampleOf (fecal): https://csvcoll.org/portal/collections/individual/index.php?guid=e2837675-5cf3-4041-98ab-495e2da33da8 | originatingSampleOf (blood): https://csvcoll.org/portal/collections/individual/index.php?guid=db90a5ab-4820-4110-a422-960b7ee3e503</t>
  </si>
  <si>
    <t>ASUMAC009000</t>
  </si>
  <si>
    <t>2024-01-23T19:40:09.676Z</t>
  </si>
  <si>
    <t>63d4ee01-c814-4192-bf34-a7bb2144f517</t>
  </si>
  <si>
    <t>subsampleOf (tissue): https://csvcoll.org/portal/collections/individual/index.php?guid=06c407b9-5f5e-4b58-9d6b-c351d5882826</t>
  </si>
  <si>
    <t>ASUVTC002310</t>
  </si>
  <si>
    <t>2024-01-22T23:57:03.709Z</t>
  </si>
  <si>
    <t>07ce2875-875b-4961-af3b-c4a5918f9d1f</t>
  </si>
  <si>
    <t>ASUVTC002311</t>
  </si>
  <si>
    <t>c7673f6e-1a79-44d5-815f-5f0135e9d749</t>
  </si>
  <si>
    <t>ASUVTC002312</t>
  </si>
  <si>
    <t>a2768dfc-f568-4bf6-adcc-33b84794be2f</t>
  </si>
  <si>
    <t>ASUVTC002313</t>
  </si>
  <si>
    <t>4aaaf0bf-d80a-47c5-aabd-76948a9587e7</t>
  </si>
  <si>
    <t>hasHost (tissue): https://csvcoll.org/portal/collections/individual/index.php?guid=06c407b9-5f5e-4b58-9d6b-c351d5882826</t>
  </si>
  <si>
    <t>ASUVTC002314</t>
  </si>
  <si>
    <t>2024-01-22T23:57:03.696Z</t>
  </si>
  <si>
    <t>94d29937-f84c-400f-9e83-30ab2f115e34</t>
  </si>
  <si>
    <t>ASUVTC002315</t>
  </si>
  <si>
    <t>dd41f3df-133f-41a1-ab05-da3392db97b0</t>
  </si>
  <si>
    <t>subsampleOf (blood): https://csvcoll.org/portal/collections/individual/index.php?guid=06c407b9-5f5e-4b58-9d6b-c351d5882826</t>
  </si>
  <si>
    <t>ASUVTC002488</t>
  </si>
  <si>
    <t>2024-01-22T23:57:03.695Z</t>
  </si>
  <si>
    <t>e2837675-5cf3-4041-98ab-495e2da33da8</t>
  </si>
  <si>
    <t>subsampleOf (fecal): https://csvcoll.org/portal/collections/individual/index.php?guid=06c407b9-5f5e-4b58-9d6b-c351d5882826</t>
  </si>
  <si>
    <t>ASUVTC002561</t>
  </si>
  <si>
    <t>2024-01-22T23:57:03.701Z</t>
  </si>
  <si>
    <t>db90a5ab-4820-4110-a422-960b7ee3e503</t>
  </si>
  <si>
    <t>ASUVTC002604</t>
  </si>
  <si>
    <t>2024-01-22T23:57:03.702Z</t>
  </si>
  <si>
    <t>42d6b9ff-e403-4082-9ec3-33d4d38311e2</t>
  </si>
  <si>
    <t>Line 1-19</t>
  </si>
  <si>
    <t>NSU0116</t>
  </si>
  <si>
    <t>{ "measurements" : "TOT: 197, TV: 98, HFL: 21, EAR: 11, WGT: 22" , "preservationFluid" : "70 percent ethanol, formalin fixed" }</t>
  </si>
  <si>
    <t>Testes Position: Scrot. | Testis size: 13 x 7 R | Epididymis: Con.</t>
  </si>
  <si>
    <t>originatingSampleOf (fecal): https://csvcoll.org/portal/collections/individual/index.php?guid=d21b65ef-cb64-4cfa-950b-1a5599cd2050 | originatingSampleOf (tissue): https://csvcoll.org/portal/collections/individual/index.php?guid=e919b68a-92e2-4ad8-9116-68e1e8a777e8 | originatingSampleOf (tissue): https://csvcoll.org/portal/collections/individual/index.php?guid=3c029df5-189c-4890-af99-5dcf458fa22f | originatingSampleOf (tissue): https://csvcoll.org/portal/collections/individual/index.php?guid=a95a433c-0f8b-4d10-9b6d-feeb0f26f9f9 | originatingSampleOf (tissue): https://csvcoll.org/portal/collections/individual/index.php?guid=f4fe345b-ef13-4728-8a21-2acb4a5b5fea | originatingSampleOf (tissue): https://csvcoll.org/portal/collections/individual/index.php?guid=f34d49eb-d14f-49b5-9965-1eb88b625407 | hostOf (tissue): https://csvcoll.org/portal/collections/individual/index.php?guid=564aa915-6072-4f90-9493-9e75a27cb9ed | originatingSampleOf (blood): https://csvcoll.org/portal/collections/individual/index.php?guid=01d7cbdc-35b6-477d-b523-630cab0d68f0</t>
  </si>
  <si>
    <t>ASUMAC009001</t>
  </si>
  <si>
    <t>2024-01-23T19:40:09.664Z</t>
  </si>
  <si>
    <t>d21b65ef-cb64-4cfa-950b-1a5599cd2050</t>
  </si>
  <si>
    <t>subsampleOf (fecal): https://csvcoll.org/portal/collections/individual/index.php?guid=42d6b9ff-e403-4082-9ec3-33d4d38311e2</t>
  </si>
  <si>
    <t>ASUVTC002299</t>
  </si>
  <si>
    <t>2024-01-22T23:57:03.700Z</t>
  </si>
  <si>
    <t>e919b68a-92e2-4ad8-9116-68e1e8a777e8</t>
  </si>
  <si>
    <t>subsampleOf (tissue): https://csvcoll.org/portal/collections/individual/index.php?guid=42d6b9ff-e403-4082-9ec3-33d4d38311e2</t>
  </si>
  <si>
    <t>ASUVTC002316</t>
  </si>
  <si>
    <t>3c029df5-189c-4890-af99-5dcf458fa22f</t>
  </si>
  <si>
    <t>ASUVTC002317</t>
  </si>
  <si>
    <t>2024-01-22T23:57:03.699Z</t>
  </si>
  <si>
    <t>a95a433c-0f8b-4d10-9b6d-feeb0f26f9f9</t>
  </si>
  <si>
    <t>ASUVTC002318</t>
  </si>
  <si>
    <t>f4fe345b-ef13-4728-8a21-2acb4a5b5fea</t>
  </si>
  <si>
    <t>ASUVTC002319</t>
  </si>
  <si>
    <t>2024-01-22T23:57:03.698Z</t>
  </si>
  <si>
    <t>f34d49eb-d14f-49b5-9965-1eb88b625407</t>
  </si>
  <si>
    <t>ASUVTC002320</t>
  </si>
  <si>
    <t>2024-01-22T23:57:03.688Z</t>
  </si>
  <si>
    <t>564aa915-6072-4f90-9493-9e75a27cb9ed</t>
  </si>
  <si>
    <t>hasHost (tissue): https://csvcoll.org/portal/collections/individual/index.php?guid=42d6b9ff-e403-4082-9ec3-33d4d38311e2</t>
  </si>
  <si>
    <t>ASUVTC002489</t>
  </si>
  <si>
    <t>2024-01-22T23:57:03.686Z</t>
  </si>
  <si>
    <t>01d7cbdc-35b6-477d-b523-630cab0d68f0</t>
  </si>
  <si>
    <t>subsampleOf (blood): https://csvcoll.org/portal/collections/individual/index.php?guid=42d6b9ff-e403-4082-9ec3-33d4d38311e2</t>
  </si>
  <si>
    <t>ASUVTC002605</t>
  </si>
  <si>
    <t>cb1c67ec-9a93-46bb-aa60-6e58fcbc0966</t>
  </si>
  <si>
    <t>Line 4-8</t>
  </si>
  <si>
    <t>NSU0117</t>
  </si>
  <si>
    <t>{ "measurements" : "TOT: 183, TV: 82, HFL: 16, EAR: 16, WGT: 25" ,"preservationMeans" : "flash frozen, stored at -80C", "preservationFluid" : "no preservative fluid" }</t>
  </si>
  <si>
    <t>ASUVTC002342</t>
  </si>
  <si>
    <t>8541d5f7-0ee5-4a47-9ebd-ee78cc120cd0</t>
  </si>
  <si>
    <t>ASUVTC002343</t>
  </si>
  <si>
    <t>4b31fb10-3e33-4724-bc58-86ff58883496</t>
  </si>
  <si>
    <t>NSU0118</t>
  </si>
  <si>
    <t>{ "measurements" : "TOT: 200, TV: 105, HFL: 20, EAR: 15, WGT: 28" ,"preservationMeans" : "flash frozen, stored at -80C", "preservationFluid" : "no preservative fluid" }</t>
  </si>
  <si>
    <t>ASUVTC002344</t>
  </si>
  <si>
    <t>2024-01-22T23:57:03.694Z</t>
  </si>
  <si>
    <t>c2d2511b-9537-4dff-ab36-7a932499fc45</t>
  </si>
  <si>
    <t>ASUVTC002345</t>
  </si>
  <si>
    <t>76ffd9cc-9b7a-4407-a10c-80eeb9153e7d</t>
  </si>
  <si>
    <t>Line 4-9</t>
  </si>
  <si>
    <t>NSU0119</t>
  </si>
  <si>
    <t>{ "measurements" : "TOT: 192, TV: 97, HFL: 21, EAR: 16, WGT: 31" ,"preservationMeans" : "flash frozen, stored at -80C", "preservationFluid" : "no preservative fluid" }</t>
  </si>
  <si>
    <t>Mammae #: ND | Mammae Condition: Lg. | Vagina condition: ND | Reproductive Stage: ND | Embryos: ND | Placental scars: ND</t>
  </si>
  <si>
    <t>ASUVTC002346</t>
  </si>
  <si>
    <t>2024-01-22T23:57:03.691Z</t>
  </si>
  <si>
    <t>1d0251fd-806c-4991-8957-008b3e1b1779</t>
  </si>
  <si>
    <t>ASUVTC002347</t>
  </si>
  <si>
    <t>ec9c8b2f-b2b6-45e8-b69b-44255c010cd6</t>
  </si>
  <si>
    <t>NSU0120</t>
  </si>
  <si>
    <t>{ "measurements" : "TOT: 195, TV: 104, HFL: 20, EAR: 19, WGT: 22.5" , "preservationFluid" : "70 percent ethanol, formalin fixed" }</t>
  </si>
  <si>
    <t>Mammae #: Ax. 0 Ab. 0 Ing. 2 | Mammae Condition: Lg. | Vagina condition: Perf. | Reproductive Stage: Prim. | Embryos: L 0 R 3 CR 5 mm | Placental scars: L 0 R 0</t>
  </si>
  <si>
    <t>originatingSampleOf (tissue): https://csvcoll.org/portal/collections/individual/index.php?guid=66617caf-2a71-4658-9730-63a042ebba01 | hostOf (tissue): https://csvcoll.org/portal/collections/individual/index.php?guid=ee86cfa5-48aa-468a-9756-f1efda519f25 | originatingSampleOf (fecal): https://csvcoll.org/portal/collections/individual/index.php?guid=79f0299e-1914-44bc-8ae4-5d1c45c385e6 | originatingSampleOf (tissue): https://csvcoll.org/portal/collections/individual/index.php?guid=185d8b32-8655-4afb-a41b-b9b2162b4dcb | originatingSampleOf (tissue): https://csvcoll.org/portal/collections/individual/index.php?guid=e9bf3230-6645-4b72-bbec-c2ddb58cb2c4 | originatingSampleOf (tissue): https://csvcoll.org/portal/collections/individual/index.php?guid=c58910bc-6d36-4c40-8353-a287d0d9b8b3 | originatingSampleOf (tissue): https://csvcoll.org/portal/collections/individual/index.php?guid=461f61e9-9e99-4cc4-8f4e-f4f55d76ebe9 | originatingSampleOf (tissue): https://csvcoll.org/portal/collections/individual/index.php?guid=09b5ec2f-030b-4ea2-954c-c83d222ed642</t>
  </si>
  <si>
    <t>ASUMAC008993</t>
  </si>
  <si>
    <t>2024-01-23T19:40:09.673Z</t>
  </si>
  <si>
    <t>66617caf-2a71-4658-9730-63a042ebba01</t>
  </si>
  <si>
    <t>subsampleOf (tissue): https://csvcoll.org/portal/collections/individual/index.php?guid=ec9c8b2f-b2b6-45e8-b69b-44255c010cd6</t>
  </si>
  <si>
    <t>ASUVTC002348</t>
  </si>
  <si>
    <t>ee86cfa5-48aa-468a-9756-f1efda519f25</t>
  </si>
  <si>
    <t>subsampleOf (fecal): https://csvcoll.org/portal/collections/individual/index.php?guid=ec9c8b2f-b2b6-45e8-b69b-44255c010cd6</t>
  </si>
  <si>
    <t>ASUVTC002349</t>
  </si>
  <si>
    <t>79f0299e-1914-44bc-8ae4-5d1c45c385e6</t>
  </si>
  <si>
    <t>ASUVTC002350</t>
  </si>
  <si>
    <t>2024-01-22T23:57:03.685Z</t>
  </si>
  <si>
    <t>185d8b32-8655-4afb-a41b-b9b2162b4dcb</t>
  </si>
  <si>
    <t>ASUVTC002565</t>
  </si>
  <si>
    <t>e9bf3230-6645-4b72-bbec-c2ddb58cb2c4</t>
  </si>
  <si>
    <t>ASUVTC002566</t>
  </si>
  <si>
    <t>c58910bc-6d36-4c40-8353-a287d0d9b8b3</t>
  </si>
  <si>
    <t>ASUVTC002567</t>
  </si>
  <si>
    <t>2024-01-22T23:57:03.692Z</t>
  </si>
  <si>
    <t>461f61e9-9e99-4cc4-8f4e-f4f55d76ebe9</t>
  </si>
  <si>
    <t>ASUVTC002568</t>
  </si>
  <si>
    <t>09b5ec2f-030b-4ea2-954c-c83d222ed642</t>
  </si>
  <si>
    <t>hasHost (tissue): https://csvcoll.org/portal/collections/individual/index.php?guid=ec9c8b2f-b2b6-45e8-b69b-44255c010cd6</t>
  </si>
  <si>
    <t>ASUVTC002569</t>
  </si>
  <si>
    <t>13e92c1d-3d8c-446b-a5e7-1a67ec99cb34</t>
  </si>
  <si>
    <t>NSU0121</t>
  </si>
  <si>
    <t>{ "measurements" : "TOT: 140, TV: 73, HFL: 17, EAR: 11, WGT: 10" ,"preservationMeans" : "flash frozen, stored at -80C", "preservationFluid" : "no preservative fluid" }</t>
  </si>
  <si>
    <t>ASUVTC002351</t>
  </si>
  <si>
    <t>8af2e411-1897-4c8e-afe8-c4297c8b1439</t>
  </si>
  <si>
    <t>ASUVTC002352</t>
  </si>
  <si>
    <t>0b2d1dad-36f2-410e-b896-24095e1da9e0</t>
  </si>
  <si>
    <t>Line 1-13</t>
  </si>
  <si>
    <t>NSU0122</t>
  </si>
  <si>
    <t>ASUVTC002353</t>
  </si>
  <si>
    <t>4b737c2f-0f44-4314-8558-09445c86530e</t>
  </si>
  <si>
    <t>{ "measurements" : "TOT: 189, TV: 98, HFL: 19, EAR: 16, WGT: 24" ,"preservationMeans" : "flash frozen, stored at -80C", "preservationFluid" : "no preservative fluid" }</t>
  </si>
  <si>
    <t>ASUVTC002354</t>
  </si>
  <si>
    <t>2024-01-22T23:57:03.729Z</t>
  </si>
  <si>
    <t>1e85b1c2-08b1-4fa6-8ef3-acf6c79c6217</t>
  </si>
  <si>
    <t>Line 1-15</t>
  </si>
  <si>
    <t>NSU0123</t>
  </si>
  <si>
    <t>{ "measurements" : "TOT: 134, TV: 66, HFL: 17, EAR: 11, WGT: 10" ,"preservationMeans" : "flash frozen, stored at -80C", "preservationFluid" : "no preservative fluid" }</t>
  </si>
  <si>
    <t>Testes Position: Abd. | Testis size: ND | Epididymis: ND</t>
  </si>
  <si>
    <t>ASUVTC002355</t>
  </si>
  <si>
    <t>2024-01-22T23:57:03.726Z</t>
  </si>
  <si>
    <t>3dcd2240-18d5-44b0-bfca-3106fa225a27</t>
  </si>
  <si>
    <t>ASUVTC002356</t>
  </si>
  <si>
    <t>2024-01-22T23:57:03.727Z</t>
  </si>
  <si>
    <t>cae9fed2-8536-4ace-88b4-45ba55a0e52a</t>
  </si>
  <si>
    <t>Line 1-11</t>
  </si>
  <si>
    <t>NSU0124</t>
  </si>
  <si>
    <t>{ "measurements" : "TOT: 188, TV: 10, HFL: 20, EAR: 18, WGT: 25" ,"preservationMeans" : "flash frozen, stored at -80C", "preservationFluid" : "no preservative fluid" }</t>
  </si>
  <si>
    <t>Mammae #: Ax. 0 Ab. 0 Ing. 1 | Mammae Condition: Lg. | Vagina condition: ND | Reproductive Stage: ND | Embryos: ND | Placental scars: ND</t>
  </si>
  <si>
    <t>ASUVTC002357</t>
  </si>
  <si>
    <t>2024-01-22T23:57:03.725Z</t>
  </si>
  <si>
    <t>920374e4-6411-4b97-a8e7-2229ed1151ea</t>
  </si>
  <si>
    <t>ASUVTC002358</t>
  </si>
  <si>
    <t>a76a72e5-22d0-49a6-8e04-693dfd2263f6</t>
  </si>
  <si>
    <t>NSU0125</t>
  </si>
  <si>
    <t>{ "measurements" : "TOT: 184, TV: 92, HFL: 21, EAR: 19, WGT: 20" ,"preservationMeans" : "flash frozen, stored at -80C", "preservationFluid" : "no preservative fluid" }</t>
  </si>
  <si>
    <t>ASUVTC002359</t>
  </si>
  <si>
    <t>45c9d968-d9a4-4d01-9f0e-7a383a1fb997</t>
  </si>
  <si>
    <t>ASUVTC002360</t>
  </si>
  <si>
    <t>2024-01-22T23:57:03.723Z</t>
  </si>
  <si>
    <t>038d6e6d-cb70-437d-9be5-87a8025c6cd3</t>
  </si>
  <si>
    <t>NSU0126</t>
  </si>
  <si>
    <t>{ "measurements" : "TOT: 192, TV: 106, HFL: 21, EAR: 17, WGT: 23" ,"preservationMeans" : "flash frozen, stored at -80C", "preservationFluid" : "no preservative fluid" }</t>
  </si>
  <si>
    <t>Mammae #: Ax. 0 Ab. 0 Ing. 1 | Mammae Condition: Lg. | Vagina condition: Imp. | Reproductive Stage: ND | Embryos: ND | Placental scars: ND</t>
  </si>
  <si>
    <t>ASUVTC002361</t>
  </si>
  <si>
    <t>2024-01-22T23:57:03.731Z</t>
  </si>
  <si>
    <t>2684240f-f7e0-43e8-9d76-05469eab81d0</t>
  </si>
  <si>
    <t>ASUVTC002362</t>
  </si>
  <si>
    <t>a94f3003-6220-4bb0-a319-540046f18900</t>
  </si>
  <si>
    <t>Line 1-12</t>
  </si>
  <si>
    <t>NSU0127</t>
  </si>
  <si>
    <t>ASUVTC002363</t>
  </si>
  <si>
    <t>3b7d8777-591e-4756-8ce8-2760f7f65eb7</t>
  </si>
  <si>
    <t>{ "measurements" : "TOT: 172, TV: 95, HFL: 21, EAR: 13, WGT: 20" ,"preservationMeans" : "flash frozen, stored at -80C", "preservationFluid" : "no preservative fluid" }</t>
  </si>
  <si>
    <t>ASUVTC002364</t>
  </si>
  <si>
    <t>2024-01-22T23:57:03.827Z</t>
  </si>
  <si>
    <t>38c2822a-7149-48ea-b8a0-59f05e9750c6</t>
  </si>
  <si>
    <t>Line 4-7</t>
  </si>
  <si>
    <t>NSU0128</t>
  </si>
  <si>
    <t>{ "measurements" : "TOT: 189, TV: 105, HFL: 20, EAR: 16, WGT: 22" ,"preservationMeans" : "flash frozen, stored at -80C", "preservationFluid" : "no preservative fluid" }</t>
  </si>
  <si>
    <t>ASUVTC002365</t>
  </si>
  <si>
    <t>2024-01-22T23:57:03.829Z</t>
  </si>
  <si>
    <t>5306c4e6-3d94-46e4-a378-b587bdae9986</t>
  </si>
  <si>
    <t>ASUVTC002366</t>
  </si>
  <si>
    <t>2024-01-22T23:57:03.826Z</t>
  </si>
  <si>
    <t>061e2ff8-911c-4769-8f2f-d1bc5b593274</t>
  </si>
  <si>
    <t>ASUVTC002490</t>
  </si>
  <si>
    <t>2024-01-22T23:57:03.825Z</t>
  </si>
  <si>
    <t>fae945e3-2b41-4844-8f36-a04a27042846</t>
  </si>
  <si>
    <t>Line 2-9</t>
  </si>
  <si>
    <t>NSU0129</t>
  </si>
  <si>
    <t>ASUVTC002367</t>
  </si>
  <si>
    <t>37905538-b89a-4eb5-90e3-b7c3b771e437</t>
  </si>
  <si>
    <t>{ "measurements" : "TOT: 174, TV: 96, HFL: 22, EAR: 17, WGT: 21" ,"preservationMeans" : "flash frozen, stored at -80C", "preservationFluid" : "no preservative fluid" }</t>
  </si>
  <si>
    <t>ASUVTC002368</t>
  </si>
  <si>
    <t>defe4221-c990-4d93-8286-d02249ed3bce</t>
  </si>
  <si>
    <t>Line 3-6</t>
  </si>
  <si>
    <t>NSU0130</t>
  </si>
  <si>
    <t>{ "measurements" : "TOT: 188, TV: 105, HFL: 21, EAR: 17, WGT: 21" ,"preservationMeans" : "flash frozen, stored at -80C", "preservationFluid" : "no preservative fluid" }</t>
  </si>
  <si>
    <t>ASUVTC002369</t>
  </si>
  <si>
    <t>c65ec89d-92d4-4901-b775-fec0a24e01ba</t>
  </si>
  <si>
    <t>ASUVTC002370</t>
  </si>
  <si>
    <t>2024-01-22T23:57:03.830Z</t>
  </si>
  <si>
    <t>c6285476-3ae7-443f-8ee5-d6ff41970c3a</t>
  </si>
  <si>
    <t>Line 4-6</t>
  </si>
  <si>
    <t>NSU0131</t>
  </si>
  <si>
    <t>{ "measurements" : "TOT: 178, TV: 97, HFL: 21, EAR: 17, WGT: 22" ,"preservationMeans" : "flash frozen, stored at -80C", "preservationFluid" : "no preservative fluid" }</t>
  </si>
  <si>
    <t>Mammae #: Ax. 0 Ab. 0 Ing. 0 | Mammae Condition: Sm. | Vagina condition: ND | Reproductive Stage: ND | Embryos: ND | Placental scars: ND</t>
  </si>
  <si>
    <t>ASUVTC002371</t>
  </si>
  <si>
    <t>4bafadd1-fa78-4e6f-b65f-0b5dea890eb9</t>
  </si>
  <si>
    <t>ASUVTC002372</t>
  </si>
  <si>
    <t>162c59b7-4e8c-405e-ae2b-92b91a5666c3</t>
  </si>
  <si>
    <t>NSU0132</t>
  </si>
  <si>
    <t>{ "measurements" : "TOT: 186, TV: 100, HFL: 21, EAR: 16, WGT: 23" ,"preservationMeans" : "flash frozen, stored at -80C", "preservationFluid" : "no preservative fluid" }</t>
  </si>
  <si>
    <t>Mammae #: Ax. 0 Ab. 0 Ing. 1 | Mammae Condition: Lg. | Vagina condition: Perf. | Reproductive Stage: ND | Embryos: ND | Placental scars: ND</t>
  </si>
  <si>
    <t>ASUVTC002373</t>
  </si>
  <si>
    <t>2024-01-22T23:57:03.810Z</t>
  </si>
  <si>
    <t>e4a5947e-a698-40c8-a7c2-c6a32e7f4ba6</t>
  </si>
  <si>
    <t>ASUVTC002374</t>
  </si>
  <si>
    <t>2024-01-22T23:57:03.812Z</t>
  </si>
  <si>
    <t>8ff791cc-f044-4714-b94d-5ed3fcab134d</t>
  </si>
  <si>
    <t>NSU0133</t>
  </si>
  <si>
    <t>{ "measurements" : "TOT: 191, TV: 100, HFL: 22, EAR: 15, WGT: 22" ,"preservationMeans" : "flash frozen, stored at -80C", "preservationFluid" : "no preservative fluid" }</t>
  </si>
  <si>
    <t>ASUVTC002375</t>
  </si>
  <si>
    <t>cdeda66d-b7f8-46b3-a0da-7a9cb04b5682</t>
  </si>
  <si>
    <t>ASUVTC002376</t>
  </si>
  <si>
    <t>2024-01-22T23:57:03.808Z</t>
  </si>
  <si>
    <t>b07c40da-3f98-4f82-8b5a-426a778d8be0</t>
  </si>
  <si>
    <t>NSU0134</t>
  </si>
  <si>
    <t>{ "measurements" : "TOT: 175, TV: 99, HFL: 21, EAR: 18, WGT: 20" ,"preservationMeans" : "flash frozen, stored at -80C", "preservationFluid" : "no preservative fluid" }</t>
  </si>
  <si>
    <t>ASUVTC002377</t>
  </si>
  <si>
    <t>2024-01-22T23:57:03.809Z</t>
  </si>
  <si>
    <t>b3b55f34-e798-4b64-8fb7-6eccbbc6e215</t>
  </si>
  <si>
    <t>ASUVTC002378</t>
  </si>
  <si>
    <t>2024-01-22T23:57:03.805Z</t>
  </si>
  <si>
    <t>aa637abb-6c21-43c5-842a-05a9b12f903d</t>
  </si>
  <si>
    <t>Line 4-5</t>
  </si>
  <si>
    <t>NSU0135</t>
  </si>
  <si>
    <t>{ "measurements" : "TOT: 179, TV: 99, HFL: 20, EAR: 15, WGT: 20" ,"preservationMeans" : "flash frozen, stored at -80C", "preservationFluid" : "no preservative fluid" }</t>
  </si>
  <si>
    <t>ASUVTC002379</t>
  </si>
  <si>
    <t>b7208b4a-4a14-4c5e-be60-5ce73f4dfb05</t>
  </si>
  <si>
    <t>ASUVTC002380</t>
  </si>
  <si>
    <t>2024-01-22T23:57:03.819Z</t>
  </si>
  <si>
    <t>b37e13c6-c184-4fd6-9bd6-273af8f77f1f</t>
  </si>
  <si>
    <t>ASUVTC002381</t>
  </si>
  <si>
    <t>2024-01-22T23:57:03.817Z</t>
  </si>
  <si>
    <t>3564a6b7-4ec3-4c5c-a263-fa06fb6ecf9e</t>
  </si>
  <si>
    <t>Line 2-7</t>
  </si>
  <si>
    <t>NSU0136</t>
  </si>
  <si>
    <t>{ "measurements" : "TOT: 173, TV: 101, HFL: 19, EAR: 16, WGT: 19" ,"preservationMeans" : "flash frozen, stored at -80C", "preservationFluid" : "no preservative fluid" }</t>
  </si>
  <si>
    <t>ASUVTC002382</t>
  </si>
  <si>
    <t>54118cc7-371a-4558-a0d3-31d17283ad0a</t>
  </si>
  <si>
    <t>ASUVTC002383</t>
  </si>
  <si>
    <t>2024-01-22T23:57:03.792Z</t>
  </si>
  <si>
    <t>d5e045bb-e620-4916-8d40-a86a165b8ac8</t>
  </si>
  <si>
    <t>Line 3-12</t>
  </si>
  <si>
    <t>NSU0137</t>
  </si>
  <si>
    <t>{ "measurements" : "TOT: 249, TV: 104, HFL: 28, EAR: 22, WGT: 98" , "preservationFluid" : "70 percent ethanol, formalin fixed" }</t>
  </si>
  <si>
    <t>Mammae #: Ax. 1 Ab. 0 Ing. 2 | Mammae Condition: Lg. | Vagina condition: Imp. | Reproductive Stage: Multi. | Embryos: L 3 R 1 | Placental scars: L 3 R 1</t>
  </si>
  <si>
    <t>originatingSampleOf (fecal): https://csvcoll.org/portal/collections/individual/index.php?guid=209f1c6f-caa9-4984-8444-872f89ac712b | originatingSampleOf (tissue): https://csvcoll.org/portal/collections/individual/index.php?guid=aac6ac93-5d0c-4527-9367-8c70336bff04 | originatingSampleOf (tissue): https://csvcoll.org/portal/collections/individual/index.php?guid=1e430634-b449-46c0-b77f-ce0f652e08b2 | originatingSampleOf (tissue): https://csvcoll.org/portal/collections/individual/index.php?guid=cd271858-f6a8-4ef2-bc57-d2ebcec8c170 | originatingSampleOf (tissue): https://csvcoll.org/portal/collections/individual/index.php?guid=abac33b5-95f5-4e3e-a982-7903512d1117 | originatingSampleOf (tissue): https://csvcoll.org/portal/collections/individual/index.php?guid=6a8320b6-fa2e-478e-a8a5-c9e6bbadafe3 | originatingSampleOf (blood): https://csvcoll.org/portal/collections/individual/index.php?guid=ffc9124b-0884-4b49-9bef-d40cf53af94b | originatingSampleOf (tissue): https://csvcoll.org/portal/collections/individual/index.php?guid=936cde4f-eaf6-4b15-b02f-b252e899d6d5</t>
  </si>
  <si>
    <t>ASUMAC009002</t>
  </si>
  <si>
    <t>Upham, Nathan S.; Rowsey, Dakota M.; Rivera, Damien; Zamora Chavez, Luisa J.; Gutierrez, Eduardo; De Leon, Gilma; Mohammadian, Shahrzad; Baez, Justin; Liao, Rosie</t>
  </si>
  <si>
    <t>ffc9124b-0884-4b49-9bef-d40cf53af94b</t>
  </si>
  <si>
    <t>subsampleOf (fecal): https://csvcoll.org/portal/collections/individual/index.php?guid=d5e045bb-e620-4916-8d40-a86a165b8ac8</t>
  </si>
  <si>
    <t>ASUVTC002072</t>
  </si>
  <si>
    <t>2024-01-22T23:57:03.801Z</t>
  </si>
  <si>
    <t>936cde4f-eaf6-4b15-b02f-b252e899d6d5</t>
  </si>
  <si>
    <t>subsampleOf (tissue): https://csvcoll.org/portal/collections/individual/index.php?guid=d5e045bb-e620-4916-8d40-a86a165b8ac8</t>
  </si>
  <si>
    <t>ASUVTC002176</t>
  </si>
  <si>
    <t>2024-01-22T23:57:03.806Z</t>
  </si>
  <si>
    <t>209f1c6f-caa9-4984-8444-872f89ac712b</t>
  </si>
  <si>
    <t>ASUVTC002321</t>
  </si>
  <si>
    <t>2024-01-22T23:57:03.793Z</t>
  </si>
  <si>
    <t>aac6ac93-5d0c-4527-9367-8c70336bff04</t>
  </si>
  <si>
    <t>ASUVTC002325</t>
  </si>
  <si>
    <t>2024-01-22T23:57:03.791Z</t>
  </si>
  <si>
    <t>1e430634-b449-46c0-b77f-ce0f652e08b2</t>
  </si>
  <si>
    <t>ASUVTC002326</t>
  </si>
  <si>
    <t>cd271858-f6a8-4ef2-bc57-d2ebcec8c170</t>
  </si>
  <si>
    <t>ASUVTC002327</t>
  </si>
  <si>
    <t>abac33b5-95f5-4e3e-a982-7903512d1117</t>
  </si>
  <si>
    <t>subsampleOf (blood): https://csvcoll.org/portal/collections/individual/index.php?guid=d5e045bb-e620-4916-8d40-a86a165b8ac8</t>
  </si>
  <si>
    <t>ASUVTC002328</t>
  </si>
  <si>
    <t>6a8320b6-fa2e-478e-a8a5-c9e6bbadafe3</t>
  </si>
  <si>
    <t>ASUVTC002329</t>
  </si>
  <si>
    <t>fa1d9398-b52c-49dd-9f47-139470dc4a60</t>
  </si>
  <si>
    <t>Line 1-31</t>
  </si>
  <si>
    <t>NSU0138</t>
  </si>
  <si>
    <t>{ "measurements" : "TOT: 257, TV: 114, HFL: 31, EAR: 25, WGT: 65" , "preservationFluid" : "70 percent ethanol, formalin fixed" }</t>
  </si>
  <si>
    <t>Mammae #: Ax. 0 Ab. 0 Ing. 2 | Mammae Condition: Sm. | Vagina condition: Imp. | Reproductive Stage: Nul. | Embryos: L 0 R 0 | Placental scars: L 0 R 0</t>
  </si>
  <si>
    <t>originatingSampleOf (fecal): https://csvcoll.org/portal/collections/individual/index.php?guid=1cbe134c-abe6-4a66-b285-e2f7eee1c54f | originatingSampleOf (tissue): https://csvcoll.org/portal/collections/individual/index.php?guid=86c1999e-2335-4b8e-9a14-c136fdfccd4e | originatingSampleOf (tissue): https://csvcoll.org/portal/collections/individual/index.php?guid=6b13d0bd-d91f-4279-903a-1c39aae4fc2c | originatingSampleOf (tissue): https://csvcoll.org/portal/collections/individual/index.php?guid=ec0d50d7-d63e-45e5-b222-0b1523dd0064 | originatingSampleOf (tissue): https://csvcoll.org/portal/collections/individual/index.php?guid=26c490a4-97a3-4e34-9b0e-b6c2ce219eb8 | originatingSampleOf (tissue): https://csvcoll.org/portal/collections/individual/index.php?guid=90b6f4e8-dca1-4216-9a87-42ac6d959ffc | originatingSampleOf (tissue): https://csvcoll.org/portal/collections/individual/index.php?guid=68f1557d-7de6-48dd-a877-ae2c37b2da7f | hostOf (tissue): https://csvcoll.org/portal/collections/individual/index.php?guid=777babab-4f81-4456-8907-602e93d19780 | originatingSampleOf (blood): https://csvcoll.org/portal/collections/individual/index.php?guid=da6d48cc-aa5b-4e92-8e60-8d03a2692f03 | originatingSampleOf (tissue): https://csvcoll.org/portal/collections/individual/index.php?guid=acbb709c-fe45-41c1-95f5-62ad1270c2d0 | originatingSampleOf (tissue): https://csvcoll.org/portal/collections/individual/index.php?guid=114c2db8-9240-4d3c-9aa6-fd8ae1ee843b</t>
  </si>
  <si>
    <t>ASUMAC009003</t>
  </si>
  <si>
    <t>da6d48cc-aa5b-4e92-8e60-8d03a2692f03</t>
  </si>
  <si>
    <t>Upper GI</t>
  </si>
  <si>
    <t>subsampleOf (tissue): https://csvcoll.org/portal/collections/individual/index.php?guid=fa1d9398-b52c-49dd-9f47-139470dc4a60</t>
  </si>
  <si>
    <t>ASUVTC002073</t>
  </si>
  <si>
    <t>2024-01-22T23:57:03.866Z</t>
  </si>
  <si>
    <t>acbb709c-fe45-41c1-95f5-62ad1270c2d0</t>
  </si>
  <si>
    <t>subsampleOf (fecal): https://csvcoll.org/portal/collections/individual/index.php?guid=fa1d9398-b52c-49dd-9f47-139470dc4a60</t>
  </si>
  <si>
    <t>ASUVTC002177</t>
  </si>
  <si>
    <t>2024-01-22T23:57:03.870Z</t>
  </si>
  <si>
    <t>114c2db8-9240-4d3c-9aa6-fd8ae1ee843b</t>
  </si>
  <si>
    <t>ASUVTC002178</t>
  </si>
  <si>
    <t>2024-01-22T23:57:03.869Z</t>
  </si>
  <si>
    <t>1cbe134c-abe6-4a66-b285-e2f7eee1c54f</t>
  </si>
  <si>
    <t>Lower GI</t>
  </si>
  <si>
    <t>ASUVTC002322</t>
  </si>
  <si>
    <t>86c1999e-2335-4b8e-9a14-c136fdfccd4e</t>
  </si>
  <si>
    <t>ASUVTC002330</t>
  </si>
  <si>
    <t>6b13d0bd-d91f-4279-903a-1c39aae4fc2c</t>
  </si>
  <si>
    <t>ASUVTC002331</t>
  </si>
  <si>
    <t>ec0d50d7-d63e-45e5-b222-0b1523dd0064</t>
  </si>
  <si>
    <t>ASUVTC002332</t>
  </si>
  <si>
    <t>2024-01-22T23:57:03.868Z</t>
  </si>
  <si>
    <t>26c490a4-97a3-4e34-9b0e-b6c2ce219eb8</t>
  </si>
  <si>
    <t>ASUVTC002333</t>
  </si>
  <si>
    <t>2024-01-22T23:57:03.867Z</t>
  </si>
  <si>
    <t>90b6f4e8-dca1-4216-9a87-42ac6d959ffc</t>
  </si>
  <si>
    <t>spleen</t>
  </si>
  <si>
    <t>ASUVTC002334</t>
  </si>
  <si>
    <t>68f1557d-7de6-48dd-a877-ae2c37b2da7f</t>
  </si>
  <si>
    <t>hasHost (tissue): https://csvcoll.org/portal/collections/individual/index.php?guid=fa1d9398-b52c-49dd-9f47-139470dc4a60</t>
  </si>
  <si>
    <t>ASUVTC002340</t>
  </si>
  <si>
    <t>777babab-4f81-4456-8907-602e93d19780</t>
  </si>
  <si>
    <t>subsampleOf (blood): https://csvcoll.org/portal/collections/individual/index.php?guid=fa1d9398-b52c-49dd-9f47-139470dc4a60</t>
  </si>
  <si>
    <t>ASUVTC002491</t>
  </si>
  <si>
    <t>108941e5-9951-4cc8-9fbe-b6b77b1c3286</t>
  </si>
  <si>
    <t>Line 3-11</t>
  </si>
  <si>
    <t>NSU0139</t>
  </si>
  <si>
    <t>{ "measurements" : "TOT: 309, TV: 145, HFL: 33, EAR: 26, WGT: 130" , "preservationFluid" : "70 percent ethanol, formalin fixed" }</t>
  </si>
  <si>
    <t>Testes Position: Abd. | Testis size: 9 x 4 R | Epididymis: Not Con,</t>
  </si>
  <si>
    <t>originatingSampleOf (fecal): https://csvcoll.org/portal/collections/individual/index.php?guid=4dac73c5-bc1a-4ad8-9488-950e24de56cd | hostOf (tissue): https://csvcoll.org/portal/collections/individual/index.php?guid=7a7cb9bc-ebc4-4325-afa0-9576cbff3a5c | originatingSampleOf (tissue): https://csvcoll.org/portal/collections/individual/index.php?guid=96d1b1d8-f7dc-435b-ad54-82c32914e879 | originatingSampleOf (tissue): https://csvcoll.org/portal/collections/individual/index.php?guid=b566eaff-9a23-4d9e-a10f-c63eae8aeee7 | originatingSampleOf (tissue): https://csvcoll.org/portal/collections/individual/index.php?guid=5a8e7058-cd37-4430-8786-1c31fec153e6 | originatingSampleOf (tissue): https://csvcoll.org/portal/collections/individual/index.php?guid=8bb5af7d-17ba-45d0-9d87-c51233224138 | originatingSampleOf (tissue): https://csvcoll.org/portal/collections/individual/index.php?guid=90439e6e-f7ee-40fc-a5cd-3b1ea4c9033a | originatingSampleOf (tissue): https://csvcoll.org/portal/collections/individual/index.php?guid=5e7ffec3-e839-4400-ae31-98294f2706b6 | originatingSampleOf (blood): https://csvcoll.org/portal/collections/individual/index.php?guid=81a61f6c-cbf3-4450-8890-8cd260d18de8 | originatingSampleOf (tissue): https://csvcoll.org/portal/collections/individual/index.php?guid=6558439e-20d0-49d1-b197-154f06bf416d | originatingSampleOf (tissue): https://csvcoll.org/portal/collections/individual/index.php?guid=41beee2f-c7bd-4053-a753-ce5781c2a839</t>
  </si>
  <si>
    <t>ASUMAC009004</t>
  </si>
  <si>
    <t>81a61f6c-cbf3-4450-8890-8cd260d18de8</t>
  </si>
  <si>
    <t>subsampleOf (tissue): https://csvcoll.org/portal/collections/individual/index.php?guid=108941e5-9951-4cc8-9fbe-b6b77b1c3286</t>
  </si>
  <si>
    <t>ASUVTC002074</t>
  </si>
  <si>
    <t>2024-01-22T23:57:03.874Z</t>
  </si>
  <si>
    <t>6558439e-20d0-49d1-b197-154f06bf416d</t>
  </si>
  <si>
    <t>ASUVTC002179</t>
  </si>
  <si>
    <t>41beee2f-c7bd-4053-a753-ce5781c2a839</t>
  </si>
  <si>
    <t>ASUVTC002180</t>
  </si>
  <si>
    <t>2024-01-22T23:57:03.856Z</t>
  </si>
  <si>
    <t>4dac73c5-bc1a-4ad8-9488-950e24de56cd</t>
  </si>
  <si>
    <t>ASUVTC002323</t>
  </si>
  <si>
    <t>2024-01-22T23:57:03.865Z</t>
  </si>
  <si>
    <t>7a7cb9bc-ebc4-4325-afa0-9576cbff3a5c</t>
  </si>
  <si>
    <t>ASUVTC002324</t>
  </si>
  <si>
    <t>96d1b1d8-f7dc-435b-ad54-82c32914e879</t>
  </si>
  <si>
    <t>ASUVTC002335</t>
  </si>
  <si>
    <t>b566eaff-9a23-4d9e-a10f-c63eae8aeee7</t>
  </si>
  <si>
    <t>subsampleOf (blood): https://csvcoll.org/portal/collections/individual/index.php?guid=108941e5-9951-4cc8-9fbe-b6b77b1c3286</t>
  </si>
  <si>
    <t>ASUVTC002336</t>
  </si>
  <si>
    <t>5a8e7058-cd37-4430-8786-1c31fec153e6</t>
  </si>
  <si>
    <t>ASUVTC002337</t>
  </si>
  <si>
    <t>8bb5af7d-17ba-45d0-9d87-c51233224138</t>
  </si>
  <si>
    <t>subsampleOf (fecal): https://csvcoll.org/portal/collections/individual/index.php?guid=108941e5-9951-4cc8-9fbe-b6b77b1c3286</t>
  </si>
  <si>
    <t>ASUVTC002338</t>
  </si>
  <si>
    <t>90439e6e-f7ee-40fc-a5cd-3b1ea4c9033a</t>
  </si>
  <si>
    <t>hasHost (tissue): https://csvcoll.org/portal/collections/individual/index.php?guid=108941e5-9951-4cc8-9fbe-b6b77b1c3286</t>
  </si>
  <si>
    <t>ASUVTC002339</t>
  </si>
  <si>
    <t>5e7ffec3-e839-4400-ae31-98294f2706b6</t>
  </si>
  <si>
    <t>ASUVTC002341</t>
  </si>
  <si>
    <t>1376a622-c4ab-4640-88af-d5c560dd9b4d</t>
  </si>
  <si>
    <t>Line 4-12</t>
  </si>
  <si>
    <t>NSU0140</t>
  </si>
  <si>
    <t>ASUVTC002384</t>
  </si>
  <si>
    <t>2024-01-22T23:57:03.858Z</t>
  </si>
  <si>
    <t>659510dc-e131-4b7c-b84c-1c2fbe117447</t>
  </si>
  <si>
    <t>{ "measurements" : "TOT: 224, TV: 95, HFL: 24, EAR: 13, WGT: 57" ,"preservationMeans" : "flash frozen, stored at -80C", "preservationFluid" : "no preservative fluid" }</t>
  </si>
  <si>
    <t>ASUVTC002385</t>
  </si>
  <si>
    <t>2024-01-22T23:57:03.862Z</t>
  </si>
  <si>
    <t>b7190690-3b70-481e-ba8d-fccf4744d8d5</t>
  </si>
  <si>
    <t>Line 2-15</t>
  </si>
  <si>
    <t>NSU0141</t>
  </si>
  <si>
    <t>{ "measurements" : "TOT: 213, TV: 96, HFL: 27, EAR: 13, WGT: 76" ,"preservationMeans" : "flash frozen, stored at -80C", "preservationFluid" : "no preservative fluid" }</t>
  </si>
  <si>
    <t>ASUVTC002386</t>
  </si>
  <si>
    <t>2024-01-22T23:57:03.861Z</t>
  </si>
  <si>
    <t>548f5c51-389b-43b3-8bd4-93cca3b3006b</t>
  </si>
  <si>
    <t>ASUVTC002387</t>
  </si>
  <si>
    <t>2024-01-22T23:57:03.860Z</t>
  </si>
  <si>
    <t>970a8545-400e-48b8-a784-011bcabb7701</t>
  </si>
  <si>
    <t>Line 4-10</t>
  </si>
  <si>
    <t>NSU0142</t>
  </si>
  <si>
    <t>{ "measurements" : "TOT: 145, TV: 96, HFL: 26, EAR: 12, WGT: 43" ,"preservationMeans" : "flash frozen, stored at -80C", "preservationFluid" : "no preservative fluid" }</t>
  </si>
  <si>
    <t>ASUVTC002388</t>
  </si>
  <si>
    <t>f45f1682-5534-4de8-81f7-29fb95071819</t>
  </si>
  <si>
    <t>ASUVTC002389</t>
  </si>
  <si>
    <t>2024-01-22T23:57:03.859Z</t>
  </si>
  <si>
    <t>f0f34ada-917b-4e07-97e6-3914c1b67b00</t>
  </si>
  <si>
    <t>NSU0143</t>
  </si>
  <si>
    <t>{ "measurements" : "TOT: 140, TV: 76, HFL: 17, EAR: 9, WGT: 14" ,"preservationMeans" : "flash frozen, stored at -80C", "preservationFluid" : "no preservative fluid" }</t>
  </si>
  <si>
    <t>ASUVTC002390</t>
  </si>
  <si>
    <t>6b90aacd-79de-4fae-a63a-055f14e9c9c3</t>
  </si>
  <si>
    <t>ASUVTC002391</t>
  </si>
  <si>
    <t>a727585a-29b3-4ea9-bba9-9cf34543e3bc</t>
  </si>
  <si>
    <t>Line 3-15</t>
  </si>
  <si>
    <t>NSU0144</t>
  </si>
  <si>
    <t>{ "measurements" : "TOT: 133, TV: 69, HFL: 16, EAR: 9, WGT: 11" ,"preservationMeans" : "flash frozen, stored at -80C", "preservationFluid" : "no preservative fluid" }</t>
  </si>
  <si>
    <t>ASUVTC002392</t>
  </si>
  <si>
    <t>da7c697c-4bb0-43c8-a529-9dfb380bb262</t>
  </si>
  <si>
    <t>ASUVTC002393</t>
  </si>
  <si>
    <t>2024-01-22T23:57:03.849Z</t>
  </si>
  <si>
    <t>2da58591-15a0-4e25-9296-0afa9a17c8b5</t>
  </si>
  <si>
    <t>Line 4-11</t>
  </si>
  <si>
    <t>NSU0145</t>
  </si>
  <si>
    <t>{ "measurements" : "TOT: 125, TV: 62, HFL: 16, EAR: 10, WGT: 10" ,"preservationMeans" : "flash frozen, stored at -80C", "preservationFluid" : "no preservative fluid" }</t>
  </si>
  <si>
    <t>ASUVTC002394</t>
  </si>
  <si>
    <t>2024-01-22T23:57:03.851Z</t>
  </si>
  <si>
    <t>5df84ed8-fe71-4dbb-a361-15feb5f41756</t>
  </si>
  <si>
    <t>ASUVTC002395</t>
  </si>
  <si>
    <t>2024-01-22T23:57:03.846Z</t>
  </si>
  <si>
    <t>1623f527-cf50-4c7f-ba40-a5821de20811</t>
  </si>
  <si>
    <t>Line 2-12</t>
  </si>
  <si>
    <t>NSU0146</t>
  </si>
  <si>
    <t>{ "measurements" : "TOT: 135, TV: 70, HFL: 15, EAR: 11, WGT: 7" ,"preservationMeans" : "flash frozen, stored at -80C", "preservationFluid" : "no preservative fluid" }</t>
  </si>
  <si>
    <t>Mammae #: Ax. 0 Ab. 0 Ing. 0 | Mammae Condition: Sm. | Vagina condition: Imp. | Reproductive Stage: ND | Embryos: ND | Placental scars: ND</t>
  </si>
  <si>
    <t>ASUVTC002396</t>
  </si>
  <si>
    <t>7a1aeaeb-16d9-4e3e-b93e-13b8ecc23cbd</t>
  </si>
  <si>
    <t>ASUVTC002397</t>
  </si>
  <si>
    <t>22881d6c-1836-4ece-b9dd-6b51c31c9350</t>
  </si>
  <si>
    <t>Line 2-16</t>
  </si>
  <si>
    <t>NSU0147</t>
  </si>
  <si>
    <t>{ "measurements" : "TOT: 135, TV: 70, HFL: 16, EAR: 12, WGT: 11" ,"preservationMeans" : "flash frozen, stored at -80C", "preservationFluid" : "no preservative fluid" }</t>
  </si>
  <si>
    <t>Mammae #: Ax. 0 Ab. 0 Ing. 0 | Mammae Condition: ND | Vagina condition: ND | Reproductive Stage: ND | Embryos: ND | Placental scars: ND</t>
  </si>
  <si>
    <t>ASUVTC002398</t>
  </si>
  <si>
    <t>0c56bba7-7664-43d5-82d9-e0858b517b78</t>
  </si>
  <si>
    <t>ASUVTC002399</t>
  </si>
  <si>
    <t>2024-01-22T23:57:03.850Z</t>
  </si>
  <si>
    <t>baa86825-6b67-4191-afa2-a84f6c2da230</t>
  </si>
  <si>
    <t>Peromyscus maniculatus</t>
  </si>
  <si>
    <t>Peromyscus maniculatus (Wagner, 1845)</t>
  </si>
  <si>
    <t>(Wagner, 1845)</t>
  </si>
  <si>
    <t>Santa Catalina Mts., Burn scar SE of fork in Mt. Lemmon trail and Mt. Lemmon Sky Center Observatory radio tower</t>
  </si>
  <si>
    <t>Trap Line 2-9</t>
  </si>
  <si>
    <t>Petran Montane Conifer Forest</t>
  </si>
  <si>
    <t>CFP</t>
  </si>
  <si>
    <t>DMR0024</t>
  </si>
  <si>
    <t>Mammae #: ND | Mammae Condition: ND | Vagina condition: ND | Reproductive Stage: | Embryos: | Placental scars:</t>
  </si>
  <si>
    <t>ASUVTC000622</t>
  </si>
  <si>
    <t>2024-01-22T23:57:04.115Z</t>
  </si>
  <si>
    <t>880dfa03-0ec1-4611-b4bc-5db24b018078</t>
  </si>
  <si>
    <t>Trap Line 2-2</t>
  </si>
  <si>
    <t>DMR0028</t>
  </si>
  <si>
    <t>sharesOriginatingSample (fecal): https://csvcoll.org/portal/collections/individual/index.php?guid=880dfa03-0ec1-4611-b4bc-5db24b018078</t>
  </si>
  <si>
    <t>ASUVTC000626</t>
  </si>
  <si>
    <t>2024-01-22T23:57:04.111Z</t>
  </si>
  <si>
    <t>bc11289b-6139-44a5-9f2e-2ab6034d5c31</t>
  </si>
  <si>
    <t>sharesOriginatingSample (fecal): https://csvcoll.org/portal/collections/individual/index.php?guid=bc11289b-6139-44a5-9f2e-2ab6034d5c31</t>
  </si>
  <si>
    <t>ASUVTC000627</t>
  </si>
  <si>
    <t>2024-01-22T23:57:04.112Z</t>
  </si>
  <si>
    <t>92e29302-5f3d-4c74-98d7-73233a32bb01</t>
  </si>
  <si>
    <t>Trap Line 2-3</t>
  </si>
  <si>
    <t>DMR0029</t>
  </si>
  <si>
    <t>sharesOriginatingSample (fecal): https://csvcoll.org/portal/collections/individual/index.php?guid=92e29302-5f3d-4c74-98d7-73233a32bb01</t>
  </si>
  <si>
    <t>ASUVTC000628</t>
  </si>
  <si>
    <t>316a7c7f-38a5-4f8d-a048-5c954fafe8b0</t>
  </si>
  <si>
    <t>sharesOriginatingSample (fecal): https://csvcoll.org/portal/collections/individual/index.php?guid=316a7c7f-38a5-4f8d-a048-5c954fafe8b0</t>
  </si>
  <si>
    <t>ASUVTC000629</t>
  </si>
  <si>
    <t>10e27c70-cd0f-4266-bef3-f8cc1958aad8</t>
  </si>
  <si>
    <t>Trap Line 2-4</t>
  </si>
  <si>
    <t>DMR0030</t>
  </si>
  <si>
    <t>ASUVTC000630</t>
  </si>
  <si>
    <t>2024-01-22T23:57:04.109Z</t>
  </si>
  <si>
    <t>c6c0e5e8-41f3-425c-9269-cc179f8a95b6</t>
  </si>
  <si>
    <t>Trap Line 2-5</t>
  </si>
  <si>
    <t>DMR0031</t>
  </si>
  <si>
    <t>ASUVTC000631</t>
  </si>
  <si>
    <t>80ed55a6-aaa5-4d7c-aaa2-44ad2f794641</t>
  </si>
  <si>
    <t>Peromyscus maniculatus (Rafinesque, 1818)</t>
  </si>
  <si>
    <t>(Rafinesque, 1818)</t>
  </si>
  <si>
    <t>Santa Catalina Mts., Bear Wallow NW of Santa Catalina Hwy at Soldiers Peak Rd.</t>
  </si>
  <si>
    <t>CFS</t>
  </si>
  <si>
    <t>DMR0153</t>
  </si>
  <si>
    <t>{ "measurements" : "TOT: 163, TV: 79, HFL: 21, EAR: 18, WGT: 21 g" , "preservationFluid" : "" }</t>
  </si>
  <si>
    <t>Testes Position: Scrot. | Testis size: 13 x 7 R | Epididymus: Con.</t>
  </si>
  <si>
    <t>originatingSampleOf (blood): https://csvcoll.org/portal/collections/individual/index.php?guid=5d6cc06f-69b4-4411-a74b-e0e28fc098ca | originatingSampleOf (tissue): https://csvcoll.org/portal/collections/individual/index.php?guid=66620ca3-b7da-402a-8cc9-cf1856407b1f | originatingSampleOf (tissue): https://csvcoll.org/portal/collections/individual/index.php?guid=f36d6fdd-25b1-4893-abc0-bcad0928daa2 | originatingSampleOf (tissue): https://csvcoll.org/portal/collections/individual/index.php?guid=10930bd4-0e9d-4a5b-b40f-d7543877e5a9 | hostOf (tissue): https://csvcoll.org/portal/collections/individual/index.php?guid=aa0a4abd-13d7-477f-91f7-d2bd0057dab4 | originatingSampleOf (fecal): https://csvcoll.org/portal/collections/individual/index.php?guid=e7703283-e258-4032-89e6-f6e858abb48e | originatingSampleOf (tissue): https://csvcoll.org/portal/collections/individual/index.php?guid=a38dc82a-ed6a-4d3b-936b-54ee5e1c42a5 | originatingSampleOf (tissue): https://csvcoll.org/portal/collections/individual/index.php?guid=92bda6f0-0169-4af6-82ae-9b9948bd925f | originatingSampleOf: https://csvcoll.org/portal/collections/individual/index.php?guid=3383f3bb-b113-46cf-b989-fba5fa7f95f7</t>
  </si>
  <si>
    <t>ASUMAC008938</t>
  </si>
  <si>
    <t>Rowsey, Dakota M.; Upham, Nathan S.; Smith, Stephanie M.; Liao, Rosie; Zamora Chavez, Luisa; Vidaure, Michael; Gilbert, Edward; Kleker, Dorea; Gilbert Kleker, Aven; Luedke, Kory</t>
  </si>
  <si>
    <t>2024-01-23T19:40:09.772Z</t>
  </si>
  <si>
    <t>5d6cc06f-69b4-4411-a74b-e0e28fc098ca</t>
  </si>
  <si>
    <t>hasHost (tissue): https://csvcoll.org/portal/collections/individual/index.php?guid=80ed55a6-aaa5-4d7c-aaa2-44ad2f794641</t>
  </si>
  <si>
    <t>ASUVTC001311</t>
  </si>
  <si>
    <t>2024-01-22T23:57:04.018Z</t>
  </si>
  <si>
    <t>66620ca3-b7da-402a-8cc9-cf1856407b1f</t>
  </si>
  <si>
    <t>subsampleOf (tissue): https://csvcoll.org/portal/collections/individual/index.php?guid=80ed55a6-aaa5-4d7c-aaa2-44ad2f794641</t>
  </si>
  <si>
    <t>ASUVTC001423</t>
  </si>
  <si>
    <t>f36d6fdd-25b1-4893-abc0-bcad0928daa2</t>
  </si>
  <si>
    <t>ASUVTC001424</t>
  </si>
  <si>
    <t>10930bd4-0e9d-4a5b-b40f-d7543877e5a9</t>
  </si>
  <si>
    <t>ASUVTC001425</t>
  </si>
  <si>
    <t>2024-01-22T23:57:04.245Z</t>
  </si>
  <si>
    <t>aa0a4abd-13d7-477f-91f7-d2bd0057dab4</t>
  </si>
  <si>
    <t>subsampleOf (blood): https://csvcoll.org/portal/collections/individual/index.php?guid=80ed55a6-aaa5-4d7c-aaa2-44ad2f794641</t>
  </si>
  <si>
    <t>ASUVTC001426</t>
  </si>
  <si>
    <t>2024-01-22T23:57:04.253Z</t>
  </si>
  <si>
    <t>e7703283-e258-4032-89e6-f6e858abb48e</t>
  </si>
  <si>
    <t>subsampleOf (fecal): https://csvcoll.org/portal/collections/individual/index.php?guid=80ed55a6-aaa5-4d7c-aaa2-44ad2f794641</t>
  </si>
  <si>
    <t>ASUVTC001427</t>
  </si>
  <si>
    <t>a38dc82a-ed6a-4d3b-936b-54ee5e1c42a5</t>
  </si>
  <si>
    <t>ASUVTC001724</t>
  </si>
  <si>
    <t>2024-01-22T23:57:03.803Z</t>
  </si>
  <si>
    <t>92bda6f0-0169-4af6-82ae-9b9948bd925f</t>
  </si>
  <si>
    <t>{ "measurements" : "TOT: 163, TV: 79, HFL: 21, EAR: 18, WGT: 21 g" , "preservationFluid" : "95 percent ethanol" , "preservationMeans" : "Room Temperature" }</t>
  </si>
  <si>
    <t>subsampleOf: https://csvcoll.org/portal/collections/individual/index.php?guid=80ed55a6-aaa5-4d7c-aaa2-44ad2f794641</t>
  </si>
  <si>
    <t>ASUVTC001725</t>
  </si>
  <si>
    <t>3383f3bb-b113-46cf-b989-fba5fa7f95f7</t>
  </si>
  <si>
    <t>ASUVTC001813</t>
  </si>
  <si>
    <t>2024-01-22T23:57:03.956Z</t>
  </si>
  <si>
    <t>7c017e14-fdd2-4371-9d4e-9db596adc556</t>
  </si>
  <si>
    <t>DMR0154</t>
  </si>
  <si>
    <t>{ "measurements" : "TOT: 183, TV: 100, HFL: 21, EAR: 20, WGT: 21 g" , "preservationFluid" : "70 percent ethyl alcohol, formalin fixed" }</t>
  </si>
  <si>
    <t>Mammae #: Ax. 0 Ab. 0 Ing. 0 | Mammae Condition: Sm. | Vagina condition: Perf. | Reproductive Stage: Multi. | Embryos: L 2 R 1 CR 3 mm | Placental scars: L 2 R 2</t>
  </si>
  <si>
    <t>originatingSampleOf (blood): https://csvcoll.org/portal/collections/individual/index.php?guid=f4b0f793-76f0-475e-befd-f95c0e5fec25 | originatingSampleOf (tissue): https://csvcoll.org/portal/collections/individual/index.php?guid=9a6463ab-9173-4c63-acdc-a1731a21ff2f | originatingSampleOf (tissue): https://csvcoll.org/portal/collections/individual/index.php?guid=7476d066-a16a-4d6e-b1de-38a41f1a163b | originatingSampleOf (tissue): https://csvcoll.org/portal/collections/individual/index.php?guid=f5314e3c-27dc-4d2b-8073-ddf774990228 | hostOf (tissue): https://csvcoll.org/portal/collections/individual/index.php?guid=d8d81bae-a606-40f2-a01a-8fb10b1e2a0e | originatingSampleOf (fecal): https://csvcoll.org/portal/collections/individual/index.php?guid=5ca6dde2-9c6a-4605-988c-2acd3c6b912a | originatingSampleOf (tissue): https://csvcoll.org/portal/collections/individual/index.php?guid=f042496c-2bc2-4891-8bcb-82487a8f7ad6 | originatingSampleOf (tissue): https://csvcoll.org/portal/collections/individual/index.php?guid=85b2def4-a8f4-40aa-b6a4-a656cc51f2df | originatingSampleOf: https://csvcoll.org/portal/collections/individual/index.php?guid=b39f845d-d7f0-40e5-8eda-2f1628f3e993</t>
  </si>
  <si>
    <t>ASUMAC008932</t>
  </si>
  <si>
    <t>2024-01-23T19:40:09.770Z</t>
  </si>
  <si>
    <t>f4b0f793-76f0-475e-befd-f95c0e5fec25</t>
  </si>
  <si>
    <t>subsampleOf (tissue): https://csvcoll.org/portal/collections/individual/index.php?guid=7c017e14-fdd2-4371-9d4e-9db596adc556</t>
  </si>
  <si>
    <t>ASUVTC001312</t>
  </si>
  <si>
    <t>2024-01-22T23:57:03.999Z</t>
  </si>
  <si>
    <t>9a6463ab-9173-4c63-acdc-a1731a21ff2f</t>
  </si>
  <si>
    <t>ASUVTC001428</t>
  </si>
  <si>
    <t>7476d066-a16a-4d6e-b1de-38a41f1a163b</t>
  </si>
  <si>
    <t>subsampleOf (blood): https://csvcoll.org/portal/collections/individual/index.php?guid=7c017e14-fdd2-4371-9d4e-9db596adc556</t>
  </si>
  <si>
    <t>ASUVTC001429</t>
  </si>
  <si>
    <t>f5314e3c-27dc-4d2b-8073-ddf774990228</t>
  </si>
  <si>
    <t>subsampleOf (fecal): https://csvcoll.org/portal/collections/individual/index.php?guid=7c017e14-fdd2-4371-9d4e-9db596adc556</t>
  </si>
  <si>
    <t>ASUVTC001430</t>
  </si>
  <si>
    <t>d8d81bae-a606-40f2-a01a-8fb10b1e2a0e</t>
  </si>
  <si>
    <t>hasHost (tissue): https://csvcoll.org/portal/collections/individual/index.php?guid=7c017e14-fdd2-4371-9d4e-9db596adc556</t>
  </si>
  <si>
    <t>ASUVTC001431</t>
  </si>
  <si>
    <t>5ca6dde2-9c6a-4605-988c-2acd3c6b912a</t>
  </si>
  <si>
    <t>ASUVTC001432</t>
  </si>
  <si>
    <t>2024-01-22T23:57:04.251Z</t>
  </si>
  <si>
    <t>f042496c-2bc2-4891-8bcb-82487a8f7ad6</t>
  </si>
  <si>
    <t>{ "measurements" : "TOT: 183, TV: 100, HFL: 21, EAR: 20, WGT: 21 g" , "preservationFluid" : "95 percent ethanol" , "preservationMeans" : "Room Temperature" }</t>
  </si>
  <si>
    <t>subsampleOf: https://csvcoll.org/portal/collections/individual/index.php?guid=7c017e14-fdd2-4371-9d4e-9db596adc556</t>
  </si>
  <si>
    <t>ASUVTC001710</t>
  </si>
  <si>
    <t>85b2def4-a8f4-40aa-b6a4-a656cc51f2df</t>
  </si>
  <si>
    <t>ASUVTC001711</t>
  </si>
  <si>
    <t>b39f845d-d7f0-40e5-8eda-2f1628f3e993</t>
  </si>
  <si>
    <t>ASUVTC001814</t>
  </si>
  <si>
    <t>2024-01-22T23:57:03.968Z</t>
  </si>
  <si>
    <t>efea6c23-af4f-4e21-b4a0-b721414bed77</t>
  </si>
  <si>
    <t>DMR0155</t>
  </si>
  <si>
    <t>{ "measurements" : "TOT: 182, TV: 95, HFL: 22, EAR: 16, WGT: 20 g" , "preservationFluid" : "" }</t>
  </si>
  <si>
    <t>Testes Position: Scrot. | Testis size: 11 x 6 R | Epididymus: Con.</t>
  </si>
  <si>
    <t>originatingSampleOf (blood): https://csvcoll.org/portal/collections/individual/index.php?guid=ddc9f927-0b56-4cf3-812d-231688b08ad5 | originatingSampleOf (tissue): https://csvcoll.org/portal/collections/individual/index.php?guid=5fb4355b-d7a0-4163-82d2-fe367ba0ec62 | originatingSampleOf (tissue): https://csvcoll.org/portal/collections/individual/index.php?guid=96b61b52-7468-462a-9cb0-fb04b87dca39 | originatingSampleOf (fecal): https://csvcoll.org/portal/collections/individual/index.php?guid=92ecd8d8-b819-4935-b5f1-6e9d40c50427 | originatingSampleOf (tissue): https://csvcoll.org/portal/collections/individual/index.php?guid=31122cd1-6342-4371-a175-347cafc1978b | originatingSampleOf (tissue): https://csvcoll.org/portal/collections/individual/index.php?guid=db9c9d7c-405d-4b89-8b58-cd8099d075b6 | originatingSampleOf (tissue): https://csvcoll.org/portal/collections/individual/index.php?guid=c7df2f9a-9d55-4d09-b4db-dfad344587e2</t>
  </si>
  <si>
    <t>ASUMAC008939</t>
  </si>
  <si>
    <t>ddc9f927-0b56-4cf3-812d-231688b08ad5</t>
  </si>
  <si>
    <t>Testes Position: Scrot. | Testis size: 11 x 6 R | Epididymis: Con.</t>
  </si>
  <si>
    <t>subsampleOf (tissue): https://csvcoll.org/portal/collections/individual/index.php?guid=efea6c23-af4f-4e21-b4a0-b721414bed77</t>
  </si>
  <si>
    <t>ASUVTC001313</t>
  </si>
  <si>
    <t>2024-01-22T23:57:03.998Z</t>
  </si>
  <si>
    <t>5fb4355b-d7a0-4163-82d2-fe367ba0ec62</t>
  </si>
  <si>
    <t>ASUVTC001433</t>
  </si>
  <si>
    <t>2024-01-22T23:57:04.246Z</t>
  </si>
  <si>
    <t>96b61b52-7468-462a-9cb0-fb04b87dca39</t>
  </si>
  <si>
    <t>subsampleOf (blood): https://csvcoll.org/portal/collections/individual/index.php?guid=efea6c23-af4f-4e21-b4a0-b721414bed77</t>
  </si>
  <si>
    <t>ASUVTC001434</t>
  </si>
  <si>
    <t>92ecd8d8-b819-4935-b5f1-6e9d40c50427</t>
  </si>
  <si>
    <t>subsampleOf (fecal): https://csvcoll.org/portal/collections/individual/index.php?guid=efea6c23-af4f-4e21-b4a0-b721414bed77</t>
  </si>
  <si>
    <t>ASUVTC001435</t>
  </si>
  <si>
    <t>31122cd1-6342-4371-a175-347cafc1978b</t>
  </si>
  <si>
    <t>ASUVTC001492</t>
  </si>
  <si>
    <t>db9c9d7c-405d-4b89-8b58-cd8099d075b6</t>
  </si>
  <si>
    <t>ASUVTC001726</t>
  </si>
  <si>
    <t>2024-01-22T23:57:03.843Z</t>
  </si>
  <si>
    <t>c7df2f9a-9d55-4d09-b4db-dfad344587e2</t>
  </si>
  <si>
    <t>ASUVTC001727</t>
  </si>
  <si>
    <t>2024-01-22T23:57:03.834Z</t>
  </si>
  <si>
    <t>b90259db-11a5-4feb-8393-878743a14cc4</t>
  </si>
  <si>
    <t>DMR0156</t>
  </si>
  <si>
    <t>{ "measurements" : "TOT: 141, TV: 64, HFL: 21, EAR: 17, WGT: 18 g" , "preservationFluid" : "" }</t>
  </si>
  <si>
    <t>Testes Position: Scrot. | Testis size: 9 x 6 R | Epididymus: Con.</t>
  </si>
  <si>
    <t>originatingSampleOf (blood): https://csvcoll.org/portal/collections/individual/index.php?guid=6272e568-de36-4515-b8cd-e3cfff16c28e | originatingSampleOf (tissue): https://csvcoll.org/portal/collections/individual/index.php?guid=0cae1465-878c-4280-b26b-fdffcb888c1b | originatingSampleOf (tissue): https://csvcoll.org/portal/collections/individual/index.php?guid=871f46c2-895a-41df-900c-f35a0f4ef620 | originatingSampleOf (tissue): https://csvcoll.org/portal/collections/individual/index.php?guid=73ee7b70-26c3-477f-9594-c22393bb0fb6 | hostOf (tissue): https://csvcoll.org/portal/collections/individual/index.php?guid=ed0fb3b9-8f7b-4c68-a9a1-f594df61aa5a | originatingSampleOf (fecal): https://csvcoll.org/portal/collections/individual/index.php?guid=4ad679c0-0482-4727-8d31-5bd3fa0efeb0 | originatingSampleOf: https://csvcoll.org/portal/collections/individual/index.php?guid=2852ebf0-8501-4691-9f64-db72b9611641</t>
  </si>
  <si>
    <t>ASUMAC008940</t>
  </si>
  <si>
    <t>6272e568-de36-4515-b8cd-e3cfff16c28e</t>
  </si>
  <si>
    <t>subsampleOf (fecal): https://csvcoll.org/portal/collections/individual/index.php?guid=b90259db-11a5-4feb-8393-878743a14cc4</t>
  </si>
  <si>
    <t>ASUVTC001314</t>
  </si>
  <si>
    <t>0cae1465-878c-4280-b26b-fdffcb888c1b</t>
  </si>
  <si>
    <t>subsampleOf (tissue): https://csvcoll.org/portal/collections/individual/index.php?guid=b90259db-11a5-4feb-8393-878743a14cc4</t>
  </si>
  <si>
    <t>ASUVTC001436</t>
  </si>
  <si>
    <t>871f46c2-895a-41df-900c-f35a0f4ef620</t>
  </si>
  <si>
    <t>ASUVTC001437</t>
  </si>
  <si>
    <t>73ee7b70-26c3-477f-9594-c22393bb0fb6</t>
  </si>
  <si>
    <t>subsampleOf (blood): https://csvcoll.org/portal/collections/individual/index.php?guid=b90259db-11a5-4feb-8393-878743a14cc4</t>
  </si>
  <si>
    <t>ASUVTC001438</t>
  </si>
  <si>
    <t>ed0fb3b9-8f7b-4c68-a9a1-f594df61aa5a</t>
  </si>
  <si>
    <t>{ "measurements" : "TOT: 141, TV: 64, HFL: 21, EAR: 17, WGT: 18 g" , "preservationFluid" : "95 percent ethanol" , "preservationMeans" : "Room Temperature" }</t>
  </si>
  <si>
    <t>subsampleOf: https://csvcoll.org/portal/collections/individual/index.php?guid=b90259db-11a5-4feb-8393-878743a14cc4</t>
  </si>
  <si>
    <t>ASUVTC001439</t>
  </si>
  <si>
    <t>2024-01-22T23:57:04.243Z</t>
  </si>
  <si>
    <t>4ad679c0-0482-4727-8d31-5bd3fa0efeb0</t>
  </si>
  <si>
    <t>ASUVTC001440</t>
  </si>
  <si>
    <t>2024-01-22T23:57:04.242Z</t>
  </si>
  <si>
    <t>2852ebf0-8501-4691-9f64-db72b9611641</t>
  </si>
  <si>
    <t>hasHost (tissue): https://csvcoll.org/portal/collections/individual/index.php?guid=b90259db-11a5-4feb-8393-878743a14cc4</t>
  </si>
  <si>
    <t>ASUVTC001815</t>
  </si>
  <si>
    <t>2024-01-22T23:57:03.955Z</t>
  </si>
  <si>
    <t>24c6b8e8-6195-4211-b08c-9d0974d070ec</t>
  </si>
  <si>
    <t>DMR0157</t>
  </si>
  <si>
    <t>{ "measurements" : "TOT: 160, TV: 68, HFL: 22, EAR: 19, WGT: 17 g" , "preservationFluid" : "" }</t>
  </si>
  <si>
    <t>Mammae #: Ax. 0 Ab. 0 Ing. 0 | Mammae Condition: Sm. | Vagina condition: Perf. | Reproductive Stage: Prim. | Embryos: L 0 R 2 CR 3 mm | Placental scars: L 0 R 0</t>
  </si>
  <si>
    <t>originatingSampleOf (blood): https://csvcoll.org/portal/collections/individual/index.php?guid=33955e96-3249-4114-9cc4-4e4c4cb85ea9 | originatingSampleOf (tissue): https://csvcoll.org/portal/collections/individual/index.php?guid=1f4d89f9-ac6c-4ff3-8c57-6067bf666d88 | originatingSampleOf (tissue): https://csvcoll.org/portal/collections/individual/index.php?guid=7588daab-b41e-4f2e-bb0e-8852966c5e6f | originatingSampleOf (tissue): https://csvcoll.org/portal/collections/individual/index.php?guid=ade50436-b2d1-41bf-8c34-20d6429aa266 | originatingSampleOf (fecal): https://csvcoll.org/portal/collections/individual/index.php?guid=4e53ce9a-f73c-4553-ac31-88550455d0b2</t>
  </si>
  <si>
    <t>ASUMAC008941</t>
  </si>
  <si>
    <t>2024-01-23T19:40:09.769Z</t>
  </si>
  <si>
    <t>33955e96-3249-4114-9cc4-4e4c4cb85ea9</t>
  </si>
  <si>
    <t>subsampleOf (tissue): https://csvcoll.org/portal/collections/individual/index.php?guid=24c6b8e8-6195-4211-b08c-9d0974d070ec</t>
  </si>
  <si>
    <t>ASUVTC001315</t>
  </si>
  <si>
    <t>1f4d89f9-ac6c-4ff3-8c57-6067bf666d88</t>
  </si>
  <si>
    <t>subsampleOf (fecal): https://csvcoll.org/portal/collections/individual/index.php?guid=24c6b8e8-6195-4211-b08c-9d0974d070ec</t>
  </si>
  <si>
    <t>ASUVTC001441</t>
  </si>
  <si>
    <t>7588daab-b41e-4f2e-bb0e-8852966c5e6f</t>
  </si>
  <si>
    <t>ASUVTC001442</t>
  </si>
  <si>
    <t>ade50436-b2d1-41bf-8c34-20d6429aa266</t>
  </si>
  <si>
    <t>subsampleOf (blood): https://csvcoll.org/portal/collections/individual/index.php?guid=24c6b8e8-6195-4211-b08c-9d0974d070ec</t>
  </si>
  <si>
    <t>ASUVTC001443</t>
  </si>
  <si>
    <t>4e53ce9a-f73c-4553-ac31-88550455d0b2</t>
  </si>
  <si>
    <t>ASUVTC001444</t>
  </si>
  <si>
    <t>2024-01-22T23:57:04.244Z</t>
  </si>
  <si>
    <t>d93f6a4a-b9ab-40dc-8c81-ac66c36f0b73</t>
  </si>
  <si>
    <t>DMR0158</t>
  </si>
  <si>
    <t>{ "measurements" : "TOT: 141, TV: 60, HFL: 20, EAR: 17, WGT: 18 g" , "preservationFluid" : "70 percent ethyl alcohol, formalin fixed" }</t>
  </si>
  <si>
    <t>Testes Position: Scrot. | Testis size: 8 x 5 | Epididymus: Not Con.</t>
  </si>
  <si>
    <t>originatingSampleOf (blood): https://csvcoll.org/portal/collections/individual/index.php?guid=e92d42bf-e594-42f4-8d7c-516d2b626942 | originatingSampleOf (tissue): https://csvcoll.org/portal/collections/individual/index.php?guid=863aaeed-c3bc-477b-9b95-9612ec60047b | originatingSampleOf (tissue): https://csvcoll.org/portal/collections/individual/index.php?guid=d8bf6e29-7285-47fe-86a9-390f6725e495 | originatingSampleOf (tissue): https://csvcoll.org/portal/collections/individual/index.php?guid=3e2d43c2-0f51-4168-ba07-a27eaccc4670 | originatingSampleOf (fecal): https://csvcoll.org/portal/collections/individual/index.php?guid=41276285-578c-4997-9246-e494133e9f04 | originatingSampleOf (tissue): https://csvcoll.org/portal/collections/individual/index.php?guid=66cdfd8a-a185-425d-96ee-76d076247d58 | originatingSampleOf (tissue): https://csvcoll.org/portal/collections/individual/index.php?guid=a9d3d328-e208-4a03-987e-44b8ac757a97</t>
  </si>
  <si>
    <t>ASUMAC008933</t>
  </si>
  <si>
    <t>2024-01-23T19:40:09.785Z</t>
  </si>
  <si>
    <t>e92d42bf-e594-42f4-8d7c-516d2b626942</t>
  </si>
  <si>
    <t>Testes Position: Scrot. | Testis size: 8 x 5 | Epididymis: Not Con.</t>
  </si>
  <si>
    <t>subsampleOf (fecal): https://csvcoll.org/portal/collections/individual/index.php?guid=d93f6a4a-b9ab-40dc-8c81-ac66c36f0b73</t>
  </si>
  <si>
    <t>ASUVTC001316</t>
  </si>
  <si>
    <t>2024-01-22T23:57:04Z</t>
  </si>
  <si>
    <t>863aaeed-c3bc-477b-9b95-9612ec60047b</t>
  </si>
  <si>
    <t>subsampleOf (blood): https://csvcoll.org/portal/collections/individual/index.php?guid=d93f6a4a-b9ab-40dc-8c81-ac66c36f0b73</t>
  </si>
  <si>
    <t>ASUVTC001445</t>
  </si>
  <si>
    <t>d8bf6e29-7285-47fe-86a9-390f6725e495</t>
  </si>
  <si>
    <t>subsampleOf (tissue): https://csvcoll.org/portal/collections/individual/index.php?guid=d93f6a4a-b9ab-40dc-8c81-ac66c36f0b73</t>
  </si>
  <si>
    <t>ASUVTC001446</t>
  </si>
  <si>
    <t>2024-01-22T23:57:04.264Z</t>
  </si>
  <si>
    <t>3e2d43c2-0f51-4168-ba07-a27eaccc4670</t>
  </si>
  <si>
    <t>ASUVTC001447</t>
  </si>
  <si>
    <t>2024-01-22T23:57:04.266Z</t>
  </si>
  <si>
    <t>41276285-578c-4997-9246-e494133e9f04</t>
  </si>
  <si>
    <t>ASUVTC001448</t>
  </si>
  <si>
    <t>66cdfd8a-a185-425d-96ee-76d076247d58</t>
  </si>
  <si>
    <t>ASUVTC001712</t>
  </si>
  <si>
    <t>a9d3d328-e208-4a03-987e-44b8ac757a97</t>
  </si>
  <si>
    <t>ASUVTC001713</t>
  </si>
  <si>
    <t>2024-01-22T23:57:03.820Z</t>
  </si>
  <si>
    <t>c85514b3-d7b6-4dd8-bdd7-c3cdb891da2c</t>
  </si>
  <si>
    <t>DMR0159</t>
  </si>
  <si>
    <t>Mammae #: Ax. 2 Ab. 2 Ing. 4 | Mammae Condition: Lact. | Vagina Condition: Perf.</t>
  </si>
  <si>
    <t>ASUVTC001449</t>
  </si>
  <si>
    <t>2024-01-22T23:57:04.267Z</t>
  </si>
  <si>
    <t>7686173e-34e9-4d5a-b024-a810a17aca61</t>
  </si>
  <si>
    <t>ASUVTC001493</t>
  </si>
  <si>
    <t>0f3359c6-3138-46c7-950a-b83287a30f67</t>
  </si>
  <si>
    <t>DMR0160</t>
  </si>
  <si>
    <t>{ "measurements" : "TOT: 220, TV: 92, HFL: 33, EAR: 18, WGT: " , "preservationFluid" : "" }</t>
  </si>
  <si>
    <t>Testes Position: Scrot. | Testis size: 15 x 9 | Epididymus: Con.</t>
  </si>
  <si>
    <t>originatingSampleOf (blood): https://csvcoll.org/portal/collections/individual/index.php?guid=c280b9d2-5d64-4eb9-967c-89c2a03ebe50 | originatingSampleOf (tissue): https://csvcoll.org/portal/collections/individual/index.php?guid=173477b5-24de-475a-a3a9-0c08c76a951f | originatingSampleOf (tissue): https://csvcoll.org/portal/collections/individual/index.php?guid=a37f67df-d693-49ba-824c-146ebc37f6b7 | hostOf (tissue): https://csvcoll.org/portal/collections/individual/index.php?guid=af19255f-7ff7-4bbb-bb7b-b500a8481b3c | originatingSampleOf (fecal): https://csvcoll.org/portal/collections/individual/index.php?guid=de6aaf84-3ef1-4c98-9764-c7819f09952d | originatingSampleOf (tissue): https://csvcoll.org/portal/collections/individual/index.php?guid=3d560ad5-3dcc-47e7-9126-d12e5a90cc2c | originatingSampleOf: https://csvcoll.org/portal/collections/individual/index.php?guid=191479d5-4124-481f-8f47-75ecd0651e30</t>
  </si>
  <si>
    <t>ASUMAC008942</t>
  </si>
  <si>
    <t>2024-01-23T19:40:09.771Z</t>
  </si>
  <si>
    <t>c280b9d2-5d64-4eb9-967c-89c2a03ebe50</t>
  </si>
  <si>
    <t>Testes Position: Scrot. | Testis size: 15 x 9 | Epididymis: Con.</t>
  </si>
  <si>
    <t>subsampleOf (fecal): https://csvcoll.org/portal/collections/individual/index.php?guid=0f3359c6-3138-46c7-950a-b83287a30f67</t>
  </si>
  <si>
    <t>ASUVTC001317</t>
  </si>
  <si>
    <t>2024-01-22T23:57:04.001Z</t>
  </si>
  <si>
    <t>173477b5-24de-475a-a3a9-0c08c76a951f</t>
  </si>
  <si>
    <t>hasHost (tissue): https://csvcoll.org/portal/collections/individual/index.php?guid=0f3359c6-3138-46c7-950a-b83287a30f67</t>
  </si>
  <si>
    <t>ASUVTC001450</t>
  </si>
  <si>
    <t>2024-01-22T23:57:04.257Z</t>
  </si>
  <si>
    <t>a37f67df-d693-49ba-824c-146ebc37f6b7</t>
  </si>
  <si>
    <t>subsampleOf (tissue): https://csvcoll.org/portal/collections/individual/index.php?guid=0f3359c6-3138-46c7-950a-b83287a30f67</t>
  </si>
  <si>
    <t>ASUVTC001451</t>
  </si>
  <si>
    <t>2024-01-22T23:57:04.258Z</t>
  </si>
  <si>
    <t>af19255f-7ff7-4bbb-bb7b-b500a8481b3c</t>
  </si>
  <si>
    <t>{ "measurements" : "TOT: 220, TV: 92, HFL: 33, EAR: 18, WGT: " , "preservationFluid" : "95 percent ethanol" , "preservationMeans" : "Room Temperature" }</t>
  </si>
  <si>
    <t>subsampleOf: https://csvcoll.org/portal/collections/individual/index.php?guid=0f3359c6-3138-46c7-950a-b83287a30f67</t>
  </si>
  <si>
    <t>ASUVTC001452</t>
  </si>
  <si>
    <t>2024-01-22T23:57:04.259Z</t>
  </si>
  <si>
    <t>de6aaf84-3ef1-4c98-9764-c7819f09952d</t>
  </si>
  <si>
    <t>ASUVTC001453</t>
  </si>
  <si>
    <t>2024-01-22T23:57:04.260Z</t>
  </si>
  <si>
    <t>3d560ad5-3dcc-47e7-9126-d12e5a90cc2c</t>
  </si>
  <si>
    <t>subsampleOf (blood): https://csvcoll.org/portal/collections/individual/index.php?guid=0f3359c6-3138-46c7-950a-b83287a30f67</t>
  </si>
  <si>
    <t>ASUVTC001494</t>
  </si>
  <si>
    <t>191479d5-4124-481f-8f47-75ecd0651e30</t>
  </si>
  <si>
    <t>ASUVTC001816</t>
  </si>
  <si>
    <t>2024-01-22T23:57:03.950Z</t>
  </si>
  <si>
    <t>2a2d2e98-a4a0-4be6-a36a-18731104dbeb</t>
  </si>
  <si>
    <t>DMR0161</t>
  </si>
  <si>
    <t>ASUVTC001454</t>
  </si>
  <si>
    <t>4cea8426-2c2c-4128-ab5c-6152a5e0a05e</t>
  </si>
  <si>
    <t>ASUVTC001455</t>
  </si>
  <si>
    <t>2024-01-22T23:57:04.261Z</t>
  </si>
  <si>
    <t>8919a07a-db05-47be-a355-785f8ca5f052</t>
  </si>
  <si>
    <t>ASUVTC001456</t>
  </si>
  <si>
    <t>2024-01-22T23:57:04.255Z</t>
  </si>
  <si>
    <t>2e6d0130-b493-446b-b37f-c5ed3231ab03</t>
  </si>
  <si>
    <t>DMR0162</t>
  </si>
  <si>
    <t>ASUVTC001457</t>
  </si>
  <si>
    <t>91c51c34-ad7f-4bdf-8741-16de7cc610a8</t>
  </si>
  <si>
    <t>Trap: Line 2-5</t>
  </si>
  <si>
    <t>DMR0163</t>
  </si>
  <si>
    <t>{ "measurements" : "TOT: 153 mm, TV: 65 mm, HFL: 23 mm, EAR: 17 mm, WGT: 20.26 g" , "preservationFluid" : "70 percent ethyl alcohol, formalin fixed" }</t>
  </si>
  <si>
    <t>Mammae #: Ax. 2 Ab. 2 Ing. 4 | Mammae Condition: Lact. | Vagina condition: Perf. | Reproductive Stage: Prim. | Embryos: L 0 R 0 | Placental scars: L 1 R 0</t>
  </si>
  <si>
    <t>originatingSampleOf (tissue): https://csvcoll.org/portal/collections/individual/index.php?guid=d532aab5-85b6-401a-9f3d-aaccd98054ff | originatingSampleOf (fecal): https://csvcoll.org/portal/collections/individual/index.php?guid=21db5b47-1645-4f9f-8dfa-6c2cd02376a7 | originatingSampleOf (tissue): https://csvcoll.org/portal/collections/individual/index.php?guid=98f103b0-754f-405b-95a4-648567c65276 | originatingSampleOf (tissue): https://csvcoll.org/portal/collections/individual/index.php?guid=8b37d936-a370-4075-864f-c9d724fe78dd | originatingSampleOf (tissue): https://csvcoll.org/portal/collections/individual/index.php?guid=1c6ecbe9-13f7-4d36-a85b-f3cb17985534 | originatingSampleOf (tissue): https://csvcoll.org/portal/collections/individual/index.php?guid=42b772e0-189d-43b0-ab67-9ec08a30f7c1 | originatingSampleOf (tissue): https://csvcoll.org/portal/collections/individual/index.php?guid=7f80368d-d813-4145-9f5a-df2c1f2fba4c</t>
  </si>
  <si>
    <t>ASUMAC008936</t>
  </si>
  <si>
    <t>2024-01-23T19:40:09.795Z</t>
  </si>
  <si>
    <t>d532aab5-85b6-401a-9f3d-aaccd98054ff</t>
  </si>
  <si>
    <t>subsampleOf (fecal): https://csvcoll.org/portal/collections/individual/index.php?guid=91c51c34-ad7f-4bdf-8741-16de7cc610a8</t>
  </si>
  <si>
    <t>ASUVTC001458</t>
  </si>
  <si>
    <t>21db5b47-1645-4f9f-8dfa-6c2cd02376a7</t>
  </si>
  <si>
    <t>subsampleOf (tissue): https://csvcoll.org/portal/collections/individual/index.php?guid=91c51c34-ad7f-4bdf-8741-16de7cc610a8</t>
  </si>
  <si>
    <t>ASUVTC001459</t>
  </si>
  <si>
    <t>98f103b0-754f-405b-95a4-648567c65276</t>
  </si>
  <si>
    <t>ASUVTC001714</t>
  </si>
  <si>
    <t>8b37d936-a370-4075-864f-c9d724fe78dd</t>
  </si>
  <si>
    <t>ASUVTC001715</t>
  </si>
  <si>
    <t>2024-01-22T23:57:03.813Z</t>
  </si>
  <si>
    <t>1c6ecbe9-13f7-4d36-a85b-f3cb17985534</t>
  </si>
  <si>
    <t>ASUVTC001716</t>
  </si>
  <si>
    <t>2024-01-22T23:57:03.787Z</t>
  </si>
  <si>
    <t>42b772e0-189d-43b0-ab67-9ec08a30f7c1</t>
  </si>
  <si>
    <t>ASUVTC001717</t>
  </si>
  <si>
    <t>2024-01-22T23:57:03.807Z</t>
  </si>
  <si>
    <t>7f80368d-d813-4145-9f5a-df2c1f2fba4c</t>
  </si>
  <si>
    <t>ASUVTC001718</t>
  </si>
  <si>
    <t>2024-01-22T23:57:03.794Z</t>
  </si>
  <si>
    <t>777cbd26-7418-4c37-a778-56a1728e719f</t>
  </si>
  <si>
    <t>Trap: Line 2-6</t>
  </si>
  <si>
    <t>DMR0164</t>
  </si>
  <si>
    <t>Mammae #: Ax. 4 Ab. 0 Ing. 2 | Mammae Condition: Lg. | Vagina Condition: Perf.</t>
  </si>
  <si>
    <t>ASUVTC001460</t>
  </si>
  <si>
    <t>2024-01-22T23:57:04.256Z</t>
  </si>
  <si>
    <t>9d219c88-98f0-4179-8241-0a229162fe28</t>
  </si>
  <si>
    <t>ASUVTC001461</t>
  </si>
  <si>
    <t>b903f9d0-6044-4a39-be08-8d67f00bd94b</t>
  </si>
  <si>
    <t>ASUVTC001462</t>
  </si>
  <si>
    <t>d5e5ec78-3571-44bb-811c-74278ad4362b</t>
  </si>
  <si>
    <t>Trap: Line 2-7</t>
  </si>
  <si>
    <t>DMR0165</t>
  </si>
  <si>
    <t>{ "measurements" : "TOT: 230, TV: 98, HFL: 33, EAR: 17, WGT: 69 g" , "preservationFluid" : "70 percent ethyl alcohol, formalin fixed" }</t>
  </si>
  <si>
    <t>Testes Position: Scrot. | Testis size: 19 x 9 | Epididymus: Con.</t>
  </si>
  <si>
    <t>originatingSampleOf (blood): https://csvcoll.org/portal/collections/individual/index.php?guid=b998fb6e-f28b-4f01-86db-725392ba151d | originatingSampleOf (tissue): https://csvcoll.org/portal/collections/individual/index.php?guid=8fc9551c-9aa3-42bf-b10c-ea42ae78a1cf | originatingSampleOf (tissue): https://csvcoll.org/portal/collections/individual/index.php?guid=744880c1-8a15-4da2-93b6-51e9743fc39d | originatingSampleOf (tissue): https://csvcoll.org/portal/collections/individual/index.php?guid=6fb330e9-6146-445c-81b5-56bd4ed0d4b4 | hostOf (tissue): https://csvcoll.org/portal/collections/individual/index.php?guid=56a387e9-2f78-4503-a86a-c0f978856bd7 | originatingSampleOf (fecal): https://csvcoll.org/portal/collections/individual/index.php?guid=a866bb13-5835-4506-9ea8-34bcfc9968be | originatingSampleOf (tissue): https://csvcoll.org/portal/collections/individual/index.php?guid=13185484-9a73-4aa7-b12c-cc41b595330e | originatingSampleOf (tissue): https://csvcoll.org/portal/collections/individual/index.php?guid=109663b1-7864-4c1f-b99a-a5c096918577</t>
  </si>
  <si>
    <t>ASUMAC008934</t>
  </si>
  <si>
    <t>2024-01-23T19:40:09.792Z</t>
  </si>
  <si>
    <t>b998fb6e-f28b-4f01-86db-725392ba151d</t>
  </si>
  <si>
    <t>Testes Position: Scrot. | Testis size: 19 x 9 | Epididymis: Con.</t>
  </si>
  <si>
    <t>subsampleOf (tissue): https://csvcoll.org/portal/collections/individual/index.php?guid=d5e5ec78-3571-44bb-811c-74278ad4362b</t>
  </si>
  <si>
    <t>ASUVTC001318</t>
  </si>
  <si>
    <t>2024-01-22T23:57:04.013Z</t>
  </si>
  <si>
    <t>8fc9551c-9aa3-42bf-b10c-ea42ae78a1cf</t>
  </si>
  <si>
    <t>hasHost (tissue): https://csvcoll.org/portal/collections/individual/index.php?guid=d5e5ec78-3571-44bb-811c-74278ad4362b</t>
  </si>
  <si>
    <t>ASUVTC001463</t>
  </si>
  <si>
    <t>2024-01-22T23:57:04.252Z</t>
  </si>
  <si>
    <t>744880c1-8a15-4da2-93b6-51e9743fc39d</t>
  </si>
  <si>
    <t>ASUVTC001464</t>
  </si>
  <si>
    <t>6fb330e9-6146-445c-81b5-56bd4ed0d4b4</t>
  </si>
  <si>
    <t>ASUVTC001465</t>
  </si>
  <si>
    <t>56a387e9-2f78-4503-a86a-c0f978856bd7</t>
  </si>
  <si>
    <t>subsampleOf (blood): https://csvcoll.org/portal/collections/individual/index.php?guid=d5e5ec78-3571-44bb-811c-74278ad4362b</t>
  </si>
  <si>
    <t>ASUVTC001466</t>
  </si>
  <si>
    <t>2024-01-22T23:57:03.994Z</t>
  </si>
  <si>
    <t>a866bb13-5835-4506-9ea8-34bcfc9968be</t>
  </si>
  <si>
    <t>subsampleOf (fecal): https://csvcoll.org/portal/collections/individual/index.php?guid=d5e5ec78-3571-44bb-811c-74278ad4362b</t>
  </si>
  <si>
    <t>ASUVTC001467</t>
  </si>
  <si>
    <t>13185484-9a73-4aa7-b12c-cc41b595330e</t>
  </si>
  <si>
    <t>ASUVTC001722</t>
  </si>
  <si>
    <t>2024-01-22T23:57:03.798Z</t>
  </si>
  <si>
    <t>109663b1-7864-4c1f-b99a-a5c096918577</t>
  </si>
  <si>
    <t>ASUVTC001723</t>
  </si>
  <si>
    <t>1ba04e01-ab4f-4c57-82d3-0eae637e1d10</t>
  </si>
  <si>
    <t>DMR0166</t>
  </si>
  <si>
    <t>ASUVTC001468</t>
  </si>
  <si>
    <t>533e4f6f-264e-46c8-841b-1ef411fc53e4</t>
  </si>
  <si>
    <t>ASUVTC001469</t>
  </si>
  <si>
    <t>2024-01-22T23:57:03.987Z</t>
  </si>
  <si>
    <t>9b585652-640a-4a29-8a48-39501394e6a0</t>
  </si>
  <si>
    <t>Santa Catalina Mts., Bear Wallow SE of culvert beneath General Hitchcock Hwy.</t>
  </si>
  <si>
    <t>DMR0167</t>
  </si>
  <si>
    <t>Mammae #: Ax. 0 Ab. 0 Ing.</t>
  </si>
  <si>
    <t>ASUVTC001470</t>
  </si>
  <si>
    <t>2024-01-22T23:57:03.990Z</t>
  </si>
  <si>
    <t>94de4847-ffa9-44cb-8ea1-fd1c313672eb</t>
  </si>
  <si>
    <t>ASUVTC001471</t>
  </si>
  <si>
    <t>2024-01-22T23:57:03.992Z</t>
  </si>
  <si>
    <t>8263cffd-8ac0-4752-a61d-2246a4d76244</t>
  </si>
  <si>
    <t>Trap: Line 3-2; Trap-level coordinate data lost - used data for start of line and adjusted coordinate uncertainty accordingly</t>
  </si>
  <si>
    <t>DMR0168</t>
  </si>
  <si>
    <t>{ "measurements" : "TOT: 128, TV: 92, HFL: 34, EAR: 19, WGT: 70 g" , "preservationFluid" : "" }</t>
  </si>
  <si>
    <t>Testes Position: Scrot. | Testis size: 16 x 8 mm | Epididymus: Con.</t>
  </si>
  <si>
    <t>originatingSampleOf (blood): https://csvcoll.org/portal/collections/individual/index.php?guid=a018b9e6-1bb1-4e3e-b89c-67177e732ba7 | originatingSampleOf (tissue): https://csvcoll.org/portal/collections/individual/index.php?guid=3e944145-53a4-4818-a69e-746e3c0dc0d3 | originatingSampleOf (tissue): https://csvcoll.org/portal/collections/individual/index.php?guid=dab3eb07-93ab-4ddb-84df-ca051857465f | originatingSampleOf (tissue): https://csvcoll.org/portal/collections/individual/index.php?guid=8a2dd075-e0cc-4ac5-9b78-3b3560e24a3c | hostOf (tissue): https://csvcoll.org/portal/collections/individual/index.php?guid=0d7d13a0-d760-4ebd-bb0b-1748ae9b7281 | originatingSampleOf (fecal): https://csvcoll.org/portal/collections/individual/index.php?guid=e7430f4d-649a-470c-90a0-39ce94057c73</t>
  </si>
  <si>
    <t>ASUMAC008943</t>
  </si>
  <si>
    <t>a018b9e6-1bb1-4e3e-b89c-67177e732ba7</t>
  </si>
  <si>
    <t>Testes Position: Scrot. | Testis size: 16 x 8 mm | Epididymis: Con.</t>
  </si>
  <si>
    <t>subsampleOf (tissue): https://csvcoll.org/portal/collections/individual/index.php?guid=8263cffd-8ac0-4752-a61d-2246a4d76244</t>
  </si>
  <si>
    <t>ASUVTC001319</t>
  </si>
  <si>
    <t>3e944145-53a4-4818-a69e-746e3c0dc0d3</t>
  </si>
  <si>
    <t>subsampleOf (blood): https://csvcoll.org/portal/collections/individual/index.php?guid=8263cffd-8ac0-4752-a61d-2246a4d76244</t>
  </si>
  <si>
    <t>ASUVTC001472</t>
  </si>
  <si>
    <t>2024-01-22T23:57:03.988Z</t>
  </si>
  <si>
    <t>dab3eb07-93ab-4ddb-84df-ca051857465f</t>
  </si>
  <si>
    <t>subsampleOf (fecal): https://csvcoll.org/portal/collections/individual/index.php?guid=8263cffd-8ac0-4752-a61d-2246a4d76244</t>
  </si>
  <si>
    <t>ASUVTC001473</t>
  </si>
  <si>
    <t>8a2dd075-e0cc-4ac5-9b78-3b3560e24a3c</t>
  </si>
  <si>
    <t>hasHost (tissue): https://csvcoll.org/portal/collections/individual/index.php?guid=8263cffd-8ac0-4752-a61d-2246a4d76244</t>
  </si>
  <si>
    <t>ASUVTC001474</t>
  </si>
  <si>
    <t>2024-01-22T23:57:03.989Z</t>
  </si>
  <si>
    <t>0d7d13a0-d760-4ebd-bb0b-1748ae9b7281</t>
  </si>
  <si>
    <t>ASUVTC001475</t>
  </si>
  <si>
    <t>e7430f4d-649a-470c-90a0-39ce94057c73</t>
  </si>
  <si>
    <t>ASUVTC001476</t>
  </si>
  <si>
    <t>03ecc676-fd84-4ef4-a087-c9f102d18325</t>
  </si>
  <si>
    <t>Trap: Line 3-3; Trap-level coordinate data lost - used data for start of line and adjusted coordinate uncertainty accordingly</t>
  </si>
  <si>
    <t>DMR0169</t>
  </si>
  <si>
    <t>Mammae Condition: Lact.</t>
  </si>
  <si>
    <t>ASUVTC001477</t>
  </si>
  <si>
    <t>36aebd3b-006c-4c0c-879f-cfe83c797bfa</t>
  </si>
  <si>
    <t>ASUVTC001478</t>
  </si>
  <si>
    <t>426fdfd9-bcfc-41a9-86b4-e771c137c071</t>
  </si>
  <si>
    <t>Trap: Line 3-4; Trap-level coordinate data lost - used data for start of line and adjusted coordinate uncertainty accordingly</t>
  </si>
  <si>
    <t>DMR0170</t>
  </si>
  <si>
    <t>ASUVTC001479</t>
  </si>
  <si>
    <t>2024-01-22T23:57:03.991Z</t>
  </si>
  <si>
    <t>f5d11635-afa4-419b-bb74-6296b351410f</t>
  </si>
  <si>
    <t>ASUVTC001480</t>
  </si>
  <si>
    <t>1d8b676c-971b-47e9-b577-c981a60cb497</t>
  </si>
  <si>
    <t>DMR0171</t>
  </si>
  <si>
    <t>Mammae #: Ax. 2 Ab. 0 Ing. 4 | Mammae Condition: Lact.</t>
  </si>
  <si>
    <t>ASUVTC001481</t>
  </si>
  <si>
    <t>2024-01-22T23:57:04.002Z</t>
  </si>
  <si>
    <t>8063cbf2-eabf-46bf-b4e1-c8c38af60fd6</t>
  </si>
  <si>
    <t>ASUVTC001482</t>
  </si>
  <si>
    <t>84691127-c001-4a74-a895-090fa6c9edd2</t>
  </si>
  <si>
    <t>ASUVTC001483</t>
  </si>
  <si>
    <t>2024-01-22T23:57:04.003Z</t>
  </si>
  <si>
    <t>b3e28f4c-d052-44d1-b11c-a62f3839327d</t>
  </si>
  <si>
    <t>DMR0172</t>
  </si>
  <si>
    <t>ASUVTC001484</t>
  </si>
  <si>
    <t>d612ce11-7088-46da-9ee2-dee05d87370c</t>
  </si>
  <si>
    <t>ASUVTC001485</t>
  </si>
  <si>
    <t>234a023c-3562-40e6-a481-230f23eb0082</t>
  </si>
  <si>
    <t>Eulipotyphla</t>
  </si>
  <si>
    <t>Soricidae</t>
  </si>
  <si>
    <t>Sorex</t>
  </si>
  <si>
    <t>Sorex monticolus</t>
  </si>
  <si>
    <t>Sorex monticolus Merriam, 1890</t>
  </si>
  <si>
    <t>Merriam, 1890</t>
  </si>
  <si>
    <t>Santa Catalina Mts., Mt. Lemmon Peak at Mt. Lemmon Trailhead</t>
  </si>
  <si>
    <t>Trap: Line 2-15; elevation obtained from USGS NationalMap Tool</t>
  </si>
  <si>
    <t>NSU0018</t>
  </si>
  <si>
    <t>{ "measurements" : "TOT: 95, TV: 37, HFL: 12, EAR: 7, WGT: 5 g" , "preservationFluid" : "70 percent ethanol, formalin fixed" }</t>
  </si>
  <si>
    <t>Testes Position: Abd. | Testis size: 4.5 x 0.8 mm | Epididymis: ND</t>
  </si>
  <si>
    <t>originatingSampleOf (tissue): https://csvcoll.org/portal/collections/individual/index.php?guid=b1d66d0f-c516-40f4-878c-f65a40882f99 | originatingSampleOf (blood): https://csvcoll.org/portal/collections/individual/index.php?guid=476e8d8c-8686-4926-bead-1cbe0cd0a9f5 | originatingSampleOf (tissue): https://csvcoll.org/portal/collections/individual/index.php?guid=9cf87824-6487-4d84-a1e2-b6afdae8978f | originatingSampleOf (tissue): https://csvcoll.org/portal/collections/individual/index.php?guid=1164b72d-ed20-4fb8-84f0-e751e3bfee50 | originatingSampleOf (tissue): https://csvcoll.org/portal/collections/individual/index.php?guid=cca764c6-8f30-49f1-9b05-da19471ce716 | hostOf (tissue): https://csvcoll.org/portal/collections/individual/index.php?guid=cbc533f4-f2d6-4112-be3e-185ee27a8898 | originatingSampleOf (fecal): https://csvcoll.org/portal/collections/individual/index.php?guid=60b56fd9-e850-46fa-ba93-f37f3673064d | originatingSampleOf (tissue): https://csvcoll.org/portal/collections/individual/index.php?guid=f62b5a23-eaab-4318-94d2-6e870aa6dd14 | originatingSampleOf (tissue): https://csvcoll.org/portal/collections/individual/index.php?guid=2d75146c-f4dc-4430-bb71-a78031d52cc0</t>
  </si>
  <si>
    <t>ASUMAC008946</t>
  </si>
  <si>
    <t>Upham, Nathan S.; Rowsey, Dakota M.</t>
  </si>
  <si>
    <t>Upham, Nathan S.; Rowsey, Dakota M.; Hess, Savage C.; Zamora Chavez, Luisa; Liao, Rosie; Baez, Justin; Rivera, Damien</t>
  </si>
  <si>
    <t>9cf87824-6487-4d84-a1e2-b6afdae8978f</t>
  </si>
  <si>
    <t>{ "preservationMeans" : "Centrifuge tube, room temperature" , "preservationFluid" : "95 percent ethanol" }</t>
  </si>
  <si>
    <t>subsampleOf (tissue): https://csvcoll.org/portal/collections/individual/index.php?guid=234a023c-3562-40e6-a481-230f23eb0082</t>
  </si>
  <si>
    <t>ASUVTC001495</t>
  </si>
  <si>
    <t>2024-01-22T23:57:04.077Z</t>
  </si>
  <si>
    <t>1164b72d-ed20-4fb8-84f0-e751e3bfee50</t>
  </si>
  <si>
    <t>ASUVTC001496</t>
  </si>
  <si>
    <t>2024-01-22T23:57:04.070Z</t>
  </si>
  <si>
    <t>cca764c6-8f30-49f1-9b05-da19471ce716</t>
  </si>
  <si>
    <t>ASUVTC001497</t>
  </si>
  <si>
    <t>2024-01-22T23:57:04.063Z</t>
  </si>
  <si>
    <t>cbc533f4-f2d6-4112-be3e-185ee27a8898</t>
  </si>
  <si>
    <t>ASUVTC001498</t>
  </si>
  <si>
    <t>2024-01-22T23:57:04.065Z</t>
  </si>
  <si>
    <t>60b56fd9-e850-46fa-ba93-f37f3673064d</t>
  </si>
  <si>
    <t>{ "preservationMeans" : "Nobuto filter strip, room temperature" , "preservationFluid" : "none" }</t>
  </si>
  <si>
    <t>subsampleOf (blood): https://csvcoll.org/portal/collections/individual/index.php?guid=234a023c-3562-40e6-a481-230f23eb0082</t>
  </si>
  <si>
    <t>ASUVTC001499</t>
  </si>
  <si>
    <t>f62b5a23-eaab-4318-94d2-6e870aa6dd14</t>
  </si>
  <si>
    <t>ASUVTC001738</t>
  </si>
  <si>
    <t>2024-01-22T23:57:03.935Z</t>
  </si>
  <si>
    <t>2d75146c-f4dc-4430-bb71-a78031d52cc0</t>
  </si>
  <si>
    <t>ASUVTC001739</t>
  </si>
  <si>
    <t>b1d66d0f-c516-40f4-878c-f65a40882f99</t>
  </si>
  <si>
    <t>subsampleOf (fecal): https://csvcoll.org/portal/collections/individual/index.php?guid=234a023c-3562-40e6-a481-230f23eb0082</t>
  </si>
  <si>
    <t>ASUVTC001820</t>
  </si>
  <si>
    <t>2024-01-22T23:57:03.777Z</t>
  </si>
  <si>
    <t>476e8d8c-8686-4926-bead-1cbe0cd0a9f5</t>
  </si>
  <si>
    <t>hasHost (tissue): https://csvcoll.org/portal/collections/individual/index.php?guid=234a023c-3562-40e6-a481-230f23eb0082</t>
  </si>
  <si>
    <t>ASUVTC002006</t>
  </si>
  <si>
    <t>2024-01-22T23:57:04.040Z</t>
  </si>
  <si>
    <t>54c5cee4-6a7a-422f-b2af-8f017796ca45</t>
  </si>
  <si>
    <t>Trap: Line 1-5; elevation obtained from USGS NationalMap Tool</t>
  </si>
  <si>
    <t>NSU0019</t>
  </si>
  <si>
    <t>{ "measurements" : "TOT: 300, TV: 138, HFL: 33, EAR: 26, WGT: 125 g" , "preservationFluid" : "70 percent ethanol, formalin fixed" }</t>
  </si>
  <si>
    <t>Mammae #: Ax. 0 Ab. 0 Ing. 0 | Mammae Condition: Sm. | Vagina condition: Imp. | Reproductive Stage: ND | Embryos: L 0 R 0 | Placental scars: ND</t>
  </si>
  <si>
    <t>originatingSampleOf (blood): https://csvcoll.org/portal/collections/individual/index.php?guid=a1baaf80-dffb-4db4-9aa8-fa32820cb6fd | originatingSampleOf (tissue): https://csvcoll.org/portal/collections/individual/index.php?guid=358be0b2-5f7c-42fb-92e3-5f96f314ad88 | originatingSampleOf (tissue): https://csvcoll.org/portal/collections/individual/index.php?guid=68ed125e-3ee4-468c-a019-1487be060df9 | originatingSampleOf (tissue): https://csvcoll.org/portal/collections/individual/index.php?guid=90a7db49-8bf5-4e40-92d6-62aa8fd76ae8 | hostOf (tissue): https://csvcoll.org/portal/collections/individual/index.php?guid=b889c986-f02d-4c7e-812d-272bcde626c6 | originatingSampleOf (fecal): https://csvcoll.org/portal/collections/individual/index.php?guid=cf542fd7-a033-403c-a96e-b2e6ccc3bef9 | originatingSampleOf (tissue): https://csvcoll.org/portal/collections/individual/index.php?guid=f81d447e-eb43-4df4-aaba-bfbd5d2d1c9d | originatingSampleOf (tissue): https://csvcoll.org/portal/collections/individual/index.php?guid=05fa07ef-74e7-4ef3-8179-f503fc69ccfb | originatingSampleOf: https://csvcoll.org/portal/collections/individual/index.php?guid=8969a30c-c679-450b-9830-dc27053b33f0</t>
  </si>
  <si>
    <t>ASUMAC008950</t>
  </si>
  <si>
    <t>2024-01-23T19:40:09.336Z</t>
  </si>
  <si>
    <t>358be0b2-5f7c-42fb-92e3-5f96f314ad88</t>
  </si>
  <si>
    <t>hasHost (tissue): https://csvcoll.org/portal/collections/individual/index.php?guid=54c5cee4-6a7a-422f-b2af-8f017796ca45</t>
  </si>
  <si>
    <t>ASUVTC001500</t>
  </si>
  <si>
    <t>2024-01-22T23:57:04.064Z</t>
  </si>
  <si>
    <t>68ed125e-3ee4-468c-a019-1487be060df9</t>
  </si>
  <si>
    <t>subsampleOf (tissue): https://csvcoll.org/portal/collections/individual/index.php?guid=54c5cee4-6a7a-422f-b2af-8f017796ca45</t>
  </si>
  <si>
    <t>ASUVTC001501</t>
  </si>
  <si>
    <t>2024-01-22T23:57:04.069Z</t>
  </si>
  <si>
    <t>90a7db49-8bf5-4e40-92d6-62aa8fd76ae8</t>
  </si>
  <si>
    <t>ASUVTC001502</t>
  </si>
  <si>
    <t>b889c986-f02d-4c7e-812d-272bcde626c6</t>
  </si>
  <si>
    <t>ASUVTC001503</t>
  </si>
  <si>
    <t>cf542fd7-a033-403c-a96e-b2e6ccc3bef9</t>
  </si>
  <si>
    <t>subsampleOf (blood): https://csvcoll.org/portal/collections/individual/index.php?guid=54c5cee4-6a7a-422f-b2af-8f017796ca45</t>
  </si>
  <si>
    <t>ASUVTC001504</t>
  </si>
  <si>
    <t>2024-01-22T23:57:04.073Z</t>
  </si>
  <si>
    <t>f81d447e-eb43-4df4-aaba-bfbd5d2d1c9d</t>
  </si>
  <si>
    <t>ASUVTC001740</t>
  </si>
  <si>
    <t>2024-01-22T23:57:03.934Z</t>
  </si>
  <si>
    <t>05fa07ef-74e7-4ef3-8179-f503fc69ccfb</t>
  </si>
  <si>
    <t>ASUVTC001741</t>
  </si>
  <si>
    <t>2024-01-22T23:57:03.947Z</t>
  </si>
  <si>
    <t>a1baaf80-dffb-4db4-9aa8-fa32820cb6fd</t>
  </si>
  <si>
    <t>subsampleOf (fecal): https://csvcoll.org/portal/collections/individual/index.php?guid=54c5cee4-6a7a-422f-b2af-8f017796ca45</t>
  </si>
  <si>
    <t>ASUVTC002007</t>
  </si>
  <si>
    <t>8969a30c-c679-450b-9830-dc27053b33f0</t>
  </si>
  <si>
    <t>{ "measurements" : "TOT: 300, TV: 138, HFL: 33, EAR: 26, WGT: 125 g" , "preservationFluid" : "95 percent ethanol", "preservationMeans" : "Room Temp" }</t>
  </si>
  <si>
    <t>subsampleOf: https://csvcoll.org/portal/collections/individual/index.php?guid=54c5cee4-6a7a-422f-b2af-8f017796ca45</t>
  </si>
  <si>
    <t>ASUVTC002171</t>
  </si>
  <si>
    <t>2024-01-22T23:57:03.684Z</t>
  </si>
  <si>
    <t>9767e048-d286-4997-ad6a-3628142316e8</t>
  </si>
  <si>
    <t>Trap: Line 1-4; elevation obtained from USGS NationalMap Tool</t>
  </si>
  <si>
    <t>NSU0020</t>
  </si>
  <si>
    <t>{ "measurements" : "TOT: 323, TV: 155, HFL: 28, EAR: 34, WGT: 130 g" , "preservationFluid" : "70 percent ethanol, formalin fixed" }</t>
  </si>
  <si>
    <t>asr | skull | tiss</t>
  </si>
  <si>
    <t>Mammae #: Ax. 0 Ab. 0 Ing. 4 | Mammae Condition: Lact. | Vagina condition: Imp. | Reproductive Stage: | Embryos: | Placental scars:</t>
  </si>
  <si>
    <t>originatingSampleOf (blood): https://csvcoll.org/portal/collections/individual/index.php?guid=9e439cb7-9c09-4cad-a3a2-0dc36fa2f7ce | originatingSampleOf (fecal): https://csvcoll.org/portal/collections/individual/index.php?guid=79c6caac-f5e2-46df-aa51-5bf374f393b1 | originatingSampleOf (tissue): https://csvcoll.org/portal/collections/individual/index.php?guid=3e78a389-fcf5-4ba8-8928-04ac43a4fe11 | originatingSampleOf (tissue): https://csvcoll.org/portal/collections/individual/index.php?guid=ff0e7dc0-6291-4a3f-84c2-18a10e6cefd5 | originatingSampleOf (tissue): https://csvcoll.org/portal/collections/individual/index.php?guid=a4197247-6739-4392-83da-bb5f8f0fb69e | originatingSampleOf (tissue): https://csvcoll.org/portal/collections/individual/index.php?guid=baf29945-86a1-4cd6-bcb7-31341abd960f | originatingSampleOf (tissue): https://csvcoll.org/portal/collections/individual/index.php?guid=37fd3954-831c-47a8-a9d3-176b57e04218 | originatingSampleOf (tissue): https://csvcoll.org/portal/collections/individual/index.php?guid=f5e18571-f484-45ed-bf09-468deb00143d | originatingSampleOf: https://csvcoll.org/portal/collections/individual/index.php?guid=d50bf918-9bf4-467a-9fd3-2cbf06c87e23</t>
  </si>
  <si>
    <t>ASUMAC008926</t>
  </si>
  <si>
    <t>2024-01-23T19:40:09.414Z</t>
  </si>
  <si>
    <t>79c6caac-f5e2-46df-aa51-5bf374f393b1</t>
  </si>
  <si>
    <t>subsampleOf (blood): https://csvcoll.org/portal/collections/individual/index.php?guid=9767e048-d286-4997-ad6a-3628142316e8</t>
  </si>
  <si>
    <t>ASUVTC001505</t>
  </si>
  <si>
    <t>2024-01-22T23:57:04.067Z</t>
  </si>
  <si>
    <t>3e78a389-fcf5-4ba8-8928-04ac43a4fe11</t>
  </si>
  <si>
    <t>subsampleOf (tissue): https://csvcoll.org/portal/collections/individual/index.php?guid=9767e048-d286-4997-ad6a-3628142316e8</t>
  </si>
  <si>
    <t>ASUVTC001695</t>
  </si>
  <si>
    <t>2024-01-22T23:57:03.927Z</t>
  </si>
  <si>
    <t>ff0e7dc0-6291-4a3f-84c2-18a10e6cefd5</t>
  </si>
  <si>
    <t>ASUVTC001696</t>
  </si>
  <si>
    <t>2024-01-22T23:57:03.932Z</t>
  </si>
  <si>
    <t>a4197247-6739-4392-83da-bb5f8f0fb69e</t>
  </si>
  <si>
    <t>ASUVTC001697</t>
  </si>
  <si>
    <t>baf29945-86a1-4cd6-bcb7-31341abd960f</t>
  </si>
  <si>
    <t>ASUVTC001698</t>
  </si>
  <si>
    <t>37fd3954-831c-47a8-a9d3-176b57e04218</t>
  </si>
  <si>
    <t>ASUVTC001700</t>
  </si>
  <si>
    <t>2024-01-22T23:57:03.938Z</t>
  </si>
  <si>
    <t>f5e18571-f484-45ed-bf09-468deb00143d</t>
  </si>
  <si>
    <t>ASUVTC001701</t>
  </si>
  <si>
    <t>9e439cb7-9c09-4cad-a3a2-0dc36fa2f7ce</t>
  </si>
  <si>
    <t>subsampleOf (fecal): https://csvcoll.org/portal/collections/individual/index.php?guid=9767e048-d286-4997-ad6a-3628142316e8</t>
  </si>
  <si>
    <t>ASUVTC002008</t>
  </si>
  <si>
    <t>2024-01-22T23:57:04.043Z</t>
  </si>
  <si>
    <t>d50bf918-9bf4-467a-9fd3-2cbf06c87e23</t>
  </si>
  <si>
    <t>{ "measurements" : "TOT: 323, TV: 155, HFL: 28, EAR: 34, WGT: 130 g" , "preservationFluid" : "95 percent ethanol", "preservationMeans" : "Room Temp" }</t>
  </si>
  <si>
    <t>subsampleOf: https://csvcoll.org/portal/collections/individual/index.php?guid=9767e048-d286-4997-ad6a-3628142316e8</t>
  </si>
  <si>
    <t>ASUVTC002167</t>
  </si>
  <si>
    <t>2024-01-22T23:57:03.682Z</t>
  </si>
  <si>
    <t>372a7097-9380-4afd-8cd2-d40cd7a81f3f</t>
  </si>
  <si>
    <t>Trap: Line 2-1; elevation obtained from USGS NationalMap</t>
  </si>
  <si>
    <t>NSU0021</t>
  </si>
  <si>
    <t>ASUVTC001506</t>
  </si>
  <si>
    <t>2024-01-22T23:57:04.108Z</t>
  </si>
  <si>
    <t>58bbe926-4db1-45f1-b4ef-f6012055ce10</t>
  </si>
  <si>
    <t>ASUVTC001507</t>
  </si>
  <si>
    <t>2024-01-22T23:57:04.107Z</t>
  </si>
  <si>
    <t>ad01af5f-4d21-4f84-9d8d-70e050c9f70d</t>
  </si>
  <si>
    <t>Trap: Line 1-11; elevation obtained from USGS NationalMap Tool</t>
  </si>
  <si>
    <t>NSU0022</t>
  </si>
  <si>
    <t>{ "measurements" : "TOT: 160, TV: 72, HFL: 22, EAR: 22, WGT: 16 g" , "preservationFluid" : "70 percent ethanol, formalin fixed" }</t>
  </si>
  <si>
    <t>Testes Position: Abd. | Testis size: 7.5 x 4.5 R | Epididymis: Not Con.</t>
  </si>
  <si>
    <t>originatingSampleOf (tissue): https://csvcoll.org/portal/collections/individual/index.php?guid=c7d15d75-9019-4837-8982-6f9152578941 | originatingSampleOf (blood): https://csvcoll.org/portal/collections/individual/index.php?guid=bcba5315-b7cf-4d5f-bce8-8168efc6c08d | originatingSampleOf (tissue): https://csvcoll.org/portal/collections/individual/index.php?guid=f93df327-266f-4111-99c4-f9e68d681b00 | originatingSampleOf (tissue): https://csvcoll.org/portal/collections/individual/index.php?guid=bd7f6f74-48ee-4254-9f1e-b5f7cdc6eaaa | originatingSampleOf (tissue): https://csvcoll.org/portal/collections/individual/index.php?guid=caa88f72-6c32-426c-b4be-ea612c98c0f7 | hostOf (tissue): https://csvcoll.org/portal/collections/individual/index.php?guid=956817a6-21fb-4a9b-b190-97737332a18c | originatingSampleOf (fecal): https://csvcoll.org/portal/collections/individual/index.php?guid=f6b934e8-c035-4f5d-a899-1fe336575dd0 | originatingSampleOf (tissue): https://csvcoll.org/portal/collections/individual/index.php?guid=26375f28-5c89-4591-b1f6-a30a737c4f92 | originatingSampleOf (tissue): https://csvcoll.org/portal/collections/individual/index.php?guid=3c0a7745-a53e-4797-8414-b235ea070fa0</t>
  </si>
  <si>
    <t>ASUMAC008947</t>
  </si>
  <si>
    <t>2024-01-23T19:40:09.327Z</t>
  </si>
  <si>
    <t>f93df327-266f-4111-99c4-f9e68d681b00</t>
  </si>
  <si>
    <t>subsampleOf (tissue): https://csvcoll.org/portal/collections/individual/index.php?guid=ad01af5f-4d21-4f84-9d8d-70e050c9f70d</t>
  </si>
  <si>
    <t>ASUVTC001508</t>
  </si>
  <si>
    <t>bd7f6f74-48ee-4254-9f1e-b5f7cdc6eaaa</t>
  </si>
  <si>
    <t>ASUVTC001509</t>
  </si>
  <si>
    <t>caa88f72-6c32-426c-b4be-ea612c98c0f7</t>
  </si>
  <si>
    <t>subsampleOf (fecal): https://csvcoll.org/portal/collections/individual/index.php?guid=ad01af5f-4d21-4f84-9d8d-70e050c9f70d</t>
  </si>
  <si>
    <t>ASUVTC001510</t>
  </si>
  <si>
    <t>2024-01-22T23:57:04.105Z</t>
  </si>
  <si>
    <t>956817a6-21fb-4a9b-b190-97737332a18c</t>
  </si>
  <si>
    <t>hasHost (tissue): https://csvcoll.org/portal/collections/individual/index.php?guid=ad01af5f-4d21-4f84-9d8d-70e050c9f70d</t>
  </si>
  <si>
    <t>ASUVTC001511</t>
  </si>
  <si>
    <t>f6b934e8-c035-4f5d-a899-1fe336575dd0</t>
  </si>
  <si>
    <t>ASUVTC001512</t>
  </si>
  <si>
    <t>2024-01-22T23:57:04.106Z</t>
  </si>
  <si>
    <t>26375f28-5c89-4591-b1f6-a30a737c4f92</t>
  </si>
  <si>
    <t>ASUVTC001742</t>
  </si>
  <si>
    <t>2024-01-22T23:57:03.582Z</t>
  </si>
  <si>
    <t>3c0a7745-a53e-4797-8414-b235ea070fa0</t>
  </si>
  <si>
    <t>subsampleOf (blood): https://csvcoll.org/portal/collections/individual/index.php?guid=ad01af5f-4d21-4f84-9d8d-70e050c9f70d</t>
  </si>
  <si>
    <t>ASUVTC001743</t>
  </si>
  <si>
    <t>c7d15d75-9019-4837-8982-6f9152578941</t>
  </si>
  <si>
    <t>ASUVTC001821</t>
  </si>
  <si>
    <t>2024-01-22T23:57:03.790Z</t>
  </si>
  <si>
    <t>bcba5315-b7cf-4d5f-bce8-8168efc6c08d</t>
  </si>
  <si>
    <t>ASUVTC002009</t>
  </si>
  <si>
    <t>2024-01-22T23:57:04.048Z</t>
  </si>
  <si>
    <t>918ae365-4e82-4931-b399-2f770acf9771</t>
  </si>
  <si>
    <t>Trap: Line 1-8; elevation obtained from USGS NationalMap</t>
  </si>
  <si>
    <t>NSU0023</t>
  </si>
  <si>
    <t>U</t>
  </si>
  <si>
    <t>Unknown</t>
  </si>
  <si>
    <t>ASUVTC001513</t>
  </si>
  <si>
    <t>211349ca-66d1-4f48-9031-50a50f046609</t>
  </si>
  <si>
    <t>Trap: Line 1-10; elevation obtained from USGS NationalMap Tool</t>
  </si>
  <si>
    <t>NSU0024</t>
  </si>
  <si>
    <t>{ "measurements" : "TOT: 165, TV: 70, HFL: 20, EAR: 19, WGT: 22 g" , "preservationFluid" : "70 percent ethanol, formalin fixed" }</t>
  </si>
  <si>
    <t>Mammae #: ND | Mammae Condition: Lg. | Vagina condition: ND | Reproductive Stage: Prim. | Embryos: L 2 R 3 13 mm CR | Placental scars: L 0 R 0</t>
  </si>
  <si>
    <t>originatingSampleOf (tissue): https://csvcoll.org/portal/collections/individual/index.php?guid=751acecc-8104-4efa-b269-c12c931b4f4f | originatingSampleOf (blood): https://csvcoll.org/portal/collections/individual/index.php?guid=2d47c9ea-970a-4347-bbcc-1c355d2282da | originatingSampleOf (tissue): https://csvcoll.org/portal/collections/individual/index.php?guid=7d7ddb20-6502-4b90-b1f0-5f7f3fff313d | originatingSampleOf (tissue): https://csvcoll.org/portal/collections/individual/index.php?guid=bbd43ec8-3b01-49a3-a94e-b7aeb1e45267 | originatingSampleOf (tissue): https://csvcoll.org/portal/collections/individual/index.php?guid=dca55335-2b18-4fed-b3e5-958d666e6ff1 | hostOf (tissue): https://csvcoll.org/portal/collections/individual/index.php?guid=ea104eed-928b-4a8e-8c56-fd9e8684e19b | originatingSampleOf (fecal): https://csvcoll.org/portal/collections/individual/index.php?guid=c1dc7c81-b6b9-4cd5-bd62-65ab9191dd58 | originatingSampleOf (tissue): https://csvcoll.org/portal/collections/individual/index.php?guid=bf02604a-6668-4349-903d-fa696127a5bc | originatingSampleOf (tissue): https://csvcoll.org/portal/collections/individual/index.php?guid=336d6839-3ac9-43d2-af78-d7267cad521c | originatingSampleOf (tissue): https://csvcoll.org/portal/collections/individual/index.php?guid=5c476f17-33e7-4fe3-80bc-1c95b70e44b8</t>
  </si>
  <si>
    <t>ASUMAC008948</t>
  </si>
  <si>
    <t>2024-01-23T19:40:09.341Z</t>
  </si>
  <si>
    <t>7d7ddb20-6502-4b90-b1f0-5f7f3fff313d</t>
  </si>
  <si>
    <t>hasHost (tissue): https://csvcoll.org/portal/collections/individual/index.php?guid=211349ca-66d1-4f48-9031-50a50f046609</t>
  </si>
  <si>
    <t>ASUVTC001514</t>
  </si>
  <si>
    <t>bbd43ec8-3b01-49a3-a94e-b7aeb1e45267</t>
  </si>
  <si>
    <t>subsampleOf (tissue): https://csvcoll.org/portal/collections/individual/index.php?guid=211349ca-66d1-4f48-9031-50a50f046609</t>
  </si>
  <si>
    <t>ASUVTC001515</t>
  </si>
  <si>
    <t>dca55335-2b18-4fed-b3e5-958d666e6ff1</t>
  </si>
  <si>
    <t>ASUVTC001516</t>
  </si>
  <si>
    <t>2024-01-22T23:57:04.103Z</t>
  </si>
  <si>
    <t>ea104eed-928b-4a8e-8c56-fd9e8684e19b</t>
  </si>
  <si>
    <t>ASUVTC001517</t>
  </si>
  <si>
    <t>2024-01-22T23:57:04.102Z</t>
  </si>
  <si>
    <t>c1dc7c81-b6b9-4cd5-bd62-65ab9191dd58</t>
  </si>
  <si>
    <t>subsampleOf (fecal): https://csvcoll.org/portal/collections/individual/index.php?guid=211349ca-66d1-4f48-9031-50a50f046609</t>
  </si>
  <si>
    <t>ASUVTC001518</t>
  </si>
  <si>
    <t>bf02604a-6668-4349-903d-fa696127a5bc</t>
  </si>
  <si>
    <t>ASUVTC001744</t>
  </si>
  <si>
    <t>2024-01-22T23:57:03.603Z</t>
  </si>
  <si>
    <t>336d6839-3ac9-43d2-af78-d7267cad521c</t>
  </si>
  <si>
    <t>ASUVTC001745</t>
  </si>
  <si>
    <t>5c476f17-33e7-4fe3-80bc-1c95b70e44b8</t>
  </si>
  <si>
    <t>subsampleOf (blood): https://csvcoll.org/portal/collections/individual/index.php?guid=211349ca-66d1-4f48-9031-50a50f046609</t>
  </si>
  <si>
    <t>ASUVTC001746</t>
  </si>
  <si>
    <t>751acecc-8104-4efa-b269-c12c931b4f4f</t>
  </si>
  <si>
    <t>GI sample</t>
  </si>
  <si>
    <t>ASUVTC001822</t>
  </si>
  <si>
    <t>2024-01-22T23:57:03.789Z</t>
  </si>
  <si>
    <t>2d47c9ea-970a-4347-bbcc-1c355d2282da</t>
  </si>
  <si>
    <t>ASUVTC002010</t>
  </si>
  <si>
    <t>2024-01-22T23:57:04.052Z</t>
  </si>
  <si>
    <t>58ff5235-b0c9-413d-9e85-c868632bc172</t>
  </si>
  <si>
    <t>Trap: Line 2-13; elevation obtained from USGS NationalMap Tool</t>
  </si>
  <si>
    <t>NSU0025</t>
  </si>
  <si>
    <t>{ "measurements" : "TOT: 311, TV: 133, HFL: 28, EAR: 26, WGT: 145 g" , "preservationFluid" : "70 percent ethanol, formalin fixed" }</t>
  </si>
  <si>
    <t>Testes Position: Abd. | Testis size: 11 X 6 R | Epididymis: Not Con.</t>
  </si>
  <si>
    <t>originatingSampleOf (tissue): https://csvcoll.org/portal/collections/individual/index.php?guid=61189385-2f1d-4774-8e36-f5a418de3be0 | originatingSampleOf (tissue): https://csvcoll.org/portal/collections/individual/index.php?guid=47bdd002-b0f3-4158-9710-f28f51455e6b | originatingSampleOf (tissue): https://csvcoll.org/portal/collections/individual/index.php?guid=b3a8ff1a-60d8-48da-aa0f-1632743526ce | originatingSampleOf (tissue): https://csvcoll.org/portal/collections/individual/index.php?guid=d9db3968-c59b-4b6b-b866-6bdb9acb7fe7 | originatingSampleOf (tissue): https://csvcoll.org/portal/collections/individual/index.php?guid=b4848624-fbf9-4b0e-85d2-1182004eb82e | originatingSampleOf (blood): https://csvcoll.org/portal/collections/individual/index.php?guid=7a731f73-c84b-42c3-844f-73e6df1eae09 | originatingSampleOf (blood): https://csvcoll.org/portal/collections/individual/index.php?guid=80e7d007-fae0-4c92-b20a-c881b5a4a48b | originatingSampleOf (tissue): https://csvcoll.org/portal/collections/individual/index.php?guid=19ea925b-b39f-4174-b5c7-cc82c9b21ff4 | originatingSampleOf (tissue): https://csvcoll.org/portal/collections/individual/index.php?guid=28527b40-6b29-4335-a5a1-8d319c0ffb11 | originatingSampleOf (tissue): https://csvcoll.org/portal/collections/individual/index.php?guid=9ae0991e-5aa0-4dbe-8ab3-6d1cf4b519f3 | hostOf (tissue): https://csvcoll.org/portal/collections/individual/index.php?guid=cdb0466d-4d6d-41c9-842b-565aabf3e42f | originatingSampleOf (fecal): https://csvcoll.org/portal/collections/individual/index.php?guid=153f49a5-d93d-48d4-96aa-2336fd41ac6c | originatingSampleOf (tissue): https://csvcoll.org/portal/collections/individual/index.php?guid=39fe6d55-1c12-4dc0-b7c7-65773144fefc | originatingSampleOf (tissue): https://csvcoll.org/portal/collections/individual/index.php?guid=1aae704f-4e93-4b49-9d84-3a38025458b2</t>
  </si>
  <si>
    <t>ASUMAC008945</t>
  </si>
  <si>
    <t>2024-01-23T19:40:09.316Z</t>
  </si>
  <si>
    <t>19ea925b-b39f-4174-b5c7-cc82c9b21ff4</t>
  </si>
  <si>
    <t>Small intestine</t>
  </si>
  <si>
    <t>subsampleOf (tissue): https://csvcoll.org/portal/collections/individual/index.php?guid=58ff5235-b0c9-413d-9e85-c868632bc172</t>
  </si>
  <si>
    <t>ASUVTC001519</t>
  </si>
  <si>
    <t>28527b40-6b29-4335-a5a1-8d319c0ffb11</t>
  </si>
  <si>
    <t>subsampleOf (blood): https://csvcoll.org/portal/collections/individual/index.php?guid=58ff5235-b0c9-413d-9e85-c868632bc172</t>
  </si>
  <si>
    <t>ASUVTC001520</t>
  </si>
  <si>
    <t>2024-01-22T23:57:04.093Z</t>
  </si>
  <si>
    <t>9ae0991e-5aa0-4dbe-8ab3-6d1cf4b519f3</t>
  </si>
  <si>
    <t>ASUVTC001521</t>
  </si>
  <si>
    <t>2024-01-22T23:57:04.094Z</t>
  </si>
  <si>
    <t>cdb0466d-4d6d-41c9-842b-565aabf3e42f</t>
  </si>
  <si>
    <t>Large Intestine</t>
  </si>
  <si>
    <t>ASUVTC001522</t>
  </si>
  <si>
    <t>153f49a5-d93d-48d4-96aa-2336fd41ac6c</t>
  </si>
  <si>
    <t>Cecum</t>
  </si>
  <si>
    <t>ASUVTC001523</t>
  </si>
  <si>
    <t>39fe6d55-1c12-4dc0-b7c7-65773144fefc</t>
  </si>
  <si>
    <t>Pregastric stomach</t>
  </si>
  <si>
    <t>ASUVTC001751</t>
  </si>
  <si>
    <t>2024-01-22T23:57:03.606Z</t>
  </si>
  <si>
    <t>1aae704f-4e93-4b49-9d84-3a38025458b2</t>
  </si>
  <si>
    <t>Gastric stomach</t>
  </si>
  <si>
    <t>ASUVTC001752</t>
  </si>
  <si>
    <t>2024-01-22T23:57:03.622Z</t>
  </si>
  <si>
    <t>61189385-2f1d-4774-8e36-f5a418de3be0</t>
  </si>
  <si>
    <t>ASUVTC001833</t>
  </si>
  <si>
    <t>2024-01-22T23:57:03.772Z</t>
  </si>
  <si>
    <t>47bdd002-b0f3-4158-9710-f28f51455e6b</t>
  </si>
  <si>
    <t>ASUVTC001834</t>
  </si>
  <si>
    <t>b3a8ff1a-60d8-48da-aa0f-1632743526ce</t>
  </si>
  <si>
    <t>ASUVTC001835</t>
  </si>
  <si>
    <t>d9db3968-c59b-4b6b-b866-6bdb9acb7fe7</t>
  </si>
  <si>
    <t>ASUVTC001836</t>
  </si>
  <si>
    <t>2024-01-22T23:57:03.773Z</t>
  </si>
  <si>
    <t>b4848624-fbf9-4b0e-85d2-1182004eb82e</t>
  </si>
  <si>
    <t>ASUVTC001837</t>
  </si>
  <si>
    <t>7a731f73-c84b-42c3-844f-73e6df1eae09</t>
  </si>
  <si>
    <t>subsampleOf (fecal): https://csvcoll.org/portal/collections/individual/index.php?guid=58ff5235-b0c9-413d-9e85-c868632bc172</t>
  </si>
  <si>
    <t>ASUVTC002011</t>
  </si>
  <si>
    <t>2024-01-22T23:57:04.049Z</t>
  </si>
  <si>
    <t>80e7d007-fae0-4c92-b20a-c881b5a4a48b</t>
  </si>
  <si>
    <t>hasHost (tissue): https://csvcoll.org/portal/collections/individual/index.php?guid=58ff5235-b0c9-413d-9e85-c868632bc172</t>
  </si>
  <si>
    <t>ASUVTC002012</t>
  </si>
  <si>
    <t>2024-01-22T23:57:04.051Z</t>
  </si>
  <si>
    <t>f2f72a7d-713c-4700-8f6b-fdece15ed966</t>
  </si>
  <si>
    <t>Trap: Line 1-14; elevation obtained from USGS NationalMap Tool</t>
  </si>
  <si>
    <t>NSU0026</t>
  </si>
  <si>
    <t>{ "measurements" : "TOT: 146, TV: 51, HFL: 20, EAR: 19, WGT: 16 g" , "preservationFluid" : "70 percent ethanol, formalin fixed" }</t>
  </si>
  <si>
    <t>Testes Position: Scrot. | Testis size: 7 x 5 R | Epididymis: Not Con.</t>
  </si>
  <si>
    <t>originatingSampleOf (blood): https://csvcoll.org/portal/collections/individual/index.php?guid=6d6fc152-6e11-48f1-95d4-e6b7fd8e5152 | originatingSampleOf (tissue): https://csvcoll.org/portal/collections/individual/index.php?guid=97e67735-bed2-4110-8659-13cb935db156 | originatingSampleOf (tissue): https://csvcoll.org/portal/collections/individual/index.php?guid=1c317482-0d29-47eb-b6fb-a15228da52e9 | originatingSampleOf (tissue): https://csvcoll.org/portal/collections/individual/index.php?guid=6750f705-4fb1-4e2c-878c-37855b6d29f1 | hostOf (tissue): https://csvcoll.org/portal/collections/individual/index.php?guid=4f2c0327-dce2-46f6-8915-f97df0f337e8 | originatingSampleOf (fecal): https://csvcoll.org/portal/collections/individual/index.php?guid=1e0224d5-f417-4460-af59-bed8041a7799 | originatingSampleOf (tissue): https://csvcoll.org/portal/collections/individual/index.php?guid=2daa86d0-3975-492a-a839-eb818b3ed478 | originatingSampleOf (tissue): https://csvcoll.org/portal/collections/individual/index.php?guid=23aad1b3-20ca-41aa-a116-3f751529cea8</t>
  </si>
  <si>
    <t>ASUMAC008955</t>
  </si>
  <si>
    <t>2024-01-23T19:40:09.335Z</t>
  </si>
  <si>
    <t>97e67735-bed2-4110-8659-13cb935db156</t>
  </si>
  <si>
    <t>subsampleOf (tissue): https://csvcoll.org/portal/collections/individual/index.php?guid=f2f72a7d-713c-4700-8f6b-fdece15ed966</t>
  </si>
  <si>
    <t>ASUVTC001524</t>
  </si>
  <si>
    <t>2024-01-22T23:57:04.104Z</t>
  </si>
  <si>
    <t>1c317482-0d29-47eb-b6fb-a15228da52e9</t>
  </si>
  <si>
    <t>ASUVTC001525</t>
  </si>
  <si>
    <t>6750f705-4fb1-4e2c-878c-37855b6d29f1</t>
  </si>
  <si>
    <t>subsampleOf (fecal): https://csvcoll.org/portal/collections/individual/index.php?guid=f2f72a7d-713c-4700-8f6b-fdece15ed966</t>
  </si>
  <si>
    <t>ASUVTC001526</t>
  </si>
  <si>
    <t>2024-01-22T23:57:04.120Z</t>
  </si>
  <si>
    <t>4f2c0327-dce2-46f6-8915-f97df0f337e8</t>
  </si>
  <si>
    <t>hasHost (tissue): https://csvcoll.org/portal/collections/individual/index.php?guid=f2f72a7d-713c-4700-8f6b-fdece15ed966</t>
  </si>
  <si>
    <t>ASUVTC001527</t>
  </si>
  <si>
    <t>1e0224d5-f417-4460-af59-bed8041a7799</t>
  </si>
  <si>
    <t>ASUVTC001528</t>
  </si>
  <si>
    <t>2daa86d0-3975-492a-a839-eb818b3ed478</t>
  </si>
  <si>
    <t>ASUVTC001992</t>
  </si>
  <si>
    <t>23aad1b3-20ca-41aa-a116-3f751529cea8</t>
  </si>
  <si>
    <t>subsampleOf (blood): https://csvcoll.org/portal/collections/individual/index.php?guid=f2f72a7d-713c-4700-8f6b-fdece15ed966</t>
  </si>
  <si>
    <t>ASUVTC001993</t>
  </si>
  <si>
    <t>2024-01-22T23:57:03.768Z</t>
  </si>
  <si>
    <t>6d6fc152-6e11-48f1-95d4-e6b7fd8e5152</t>
  </si>
  <si>
    <t>ASUVTC002013</t>
  </si>
  <si>
    <t>8a0c3e56-9a4b-42e2-863c-ca4739d8271b</t>
  </si>
  <si>
    <t>Trap: Line 2-12; elevation obtained from USGS NationalMap</t>
  </si>
  <si>
    <t>NSU0027</t>
  </si>
  <si>
    <t>ASUVTC001529</t>
  </si>
  <si>
    <t>281c6225-3c93-4e07-a99f-3acbe014fdd0</t>
  </si>
  <si>
    <t>ASUVTC001530</t>
  </si>
  <si>
    <t>5fef6f4c-6807-46d7-8fcd-31cce7136c27</t>
  </si>
  <si>
    <t>Trap: Line 2-2; elevation obtained from USGS NationalMap Tool</t>
  </si>
  <si>
    <t>NSU0028</t>
  </si>
  <si>
    <t>{ "measurements" : "TOT: 147, TV: 60, HFL: 20, EAR: 19, WGT: 18 g" , "preservationFluid" : "70 percent ethanol, formalin fixed" }</t>
  </si>
  <si>
    <t>originatingSampleOf (blood): https://csvcoll.org/portal/collections/individual/index.php?guid=f76e9014-5c87-4480-9f0e-0c4fac50947c | originatingSampleOf (tissue): https://csvcoll.org/portal/collections/individual/index.php?guid=2af777da-1b25-49f0-b57a-de332f1c1a7b | originatingSampleOf (tissue): https://csvcoll.org/portal/collections/individual/index.php?guid=d2709cda-cc2e-4d00-b579-d5fda5b906d9 | originatingSampleOf (tissue): https://csvcoll.org/portal/collections/individual/index.php?guid=5b0ffd23-282e-4b12-a7f4-8127cad5a213 | hostOf (tissue): https://csvcoll.org/portal/collections/individual/index.php?guid=aa5d72ee-e644-4fb9-a224-b3f6ad9c4bbb | originatingSampleOf (fecal): https://csvcoll.org/portal/collections/individual/index.php?guid=4e50392f-3ef4-4c43-990d-ecb6149b2587 | originatingSampleOf (tissue): https://csvcoll.org/portal/collections/individual/index.php?guid=761cd970-3b15-425a-a478-a4d13a06c228 | originatingSampleOf (tissue): https://csvcoll.org/portal/collections/individual/index.php?guid=f8ae6457-4193-41f7-a09c-a2d63c4e4dd6</t>
  </si>
  <si>
    <t>ASUMAC008956</t>
  </si>
  <si>
    <t>2024-01-23T19:40:09.345Z</t>
  </si>
  <si>
    <t>2af777da-1b25-49f0-b57a-de332f1c1a7b</t>
  </si>
  <si>
    <t>subsampleOf (tissue): https://csvcoll.org/portal/collections/individual/index.php?guid=5fef6f4c-6807-46d7-8fcd-31cce7136c27</t>
  </si>
  <si>
    <t>ASUVTC001531</t>
  </si>
  <si>
    <t>2024-01-22T23:57:04.116Z</t>
  </si>
  <si>
    <t>d2709cda-cc2e-4d00-b579-d5fda5b906d9</t>
  </si>
  <si>
    <t>ASUVTC001532</t>
  </si>
  <si>
    <t>5b0ffd23-282e-4b12-a7f4-8127cad5a213</t>
  </si>
  <si>
    <t>subsampleOf (fecal): https://csvcoll.org/portal/collections/individual/index.php?guid=5fef6f4c-6807-46d7-8fcd-31cce7136c27</t>
  </si>
  <si>
    <t>ASUVTC001533</t>
  </si>
  <si>
    <t>aa5d72ee-e644-4fb9-a224-b3f6ad9c4bbb</t>
  </si>
  <si>
    <t>hasHost (tissue): https://csvcoll.org/portal/collections/individual/index.php?guid=5fef6f4c-6807-46d7-8fcd-31cce7136c27</t>
  </si>
  <si>
    <t>ASUVTC001534</t>
  </si>
  <si>
    <t>2024-01-22T23:57:04.118Z</t>
  </si>
  <si>
    <t>4e50392f-3ef4-4c43-990d-ecb6149b2587</t>
  </si>
  <si>
    <t>ASUVTC001535</t>
  </si>
  <si>
    <t>2024-01-22T23:57:04.117Z</t>
  </si>
  <si>
    <t>761cd970-3b15-425a-a478-a4d13a06c228</t>
  </si>
  <si>
    <t>ASUVTC001994</t>
  </si>
  <si>
    <t>2024-01-22T23:57:03.761Z</t>
  </si>
  <si>
    <t>f8ae6457-4193-41f7-a09c-a2d63c4e4dd6</t>
  </si>
  <si>
    <t>subsampleOf (blood): https://csvcoll.org/portal/collections/individual/index.php?guid=5fef6f4c-6807-46d7-8fcd-31cce7136c27</t>
  </si>
  <si>
    <t>ASUVTC001995</t>
  </si>
  <si>
    <t>2024-01-22T23:57:03.759Z</t>
  </si>
  <si>
    <t>f76e9014-5c87-4480-9f0e-0c4fac50947c</t>
  </si>
  <si>
    <t>ASUVTC002014</t>
  </si>
  <si>
    <t>e1dea149-301d-4426-91c3-6ac9038e888b</t>
  </si>
  <si>
    <t>Trap: Line 1-8; elevation obtained from USGS NationalMap Tool</t>
  </si>
  <si>
    <t>NSU0029</t>
  </si>
  <si>
    <t>{ "measurements" : "TOT: 303, TV: 142, HFL: 33, EAR: 25, WGT: 140 g" , "preservationFluid" : "70 percent ethanol, formalin fixed" }</t>
  </si>
  <si>
    <t>Testes Position: Abd. | Testis size: 7 x 4 R | Epididymis: Not Con.</t>
  </si>
  <si>
    <t>originatingSampleOf (tissue): https://csvcoll.org/portal/collections/individual/index.php?guid=b03351b4-0d33-492f-bdc3-b86eaecf7af8 | originatingSampleOf (tissue): https://csvcoll.org/portal/collections/individual/index.php?guid=440d36db-98ed-449a-b9bb-2c6a99f7765c | originatingSampleOf (tissue): https://csvcoll.org/portal/collections/individual/index.php?guid=498cca1e-f564-4966-99e0-3eb80c00d541 | originatingSampleOf (tissue): https://csvcoll.org/portal/collections/individual/index.php?guid=5f2f3271-eab3-43ec-a949-1bbaf85f91da | originatingSampleOf (tissue): https://csvcoll.org/portal/collections/individual/index.php?guid=7002f753-63ce-4a52-b94f-87bf30838c96 | originatingSampleOf (blood): https://csvcoll.org/portal/collections/individual/index.php?guid=f324061a-06e1-4d0c-b215-4caff030d7d7 | originatingSampleOf (blood): https://csvcoll.org/portal/collections/individual/index.php?guid=2f3fe0a3-e84f-46d7-8962-f641a33dd54f | originatingSampleOf (tissue): https://csvcoll.org/portal/collections/individual/index.php?guid=39bbd2f9-a1bb-4962-958a-df22e36f7c40 | originatingSampleOf (tissue): https://csvcoll.org/portal/collections/individual/index.php?guid=b1b3b525-e7a1-4c9d-978e-2779afb09346 | originatingSampleOf (tissue): https://csvcoll.org/portal/collections/individual/index.php?guid=71d3a9ca-419a-4967-bcd6-1d68f23cf993 | hostOf (tissue): https://csvcoll.org/portal/collections/individual/index.php?guid=eca727d5-2e65-4837-a0f4-7e93b5059384 | originatingSampleOf (fecal): https://csvcoll.org/portal/collections/individual/index.php?guid=2a26b89f-d4a2-401a-aa6c-61a642ab59b6 | originatingSampleOf (tissue): https://csvcoll.org/portal/collections/individual/index.php?guid=487700fc-6645-4114-9e22-09b3efa42a2b | originatingSampleOf (tissue): https://csvcoll.org/portal/collections/individual/index.php?guid=57b8b604-5078-46ff-9a3c-c2b848e4137b</t>
  </si>
  <si>
    <t>ASUMAC008944</t>
  </si>
  <si>
    <t>2024-01-23T19:40:09.325Z</t>
  </si>
  <si>
    <t>39bbd2f9-a1bb-4962-958a-df22e36f7c40</t>
  </si>
  <si>
    <t>subsampleOf (tissue): https://csvcoll.org/portal/collections/individual/index.php?guid=e1dea149-301d-4426-91c3-6ac9038e888b</t>
  </si>
  <si>
    <t>ASUVTC001536</t>
  </si>
  <si>
    <t>b1b3b525-e7a1-4c9d-978e-2779afb09346</t>
  </si>
  <si>
    <t>ASUVTC001537</t>
  </si>
  <si>
    <t>2024-01-22T23:57:04.113Z</t>
  </si>
  <si>
    <t>71d3a9ca-419a-4967-bcd6-1d68f23cf993</t>
  </si>
  <si>
    <t>subsampleOf (blood): https://csvcoll.org/portal/collections/individual/index.php?guid=e1dea149-301d-4426-91c3-6ac9038e888b</t>
  </si>
  <si>
    <t>ASUVTC001538</t>
  </si>
  <si>
    <t>eca727d5-2e65-4837-a0f4-7e93b5059384</t>
  </si>
  <si>
    <t>ASUVTC001539</t>
  </si>
  <si>
    <t>2024-01-22T23:57:04.114Z</t>
  </si>
  <si>
    <t>2a26b89f-d4a2-401a-aa6c-61a642ab59b6</t>
  </si>
  <si>
    <t>ASUVTC001540</t>
  </si>
  <si>
    <t>487700fc-6645-4114-9e22-09b3efa42a2b</t>
  </si>
  <si>
    <t>ASUVTC001749</t>
  </si>
  <si>
    <t>2024-01-22T23:57:03.602Z</t>
  </si>
  <si>
    <t>57b8b604-5078-46ff-9a3c-c2b848e4137b</t>
  </si>
  <si>
    <t>ASUVTC001750</t>
  </si>
  <si>
    <t>b03351b4-0d33-492f-bdc3-b86eaecf7af8</t>
  </si>
  <si>
    <t>ASUVTC001838</t>
  </si>
  <si>
    <t>2024-01-22T23:57:03.779Z</t>
  </si>
  <si>
    <t>440d36db-98ed-449a-b9bb-2c6a99f7765c</t>
  </si>
  <si>
    <t>ASUVTC001839</t>
  </si>
  <si>
    <t>498cca1e-f564-4966-99e0-3eb80c00d541</t>
  </si>
  <si>
    <t>subsampleOf (fecal): https://csvcoll.org/portal/collections/individual/index.php?guid=e1dea149-301d-4426-91c3-6ac9038e888b</t>
  </si>
  <si>
    <t>ASUVTC001840</t>
  </si>
  <si>
    <t>5f2f3271-eab3-43ec-a949-1bbaf85f91da</t>
  </si>
  <si>
    <t>hasHost (tissue): https://csvcoll.org/portal/collections/individual/index.php?guid=e1dea149-301d-4426-91c3-6ac9038e888b</t>
  </si>
  <si>
    <t>ASUVTC001841</t>
  </si>
  <si>
    <t>7002f753-63ce-4a52-b94f-87bf30838c96</t>
  </si>
  <si>
    <t>ASUVTC001842</t>
  </si>
  <si>
    <t>2024-01-22T23:57:03.778Z</t>
  </si>
  <si>
    <t>f324061a-06e1-4d0c-b215-4caff030d7d7</t>
  </si>
  <si>
    <t>ASUVTC002015</t>
  </si>
  <si>
    <t>2024-01-22T23:57:04.054Z</t>
  </si>
  <si>
    <t>2f3fe0a3-e84f-46d7-8962-f641a33dd54f</t>
  </si>
  <si>
    <t>ASUVTC002016</t>
  </si>
  <si>
    <t>2024-01-22T23:57:04.066Z</t>
  </si>
  <si>
    <t>89d542ad-7866-4395-9d3f-6843790ee38a</t>
  </si>
  <si>
    <t>Trap: Line 2-16; elevation obtained from USGS NationalMap</t>
  </si>
  <si>
    <t>NSU0030</t>
  </si>
  <si>
    <t>ASUVTC001541</t>
  </si>
  <si>
    <t>51787dcf-9242-4d48-a346-5cb15d42b817</t>
  </si>
  <si>
    <t>ASUVTC001542</t>
  </si>
  <si>
    <t>f93e7f00-4866-48d6-a4ab-f1241147c645</t>
  </si>
  <si>
    <t>Trap: Line 2-11; elevation obtained from USGS NationalMap</t>
  </si>
  <si>
    <t>NSU0031</t>
  </si>
  <si>
    <t>ASUVTC001543</t>
  </si>
  <si>
    <t>6e791722-2603-4fcf-be93-f856b5322afd</t>
  </si>
  <si>
    <t>ASUVTC001544</t>
  </si>
  <si>
    <t>bf3595c5-6e87-4c54-8d99-f40adb1ffabb</t>
  </si>
  <si>
    <t>NSU0032</t>
  </si>
  <si>
    <t>ASUVTC001545</t>
  </si>
  <si>
    <t>2024-01-22T23:57:04.110Z</t>
  </si>
  <si>
    <t>7bca164a-b453-499d-a978-e095f59e5490</t>
  </si>
  <si>
    <t>ASUVTC001546</t>
  </si>
  <si>
    <t>2024-01-22T23:57:04.134Z</t>
  </si>
  <si>
    <t>edc770d4-977f-41bf-929e-32f962580296</t>
  </si>
  <si>
    <t>NSU0033</t>
  </si>
  <si>
    <t>ASUVTC001547</t>
  </si>
  <si>
    <t>2024-01-22T23:57:04.135Z</t>
  </si>
  <si>
    <t>09b11f9a-a00b-45ce-98a5-bfa502845c68</t>
  </si>
  <si>
    <t>ASUVTC001548</t>
  </si>
  <si>
    <t>435bf895-0c8f-43aa-910c-86a418e73988</t>
  </si>
  <si>
    <t>NSU0034</t>
  </si>
  <si>
    <t>ASUVTC001549</t>
  </si>
  <si>
    <t>906c7c17-6cc5-4491-84ad-f956e594f27b</t>
  </si>
  <si>
    <t>ASUVTC001550</t>
  </si>
  <si>
    <t>2024-01-22T23:57:04.136Z</t>
  </si>
  <si>
    <t>652ee68b-c665-44f1-8ce9-db56f0a31666</t>
  </si>
  <si>
    <t>NSU0035</t>
  </si>
  <si>
    <t>ASUVTC001551</t>
  </si>
  <si>
    <t>a3be0f6b-e9d2-489e-861e-d5a2d5016211</t>
  </si>
  <si>
    <t>ASUVTC001552</t>
  </si>
  <si>
    <t>786b89a5-aee4-4218-a60d-c20391ec1b0b</t>
  </si>
  <si>
    <t>Trap: Line 5-5;</t>
  </si>
  <si>
    <t>NSU0036</t>
  </si>
  <si>
    <t>{ "measurements" : "TOT: 228, TV: 92, HFL: 33, EAR: 21, WGT: 60 g" , "preservationFluid" : "70 percent ethanol, formalin fixed" }</t>
  </si>
  <si>
    <t>Mammae #: Ax. 0 Ab. 0 Ing. 0 | Mammae Condition: Sm. | Vagina condition: ND | Reproductive Stage: Nul. | Embryos: L 0 R 0 | Placental scars: L 0 R 0</t>
  </si>
  <si>
    <t>originatingSampleOf (blood): https://csvcoll.org/portal/collections/individual/index.php?guid=5e0c51b1-113a-4277-9e3d-156aa5bca8e9 | originatingSampleOf (tissue): https://csvcoll.org/portal/collections/individual/index.php?guid=af06a2a3-7135-4b21-8b95-e3c324854e7b | originatingSampleOf (tissue): https://csvcoll.org/portal/collections/individual/index.php?guid=d9ac548f-902c-4df9-be44-f2adc19dd087 | originatingSampleOf (tissue): https://csvcoll.org/portal/collections/individual/index.php?guid=c3d13497-0bbc-428f-a094-aa859438d14b | originatingSampleOf (fecal): https://csvcoll.org/portal/collections/individual/index.php?guid=eddcc5af-b67d-4ed7-be72-084899e9a3a9 | originatingSampleOf (tissue): https://csvcoll.org/portal/collections/individual/index.php?guid=4e7cbdae-f8e6-4d17-8439-c6104c3e5d9b | originatingSampleOf (tissue): https://csvcoll.org/portal/collections/individual/index.php?guid=c43f9b9e-0227-4b8b-a0c5-9ae53ba235bf | originatingSampleOf: https://csvcoll.org/portal/collections/individual/index.php?guid=0dd11a49-3683-49fc-a35c-5f54b63c47d7</t>
  </si>
  <si>
    <t>ASUMAC008951</t>
  </si>
  <si>
    <t>2024-01-23T19:40:09.328Z</t>
  </si>
  <si>
    <t>af06a2a3-7135-4b21-8b95-e3c324854e7b</t>
  </si>
  <si>
    <t>subsampleOf (tissue): https://csvcoll.org/portal/collections/individual/index.php?guid=786b89a5-aee4-4218-a60d-c20391ec1b0b</t>
  </si>
  <si>
    <t>ASUVTC001553</t>
  </si>
  <si>
    <t>2024-01-22T23:57:04.131Z</t>
  </si>
  <si>
    <t>d9ac548f-902c-4df9-be44-f2adc19dd087</t>
  </si>
  <si>
    <t>subsampleOf (fecal): https://csvcoll.org/portal/collections/individual/index.php?guid=786b89a5-aee4-4218-a60d-c20391ec1b0b</t>
  </si>
  <si>
    <t>ASUVTC001554</t>
  </si>
  <si>
    <t>c3d13497-0bbc-428f-a094-aa859438d14b</t>
  </si>
  <si>
    <t>ASUVTC001555</t>
  </si>
  <si>
    <t>eddcc5af-b67d-4ed7-be72-084899e9a3a9</t>
  </si>
  <si>
    <t>ASUVTC001556</t>
  </si>
  <si>
    <t>4e7cbdae-f8e6-4d17-8439-c6104c3e5d9b</t>
  </si>
  <si>
    <t>ASUVTC001984</t>
  </si>
  <si>
    <t>c43f9b9e-0227-4b8b-a0c5-9ae53ba235bf</t>
  </si>
  <si>
    <t>ASUVTC001985</t>
  </si>
  <si>
    <t>2024-01-22T23:57:03.558Z</t>
  </si>
  <si>
    <t>5e0c51b1-113a-4277-9e3d-156aa5bca8e9</t>
  </si>
  <si>
    <t>subsampleOf (blood): https://csvcoll.org/portal/collections/individual/index.php?guid=786b89a5-aee4-4218-a60d-c20391ec1b0b</t>
  </si>
  <si>
    <t>ASUVTC002017</t>
  </si>
  <si>
    <t>2024-01-22T23:57:04.068Z</t>
  </si>
  <si>
    <t>0dd11a49-3683-49fc-a35c-5f54b63c47d7</t>
  </si>
  <si>
    <t>{ "measurements" : "TOT: 228, TV: 92, HFL: 33, EAR: 21, WGT: 60 g" , "preservationFluid" : "95 percent ethanol" "preservationMeans" : "Room Temp" }</t>
  </si>
  <si>
    <t>subsampleOf: https://csvcoll.org/portal/collections/individual/index.php?guid=786b89a5-aee4-4218-a60d-c20391ec1b0b</t>
  </si>
  <si>
    <t>ASUVTC002172</t>
  </si>
  <si>
    <t>b2adeb17-6685-44ea-8da1-91d89e657b28</t>
  </si>
  <si>
    <t>NSU0037</t>
  </si>
  <si>
    <t>ASUVTC001557</t>
  </si>
  <si>
    <t>b8fc8207-e92a-48c9-ab9d-3c9775383d67</t>
  </si>
  <si>
    <t>ASUVTC001558</t>
  </si>
  <si>
    <t>07d420cc-3494-4046-ab29-713e994079a5</t>
  </si>
  <si>
    <t>NSU0038</t>
  </si>
  <si>
    <t>ASUVTC001559</t>
  </si>
  <si>
    <t>a9a0d615-e841-477d-b6de-8dac54efc4c8</t>
  </si>
  <si>
    <t>ASUVTC001560</t>
  </si>
  <si>
    <t>426dbbfc-0588-4854-a32e-6407ed4c54b5</t>
  </si>
  <si>
    <t>ASUVTC001561</t>
  </si>
  <si>
    <t>9f2143f4-e45d-4ae9-a56f-ed7170baa23b</t>
  </si>
  <si>
    <t>Trap: Line 5-7</t>
  </si>
  <si>
    <t>NSU0039</t>
  </si>
  <si>
    <t>ASUVTC001562</t>
  </si>
  <si>
    <t>0a011a8b-7006-4d73-953d-a89d77110033</t>
  </si>
  <si>
    <t>ASUVTC001563</t>
  </si>
  <si>
    <t>eb8fce6f-0ada-478f-9c56-e0fd66443a15</t>
  </si>
  <si>
    <t>NSU0040</t>
  </si>
  <si>
    <t>ASUVTC001564</t>
  </si>
  <si>
    <t>ae3839c9-6044-4f7c-85c4-5de5ca6c18b5</t>
  </si>
  <si>
    <t>ASUVTC001565</t>
  </si>
  <si>
    <t>1ea2af9d-3d50-4e88-a61e-c8d758c3f339</t>
  </si>
  <si>
    <t>NSU0041</t>
  </si>
  <si>
    <t>ASUVTC001566</t>
  </si>
  <si>
    <t>2024-01-22T23:57:03.802Z</t>
  </si>
  <si>
    <t>e79b2789-8a78-400c-a0d1-f4458ddfaec8</t>
  </si>
  <si>
    <t>ASUVTC001567</t>
  </si>
  <si>
    <t>5f9e7464-422e-4746-a7d4-62b1d4582e4e</t>
  </si>
  <si>
    <t>Trap: Line 3-9</t>
  </si>
  <si>
    <t>NSU0042</t>
  </si>
  <si>
    <t>ASUVTC001568</t>
  </si>
  <si>
    <t>2024-01-22T23:57:03.815Z</t>
  </si>
  <si>
    <t>00840040-812f-4e71-b9ce-230076d9ba88</t>
  </si>
  <si>
    <t>ASUVTC001569</t>
  </si>
  <si>
    <t>2024-01-22T23:57:03.823Z</t>
  </si>
  <si>
    <t>e1305d86-49bb-471e-aa4e-0f3efad86108</t>
  </si>
  <si>
    <t>NSU0043</t>
  </si>
  <si>
    <t>ASUVTC001570</t>
  </si>
  <si>
    <t>2024-01-22T23:57:03.821Z</t>
  </si>
  <si>
    <t>23c5dd1e-187c-40bd-b8a2-b1206c364f8f</t>
  </si>
  <si>
    <t>ASUVTC001571</t>
  </si>
  <si>
    <t>7a335334-06e7-48a8-9fde-957ccd5e85a6</t>
  </si>
  <si>
    <t>NSU0044</t>
  </si>
  <si>
    <t>ASUVTC001572</t>
  </si>
  <si>
    <t>1b12f38f-32f2-4f65-9b12-d053f0328147</t>
  </si>
  <si>
    <t>ASUVTC001573</t>
  </si>
  <si>
    <t>615f2d83-8ce7-4cee-b8f7-b45cc6058c89</t>
  </si>
  <si>
    <t>ASUVTC001574</t>
  </si>
  <si>
    <t>9194f9df-611f-4a61-bbc1-7db0d4536306</t>
  </si>
  <si>
    <t>NSU0045</t>
  </si>
  <si>
    <t>ASUVTC001575</t>
  </si>
  <si>
    <t>4b67817f-9d1d-4df4-8854-c47ce8d648bb</t>
  </si>
  <si>
    <t>ASUVTC001576</t>
  </si>
  <si>
    <t>2024-01-22T23:57:03.785Z</t>
  </si>
  <si>
    <t>905a5619-d822-4050-b2ff-abb295410002</t>
  </si>
  <si>
    <t>Trap: Line 3-6</t>
  </si>
  <si>
    <t>NSU0046</t>
  </si>
  <si>
    <t>ASUVTC001577</t>
  </si>
  <si>
    <t>a452ceab-a59b-4509-beba-1f37b1d7b5de</t>
  </si>
  <si>
    <t>ASUVTC001578</t>
  </si>
  <si>
    <t>9f18a5b4-52ee-4a67-9cac-1caa542203da</t>
  </si>
  <si>
    <t>Trap: Line 4-7</t>
  </si>
  <si>
    <t>NSU0047</t>
  </si>
  <si>
    <t>ASUVTC001579</t>
  </si>
  <si>
    <t>2024-01-22T23:57:03.799Z</t>
  </si>
  <si>
    <t>6ad1a8cb-d5ce-490f-9ac7-26b0d76fc961</t>
  </si>
  <si>
    <t>ASUVTC001580</t>
  </si>
  <si>
    <t>af32ce3d-f341-4619-bd4a-4c791630aece</t>
  </si>
  <si>
    <t>ASUVTC001581</t>
  </si>
  <si>
    <t>06f7acdb-7c31-4e21-9951-ef70d5a23d13</t>
  </si>
  <si>
    <t>Trap: Line 3-8</t>
  </si>
  <si>
    <t>NSU0048</t>
  </si>
  <si>
    <t>ASUVTC001582</t>
  </si>
  <si>
    <t>3661e7eb-95d9-4f73-bfad-c55063bec7c3</t>
  </si>
  <si>
    <t>ASUVTC001583</t>
  </si>
  <si>
    <t>253e55d3-e0ce-4146-bd89-856fa53c7a88</t>
  </si>
  <si>
    <t>NSU0049</t>
  </si>
  <si>
    <t>ASUVTC001584</t>
  </si>
  <si>
    <t>fa1f1b48-f7bf-488a-bbaf-ef55ca014d2f</t>
  </si>
  <si>
    <t>ASUVTC001585</t>
  </si>
  <si>
    <t>2024-01-22T23:57:03.800Z</t>
  </si>
  <si>
    <t>b9696798-d398-4b04-8de9-018fadfcb55c</t>
  </si>
  <si>
    <t>NSU0050</t>
  </si>
  <si>
    <t>ASUVTC001586</t>
  </si>
  <si>
    <t>2024-01-22T23:57:03.833Z</t>
  </si>
  <si>
    <t>43f358b8-0e4e-4e1b-9feb-8b0bf9b25958</t>
  </si>
  <si>
    <t>ASUVTC001587</t>
  </si>
  <si>
    <t>2024-01-22T23:57:03.839Z</t>
  </si>
  <si>
    <t>47a76c3b-fd07-40a2-85aa-e15d3e49fc34</t>
  </si>
  <si>
    <t>NSU0051</t>
  </si>
  <si>
    <t>ASUVTC001588</t>
  </si>
  <si>
    <t>2024-01-22T23:57:03.844Z</t>
  </si>
  <si>
    <t>cee1f6e1-31bb-41b1-bd4a-d29be223e2a7</t>
  </si>
  <si>
    <t>ASUVTC001589</t>
  </si>
  <si>
    <t>2024-01-22T23:57:03.853Z</t>
  </si>
  <si>
    <t>c91992db-619f-485d-95d9-3d44a4750d24</t>
  </si>
  <si>
    <t>Santa Catalina Mts., Oracle Ridge Trailhead</t>
  </si>
  <si>
    <t>Trap: Camp; elevation obtained from USGS NationalMap Tool</t>
  </si>
  <si>
    <t>CFN</t>
  </si>
  <si>
    <t>NSU0052</t>
  </si>
  <si>
    <t>{ "measurements" : "TOT: 106, TV: 56, HFL: 16, EAR: 12, WGT: 5 g" , "preservationFluid" : "70 percent ethanol, formalin fixed" }</t>
  </si>
  <si>
    <t>Mammae #: Ax. 0 Ab. 0 Ing. 0 | Mammae Condition: Sm. | Vagina condition: | Reproductive Stage: | Embryos: | Placental scars:</t>
  </si>
  <si>
    <t>originatingSampleOf (blood): https://csvcoll.org/portal/collections/individual/index.php?guid=6e79d0fc-0289-4ca2-abca-08efe0c128d9 | originatingSampleOf (tissue): https://csvcoll.org/portal/collections/individual/index.php?guid=1dc38fab-6d69-4c0d-ae2f-6f1bea37e96c | originatingSampleOf (tissue): https://csvcoll.org/portal/collections/individual/index.php?guid=9eceae76-48c1-4230-8e21-c41dcd8e8fe3 | originatingSampleOf (tissue): https://csvcoll.org/portal/collections/individual/index.php?guid=8b6487f0-34d0-4039-ab24-c751800ccf21 | originatingSampleOf (tissue): https://csvcoll.org/portal/collections/individual/index.php?guid=3796d5a9-b56e-4e42-8676-c2c93b7416f1 | originatingSampleOf (tissue): https://csvcoll.org/portal/collections/individual/index.php?guid=58b0c7ad-8db0-4b02-888b-b2b7487b3564 | originatingSampleOf (tissue): https://csvcoll.org/portal/collections/individual/index.php?guid=4fd772eb-f047-47e3-b4a6-090ba15089fd</t>
  </si>
  <si>
    <t>ASUMAC008957</t>
  </si>
  <si>
    <t>1dc38fab-6d69-4c0d-ae2f-6f1bea37e96c</t>
  </si>
  <si>
    <t>subsampleOf (tissue): https://csvcoll.org/portal/collections/individual/index.php?guid=c91992db-619f-485d-95d9-3d44a4750d24</t>
  </si>
  <si>
    <t>ASUVTC001996</t>
  </si>
  <si>
    <t>2024-01-22T23:57:03.764Z</t>
  </si>
  <si>
    <t>9eceae76-48c1-4230-8e21-c41dcd8e8fe3</t>
  </si>
  <si>
    <t>ASUVTC001997</t>
  </si>
  <si>
    <t>8b6487f0-34d0-4039-ab24-c751800ccf21</t>
  </si>
  <si>
    <t>ASUVTC001998</t>
  </si>
  <si>
    <t>2024-01-22T23:57:03.763Z</t>
  </si>
  <si>
    <t>3796d5a9-b56e-4e42-8676-c2c93b7416f1</t>
  </si>
  <si>
    <t>whole GI</t>
  </si>
  <si>
    <t>ASUVTC001999</t>
  </si>
  <si>
    <t>2024-01-22T23:57:03.762Z</t>
  </si>
  <si>
    <t>58b0c7ad-8db0-4b02-888b-b2b7487b3564</t>
  </si>
  <si>
    <t>ASUVTC002000</t>
  </si>
  <si>
    <t>2024-01-22T23:57:03.771Z</t>
  </si>
  <si>
    <t>4fd772eb-f047-47e3-b4a6-090ba15089fd</t>
  </si>
  <si>
    <t>subsampleOf (blood): https://csvcoll.org/portal/collections/individual/index.php?guid=c91992db-619f-485d-95d9-3d44a4750d24</t>
  </si>
  <si>
    <t>ASUVTC002001</t>
  </si>
  <si>
    <t>6e79d0fc-0289-4ca2-abca-08efe0c128d9</t>
  </si>
  <si>
    <t>ASUVTC002038</t>
  </si>
  <si>
    <t>26043dbc-0d93-4bd4-bb24-9329d5db46ae</t>
  </si>
  <si>
    <t>Santa Catalina Mts., Green Spring</t>
  </si>
  <si>
    <t>NSU0053</t>
  </si>
  <si>
    <t>{ "measurements" : "TOT: 179, TV: 95, HFL: 23, EAR: 19, WGT: 17 g" , "preservationFluid" : "70 percent ethanol, formalin fixed" }</t>
  </si>
  <si>
    <t>originatingSampleOf (tissue): https://csvcoll.org/portal/collections/individual/index.php?guid=deef33db-a56e-478f-b6c6-5c80c947b70b | originatingSampleOf (blood): https://csvcoll.org/portal/collections/individual/index.php?guid=e7295a79-e927-4cc1-82f1-7f3a5e1f6471 | originatingSampleOf (tissue): https://csvcoll.org/portal/collections/individual/index.php?guid=ebb9242f-f5c6-4845-b136-d243e2684da0 | originatingSampleOf (tissue): https://csvcoll.org/portal/collections/individual/index.php?guid=30514919-1c5d-4f66-8457-690fcc22ed83 | originatingSampleOf (tissue): https://csvcoll.org/portal/collections/individual/index.php?guid=da509bea-4fff-4d97-8c4f-8e97f8a3e282 | hostOf (tissue): https://csvcoll.org/portal/collections/individual/index.php?guid=e66782d9-a048-429b-bf44-3dca1b2ebf7c | originatingSampleOf (fecal): https://csvcoll.org/portal/collections/individual/index.php?guid=5b56b8c0-598f-4526-8e8e-f8257e4edae1 | originatingSampleOf (tissue): https://csvcoll.org/portal/collections/individual/index.php?guid=01e924e3-eea4-4ac0-b631-2711f352f9ca | originatingSampleOf (tissue): https://csvcoll.org/portal/collections/individual/index.php?guid=99de2b31-4bf3-4472-a743-de67a7434ea2</t>
  </si>
  <si>
    <t>ASUMAC008949</t>
  </si>
  <si>
    <t>Upham, Nathan S.; Rowsey, Dakota M.; Hess, Savage C.; Zamora Chavez, Luisa; Liao, Rosie; Baez, Justin; Rivera, Damien; Kleker, Dorea; Gilbert Kleker, Aven; Bucci, Melanie E.; Dean, Brianna M.; Alston, Jesse M.</t>
  </si>
  <si>
    <t>2024-01-23T19:40:09.340Z</t>
  </si>
  <si>
    <t>ebb9242f-f5c6-4845-b136-d243e2684da0</t>
  </si>
  <si>
    <t>hasHost (tissue): https://csvcoll.org/portal/collections/individual/index.php?guid=26043dbc-0d93-4bd4-bb24-9329d5db46ae</t>
  </si>
  <si>
    <t>ASUVTC001590</t>
  </si>
  <si>
    <t>30514919-1c5d-4f66-8457-690fcc22ed83</t>
  </si>
  <si>
    <t>subsampleOf (tissue): https://csvcoll.org/portal/collections/individual/index.php?guid=26043dbc-0d93-4bd4-bb24-9329d5db46ae</t>
  </si>
  <si>
    <t>ASUVTC001591</t>
  </si>
  <si>
    <t>2024-01-22T23:57:03.842Z</t>
  </si>
  <si>
    <t>da509bea-4fff-4d97-8c4f-8e97f8a3e282</t>
  </si>
  <si>
    <t>ASUVTC001592</t>
  </si>
  <si>
    <t>e66782d9-a048-429b-bf44-3dca1b2ebf7c</t>
  </si>
  <si>
    <t>ASUVTC001593</t>
  </si>
  <si>
    <t>5b56b8c0-598f-4526-8e8e-f8257e4edae1</t>
  </si>
  <si>
    <t>subsampleOf (blood): https://csvcoll.org/portal/collections/individual/index.php?guid=26043dbc-0d93-4bd4-bb24-9329d5db46ae</t>
  </si>
  <si>
    <t>ASUVTC001594</t>
  </si>
  <si>
    <t>01e924e3-eea4-4ac0-b631-2711f352f9ca</t>
  </si>
  <si>
    <t>ASUVTC001747</t>
  </si>
  <si>
    <t>2024-01-22T23:57:03.599Z</t>
  </si>
  <si>
    <t>99de2b31-4bf3-4472-a743-de67a7434ea2</t>
  </si>
  <si>
    <t>subsampleOf (fecal): https://csvcoll.org/portal/collections/individual/index.php?guid=26043dbc-0d93-4bd4-bb24-9329d5db46ae</t>
  </si>
  <si>
    <t>ASUVTC001748</t>
  </si>
  <si>
    <t>2024-01-22T23:57:03.605Z</t>
  </si>
  <si>
    <t>deef33db-a56e-478f-b6c6-5c80c947b70b</t>
  </si>
  <si>
    <t>ASUVTC001823</t>
  </si>
  <si>
    <t>e7295a79-e927-4cc1-82f1-7f3a5e1f6471</t>
  </si>
  <si>
    <t>ASUVTC002018</t>
  </si>
  <si>
    <t>7dc7d74d-fe0b-4184-8a81-7b7643e83acb</t>
  </si>
  <si>
    <t>NSU0054</t>
  </si>
  <si>
    <t>{ "measurements" : "TOT: 203, TV: 108, HFL: 23.5, EAR: 19, WGT: 16 g" , "preservationFluid" : "70 percent ethanol, formalin fixed" }</t>
  </si>
  <si>
    <t>Testes Position: Scrot. | Testis size: 12 x 7 R | Epididymis: Con.</t>
  </si>
  <si>
    <t>originatingSampleOf (blood): https://csvcoll.org/portal/collections/individual/index.php?guid=e016aa57-650a-4444-a7ab-989b0d78c771 | originatingSampleOf (tissue): https://csvcoll.org/portal/collections/individual/index.php?guid=2f1fb4af-59f5-4e8f-91f9-1e83d18a200c | originatingSampleOf (tissue): https://csvcoll.org/portal/collections/individual/index.php?guid=ba35d71e-b4b6-4307-a438-11c8ca89341b | originatingSampleOf (tissue): https://csvcoll.org/portal/collections/individual/index.php?guid=b9149ddf-a1a6-4803-a7c7-870072600b54 | hostOf (tissue): https://csvcoll.org/portal/collections/individual/index.php?guid=2aee589a-3980-405d-822f-0a637ec8bc4a | originatingSampleOf (fecal): https://csvcoll.org/portal/collections/individual/index.php?guid=2e6248d1-e243-4f49-a18e-61ddb61928ea | originatingSampleOf (tissue): https://csvcoll.org/portal/collections/individual/index.php?guid=19fd6894-e12e-4f66-a2b8-1972700d4d7d | originatingSampleOf (tissue): https://csvcoll.org/portal/collections/individual/index.php?guid=ceeff3a5-f19f-4418-b6b9-e64a60679521</t>
  </si>
  <si>
    <t>ASUMAC008958</t>
  </si>
  <si>
    <t>2024-01-23T19:40:09.314Z</t>
  </si>
  <si>
    <t>2f1fb4af-59f5-4e8f-91f9-1e83d18a200c</t>
  </si>
  <si>
    <t>subsampleOf (tissue): https://csvcoll.org/portal/collections/individual/index.php?guid=7dc7d74d-fe0b-4184-8a81-7b7643e83acb</t>
  </si>
  <si>
    <t>ASUVTC001595</t>
  </si>
  <si>
    <t>2024-01-22T23:57:03.852Z</t>
  </si>
  <si>
    <t>ba35d71e-b4b6-4307-a438-11c8ca89341b</t>
  </si>
  <si>
    <t>ASUVTC001596</t>
  </si>
  <si>
    <t>2024-01-22T23:57:03.831Z</t>
  </si>
  <si>
    <t>b9149ddf-a1a6-4803-a7c7-870072600b54</t>
  </si>
  <si>
    <t>ASUVTC001597</t>
  </si>
  <si>
    <t>2aee589a-3980-405d-822f-0a637ec8bc4a</t>
  </si>
  <si>
    <t>subsampleOf (fecal): https://csvcoll.org/portal/collections/individual/index.php?guid=7dc7d74d-fe0b-4184-8a81-7b7643e83acb</t>
  </si>
  <si>
    <t>ASUVTC001598</t>
  </si>
  <si>
    <t>2e6248d1-e243-4f49-a18e-61ddb61928ea</t>
  </si>
  <si>
    <t>hasHost (tissue): https://csvcoll.org/portal/collections/individual/index.php?guid=7dc7d74d-fe0b-4184-8a81-7b7643e83acb</t>
  </si>
  <si>
    <t>ASUVTC001599</t>
  </si>
  <si>
    <t>2024-01-22T23:57:03.822Z</t>
  </si>
  <si>
    <t>19fd6894-e12e-4f66-a2b8-1972700d4d7d</t>
  </si>
  <si>
    <t>ASUVTC002002</t>
  </si>
  <si>
    <t>2024-01-22T23:57:03.760Z</t>
  </si>
  <si>
    <t>ceeff3a5-f19f-4418-b6b9-e64a60679521</t>
  </si>
  <si>
    <t>subsampleOf (blood): https://csvcoll.org/portal/collections/individual/index.php?guid=7dc7d74d-fe0b-4184-8a81-7b7643e83acb</t>
  </si>
  <si>
    <t>ASUVTC002003</t>
  </si>
  <si>
    <t>2024-01-22T23:57:03.758Z</t>
  </si>
  <si>
    <t>e016aa57-650a-4444-a7ab-989b0d78c771</t>
  </si>
  <si>
    <t>ASUVTC002019</t>
  </si>
  <si>
    <t>ba1f677b-a06c-4dd7-adcc-8f300242eed3</t>
  </si>
  <si>
    <t>NSU0055</t>
  </si>
  <si>
    <t>ASUVTC001600</t>
  </si>
  <si>
    <t>2e54ae73-f7b4-468c-8dfa-d9247923138f</t>
  </si>
  <si>
    <t>ASUVTC001601</t>
  </si>
  <si>
    <t>44497de5-30b7-4e75-a0d2-ae9654405c16</t>
  </si>
  <si>
    <t>NSU0056</t>
  </si>
  <si>
    <t>{ "measurements" : "TOT: 189, TV: 98, HFL: 23, EAR: 18, WGT: 24 g" , "preservationFluid" : "70 percent ethanol, formalin fixed" }</t>
  </si>
  <si>
    <t>Testes Position: Scrot. | Testis size: 11 x 9 R | Epididymis: Con.</t>
  </si>
  <si>
    <t>originatingSampleOf (blood): https://csvcoll.org/portal/collections/individual/index.php?guid=9a13fe59-723a-4e2e-ae4b-b372b0464a2e | originatingSampleOf (tissue): https://csvcoll.org/portal/collections/individual/index.php?guid=1a0d97f0-ce2a-43c7-996d-2f9e64841cfc | originatingSampleOf (tissue): https://csvcoll.org/portal/collections/individual/index.php?guid=bf20d5b2-dbbb-4a20-9985-0b73dd10b9a2 | originatingSampleOf (tissue): https://csvcoll.org/portal/collections/individual/index.php?guid=0fa34321-dd27-42b1-8d80-a1c2aefb4f9c | hostOf (tissue): https://csvcoll.org/portal/collections/individual/index.php?guid=de466a61-9f3c-423b-afc9-061a0897daf4 | originatingSampleOf (fecal): https://csvcoll.org/portal/collections/individual/index.php?guid=23321e86-a032-4eca-a873-560cb4da5b51 | originatingSampleOf (tissue): https://csvcoll.org/portal/collections/individual/index.php?guid=f4752481-d456-4e8b-be3b-35caeb25856d | originatingSampleOf (tissue): https://csvcoll.org/portal/collections/individual/index.php?guid=e956ba19-b2a7-4576-855c-1a44866fe0bd</t>
  </si>
  <si>
    <t>ASUMAC008959</t>
  </si>
  <si>
    <t>2024-01-23T19:40:09.324Z</t>
  </si>
  <si>
    <t>1a0d97f0-ce2a-43c7-996d-2f9e64841cfc</t>
  </si>
  <si>
    <t>subsampleOf (tissue): https://csvcoll.org/portal/collections/individual/index.php?guid=44497de5-30b7-4e75-a0d2-ae9654405c16</t>
  </si>
  <si>
    <t>ASUVTC001602</t>
  </si>
  <si>
    <t>2024-01-22T23:57:03.879Z</t>
  </si>
  <si>
    <t>bf20d5b2-dbbb-4a20-9985-0b73dd10b9a2</t>
  </si>
  <si>
    <t>subsampleOf (fecal): https://csvcoll.org/portal/collections/individual/index.php?guid=44497de5-30b7-4e75-a0d2-ae9654405c16</t>
  </si>
  <si>
    <t>ASUVTC001603</t>
  </si>
  <si>
    <t>0fa34321-dd27-42b1-8d80-a1c2aefb4f9c</t>
  </si>
  <si>
    <t>hasHost (tissue): https://csvcoll.org/portal/collections/individual/index.php?guid=44497de5-30b7-4e75-a0d2-ae9654405c16</t>
  </si>
  <si>
    <t>ASUVTC001604</t>
  </si>
  <si>
    <t>de466a61-9f3c-423b-afc9-061a0897daf4</t>
  </si>
  <si>
    <t>ASUVTC001605</t>
  </si>
  <si>
    <t>23321e86-a032-4eca-a873-560cb4da5b51</t>
  </si>
  <si>
    <t>ASUVTC001606</t>
  </si>
  <si>
    <t>2024-01-22T23:57:03.896Z</t>
  </si>
  <si>
    <t>9a13fe59-723a-4e2e-ae4b-b372b0464a2e</t>
  </si>
  <si>
    <t>ASUVTC002020</t>
  </si>
  <si>
    <t>f4752481-d456-4e8b-be3b-35caeb25856d</t>
  </si>
  <si>
    <t>subsampleOf (blood): https://csvcoll.org/portal/collections/individual/index.php?guid=44497de5-30b7-4e75-a0d2-ae9654405c16</t>
  </si>
  <si>
    <t>ASUVTC002084</t>
  </si>
  <si>
    <t>e956ba19-b2a7-4576-855c-1a44866fe0bd</t>
  </si>
  <si>
    <t>ASUVTC002085</t>
  </si>
  <si>
    <t>6ddebdaf-447e-441f-9834-0ed796f10406</t>
  </si>
  <si>
    <t>NSU0057</t>
  </si>
  <si>
    <t>ASUVTC001607</t>
  </si>
  <si>
    <t>2024-01-22T23:57:03.880Z</t>
  </si>
  <si>
    <t>a57a42ee-d379-40a6-89b6-2a0e17c775f5</t>
  </si>
  <si>
    <t>ASUVTC001608</t>
  </si>
  <si>
    <t>2024-01-22T23:57:03.876Z</t>
  </si>
  <si>
    <t>6598d833-3633-4b20-be18-dc6c4d45d491</t>
  </si>
  <si>
    <t>ASUVTC001609</t>
  </si>
  <si>
    <t>2024-01-22T23:57:03.881Z</t>
  </si>
  <si>
    <t>a8c10902-b78c-4a8c-9d23-dc210f1e8204</t>
  </si>
  <si>
    <t>NSU0058</t>
  </si>
  <si>
    <t>ASUVTC001610</t>
  </si>
  <si>
    <t>f1276057-2c0b-4b1d-b323-dd5436fc9c7b</t>
  </si>
  <si>
    <t>ASUVTC001611</t>
  </si>
  <si>
    <t>2024-01-22T23:57:03.921Z</t>
  </si>
  <si>
    <t>323e05d8-f60e-445f-8498-747a9b2e3544</t>
  </si>
  <si>
    <t>Trap: Line 1-7</t>
  </si>
  <si>
    <t>NSU0059</t>
  </si>
  <si>
    <t>ASUVTC001612</t>
  </si>
  <si>
    <t>2024-01-22T23:57:03.878Z</t>
  </si>
  <si>
    <t>54d72294-0a07-45ac-ad51-756330b13e8b</t>
  </si>
  <si>
    <t>ASUVTC001613</t>
  </si>
  <si>
    <t>2024-01-22T23:57:03.889Z</t>
  </si>
  <si>
    <t>f2a0103b-a5f9-408d-9280-518837a750df</t>
  </si>
  <si>
    <t>Trap: Line 1-8</t>
  </si>
  <si>
    <t>NSU0060</t>
  </si>
  <si>
    <t>ASUVTC001614</t>
  </si>
  <si>
    <t>2024-01-22T23:57:03.893Z</t>
  </si>
  <si>
    <t>2657c5cd-5cb4-4646-9067-5d568689757a</t>
  </si>
  <si>
    <t>ASUVTC001615</t>
  </si>
  <si>
    <t>e18ecc98-c171-4efa-8758-b15a468a797b</t>
  </si>
  <si>
    <t>ASUVTC001616</t>
  </si>
  <si>
    <t>28c7d262-865c-4197-ad39-fa63441ef6a7</t>
  </si>
  <si>
    <t>NSU0061</t>
  </si>
  <si>
    <t>ASUVTC001617</t>
  </si>
  <si>
    <t>2024-01-22T23:57:03.873Z</t>
  </si>
  <si>
    <t>cd5c7948-4b66-4d9e-be63-6bd126860c92</t>
  </si>
  <si>
    <t>ASUVTC001618</t>
  </si>
  <si>
    <t>133860fc-87b2-4d80-b595-2df9af49f3b1</t>
  </si>
  <si>
    <t>Trap: Line 1-9</t>
  </si>
  <si>
    <t>NSU0062</t>
  </si>
  <si>
    <t>ASUVTC001619</t>
  </si>
  <si>
    <t>2024-01-22T23:57:03.872Z</t>
  </si>
  <si>
    <t>cf91b215-cff2-415b-b50c-4bfc06e5e13d</t>
  </si>
  <si>
    <t>ASUVTC001620</t>
  </si>
  <si>
    <t>8dc06020-e8fa-4efc-9fc8-5a2b39729779</t>
  </si>
  <si>
    <t>ASUVTC001621</t>
  </si>
  <si>
    <t>38168187-258c-4c96-b3a6-80fd146a8a32</t>
  </si>
  <si>
    <t>NSU0063</t>
  </si>
  <si>
    <t>ASUVTC001622</t>
  </si>
  <si>
    <t>497e7444-ecde-404d-80cc-bbdbb13aca9e</t>
  </si>
  <si>
    <t>ASUVTC001623</t>
  </si>
  <si>
    <t>61d64aba-82ab-4897-bff2-64c7d5b67596</t>
  </si>
  <si>
    <t>NSU0064</t>
  </si>
  <si>
    <t>ASUVTC001624</t>
  </si>
  <si>
    <t>e94aaeb9-7b15-47c2-b6c6-d13d3968c3aa</t>
  </si>
  <si>
    <t>ASUVTC001625</t>
  </si>
  <si>
    <t>b870ced3-cbf0-44ec-b395-c620e1b5fa92</t>
  </si>
  <si>
    <t>Trap: Line 1-10</t>
  </si>
  <si>
    <t>NSU0065</t>
  </si>
  <si>
    <t>ASUVTC001626</t>
  </si>
  <si>
    <t>2024-01-22T23:57:03.901Z</t>
  </si>
  <si>
    <t>a78162f6-43b2-4ca1-820c-53e1b6dab253</t>
  </si>
  <si>
    <t>ASUVTC001627</t>
  </si>
  <si>
    <t>377043a3-5733-448f-b9fb-260a93b92c7a</t>
  </si>
  <si>
    <t>NSU0066</t>
  </si>
  <si>
    <t>ASUVTC001628</t>
  </si>
  <si>
    <t>2024-01-22T23:57:03.902Z</t>
  </si>
  <si>
    <t>162f6aa1-514a-4a63-bb03-ed213a52e9ad</t>
  </si>
  <si>
    <t>ASUVTC001629</t>
  </si>
  <si>
    <t>8a7bcf65-a261-4250-bd88-f0348f22ca18</t>
  </si>
  <si>
    <t>NSU0067</t>
  </si>
  <si>
    <t>ASUVTC001630</t>
  </si>
  <si>
    <t>028b1378-8e00-4b0f-a55e-7b74d327d166</t>
  </si>
  <si>
    <t>ASUVTC001631</t>
  </si>
  <si>
    <t>2024-01-22T23:57:03.905Z</t>
  </si>
  <si>
    <t>708f8bcb-53a1-4ddd-a4db-1131e0b40180</t>
  </si>
  <si>
    <t>Trap: Line 1-11</t>
  </si>
  <si>
    <t>NSU0068</t>
  </si>
  <si>
    <t>ASUVTC001632</t>
  </si>
  <si>
    <t>2024-01-22T23:57:03.895Z</t>
  </si>
  <si>
    <t>520dd056-9a47-45a3-89d1-21d2cea14acc</t>
  </si>
  <si>
    <t>ASUVTC001633</t>
  </si>
  <si>
    <t>3f5eca17-62b6-4037-b2c0-ccfb0e8df8f3</t>
  </si>
  <si>
    <t>NSU0069/NSU0082</t>
  </si>
  <si>
    <t>ASUVTC001634</t>
  </si>
  <si>
    <t>9b3a3e8b-ca32-438b-b111-b41521f0074b</t>
  </si>
  <si>
    <t>ASUVTC001635</t>
  </si>
  <si>
    <t>2024-01-22T23:57:03.897Z</t>
  </si>
  <si>
    <t>e3defc39-9046-49bd-a356-bac9e7be48f0</t>
  </si>
  <si>
    <t>ASUVTC001659</t>
  </si>
  <si>
    <t>2024-01-22T23:57:03.911Z</t>
  </si>
  <si>
    <t>6ebc295d-9d41-4eea-88ca-7ddf8f940266</t>
  </si>
  <si>
    <t>ASUVTC001660</t>
  </si>
  <si>
    <t>2024-01-22T23:57:03.913Z</t>
  </si>
  <si>
    <t>dc06c32d-7242-436c-bb0d-c9e1b6b18f30</t>
  </si>
  <si>
    <t>NSU0070</t>
  </si>
  <si>
    <t>ASUVTC001636</t>
  </si>
  <si>
    <t>ab0d590c-4953-4a66-8ffb-de0dcae67295</t>
  </si>
  <si>
    <t>ASUVTC001637</t>
  </si>
  <si>
    <t>2024-01-22T23:57:03.887Z</t>
  </si>
  <si>
    <t>cc489138-54c7-4830-8082-f6310eece5a5</t>
  </si>
  <si>
    <t>NSU0071</t>
  </si>
  <si>
    <t>ASUVTC001638</t>
  </si>
  <si>
    <t>2024-01-22T23:57:03.888Z</t>
  </si>
  <si>
    <t>a531f910-0fb1-4a94-9190-b3bebef8d30f</t>
  </si>
  <si>
    <t>ASUVTC001639</t>
  </si>
  <si>
    <t>a838bf34-0068-42fe-8d4d-97dc6cdd9e8f</t>
  </si>
  <si>
    <t>NSU0072</t>
  </si>
  <si>
    <t>ASUVTC001640</t>
  </si>
  <si>
    <t>b931c425-1757-4630-996e-749a08dd4a16</t>
  </si>
  <si>
    <t>ASUVTC001641</t>
  </si>
  <si>
    <t>0b07226c-9a6e-4f17-94ca-df1cd6a1092a</t>
  </si>
  <si>
    <t>NSU0073</t>
  </si>
  <si>
    <t>ASUVTC001642</t>
  </si>
  <si>
    <t>2024-01-22T23:57:03.883Z</t>
  </si>
  <si>
    <t>85b26114-ae38-4d91-b2f7-465f1968d385</t>
  </si>
  <si>
    <t>ASUVTC001643</t>
  </si>
  <si>
    <t>fac753b8-a69c-48fc-865b-849743beed38</t>
  </si>
  <si>
    <t>NSU0074</t>
  </si>
  <si>
    <t>ASUVTC001644</t>
  </si>
  <si>
    <t>2024-01-22T23:57:03.891Z</t>
  </si>
  <si>
    <t>0a2e1a17-9843-466b-b5ae-34357c366d0f</t>
  </si>
  <si>
    <t>ASUVTC001645</t>
  </si>
  <si>
    <t>2024-01-22T23:57:03.884Z</t>
  </si>
  <si>
    <t>eee24917-950c-4f0a-a23c-d4fe33bc8481</t>
  </si>
  <si>
    <t>Peromyscus Gloger, 1841</t>
  </si>
  <si>
    <t>Gloger, 1841</t>
  </si>
  <si>
    <t>Trap: Line 3-4</t>
  </si>
  <si>
    <t>NSU0075</t>
  </si>
  <si>
    <t>ASUVTC001646</t>
  </si>
  <si>
    <t>32c9b84c-995f-496d-8250-970a3822eb02</t>
  </si>
  <si>
    <t>NSU0076</t>
  </si>
  <si>
    <t>ASUVTC001647</t>
  </si>
  <si>
    <t>2024-01-22T23:57:03.923Z</t>
  </si>
  <si>
    <t>9c6353a7-1188-41a9-b998-c9a55c4a8381</t>
  </si>
  <si>
    <t>ASUVTC001648</t>
  </si>
  <si>
    <t>2024-01-22T23:57:03.922Z</t>
  </si>
  <si>
    <t>644e73b5-fe82-4a55-8d80-139e81f3c2ec</t>
  </si>
  <si>
    <t>Trap: Line 5-1; elevation obtained from USGS NationalMap</t>
  </si>
  <si>
    <t>NSU0077</t>
  </si>
  <si>
    <t>ASUVTC001649</t>
  </si>
  <si>
    <t>2024-01-22T23:57:03.924Z</t>
  </si>
  <si>
    <t>7bd660e7-2759-4d98-b94d-4a5e692cc9d8</t>
  </si>
  <si>
    <t>ASUVTC001650</t>
  </si>
  <si>
    <t>2024-01-22T23:57:03.926Z</t>
  </si>
  <si>
    <t>691afc7e-e469-48c8-8846-215ce33f4272</t>
  </si>
  <si>
    <t>Trap: Line 5-2; elevation obtained from USGS NationalMap</t>
  </si>
  <si>
    <t>NSU0078</t>
  </si>
  <si>
    <t>ASUVTC001651</t>
  </si>
  <si>
    <t>2024-01-22T23:57:03.925Z</t>
  </si>
  <si>
    <t>05cc9a47-4cee-470a-9cf8-6c61a6f2ac30</t>
  </si>
  <si>
    <t>ASUVTC001652</t>
  </si>
  <si>
    <t>2024-01-22T23:57:03.916Z</t>
  </si>
  <si>
    <t>0393658c-38d1-4a41-a172-5b2b00c1c68c</t>
  </si>
  <si>
    <t>NSU0079</t>
  </si>
  <si>
    <t>ASUVTC001653</t>
  </si>
  <si>
    <t>2024-01-22T23:57:03.917Z</t>
  </si>
  <si>
    <t>0425f597-c4c7-4a2f-9ab6-59fd0ce83992</t>
  </si>
  <si>
    <t>ASUVTC001654</t>
  </si>
  <si>
    <t>2024-01-22T23:57:03.918Z</t>
  </si>
  <si>
    <t>97ef88f8-6a14-4910-bcec-80f69ba6641b</t>
  </si>
  <si>
    <t>Trap: Line 5-3; elevation obtained from USGS NationalMap</t>
  </si>
  <si>
    <t>NSU0080</t>
  </si>
  <si>
    <t>ASUVTC001655</t>
  </si>
  <si>
    <t>2024-01-22T23:57:03.919Z</t>
  </si>
  <si>
    <t>7cee4c4a-0c90-4c8a-8f10-e819569014e4</t>
  </si>
  <si>
    <t>ASUVTC001656</t>
  </si>
  <si>
    <t>6aaf2b71-cd4f-4c7a-aabe-9dd809700f08</t>
  </si>
  <si>
    <t>NSU0081</t>
  </si>
  <si>
    <t>ASUVTC001657</t>
  </si>
  <si>
    <t>2024-01-22T23:57:03.912Z</t>
  </si>
  <si>
    <t>c7f4b7bb-0c3c-4732-87e3-7596521d1cf8</t>
  </si>
  <si>
    <t>ASUVTC001658</t>
  </si>
  <si>
    <t>3a8a83c5-688c-4254-abce-de64449160ce</t>
  </si>
  <si>
    <t>NSU0083</t>
  </si>
  <si>
    <t>{ "measurements" : "TOT: 212, TV: 88, HFL: 34, EAR: 20, WGT: 57 g" , "preservationFluid" : "70 percent ethanol, formalin fixed" }</t>
  </si>
  <si>
    <t>Testes Position: Abd. | Testis size: 5 x 3 R | Epididymis: Not Con.</t>
  </si>
  <si>
    <t>originatingSampleOf (blood): https://csvcoll.org/portal/collections/individual/index.php?guid=4bfd9597-4247-4680-bf92-0f2e5b88a552 | originatingSampleOf (tissue): https://csvcoll.org/portal/collections/individual/index.php?guid=7fdaca4d-9e42-41dd-a765-7bd3669b206c | originatingSampleOf (tissue): https://csvcoll.org/portal/collections/individual/index.php?guid=9ec233c7-07c1-489a-a181-c5c614cfadb0 | originatingSampleOf (tissue): https://csvcoll.org/portal/collections/individual/index.php?guid=b7d633de-9505-49c5-889e-7280c62ebe15 | hostOf (tissue): https://csvcoll.org/portal/collections/individual/index.php?guid=846c95dd-7995-4abc-8657-94b58b3e8277 | originatingSampleOf (fecal): https://csvcoll.org/portal/collections/individual/index.php?guid=7daa9a1a-e02e-42b1-a4f2-672e194ba004 | originatingSampleOf (tissue): https://csvcoll.org/portal/collections/individual/index.php?guid=c2cb104a-0d21-441a-9c6a-a97e11ada436 | originatingSampleOf (tissue): https://csvcoll.org/portal/collections/individual/index.php?guid=f15aa356-ad21-497e-bc92-908bd9f2398f | originatingSampleOf: https://csvcoll.org/portal/collections/individual/index.php?guid=93b23f29-5cd8-477b-904e-1156989d6029</t>
  </si>
  <si>
    <t>ASUMAC008952</t>
  </si>
  <si>
    <t>2024-01-23T19:40:09.306Z</t>
  </si>
  <si>
    <t>7fdaca4d-9e42-41dd-a765-7bd3669b206c</t>
  </si>
  <si>
    <t>hasHost (tissue): https://csvcoll.org/portal/collections/individual/index.php?guid=3a8a83c5-688c-4254-abce-de64449160ce</t>
  </si>
  <si>
    <t>ASUVTC001661</t>
  </si>
  <si>
    <t>9ec233c7-07c1-489a-a181-c5c614cfadb0</t>
  </si>
  <si>
    <t>subsampleOf (tissue): https://csvcoll.org/portal/collections/individual/index.php?guid=3a8a83c5-688c-4254-abce-de64449160ce</t>
  </si>
  <si>
    <t>ASUVTC001662</t>
  </si>
  <si>
    <t>b7d633de-9505-49c5-889e-7280c62ebe15</t>
  </si>
  <si>
    <t>ASUVTC001663</t>
  </si>
  <si>
    <t>846c95dd-7995-4abc-8657-94b58b3e8277</t>
  </si>
  <si>
    <t>ASUVTC001664</t>
  </si>
  <si>
    <t>2024-01-22T23:57:03.910Z</t>
  </si>
  <si>
    <t>7daa9a1a-e02e-42b1-a4f2-672e194ba004</t>
  </si>
  <si>
    <t>subsampleOf (fecal): https://csvcoll.org/portal/collections/individual/index.php?guid=3a8a83c5-688c-4254-abce-de64449160ce</t>
  </si>
  <si>
    <t>ASUVTC001665</t>
  </si>
  <si>
    <t>c2cb104a-0d21-441a-9c6a-a97e11ada436</t>
  </si>
  <si>
    <t>ASUVTC001986</t>
  </si>
  <si>
    <t>f15aa356-ad21-497e-bc92-908bd9f2398f</t>
  </si>
  <si>
    <t>ASUVTC001987</t>
  </si>
  <si>
    <t>2024-01-22T23:57:03.573Z</t>
  </si>
  <si>
    <t>4bfd9597-4247-4680-bf92-0f2e5b88a552</t>
  </si>
  <si>
    <t>subsampleOf (blood): https://csvcoll.org/portal/collections/individual/index.php?guid=3a8a83c5-688c-4254-abce-de64449160ce</t>
  </si>
  <si>
    <t>ASUVTC002021</t>
  </si>
  <si>
    <t>93b23f29-5cd8-477b-904e-1156989d6029</t>
  </si>
  <si>
    <t>{ "measurements" : "TOT: 212, TV: 88, HFL: 34, EAR: 20, WGT: 57 g" , "preservationFluid" : "95 percent ethanol" , "preservationMeans" : "Room Temp"}</t>
  </si>
  <si>
    <t>subsampleOf: https://csvcoll.org/portal/collections/individual/index.php?guid=3a8a83c5-688c-4254-abce-de64449160ce</t>
  </si>
  <si>
    <t>ASUVTC002173</t>
  </si>
  <si>
    <t>2024-01-22T23:57:03.717Z</t>
  </si>
  <si>
    <t>16dea9b6-7534-4a92-a0c9-bbfa1d214869</t>
  </si>
  <si>
    <t>NSU0084</t>
  </si>
  <si>
    <t>{ "measurements" : "TOT: 216, TV: 88, HFL: 35.5, EAR: 20, WGT: 57 g" , "preservationFluid" : "70 percent ethanol, formalin fixed" }</t>
  </si>
  <si>
    <t>originatingSampleOf (blood): https://csvcoll.org/portal/collections/individual/index.php?guid=cdf0273d-f3f4-487c-9dc6-2adb38fa5e40 | originatingSampleOf (tissue): https://csvcoll.org/portal/collections/individual/index.php?guid=1d2a0667-7df3-43df-a443-87fe1c294876 | originatingSampleOf (tissue): https://csvcoll.org/portal/collections/individual/index.php?guid=18f56f6a-fa8b-48c4-a37e-6f75fe4a423f | originatingSampleOf (tissue): https://csvcoll.org/portal/collections/individual/index.php?guid=da5fb488-a600-41fd-ae32-72a26450548e | hostOf (tissue): https://csvcoll.org/portal/collections/individual/index.php?guid=7f40caf1-e197-41aa-b9c7-eb04ee331b35 | originatingSampleOf (fecal): https://csvcoll.org/portal/collections/individual/index.php?guid=4bd35358-35ac-408a-91f7-30ccbb74a1a4 | originatingSampleOf (tissue): https://csvcoll.org/portal/collections/individual/index.php?guid=4225ebc6-3f56-41c6-af9f-b2db4f48976c | originatingSampleOf (tissue): https://csvcoll.org/portal/collections/individual/index.php?guid=a2784214-1b61-4033-a337-006d8b18e0e3</t>
  </si>
  <si>
    <t>ASUMAC008953</t>
  </si>
  <si>
    <t>2024-01-23T19:40:09.321Z</t>
  </si>
  <si>
    <t>1d2a0667-7df3-43df-a443-87fe1c294876</t>
  </si>
  <si>
    <t>subsampleOf (tissue): https://csvcoll.org/portal/collections/individual/index.php?guid=16dea9b6-7534-4a92-a0c9-bbfa1d214869</t>
  </si>
  <si>
    <t>ASUVTC001666</t>
  </si>
  <si>
    <t>2024-01-22T23:57:03.945Z</t>
  </si>
  <si>
    <t>18f56f6a-fa8b-48c4-a37e-6f75fe4a423f</t>
  </si>
  <si>
    <t>ASUVTC001667</t>
  </si>
  <si>
    <t>da5fb488-a600-41fd-ae32-72a26450548e</t>
  </si>
  <si>
    <t>subsampleOf (fecal): https://csvcoll.org/portal/collections/individual/index.php?guid=16dea9b6-7534-4a92-a0c9-bbfa1d214869</t>
  </si>
  <si>
    <t>ASUVTC001668</t>
  </si>
  <si>
    <t>2024-01-22T23:57:03.946Z</t>
  </si>
  <si>
    <t>7f40caf1-e197-41aa-b9c7-eb04ee331b35</t>
  </si>
  <si>
    <t>hasHost (tissue): https://csvcoll.org/portal/collections/individual/index.php?guid=16dea9b6-7534-4a92-a0c9-bbfa1d214869</t>
  </si>
  <si>
    <t>ASUVTC001669</t>
  </si>
  <si>
    <t>4bd35358-35ac-408a-91f7-30ccbb74a1a4</t>
  </si>
  <si>
    <t>ASUVTC001670</t>
  </si>
  <si>
    <t>4225ebc6-3f56-41c6-af9f-b2db4f48976c</t>
  </si>
  <si>
    <t>ASUVTC001988</t>
  </si>
  <si>
    <t>2024-01-22T23:57:03.571Z</t>
  </si>
  <si>
    <t>a2784214-1b61-4033-a337-006d8b18e0e3</t>
  </si>
  <si>
    <t>ASUVTC001989</t>
  </si>
  <si>
    <t>cdf0273d-f3f4-487c-9dc6-2adb38fa5e40</t>
  </si>
  <si>
    <t>subsampleOf (blood): https://csvcoll.org/portal/collections/individual/index.php?guid=16dea9b6-7534-4a92-a0c9-bbfa1d214869</t>
  </si>
  <si>
    <t>ASUVTC002022</t>
  </si>
  <si>
    <t>2024-01-22T23:57:04.071Z</t>
  </si>
  <si>
    <t>de2e8d81-1864-434f-9c48-fd2a045af6c5</t>
  </si>
  <si>
    <t>Trap: Line 1-17; elevation obtained from USGS NationalMap</t>
  </si>
  <si>
    <t>NSU0085</t>
  </si>
  <si>
    <t>{ "measurements" : "TOT: 223, TV: 106, HFL: 35, EAR: 22, WGT: 58 g" , "preservationFluid" : "70 percent ethanol, formalin fixed" }</t>
  </si>
  <si>
    <t>Testes Position: Scrot. | Testis size: 5 x 2 R | Epididymis: Not Con.</t>
  </si>
  <si>
    <t>originatingSampleOf (blood): https://csvcoll.org/portal/collections/individual/index.php?guid=07ffc937-1c40-4da3-9c79-a0a139c11436 | originatingSampleOf (tissue): https://csvcoll.org/portal/collections/individual/index.php?guid=afd137b9-6958-475c-8f0c-7098eda37904 | originatingSampleOf (tissue): https://csvcoll.org/portal/collections/individual/index.php?guid=cf8ef51e-02cd-4d83-afca-ba2d7eec6379 | originatingSampleOf (tissue): https://csvcoll.org/portal/collections/individual/index.php?guid=2c84391d-e13d-4d1c-a548-685afadef709 | hostOf (tissue): https://csvcoll.org/portal/collections/individual/index.php?guid=52817592-9923-4ada-88a9-7f83e10f6e88 | originatingSampleOf (fecal): https://csvcoll.org/portal/collections/individual/index.php?guid=530b2e80-2a53-4164-86fe-16e5d9f0a624 | originatingSampleOf (tissue): https://csvcoll.org/portal/collections/individual/index.php?guid=c0f1b264-1841-4115-a105-af72e8537abd | originatingSampleOf (tissue): https://csvcoll.org/portal/collections/individual/index.php?guid=804dca2e-1224-425c-8b8a-2bfa696a4dab</t>
  </si>
  <si>
    <t>ASUMAC008954</t>
  </si>
  <si>
    <t>afd137b9-6958-475c-8f0c-7098eda37904</t>
  </si>
  <si>
    <t>subsampleOf (fecal): https://csvcoll.org/portal/collections/individual/index.php?guid=de2e8d81-1864-434f-9c48-fd2a045af6c5</t>
  </si>
  <si>
    <t>ASUVTC001671</t>
  </si>
  <si>
    <t>cf8ef51e-02cd-4d83-afca-ba2d7eec6379</t>
  </si>
  <si>
    <t>hasHost (tissue): https://csvcoll.org/portal/collections/individual/index.php?guid=de2e8d81-1864-434f-9c48-fd2a045af6c5</t>
  </si>
  <si>
    <t>ASUVTC001672</t>
  </si>
  <si>
    <t>2c84391d-e13d-4d1c-a548-685afadef709</t>
  </si>
  <si>
    <t>subsampleOf (tissue): https://csvcoll.org/portal/collections/individual/index.php?guid=de2e8d81-1864-434f-9c48-fd2a045af6c5</t>
  </si>
  <si>
    <t>ASUVTC001673</t>
  </si>
  <si>
    <t>52817592-9923-4ada-88a9-7f83e10f6e88</t>
  </si>
  <si>
    <t>ASUVTC001674</t>
  </si>
  <si>
    <t>2024-01-22T23:57:03.936Z</t>
  </si>
  <si>
    <t>530b2e80-2a53-4164-86fe-16e5d9f0a624</t>
  </si>
  <si>
    <t>ASUVTC001675</t>
  </si>
  <si>
    <t>c0f1b264-1841-4115-a105-af72e8537abd</t>
  </si>
  <si>
    <t>ASUVTC001990</t>
  </si>
  <si>
    <t>804dca2e-1224-425c-8b8a-2bfa696a4dab</t>
  </si>
  <si>
    <t>ASUVTC001991</t>
  </si>
  <si>
    <t>2024-01-22T23:57:03.584Z</t>
  </si>
  <si>
    <t>07ffc937-1c40-4da3-9c79-a0a139c11436</t>
  </si>
  <si>
    <t>subsampleOf (blood): https://csvcoll.org/portal/collections/individual/index.php?guid=de2e8d81-1864-434f-9c48-fd2a045af6c5</t>
  </si>
  <si>
    <t>ASUVTC002023</t>
  </si>
  <si>
    <t>2024-01-22T23:57:04.072Z</t>
  </si>
  <si>
    <t>fa7a0f25-fb90-45f4-bbb5-34dc0d7dc9d5</t>
  </si>
  <si>
    <t>Santa Catalina Mts., Bear Wallow beneath General Hitchcock Rd. Overpass</t>
  </si>
  <si>
    <t>NSU0148</t>
  </si>
  <si>
    <t>{ "measurements" : "TOT: 344, TV: 151, HFL: 35, EAR: 26, WGT: 165" , "preservationFluid" : "70 percent ethanol, formalin fixed" }</t>
  </si>
  <si>
    <t>Testes Position: Scrot. | Testis size: 22 x 14 R | Epididymis: Con.</t>
  </si>
  <si>
    <t>originatingSampleOf (fecal): https://csvcoll.org/portal/collections/individual/index.php?guid=fda257c3-700c-4b7e-96a4-35a4eafb408b | hostOf (tissue): https://csvcoll.org/portal/collections/individual/index.php?guid=572b29f5-3be4-40c3-954a-65a96bf22e24 | hostOf (tissue): https://csvcoll.org/portal/collections/individual/index.php?guid=c09b6f26-4ae5-4ba4-ad47-85465d620f70 | originatingSampleOf (tissue): https://csvcoll.org/portal/collections/individual/index.php?guid=c0184d00-8edc-49d7-b0e9-1697a8ff8539 | originatingSampleOf (tissue): https://csvcoll.org/portal/collections/individual/index.php?guid=2a282fd3-d8eb-4806-8a6f-905b80afc62c | originatingSampleOf (tissue): https://csvcoll.org/portal/collections/individual/index.php?guid=39368777-14b7-4154-b0ee-ded575413ae9 | originatingSampleOf (tissue): https://csvcoll.org/portal/collections/individual/index.php?guid=557d6332-c682-4181-a75e-d3acf8c268c6 | originatingSampleOf (tissue): https://csvcoll.org/portal/collections/individual/index.php?guid=c704d2ef-8820-4f53-a773-65028b1c4ef6 | originatingSampleOf (blood): https://csvcoll.org/portal/collections/individual/index.php?guid=7522de59-8fe3-47a2-b346-213f3f044ef4 | originatingSampleOf (tissue): https://csvcoll.org/portal/collections/individual/index.php?guid=08e83a83-2d66-46b8-bb11-9f4b325358bd | originatingSampleOf (tissue): https://csvcoll.org/portal/collections/individual/index.php?guid=2be51b40-e51e-4416-bab7-8a43b7e32e20</t>
  </si>
  <si>
    <t>ASUMAC009005</t>
  </si>
  <si>
    <t>7522de59-8fe3-47a2-b346-213f3f044ef4</t>
  </si>
  <si>
    <t>subsampleOf (tissue): https://csvcoll.org/portal/collections/individual/index.php?guid=fa7a0f25-fb90-45f4-bbb5-34dc0d7dc9d5</t>
  </si>
  <si>
    <t>ASUVTC002075</t>
  </si>
  <si>
    <t>2024-01-22T23:57:03.903Z</t>
  </si>
  <si>
    <t>08e83a83-2d66-46b8-bb11-9f4b325358bd</t>
  </si>
  <si>
    <t>subsampleOf (blood): https://csvcoll.org/portal/collections/individual/index.php?guid=fa7a0f25-fb90-45f4-bbb5-34dc0d7dc9d5</t>
  </si>
  <si>
    <t>ASUVTC002181</t>
  </si>
  <si>
    <t>2024-01-22T23:57:03.899Z</t>
  </si>
  <si>
    <t>2be51b40-e51e-4416-bab7-8a43b7e32e20</t>
  </si>
  <si>
    <t>ASUVTC002182</t>
  </si>
  <si>
    <t>2024-01-22T23:57:03.898Z</t>
  </si>
  <si>
    <t>fda257c3-700c-4b7e-96a4-35a4eafb408b</t>
  </si>
  <si>
    <t>ASUVTC002400</t>
  </si>
  <si>
    <t>572b29f5-3be4-40c3-954a-65a96bf22e24</t>
  </si>
  <si>
    <t>ASUVTC002401</t>
  </si>
  <si>
    <t>c09b6f26-4ae5-4ba4-ad47-85465d620f70</t>
  </si>
  <si>
    <t>ASUVTC002402</t>
  </si>
  <si>
    <t>c0184d00-8edc-49d7-b0e9-1697a8ff8539</t>
  </si>
  <si>
    <t>subsampleOf (fecal): https://csvcoll.org/portal/collections/individual/index.php?guid=fa7a0f25-fb90-45f4-bbb5-34dc0d7dc9d5</t>
  </si>
  <si>
    <t>ASUVTC002409</t>
  </si>
  <si>
    <t>2a282fd3-d8eb-4806-8a6f-905b80afc62c</t>
  </si>
  <si>
    <t>hasHost (tissue): https://csvcoll.org/portal/collections/individual/index.php?guid=fa7a0f25-fb90-45f4-bbb5-34dc0d7dc9d5</t>
  </si>
  <si>
    <t>ASUVTC002410</t>
  </si>
  <si>
    <t>39368777-14b7-4154-b0ee-ded575413ae9</t>
  </si>
  <si>
    <t>cestode?</t>
  </si>
  <si>
    <t>ASUVTC002411</t>
  </si>
  <si>
    <t>2024-01-22T23:57:03.894Z</t>
  </si>
  <si>
    <t>557d6332-c682-4181-a75e-d3acf8c268c6</t>
  </si>
  <si>
    <t>ASUVTC002412</t>
  </si>
  <si>
    <t>2024-01-22T23:57:03.892Z</t>
  </si>
  <si>
    <t>c704d2ef-8820-4f53-a773-65028b1c4ef6</t>
  </si>
  <si>
    <t>ASUVTC002413</t>
  </si>
  <si>
    <t>d13f4855-4c21-46ef-8c0a-dabde28ccf52</t>
  </si>
  <si>
    <t>NSU0149</t>
  </si>
  <si>
    <t>{ "measurements" : "TOT: 143, TV: 60, HFL: 22, EAR: 20, WGT: 15.5"}</t>
  </si>
  <si>
    <t>skull | skel | tiss</t>
  </si>
  <si>
    <t>M</t>
  </si>
  <si>
    <t>Testes Position: Abd. | Testis size: 4 x 2 R | Epididymis: Not Con.</t>
  </si>
  <si>
    <t>originatingSampleOf (fecal): https://csvcoll.org/portal/collections/individual/index.php?guid=3ecca4fa-43f8-417f-9b15-1859c019fc6e | hostOf (tissue): https://csvcoll.org/portal/collections/individual/index.php?guid=ad706265-a43b-4572-87bf-42e7bc015c38 | originatingSampleOf (tissue): https://csvcoll.org/portal/collections/individual/index.php?guid=9886375a-cf6e-4996-8012-d067821f680e | originatingSampleOf (tissue): https://csvcoll.org/portal/collections/individual/index.php?guid=6a1242d3-38b2-492b-95f4-8fce192322cf | originatingSampleOf (tissue): https://csvcoll.org/portal/collections/individual/index.php?guid=71456772-713c-41bf-bb03-5ce22631c0c0 | originatingSampleOf (tissue): https://csvcoll.org/portal/collections/individual/index.php?guid=f2cc4d5f-6ee7-4efe-9101-e2407a2144af | originatingSampleOf (tissue): https://csvcoll.org/portal/collections/individual/index.php?guid=8609c4ff-3b94-4dcc-a81a-8cd16936ab7b | originatingSampleOf (blood): https://csvcoll.org/portal/collections/individual/index.php?guid=38d879d4-5639-460d-8f2f-bb78126ccd17 | originatingSampleOf (tissue): https://csvcoll.org/portal/collections/individual/index.php?guid=d18952f7-cf43-4f5a-9554-1d2e32ceaf0a</t>
  </si>
  <si>
    <t>ASUMAC009020</t>
  </si>
  <si>
    <t>38d879d4-5639-460d-8f2f-bb78126ccd17</t>
  </si>
  <si>
    <t>Line 4-23</t>
  </si>
  <si>
    <t>subsampleOf (tissue): https://csvcoll.org/portal/collections/individual/index.php?guid=d13f4855-4c21-46ef-8c0a-dabde28ccf52</t>
  </si>
  <si>
    <t>ASUVTC002076</t>
  </si>
  <si>
    <t>3ecca4fa-43f8-417f-9b15-1859c019fc6e</t>
  </si>
  <si>
    <t>subsampleOf (fecal): https://csvcoll.org/portal/collections/individual/index.php?guid=d13f4855-4c21-46ef-8c0a-dabde28ccf52</t>
  </si>
  <si>
    <t>ASUVTC002403</t>
  </si>
  <si>
    <t>ad706265-a43b-4572-87bf-42e7bc015c38</t>
  </si>
  <si>
    <t>hasHost (tissue): https://csvcoll.org/portal/collections/individual/index.php?guid=d13f4855-4c21-46ef-8c0a-dabde28ccf52</t>
  </si>
  <si>
    <t>ASUVTC002404</t>
  </si>
  <si>
    <t>9886375a-cf6e-4996-8012-d067821f680e</t>
  </si>
  <si>
    <t>ASUVTC002414</t>
  </si>
  <si>
    <t>6a1242d3-38b2-492b-95f4-8fce192322cf</t>
  </si>
  <si>
    <t>ASUVTC002415</t>
  </si>
  <si>
    <t>71456772-713c-41bf-bb03-5ce22631c0c0</t>
  </si>
  <si>
    <t>ASUVTC002416</t>
  </si>
  <si>
    <t>f2cc4d5f-6ee7-4efe-9101-e2407a2144af</t>
  </si>
  <si>
    <t>subsampleOf (blood): https://csvcoll.org/portal/collections/individual/index.php?guid=d13f4855-4c21-46ef-8c0a-dabde28ccf52</t>
  </si>
  <si>
    <t>ASUVTC002417</t>
  </si>
  <si>
    <t>8609c4ff-3b94-4dcc-a81a-8cd16936ab7b</t>
  </si>
  <si>
    <t>ASUVTC002418</t>
  </si>
  <si>
    <t>d18952f7-cf43-4f5a-9554-1d2e32ceaf0a</t>
  </si>
  <si>
    <t>ASUVTC002765</t>
  </si>
  <si>
    <t>2024-01-22T23:57:03.885Z</t>
  </si>
  <si>
    <t>1cf28bdb-c83f-44b6-96b5-d138ec9aad77</t>
  </si>
  <si>
    <t>Line 3-5</t>
  </si>
  <si>
    <t>NSU0150</t>
  </si>
  <si>
    <t>{ "measurements" : "TOT: 154, TV: 58, HFL: 21, EAR: 19, WGT: 18" , "preservationFluid" : "70 percent ethanol, formalin fixed" }</t>
  </si>
  <si>
    <t>Testes Position: Scrot. | Testis size: 8 x 5 R | Epididymis: Con.</t>
  </si>
  <si>
    <t>originatingSampleOf (fecal): https://csvcoll.org/portal/collections/individual/index.php?guid=eca6e5c9-406f-40f1-a0bf-c0a7dc2cfe0c | hostOf (tissue): https://csvcoll.org/portal/collections/individual/index.php?guid=8aec42ac-4642-409a-9f20-47c11185b39a | originatingSampleOf (tissue): https://csvcoll.org/portal/collections/individual/index.php?guid=a54a78dd-77f0-4cee-888f-3d0076f09fc9 | originatingSampleOf (tissue): https://csvcoll.org/portal/collections/individual/index.php?guid=a2897bde-4d41-4367-b21e-f103eea0146f | originatingSampleOf (tissue): https://csvcoll.org/portal/collections/individual/index.php?guid=1d9f1974-3f11-4fe0-94fd-25cb6ba56788 | originatingSampleOf (tissue): https://csvcoll.org/portal/collections/individual/index.php?guid=80d09636-fc76-4514-823b-77960a72174d | originatingSampleOf (tissue): https://csvcoll.org/portal/collections/individual/index.php?guid=9a81bbf9-0bb0-4cf6-8614-d400728a7d63 | originatingSampleOf (blood): https://csvcoll.org/portal/collections/individual/index.php?guid=56f385fb-6f02-461d-8dce-8cf2d829be13</t>
  </si>
  <si>
    <t>ASUMAC009006</t>
  </si>
  <si>
    <t>2024-01-23T19:40:09.671Z</t>
  </si>
  <si>
    <t>56f385fb-6f02-461d-8dce-8cf2d829be13</t>
  </si>
  <si>
    <t>subsampleOf (blood): https://csvcoll.org/portal/collections/individual/index.php?guid=1cf28bdb-c83f-44b6-96b5-d138ec9aad77</t>
  </si>
  <si>
    <t>ASUVTC002077</t>
  </si>
  <si>
    <t>eca6e5c9-406f-40f1-a0bf-c0a7dc2cfe0c</t>
  </si>
  <si>
    <t>subsampleOf (fecal): https://csvcoll.org/portal/collections/individual/index.php?guid=1cf28bdb-c83f-44b6-96b5-d138ec9aad77</t>
  </si>
  <si>
    <t>ASUVTC002405</t>
  </si>
  <si>
    <t>8aec42ac-4642-409a-9f20-47c11185b39a</t>
  </si>
  <si>
    <t>hasHost (tissue): https://csvcoll.org/portal/collections/individual/index.php?guid=1cf28bdb-c83f-44b6-96b5-d138ec9aad77</t>
  </si>
  <si>
    <t>ASUVTC002406</t>
  </si>
  <si>
    <t>a54a78dd-77f0-4cee-888f-3d0076f09fc9</t>
  </si>
  <si>
    <t>subsampleOf (tissue): https://csvcoll.org/portal/collections/individual/index.php?guid=1cf28bdb-c83f-44b6-96b5-d138ec9aad77</t>
  </si>
  <si>
    <t>ASUVTC002420</t>
  </si>
  <si>
    <t>a2897bde-4d41-4367-b21e-f103eea0146f</t>
  </si>
  <si>
    <t>ASUVTC002421</t>
  </si>
  <si>
    <t>1d9f1974-3f11-4fe0-94fd-25cb6ba56788</t>
  </si>
  <si>
    <t>ASUVTC002422</t>
  </si>
  <si>
    <t>80d09636-fc76-4514-823b-77960a72174d</t>
  </si>
  <si>
    <t>ASUVTC002423</t>
  </si>
  <si>
    <t>2024-01-22T23:57:03.875Z</t>
  </si>
  <si>
    <t>9a81bbf9-0bb0-4cf6-8614-d400728a7d63</t>
  </si>
  <si>
    <t>ASUVTC002424</t>
  </si>
  <si>
    <t>6c430757-194c-4325-9faa-a8941c38180d</t>
  </si>
  <si>
    <t>Line 4-13</t>
  </si>
  <si>
    <t>NSU0151</t>
  </si>
  <si>
    <t>{ "measurements" : "TOT: 201, TV: 108, HFL: 21, EAR: 21, WGT: 20.5" , "preservationFluid" : "70 percent ethanol, formalin fixed" }</t>
  </si>
  <si>
    <t>Testes Position: Scrot. | Testis size: 12 x 7 R | Epididymis: Not Con.</t>
  </si>
  <si>
    <t>originatingSampleOf (fecal): https://csvcoll.org/portal/collections/individual/index.php?guid=253ec76a-b54d-48d5-b88f-4629bf3e2b4c | hostOf (tissue): https://csvcoll.org/portal/collections/individual/index.php?guid=14928324-556f-48b8-8949-b95217f8ffc4 | originatingSampleOf (tissue): https://csvcoll.org/portal/collections/individual/index.php?guid=d69fdd93-9616-4efc-847a-7887b042ea36 | originatingSampleOf (tissue): https://csvcoll.org/portal/collections/individual/index.php?guid=af5bcab2-c59f-4edf-8215-f8cccb79809a | originatingSampleOf (tissue): https://csvcoll.org/portal/collections/individual/index.php?guid=1f3d3491-a8fc-4eb6-8ffb-292e4b04cd13 | originatingSampleOf (tissue): https://csvcoll.org/portal/collections/individual/index.php?guid=e203f0dd-72bf-4546-b075-6bdf3140398b | originatingSampleOf (tissue): https://csvcoll.org/portal/collections/individual/index.php?guid=eb31dd7a-05f4-4862-9a5e-1ad4493b9bb8 | originatingSampleOf (blood): https://csvcoll.org/portal/collections/individual/index.php?guid=d254e4cc-7a65-4460-8bd1-81de93b99e7d</t>
  </si>
  <si>
    <t>ASUMAC009007</t>
  </si>
  <si>
    <t>d254e4cc-7a65-4460-8bd1-81de93b99e7d</t>
  </si>
  <si>
    <t>subsampleOf (tissue): https://csvcoll.org/portal/collections/individual/index.php?guid=6c430757-194c-4325-9faa-a8941c38180d</t>
  </si>
  <si>
    <t>ASUVTC002078</t>
  </si>
  <si>
    <t>2024-01-22T23:57:04.010Z</t>
  </si>
  <si>
    <t>253ec76a-b54d-48d5-b88f-4629bf3e2b4c</t>
  </si>
  <si>
    <t>subsampleOf (blood): https://csvcoll.org/portal/collections/individual/index.php?guid=6c430757-194c-4325-9faa-a8941c38180d</t>
  </si>
  <si>
    <t>ASUVTC002407</t>
  </si>
  <si>
    <t>14928324-556f-48b8-8949-b95217f8ffc4</t>
  </si>
  <si>
    <t>ASUVTC002408</t>
  </si>
  <si>
    <t>d69fdd93-9616-4efc-847a-7887b042ea36</t>
  </si>
  <si>
    <t>ASUVTC002492</t>
  </si>
  <si>
    <t>2024-01-22T23:57:03.877Z</t>
  </si>
  <si>
    <t>af5bcab2-c59f-4edf-8215-f8cccb79809a</t>
  </si>
  <si>
    <t>ASUVTC002493</t>
  </si>
  <si>
    <t>1f3d3491-a8fc-4eb6-8ffb-292e4b04cd13</t>
  </si>
  <si>
    <t>ASUVTC002494</t>
  </si>
  <si>
    <t>e203f0dd-72bf-4546-b075-6bdf3140398b</t>
  </si>
  <si>
    <t>subsampleOf (fecal): https://csvcoll.org/portal/collections/individual/index.php?guid=6c430757-194c-4325-9faa-a8941c38180d</t>
  </si>
  <si>
    <t>ASUVTC002495</t>
  </si>
  <si>
    <t>eb31dd7a-05f4-4862-9a5e-1ad4493b9bb8</t>
  </si>
  <si>
    <t>hasHost (tissue): https://csvcoll.org/portal/collections/individual/index.php?guid=6c430757-194c-4325-9faa-a8941c38180d</t>
  </si>
  <si>
    <t>ASUVTC002496</t>
  </si>
  <si>
    <t>d9d11454-a423-4882-bb7a-90b1fb06b244</t>
  </si>
  <si>
    <t>NSU0152</t>
  </si>
  <si>
    <t>{ "measurements" : "TOT: 154, TV: 65, HFL: 22, EAR: 20, WGT: 16.5" , "preservationFluid" : "70 percent ethanol, formalin fixed" }</t>
  </si>
  <si>
    <t>Mammae #: Ax. 1 Ab. 0 Ing. 2 | Mammae Condition: Lg. | Vagina condition: Perf. | Reproductive Stage: Prim. | Embryos: L 0 R 0 | Placental scars: L 4 R 3</t>
  </si>
  <si>
    <t>originatingSampleOf (fecal): https://csvcoll.org/portal/collections/individual/index.php?guid=db9c6b8e-8d41-476a-9c07-485f1835e83c | originatingSampleOf (tissue): https://csvcoll.org/portal/collections/individual/index.php?guid=abc0a0d4-988e-4827-96b5-97a444a1cb42 | originatingSampleOf (tissue): https://csvcoll.org/portal/collections/individual/index.php?guid=a0c2cb49-e202-4c1f-a81c-78e18c5a4978 | originatingSampleOf (tissue): https://csvcoll.org/portal/collections/individual/index.php?guid=14d1059a-85db-409c-b246-34d4f5cf979b | originatingSampleOf (tissue): https://csvcoll.org/portal/collections/individual/index.php?guid=c8d2b156-0883-42f8-a75e-5cd434b41e12 | originatingSampleOf (tissue): https://csvcoll.org/portal/collections/individual/index.php?guid=84de72c5-5043-4ed9-88bc-f7a6c1366983 | originatingSampleOf (tissue): https://csvcoll.org/portal/collections/individual/index.php?guid=8c1e4056-eb11-499c-bcde-8c7639782882 | originatingSampleOf (blood): https://csvcoll.org/portal/collections/individual/index.php?guid=85969ffb-34bc-4c26-9c0a-5c5c4420b01c</t>
  </si>
  <si>
    <t>ASUMAC009008</t>
  </si>
  <si>
    <t>85969ffb-34bc-4c26-9c0a-5c5c4420b01c</t>
  </si>
  <si>
    <t>subsampleOf (fecal): https://csvcoll.org/portal/collections/individual/index.php?guid=d9d11454-a423-4882-bb7a-90b1fb06b244</t>
  </si>
  <si>
    <t>ASUVTC002079</t>
  </si>
  <si>
    <t>2024-01-22T23:57:04.059Z</t>
  </si>
  <si>
    <t>db9c6b8e-8d41-476a-9c07-485f1835e83c</t>
  </si>
  <si>
    <t>subsampleOf (blood): https://csvcoll.org/portal/collections/individual/index.php?guid=d9d11454-a423-4882-bb7a-90b1fb06b244</t>
  </si>
  <si>
    <t>ASUVTC002419</t>
  </si>
  <si>
    <t>2024-01-22T23:57:04.009Z</t>
  </si>
  <si>
    <t>abc0a0d4-988e-4827-96b5-97a444a1cb42</t>
  </si>
  <si>
    <t>subsampleOf (tissue): https://csvcoll.org/portal/collections/individual/index.php?guid=d9d11454-a423-4882-bb7a-90b1fb06b244</t>
  </si>
  <si>
    <t>ASUVTC002425</t>
  </si>
  <si>
    <t>a0c2cb49-e202-4c1f-a81c-78e18c5a4978</t>
  </si>
  <si>
    <t>ASUVTC002426</t>
  </si>
  <si>
    <t>2024-01-22T23:57:04.012Z</t>
  </si>
  <si>
    <t>14d1059a-85db-409c-b246-34d4f5cf979b</t>
  </si>
  <si>
    <t>ASUVTC002427</t>
  </si>
  <si>
    <t>c8d2b156-0883-42f8-a75e-5cd434b41e12</t>
  </si>
  <si>
    <t>ASUVTC002428</t>
  </si>
  <si>
    <t>84de72c5-5043-4ed9-88bc-f7a6c1366983</t>
  </si>
  <si>
    <t>ASUVTC002429</t>
  </si>
  <si>
    <t>8c1e4056-eb11-499c-bcde-8c7639782882</t>
  </si>
  <si>
    <t>ASUVTC002497</t>
  </si>
  <si>
    <t>f5406024-a26b-47fe-b5a3-a2047bac91ad</t>
  </si>
  <si>
    <t>NSU0153</t>
  </si>
  <si>
    <t>{ "measurements" : "TOT: 187, TV: 99, HFL: 22, EAR: 20, WGT: 17.5" , "preservationFluid" : "70 percent ethanol, formalin fixed" }</t>
  </si>
  <si>
    <t>Mammae #: Ax. 0 Ab. 0 Ing. 0 | Mammae Condition: Sm. | Vagina condition: Imp. | Reproductive Stage: Prim. | Embryos: L 2 R 2 CR 6 mm | Placental scars: L 0 R 0</t>
  </si>
  <si>
    <t>originatingSampleOf (fecal): https://csvcoll.org/portal/collections/individual/index.php?guid=812716f9-a2b4-488d-9824-25733d7d7cf5 | originatingSampleOf (tissue): https://csvcoll.org/portal/collections/individual/index.php?guid=7276bfde-3254-48cd-afa4-d57f1f4648a7 | originatingSampleOf (tissue): https://csvcoll.org/portal/collections/individual/index.php?guid=0bb828e6-925c-4ea1-96f0-a8ab97402bbc | originatingSampleOf (tissue): https://csvcoll.org/portal/collections/individual/index.php?guid=ac90b8a9-0a56-411e-9882-06a40ff035b7 | originatingSampleOf (tissue): https://csvcoll.org/portal/collections/individual/index.php?guid=353bcf4e-182d-4e58-9a92-20e2b7dce42a | originatingSampleOf (tissue): https://csvcoll.org/portal/collections/individual/index.php?guid=7a25ab77-9e28-4ab1-bd04-a719728c1de8 | originatingSampleOf (tissue): https://csvcoll.org/portal/collections/individual/index.php?guid=de9ca321-694a-4787-80d1-7bd937f6470e | originatingSampleOf (blood): https://csvcoll.org/portal/collections/individual/index.php?guid=2867e38d-0e1f-43a3-8a1a-2933a9b52a72 | originatingSampleOf (tissue): https://csvcoll.org/portal/collections/individual/index.php?guid=52dbd2e5-f1b1-42dd-bdec-6edc0110544b</t>
  </si>
  <si>
    <t>ASUMAC009009</t>
  </si>
  <si>
    <t>2024-01-23T19:40:09.653Z</t>
  </si>
  <si>
    <t>2867e38d-0e1f-43a3-8a1a-2933a9b52a72</t>
  </si>
  <si>
    <t>subsampleOf (tissue): https://csvcoll.org/portal/collections/individual/index.php?guid=f5406024-a26b-47fe-b5a3-a2047bac91ad</t>
  </si>
  <si>
    <t>ASUVTC002080</t>
  </si>
  <si>
    <t>812716f9-a2b4-488d-9824-25733d7d7cf5</t>
  </si>
  <si>
    <t>ASUVTC002430</t>
  </si>
  <si>
    <t>2024-01-22T23:57:04.058Z</t>
  </si>
  <si>
    <t>7276bfde-3254-48cd-afa4-d57f1f4648a7</t>
  </si>
  <si>
    <t>ASUVTC002432</t>
  </si>
  <si>
    <t>2024-01-22T23:57:04.057Z</t>
  </si>
  <si>
    <t>0bb828e6-925c-4ea1-96f0-a8ab97402bbc</t>
  </si>
  <si>
    <t>subsampleOf (blood): https://csvcoll.org/portal/collections/individual/index.php?guid=f5406024-a26b-47fe-b5a3-a2047bac91ad</t>
  </si>
  <si>
    <t>ASUVTC002433</t>
  </si>
  <si>
    <t>ac90b8a9-0a56-411e-9882-06a40ff035b7</t>
  </si>
  <si>
    <t>ASUVTC002434</t>
  </si>
  <si>
    <t>353bcf4e-182d-4e58-9a92-20e2b7dce42a</t>
  </si>
  <si>
    <t>subsampleOf (fecal): https://csvcoll.org/portal/collections/individual/index.php?guid=f5406024-a26b-47fe-b5a3-a2047bac91ad</t>
  </si>
  <si>
    <t>ASUVTC002435</t>
  </si>
  <si>
    <t>7a25ab77-9e28-4ab1-bd04-a719728c1de8</t>
  </si>
  <si>
    <t>ASUVTC002436</t>
  </si>
  <si>
    <t>2024-01-22T23:57:04.062Z</t>
  </si>
  <si>
    <t>de9ca321-694a-4787-80d1-7bd937f6470e</t>
  </si>
  <si>
    <t>ASUVTC002437</t>
  </si>
  <si>
    <t>52dbd2e5-f1b1-42dd-bdec-6edc0110544b</t>
  </si>
  <si>
    <t>ASUVTC002766</t>
  </si>
  <si>
    <t>2024-01-22T23:57:04.060Z</t>
  </si>
  <si>
    <t>3f33cf37-112d-45d7-9c3f-e6be276a8784</t>
  </si>
  <si>
    <t>Line 4-21</t>
  </si>
  <si>
    <t>NSU0154</t>
  </si>
  <si>
    <t>{ "measurements" : "TOT: 172, TV: 71, HFL: 22, EAR: 22, WGT: 22" , "preservationFluid" : "70 percent ethanol, formalin fixed" }</t>
  </si>
  <si>
    <t>Mammae #: Ax. 1 Ab 0 Ing. 1 | Mammae Condition: Lg. | Vagina condition: Perf. | Reproductive Stage: Multi. | Embryos: L 2 R 2 CR 2 mm | Placental scars: L 0 R 2</t>
  </si>
  <si>
    <t>originatingSampleOf (fecal): https://csvcoll.org/portal/collections/individual/index.php?guid=c0b11ce1-fde0-4b77-8193-65095806d30f | originatingSampleOf (tissue): https://csvcoll.org/portal/collections/individual/index.php?guid=66c4f7f5-0f52-4748-a5d4-7fd88743798b | originatingSampleOf (tissue): https://csvcoll.org/portal/collections/individual/index.php?guid=3e813881-f9cf-495e-b4e5-af1946335abf | originatingSampleOf (tissue): https://csvcoll.org/portal/collections/individual/index.php?guid=8514d4f0-dafb-4228-93e3-c2481558abaa | originatingSampleOf (tissue): https://csvcoll.org/portal/collections/individual/index.php?guid=6ba2ed6f-291f-42e8-890a-58836ea1d5fd | originatingSampleOf (tissue): https://csvcoll.org/portal/collections/individual/index.php?guid=858b36d6-c542-4f81-9e14-9ddbe6a6895a | originatingSampleOf (blood): https://csvcoll.org/portal/collections/individual/index.php?guid=c1f090f2-10ab-4604-b5b0-a2c2b7c43e05</t>
  </si>
  <si>
    <t>ASUMAC009010</t>
  </si>
  <si>
    <t>c1f090f2-10ab-4604-b5b0-a2c2b7c43e05</t>
  </si>
  <si>
    <t>subsampleOf (fecal): https://csvcoll.org/portal/collections/individual/index.php?guid=3f33cf37-112d-45d7-9c3f-e6be276a8784</t>
  </si>
  <si>
    <t>ASUVTC002081</t>
  </si>
  <si>
    <t>2024-01-22T23:57:04.053Z</t>
  </si>
  <si>
    <t>c0b11ce1-fde0-4b77-8193-65095806d30f</t>
  </si>
  <si>
    <t>subsampleOf (tissue): https://csvcoll.org/portal/collections/individual/index.php?guid=3f33cf37-112d-45d7-9c3f-e6be276a8784</t>
  </si>
  <si>
    <t>ASUVTC002431</t>
  </si>
  <si>
    <t>66c4f7f5-0f52-4748-a5d4-7fd88743798b</t>
  </si>
  <si>
    <t>ASUVTC002438</t>
  </si>
  <si>
    <t>3e813881-f9cf-495e-b4e5-af1946335abf</t>
  </si>
  <si>
    <t>ASUVTC002439</t>
  </si>
  <si>
    <t>2024-01-22T23:57:04.050Z</t>
  </si>
  <si>
    <t>8514d4f0-dafb-4228-93e3-c2481558abaa</t>
  </si>
  <si>
    <t>ASUVTC002440</t>
  </si>
  <si>
    <t>6ba2ed6f-291f-42e8-890a-58836ea1d5fd</t>
  </si>
  <si>
    <t>ASUVTC002441</t>
  </si>
  <si>
    <t>2024-01-22T23:57:04.046Z</t>
  </si>
  <si>
    <t>858b36d6-c542-4f81-9e14-9ddbe6a6895a</t>
  </si>
  <si>
    <t>subsampleOf (blood): https://csvcoll.org/portal/collections/individual/index.php?guid=3f33cf37-112d-45d7-9c3f-e6be276a8784</t>
  </si>
  <si>
    <t>ASUVTC002442</t>
  </si>
  <si>
    <t>2024-01-22T23:57:04.047Z</t>
  </si>
  <si>
    <t>bf68a72e-4e5b-4252-99f0-807f47e67295</t>
  </si>
  <si>
    <t>Line 4-14</t>
  </si>
  <si>
    <t>NSU0155</t>
  </si>
  <si>
    <t>{ "measurements" : "TOT: 184, TV: 92, HFL: 22, EAR: 21, WGT: 17.5" , "preservationFluid" : "70 percent ethanol, formalin fixed" }</t>
  </si>
  <si>
    <t>originatingSampleOf (tissue): https://csvcoll.org/portal/collections/individual/index.php?guid=56eda117-61a6-4d1e-9713-4977f2f438bb | originatingSampleOf (tissue): https://csvcoll.org/portal/collections/individual/index.php?guid=33d761a5-6c27-4214-84eb-49c10c8cabf2 | originatingSampleOf (tissue): https://csvcoll.org/portal/collections/individual/index.php?guid=a9095985-453e-4832-acec-fb9ebab34b23 | originatingSampleOf (tissue): https://csvcoll.org/portal/collections/individual/index.php?guid=07dd61b1-457d-425a-a739-04d7907378ce | originatingSampleOf (tissue): https://csvcoll.org/portal/collections/individual/index.php?guid=452a2701-bf66-48aa-b558-c03d8c3be876 | hostOf (tissue): https://csvcoll.org/portal/collections/individual/index.php?guid=01975f11-9c62-4ba7-a946-0000ed9298a0 | originatingSampleOf (blood): https://csvcoll.org/portal/collections/individual/index.php?guid=d337fd0f-f9ff-4d65-a046-191bed3b5187</t>
  </si>
  <si>
    <t>ASUMAC009011</t>
  </si>
  <si>
    <t>2024-01-23T19:40:09.654Z</t>
  </si>
  <si>
    <t>d337fd0f-f9ff-4d65-a046-191bed3b5187</t>
  </si>
  <si>
    <t>subsampleOf (blood): https://csvcoll.org/portal/collections/individual/index.php?guid=bf68a72e-4e5b-4252-99f0-807f47e67295</t>
  </si>
  <si>
    <t>ASUVTC002082</t>
  </si>
  <si>
    <t>2024-01-22T23:57:04.038Z</t>
  </si>
  <si>
    <t>56eda117-61a6-4d1e-9713-4977f2f438bb</t>
  </si>
  <si>
    <t>subsampleOf (tissue): https://csvcoll.org/portal/collections/individual/index.php?guid=bf68a72e-4e5b-4252-99f0-807f47e67295</t>
  </si>
  <si>
    <t>ASUVTC002443</t>
  </si>
  <si>
    <t>2024-01-22T23:57:04.056Z</t>
  </si>
  <si>
    <t>33d761a5-6c27-4214-84eb-49c10c8cabf2</t>
  </si>
  <si>
    <t>ASUVTC002444</t>
  </si>
  <si>
    <t>a9095985-453e-4832-acec-fb9ebab34b23</t>
  </si>
  <si>
    <t>ASUVTC002445</t>
  </si>
  <si>
    <t>07dd61b1-457d-425a-a739-04d7907378ce</t>
  </si>
  <si>
    <t>ASUVTC002446</t>
  </si>
  <si>
    <t>2024-01-22T23:57:04.039Z</t>
  </si>
  <si>
    <t>452a2701-bf66-48aa-b558-c03d8c3be876</t>
  </si>
  <si>
    <t>ASUVTC002447</t>
  </si>
  <si>
    <t>01975f11-9c62-4ba7-a946-0000ed9298a0</t>
  </si>
  <si>
    <t>hasHost (tissue): https://csvcoll.org/portal/collections/individual/index.php?guid=bf68a72e-4e5b-4252-99f0-807f47e67295</t>
  </si>
  <si>
    <t>ASUVTC002498</t>
  </si>
  <si>
    <t>2024-01-22T23:57:04.037Z</t>
  </si>
  <si>
    <t>f45b3c6b-3af0-48cf-be51-c5b888f95d7c</t>
  </si>
  <si>
    <t>NSU0156</t>
  </si>
  <si>
    <t>{ "measurements" : "TOT: 232, TV: 113, HFL: 30, EAR: 16, WGT: 66" ,"preservationMeans" : "flash frozen, stored at -80C", "preservationFluid" : "no preservative fluid" }</t>
  </si>
  <si>
    <t>Mammae #: Ax. 1 Ab. 1 Ing. 2 | Mammae Condition: Lact. | Vagina condition: ND | Reproductive Stage: ND | Embryos: ND | Placental scars: ND</t>
  </si>
  <si>
    <t>ASUVTC002448</t>
  </si>
  <si>
    <t>5a221b8c-8e00-4c15-9067-d63ade6b202f</t>
  </si>
  <si>
    <t>ASUVTC002449</t>
  </si>
  <si>
    <t>27a41b64-d0ba-497d-88e1-3280b5bde981</t>
  </si>
  <si>
    <t>Line 4-17</t>
  </si>
  <si>
    <t>NSU0157</t>
  </si>
  <si>
    <t>ASUVTC002450</t>
  </si>
  <si>
    <t>2024-01-22T23:57:04.036Z</t>
  </si>
  <si>
    <t>e8c86f92-2fb9-497d-aeec-550abd612d80</t>
  </si>
  <si>
    <t>{ "measurements" : "TOT: 250, TV: 104, HFL: 30, EAR: 18, WGT: 77" ,"preservationMeans" : "flash frozen, stored at -80C", "preservationFluid" : "no preservative fluid" }</t>
  </si>
  <si>
    <t>ASUVTC002451</t>
  </si>
  <si>
    <t>2024-01-22T23:57:04.042Z</t>
  </si>
  <si>
    <t>b266e2a1-d798-4a5e-994d-15d1843efd89</t>
  </si>
  <si>
    <t>Line 4-22</t>
  </si>
  <si>
    <t>NSU0158</t>
  </si>
  <si>
    <t>{ "measurements" : "TOT: 231, TV: 110, HFL: 29, EAR: 16, WGT: 75" ,"preservationMeans" : "flash frozen, stored at -80C", "preservationFluid" : "no preservative fluid" }</t>
  </si>
  <si>
    <t>ASUVTC002452</t>
  </si>
  <si>
    <t>9ca9c828-79ba-42b9-a146-eeba70902b2c</t>
  </si>
  <si>
    <t>ASUVTC002453</t>
  </si>
  <si>
    <t>de076b73-e2f6-46e3-a96f-1cc1da32a448</t>
  </si>
  <si>
    <t>NSU0159</t>
  </si>
  <si>
    <t>{ "measurements" : "TOT: 142, TV: 70, HFL: 15, EAR: 13, WGT: 10" ,"preservationMeans" : "flash frozen, stored at -80C", "preservationFluid" : "no preservative fluid" }</t>
  </si>
  <si>
    <t>ASUVTC002454</t>
  </si>
  <si>
    <t>2024-01-22T23:57:04.026Z</t>
  </si>
  <si>
    <t>bc1daa51-4863-416f-8aff-969798ae72fb</t>
  </si>
  <si>
    <t>ASUVTC002455</t>
  </si>
  <si>
    <t>2024-01-22T23:57:04.024Z</t>
  </si>
  <si>
    <t>e20c4d22-1ba4-456b-8fba-39f857853c76</t>
  </si>
  <si>
    <t>Line 4-18</t>
  </si>
  <si>
    <t>NSU0160</t>
  </si>
  <si>
    <t>{ "measurements" : "TOT: 122, TV: 59, HFL: 13, EAR: 12, WGT: 9" ,"preservationMeans" : "flash frozen, stored at -80C", "preservationFluid" : "no preservative fluid" }</t>
  </si>
  <si>
    <t>ASUVTC002456</t>
  </si>
  <si>
    <t>2024-01-22T23:57:04.025Z</t>
  </si>
  <si>
    <t>38f2f466-bc16-42f6-ace3-f61ae947187e</t>
  </si>
  <si>
    <t>ASUVTC002457</t>
  </si>
  <si>
    <t>db29eaa4-ab30-40c0-8718-04de68525285</t>
  </si>
  <si>
    <t>NSU0161</t>
  </si>
  <si>
    <t>{ "measurements" : "TOT: 155, TV: 73, HFL: 17, EAR: 13, WGT: 10" ,"preservationMeans" : "flash frozen, stored at -80C", "preservationFluid" : "no preservative fluid" }</t>
  </si>
  <si>
    <t>Mammae #: Ax. 0 Ab. 0 Ing. 2 | Mammae Condition: Lg. | Vagina condition: Perf. | Reproductive Stage: Post-lactating | Embryos: ND | Placental scars: ND</t>
  </si>
  <si>
    <t>ASUVTC002458</t>
  </si>
  <si>
    <t>2024-01-22T23:57:04.027Z</t>
  </si>
  <si>
    <t>ec2e5664-16c2-403b-8ad0-13c9663e9cd5</t>
  </si>
  <si>
    <t>ASUVTC002459</t>
  </si>
  <si>
    <t>b8d7b03f-784f-43cf-ba89-810d446f476b</t>
  </si>
  <si>
    <t>NSU0162</t>
  </si>
  <si>
    <t>{ "measurements" : "TOT: 138, TV: 71, HFL: 16, EAR: 12, WGT: 11" ,"preservationMeans" : "flash frozen, stored at -80C", "preservationFluid" : "no preservative fluid" }</t>
  </si>
  <si>
    <t>ASUVTC002460</t>
  </si>
  <si>
    <t>2024-01-22T23:57:04.023Z</t>
  </si>
  <si>
    <t>cd29079e-4506-4800-9608-9c6128251b48</t>
  </si>
  <si>
    <t>ASUVTC002461</t>
  </si>
  <si>
    <t>2024-01-22T23:57:04.022Z</t>
  </si>
  <si>
    <t>5fe4441d-d5be-45fb-b7bd-ee3a1f199c5c</t>
  </si>
  <si>
    <t>NSU0163</t>
  </si>
  <si>
    <t>{ "measurements" : "TOT: 150, TV: 73, HFL: 16, EAR: 15, WGT: ND" ,"preservationMeans" : "flash frozen, stored at -80C", "preservationFluid" : "no preservative fluid" }</t>
  </si>
  <si>
    <t>ASUVTC002462</t>
  </si>
  <si>
    <t>2024-01-22T23:57:04.028Z</t>
  </si>
  <si>
    <t>4c620f3e-e728-4aa2-b46d-802d105342d1</t>
  </si>
  <si>
    <t>ASUVTC002463</t>
  </si>
  <si>
    <t>00a56147-b9a7-4561-ae25-83224693b212</t>
  </si>
  <si>
    <t>Line 4-20</t>
  </si>
  <si>
    <t>NSU0164</t>
  </si>
  <si>
    <t>ASUVTC002464</t>
  </si>
  <si>
    <t>2024-01-22T23:57:04.082Z</t>
  </si>
  <si>
    <t>35099141-8011-4dc0-b997-9226c74c3ad8</t>
  </si>
  <si>
    <t>{ "measurements" : "TOT: 137, TV: 66, HFL: 16, EAR: 12, WGT: 10" ,"preservationMeans" : "flash frozen, stored at -80C", "preservationFluid" : "no preservative fluid" }</t>
  </si>
  <si>
    <t>ASUVTC002465</t>
  </si>
  <si>
    <t>2024-01-22T23:57:04.085Z</t>
  </si>
  <si>
    <t>e95275f0-899d-4b5c-b163-1f57afd64772</t>
  </si>
  <si>
    <t>NSU0165</t>
  </si>
  <si>
    <t>{ "measurements" : "TOT: 142, TV: 58, HFL: 20, EAR: 18, WGT: 15" ,"preservationMeans" : "flash frozen, stored at -80C", "preservationFluid" : "no preservative fluid" }</t>
  </si>
  <si>
    <t>ASUVTC002466</t>
  </si>
  <si>
    <t>2024-01-22T23:57:04.086Z</t>
  </si>
  <si>
    <t>303a9453-42c0-4be0-a348-4e878a2bb9c5</t>
  </si>
  <si>
    <t>ASUVTC002467</t>
  </si>
  <si>
    <t>2024-01-22T23:57:04.084Z</t>
  </si>
  <si>
    <t>3bffeab8-2526-406b-91ea-59258db0c544</t>
  </si>
  <si>
    <t>NSU0166</t>
  </si>
  <si>
    <t>{ "measurements" : "TOT: 145, TV: 64, HFL: 20, EAR: 13, WGT: 16" ,"preservationMeans" : "flash frozen, stored at -80C", "preservationFluid" : "no preservative fluid" }</t>
  </si>
  <si>
    <t>ASUVTC002468</t>
  </si>
  <si>
    <t>2d3d4a01-1d49-4c70-82c4-39cac2a86e40</t>
  </si>
  <si>
    <t>ASUVTC002469</t>
  </si>
  <si>
    <t>c9afc084-7231-4c89-a95f-5333408a17e9</t>
  </si>
  <si>
    <t>NSU0167</t>
  </si>
  <si>
    <t>{ "measurements" : "TOT: 165, TV: 73, HFL: 21, EAR: 21, WGT: 17" ,"preservationMeans" : "flash frozen, stored at -80C", "preservationFluid" : "no preservative fluid" }</t>
  </si>
  <si>
    <t>Mammae #: Ax. 0 Ab. 0 Ing. 2 | Mammae Condition: Lg. | Vagina condition: ND | Reproductive Stage: Pregnant, post-lactating | Embryos: ND | Placental scars: ND</t>
  </si>
  <si>
    <t>ASUVTC002470</t>
  </si>
  <si>
    <t>2024-01-22T23:57:04.083Z</t>
  </si>
  <si>
    <t>35aaa6c6-d4cf-4d01-a8a8-8abd4db0ff63</t>
  </si>
  <si>
    <t>ASUVTC002471</t>
  </si>
  <si>
    <t>64963781-e187-4cf3-8119-6e521cdb3baa</t>
  </si>
  <si>
    <t>NSU0168</t>
  </si>
  <si>
    <t>Mammae #: Ax.0 Ab. 0 Ing. 0 | Mammae Condition: Sm. | Vagina condition: Imp. | Reproductive Stage: ND | Embryos: ND | Placental scars: ND</t>
  </si>
  <si>
    <t>ASUVTC002472</t>
  </si>
  <si>
    <t>fffc90ca-f5f4-425f-9aa3-d0f88a09e677</t>
  </si>
  <si>
    <t>{ "measurements" : "TOT: 129, TV: 57, HFL: 19, EAR: 18, WGT: 11" ,"preservationMeans" : "flash frozen, stored at -80C", "preservationFluid" : "no preservative fluid" }</t>
  </si>
  <si>
    <t>ASUVTC002473</t>
  </si>
  <si>
    <t>2024-01-22T23:57:04.087Z</t>
  </si>
  <si>
    <t>0579e27e-a028-4d0a-8241-974572590ad6</t>
  </si>
  <si>
    <t>Reithrodontomys fulvescens</t>
  </si>
  <si>
    <t>Reithrodontomys fulvescens J.A.Allen, 1894</t>
  </si>
  <si>
    <t>J. A. Allen, 1894</t>
  </si>
  <si>
    <t>NSU0169</t>
  </si>
  <si>
    <t>{ "measurements" : "TOT: 154, TV: 91, HFL: 20, EAR: 14, WGT: 10.5" , "preservationFluid" : "" }</t>
  </si>
  <si>
    <t>Testes Position: Semi-scrot. | Testis size: ND | Epididymis: ND</t>
  </si>
  <si>
    <t>originatingSampleOf (tissue): https://csvcoll.org/portal/collections/individual/index.php?guid=d4bfeae4-41b7-4fbd-9036-8d78f6a5f6d1 | originatingSampleOf (tissue): https://csvcoll.org/portal/collections/individual/index.php?guid=9b72507f-2582-4f6f-8c19-a884eee029f1 | originatingSampleOf (tissue): https://csvcoll.org/portal/collections/individual/index.php?guid=44b386b5-61db-4cf9-a744-13148aa7cd2d | originatingSampleOf (tissue): https://csvcoll.org/portal/collections/individual/index.php?guid=62e8de24-55c9-40fb-8d13-b0f624acbdf8 | originatingSampleOf (tissue): https://csvcoll.org/portal/collections/individual/index.php?guid=3aa0c8d6-4241-4a74-9c66-0daeeb6fad05 | originatingSampleOf (fecal): https://csvcoll.org/portal/collections/individual/index.php?guid=6aff3a60-bf32-4154-8b33-46ce6115a30b | originatingSampleOf (tissue): https://csvcoll.org/portal/collections/individual/index.php?guid=c006ce09-70fb-4377-98b4-4a805364adee | originatingSampleOf (blood): https://csvcoll.org/portal/collections/individual/index.php?guid=a7b64d29-053c-4f3e-a1a6-7e66fdd4ab5b</t>
  </si>
  <si>
    <t>ASUMAC009016</t>
  </si>
  <si>
    <t>Bucci, Melanie E.; Rowsey, Dakota M.; Upham, Nathan S.</t>
  </si>
  <si>
    <t>a7b64d29-053c-4f3e-a1a6-7e66fdd4ab5b</t>
  </si>
  <si>
    <t>subsampleOf (fecal): https://csvcoll.org/portal/collections/individual/index.php?guid=0579e27e-a028-4d0a-8241-974572590ad6</t>
  </si>
  <si>
    <t>ASUVTC002083</t>
  </si>
  <si>
    <t>2024-01-22T23:57:04.076Z</t>
  </si>
  <si>
    <t>d4bfeae4-41b7-4fbd-9036-8d78f6a5f6d1</t>
  </si>
  <si>
    <t>subsampleOf (tissue): https://csvcoll.org/portal/collections/individual/index.php?guid=0579e27e-a028-4d0a-8241-974572590ad6</t>
  </si>
  <si>
    <t>ASUVTC002474</t>
  </si>
  <si>
    <t>9b72507f-2582-4f6f-8c19-a884eee029f1</t>
  </si>
  <si>
    <t>subsampleOf (blood): https://csvcoll.org/portal/collections/individual/index.php?guid=0579e27e-a028-4d0a-8241-974572590ad6</t>
  </si>
  <si>
    <t>ASUVTC002475</t>
  </si>
  <si>
    <t>44b386b5-61db-4cf9-a744-13148aa7cd2d</t>
  </si>
  <si>
    <t>ASUVTC002476</t>
  </si>
  <si>
    <t>62e8de24-55c9-40fb-8d13-b0f624acbdf8</t>
  </si>
  <si>
    <t>ASUVTC002477</t>
  </si>
  <si>
    <t>3aa0c8d6-4241-4a74-9c66-0daeeb6fad05</t>
  </si>
  <si>
    <t>ASUVTC002478</t>
  </si>
  <si>
    <t>6aff3a60-bf32-4154-8b33-46ce6115a30b</t>
  </si>
  <si>
    <t>ASUVTC002479</t>
  </si>
  <si>
    <t>c006ce09-70fb-4377-98b4-4a805364adee</t>
  </si>
  <si>
    <t>ASUVTC002499</t>
  </si>
  <si>
    <t>f7b80c95-929d-4ba5-bb01-1f9bc611f37a</t>
  </si>
  <si>
    <t>NSU0170</t>
  </si>
  <si>
    <t>{ "measurements" : "TOT: 211, TV: 106, HFL: 22, EAR: 16, WGT: 24" ,"preservationMeans" : "flash frozen, stored at -80C", "preservationFluid" : "no preservative fluid" }</t>
  </si>
  <si>
    <t>Mammae #: Ax 0 Ab. 0 Ing. 1 | Mammae Condition: Sm. | Vagina condition: ND | Reproductive Stage: ND | Embryos: ND | Placental scars: ND</t>
  </si>
  <si>
    <t>ASUVTC002480</t>
  </si>
  <si>
    <t>394101e3-cf28-41ba-9ed4-6e30b67cafb7</t>
  </si>
  <si>
    <t>ASUVTC002481</t>
  </si>
  <si>
    <t>2024-01-22T23:57:04.089Z</t>
  </si>
  <si>
    <t>e8e7b95c-b7ab-4935-89b1-585a53cd5bd4</t>
  </si>
  <si>
    <t>NSU0171</t>
  </si>
  <si>
    <t>{ "measurements" : "TOT: 146, TV: 61, HFL: 21, EAR: 16, WGT: 16" ,"preservationMeans" : "flash frozen, stored at -80C", "preservationFluid" : "no preservative fluid" }</t>
  </si>
  <si>
    <t>ASUVTC002482</t>
  </si>
  <si>
    <t>8abe9b55-a101-4675-9c10-77cc7ff43052</t>
  </si>
  <si>
    <t>ASUVTC002483</t>
  </si>
  <si>
    <t>3fde9ba6-034e-4599-ad6a-61886597fef2</t>
  </si>
  <si>
    <t>Santa Catalina Mts., N of E Ski Run Rd at Mt Lemmon Trailhead</t>
  </si>
  <si>
    <t>Trap Camp-1</t>
  </si>
  <si>
    <t>DMR0006</t>
  </si>
  <si>
    <t>?</t>
  </si>
  <si>
    <t>NA</t>
  </si>
  <si>
    <t>ASUVTC000580</t>
  </si>
  <si>
    <t>2024-01-22T23:57:04.055Z</t>
  </si>
  <si>
    <t>2027236a-d4ed-463e-a247-666ef0738d92</t>
  </si>
  <si>
    <t>Trap Camp-2</t>
  </si>
  <si>
    <t>DMR0007</t>
  </si>
  <si>
    <t>sharesOriginatingSample (fecal): https://csvcoll.org/portal/collections/individual/index.php?guid=98342360-e0c6-405d-8cbb-33b0a1f304df</t>
  </si>
  <si>
    <t>ASUVTC000581</t>
  </si>
  <si>
    <t>77ee371c-a454-40ee-808a-d3f1ff1f6e4a</t>
  </si>
  <si>
    <t>ASUVTC000582</t>
  </si>
  <si>
    <t>98342360-e0c6-405d-8cbb-33b0a1f304df</t>
  </si>
  <si>
    <t>Trap Camp-3</t>
  </si>
  <si>
    <t>DMR0008</t>
  </si>
  <si>
    <t>sharesOriginatingSample (fecal): https://csvcoll.org/portal/collections/individual/index.php?guid=77ee371c-a454-40ee-808a-d3f1ff1f6e4a</t>
  </si>
  <si>
    <t>ASUVTC000583</t>
  </si>
  <si>
    <t>b82a4a14-63d1-46be-9be3-c48b4c7daaed</t>
  </si>
  <si>
    <t>Trap Camp-4</t>
  </si>
  <si>
    <t>DMR0009</t>
  </si>
  <si>
    <t>{ "measurements" : "TOT: 145, TV: 62, HFL: 22, EAR: 20, WGT: 14 g" , "preservationFluid" : "70 percent ethanol" }</t>
  </si>
  <si>
    <t>originatingSampleOf (tissue): https://csvcoll.org/portal/collections/individual/index.php?guid=627ff763-c882-4ced-84c7-8744d24958cd | originatingSampleOf (tissue): https://csvcoll.org/portal/collections/individual/index.php?guid=b33a21a3-cb75-4aa3-938c-a7f725a22a44 | originatingSampleOf (tissue): https://csvcoll.org/portal/collections/individual/index.php?guid=66f0162e-34a2-4916-a6d7-76c18efd18d2 | originatingSampleOf (tissue): https://csvcoll.org/portal/collections/individual/index.php?guid=45077ec3-8d80-4415-b7d3-3d327b38c30f | originatingSampleOf (tissue): https://csvcoll.org/portal/collections/individual/index.php?guid=c0b31842-d74c-4259-8ac7-238f67630856 | originatingSampleOf (tissue): https://csvcoll.org/portal/collections/individual/index.php?guid=82c421be-6a1a-42b1-b42a-a3a6331c5cf8</t>
  </si>
  <si>
    <t>ASUMAC008598</t>
  </si>
  <si>
    <t>2024-01-23T19:40:07.956Z</t>
  </si>
  <si>
    <t>627ff763-c882-4ced-84c7-8744d24958cd</t>
  </si>
  <si>
    <t>subsampleOf (tissue): https://csvcoll.org/portal/collections/individual/index.php?guid=b82a4a14-63d1-46be-9be3-c48b4c7daaed</t>
  </si>
  <si>
    <t>ASUVTC000584</t>
  </si>
  <si>
    <t>b33a21a3-cb75-4aa3-938c-a7f725a22a44</t>
  </si>
  <si>
    <t>ASUVTC000585</t>
  </si>
  <si>
    <t>66f0162e-34a2-4916-a6d7-76c18efd18d2</t>
  </si>
  <si>
    <t>ASUVTC000586</t>
  </si>
  <si>
    <t>45077ec3-8d80-4415-b7d3-3d327b38c30f</t>
  </si>
  <si>
    <t>ASUVTC000587</t>
  </si>
  <si>
    <t>c0b31842-d74c-4259-8ac7-238f67630856</t>
  </si>
  <si>
    <t>ASUVTC000831</t>
  </si>
  <si>
    <t>82c421be-6a1a-42b1-b42a-a3a6331c5cf8</t>
  </si>
  <si>
    <t>ASUVTC000832</t>
  </si>
  <si>
    <t>48f12cf4-56cd-4165-a964-ed0f0fd83e4d</t>
  </si>
  <si>
    <t>Trap Camp-5</t>
  </si>
  <si>
    <t>DMR0010</t>
  </si>
  <si>
    <t>{ "measurements" : "TOT: 283, TV: 123, HFL: 37, EAR: 21, WGT: ~140 g" , "preservationFluid" : "70 percent ethanol" }</t>
  </si>
  <si>
    <t>Mammae #: Ax. 0 Ab. 0 Ing. 0 | Mammae Condition: Sm. | Vagina condition: Imp. | Reproductive Stage: Nul. | Embryos: 0 | Placental scars: 0</t>
  </si>
  <si>
    <t>originatingSampleOf (tissue): https://csvcoll.org/portal/collections/individual/index.php?guid=f7e8ea48-450d-4052-bf7d-08c93088fe3f | originatingSampleOf (tissue): https://csvcoll.org/portal/collections/individual/index.php?guid=08f6a44f-f108-4a92-a36b-2c8414f3b2f4 | originatingSampleOf (tissue): https://csvcoll.org/portal/collections/individual/index.php?guid=7271abca-4407-43f9-a3a9-beda63a7a1f6 | originatingSampleOf (fecal): https://csvcoll.org/portal/collections/individual/index.php?guid=1614043b-f793-492d-9c36-7caee1016b97 | originatingSampleOf (tissue): https://csvcoll.org/portal/collections/individual/index.php?guid=24300876-78cf-4445-a18f-f6dff284306a | originatingSampleOf (tissue): https://csvcoll.org/portal/collections/individual/index.php?guid=0538b3bd-16c1-425e-a126-60b0eb9fb483 | originatingSampleOf (tissue): https://csvcoll.org/portal/collections/individual/index.php?guid=31f02643-0942-4435-904f-4f38424c0ea7</t>
  </si>
  <si>
    <t>ASUMAC008603</t>
  </si>
  <si>
    <t>2024-01-23T19:40:07.969Z</t>
  </si>
  <si>
    <t>f7e8ea48-450d-4052-bf7d-08c93088fe3f</t>
  </si>
  <si>
    <t>subsampleOf (fecal): https://csvcoll.org/portal/collections/individual/index.php?guid=48f12cf4-56cd-4165-a964-ed0f0fd83e4d</t>
  </si>
  <si>
    <t>ASUVTC000588</t>
  </si>
  <si>
    <t>08f6a44f-f108-4a92-a36b-2c8414f3b2f4</t>
  </si>
  <si>
    <t>subsampleOf (tissue): https://csvcoll.org/portal/collections/individual/index.php?guid=48f12cf4-56cd-4165-a964-ed0f0fd83e4d</t>
  </si>
  <si>
    <t>ASUVTC000589</t>
  </si>
  <si>
    <t>2024-01-22T23:57:04.044Z</t>
  </si>
  <si>
    <t>7271abca-4407-43f9-a3a9-beda63a7a1f6</t>
  </si>
  <si>
    <t>ASUVTC000590</t>
  </si>
  <si>
    <t>2024-01-22T23:57:04.045Z</t>
  </si>
  <si>
    <t>1614043b-f793-492d-9c36-7caee1016b97</t>
  </si>
  <si>
    <t>ASUVTC000591</t>
  </si>
  <si>
    <t>24300876-78cf-4445-a18f-f6dff284306a</t>
  </si>
  <si>
    <t>ASUVTC000592</t>
  </si>
  <si>
    <t>0538b3bd-16c1-425e-a126-60b0eb9fb483</t>
  </si>
  <si>
    <t>ASUVTC000845</t>
  </si>
  <si>
    <t>31f02643-0942-4435-904f-4f38424c0ea7</t>
  </si>
  <si>
    <t>ASUVTC000846</t>
  </si>
  <si>
    <t>b9317f48-34a7-4dba-9b20-24b8c5dc7092</t>
  </si>
  <si>
    <t>Trap Camp-6</t>
  </si>
  <si>
    <t>DMR0011</t>
  </si>
  <si>
    <t>ASUVTC000593</t>
  </si>
  <si>
    <t>2024-01-22T23:57:04.035Z</t>
  </si>
  <si>
    <t>e96f476b-a8a3-43e5-aa0c-2d3103a2fa58</t>
  </si>
  <si>
    <t>Trap Camp-7</t>
  </si>
  <si>
    <t>DMR0012</t>
  </si>
  <si>
    <t>{ "measurements" : "TOT: 330, TV: 148, HFL: 32, EAR: 24, WGT: &gt;150 g" , "preservationFluid" : "70 percent ethanol" }</t>
  </si>
  <si>
    <t>Mammae #: ND | Mammae Condition: Lg. | Vagina condition: ND | Reproductive Stage: ND | Embryos: 0 | Placental scars: L 1 R 2</t>
  </si>
  <si>
    <t>originatingSampleOf (tissue): https://csvcoll.org/portal/collections/individual/index.php?guid=2ce84c26-12f4-4dce-9af2-4954e5ba80c8 | originatingSampleOf (tissue): https://csvcoll.org/portal/collections/individual/index.php?guid=cc6935fb-9dfd-43a1-96af-c5bfb844d63b | originatingSampleOf (tissue): https://csvcoll.org/portal/collections/individual/index.php?guid=81975d9c-548d-4a10-bf5c-6aea21492bef | originatingSampleOf (fecal): https://csvcoll.org/portal/collections/individual/index.php?guid=8b26949f-47cb-40f4-981c-46d3848e97bf | originatingSampleOf (tissue): https://csvcoll.org/portal/collections/individual/index.php?guid=b1ba87aa-8395-44c3-809f-70e9478ceff6 | originatingSampleOf (tissue): https://csvcoll.org/portal/collections/individual/index.php?guid=d7b32737-cd3b-44c8-8134-a23e9e0e2b36</t>
  </si>
  <si>
    <t>ASUMAC008599</t>
  </si>
  <si>
    <t>2024-01-23T19:40:07.957Z</t>
  </si>
  <si>
    <t>2ce84c26-12f4-4dce-9af2-4954e5ba80c8</t>
  </si>
  <si>
    <t>subsampleOf (tissue): https://csvcoll.org/portal/collections/individual/index.php?guid=e96f476b-a8a3-43e5-aa0c-2d3103a2fa58</t>
  </si>
  <si>
    <t>ASUVTC000594</t>
  </si>
  <si>
    <t>cc6935fb-9dfd-43a1-96af-c5bfb844d63b</t>
  </si>
  <si>
    <t>ASUVTC000595</t>
  </si>
  <si>
    <t>2024-01-22T23:57:04.034Z</t>
  </si>
  <si>
    <t>81975d9c-548d-4a10-bf5c-6aea21492bef</t>
  </si>
  <si>
    <t>ASUVTC000596</t>
  </si>
  <si>
    <t>8b26949f-47cb-40f4-981c-46d3848e97bf</t>
  </si>
  <si>
    <t>ASUVTC000597</t>
  </si>
  <si>
    <t>2024-01-22T23:57:04.032Z</t>
  </si>
  <si>
    <t>b1ba87aa-8395-44c3-809f-70e9478ceff6</t>
  </si>
  <si>
    <t>subsampleOf (fecal): https://csvcoll.org/portal/collections/individual/index.php?guid=e96f476b-a8a3-43e5-aa0c-2d3103a2fa58</t>
  </si>
  <si>
    <t>ASUVTC000833</t>
  </si>
  <si>
    <t>2024-01-22T23:57:04.033Z</t>
  </si>
  <si>
    <t>d7b32737-cd3b-44c8-8134-a23e9e0e2b36</t>
  </si>
  <si>
    <t>ASUVTC000834</t>
  </si>
  <si>
    <t>9a167be7-cffd-4775-b2df-bdcabe59106d</t>
  </si>
  <si>
    <t>Trap Camp-8</t>
  </si>
  <si>
    <t>DMR0013</t>
  </si>
  <si>
    <t>{ "measurements" : "TOT: 142, TV: 63, HFL: 21, EAR: 20, WGT: 13 g" , "preservationFluid" : "70 percent ethanol" }</t>
  </si>
  <si>
    <t>Testes Position: Abd. | Testis size: ND | Epididymus: ND</t>
  </si>
  <si>
    <t>originatingSampleOf (tissue): https://csvcoll.org/portal/collections/individual/index.php?guid=8e041010-ac4d-4dcd-b202-df4b92d06b49 | originatingSampleOf (tissue): https://csvcoll.org/portal/collections/individual/index.php?guid=206b4afd-5e1a-45c9-b358-ed258ac5c08b | originatingSampleOf (tissue): https://csvcoll.org/portal/collections/individual/index.php?guid=ac2ecb62-d80b-4957-931e-09f278d900fd | originatingSampleOf (tissue): https://csvcoll.org/portal/collections/individual/index.php?guid=3e75425a-6ade-4458-a5a9-d771ec5cc6e1 | originatingSampleOf (tissue): https://csvcoll.org/portal/collections/individual/index.php?guid=50292cbb-a158-41d0-83be-7161cf0fd69c | originatingSampleOf (tissue): https://csvcoll.org/portal/collections/individual/index.php?guid=ca4ba914-cffa-4653-b15a-5f6954d75c6f</t>
  </si>
  <si>
    <t>ASUMAC008597</t>
  </si>
  <si>
    <t>8e041010-ac4d-4dcd-b202-df4b92d06b49</t>
  </si>
  <si>
    <t>subsampleOf (tissue): https://csvcoll.org/portal/collections/individual/index.php?guid=9a167be7-cffd-4775-b2df-bdcabe59106d</t>
  </si>
  <si>
    <t>ASUVTC000598</t>
  </si>
  <si>
    <t>206b4afd-5e1a-45c9-b358-ed258ac5c08b</t>
  </si>
  <si>
    <t>ASUVTC000599</t>
  </si>
  <si>
    <t>2024-01-22T23:57:04.031Z</t>
  </si>
  <si>
    <t>ac2ecb62-d80b-4957-931e-09f278d900fd</t>
  </si>
  <si>
    <t>ASUVTC000600</t>
  </si>
  <si>
    <t>3e75425a-6ade-4458-a5a9-d771ec5cc6e1</t>
  </si>
  <si>
    <t>ASUVTC000601</t>
  </si>
  <si>
    <t>50292cbb-a158-41d0-83be-7161cf0fd69c</t>
  </si>
  <si>
    <t>ASUVTC000829</t>
  </si>
  <si>
    <t>ca4ba914-cffa-4653-b15a-5f6954d75c6f</t>
  </si>
  <si>
    <t>ASUVTC000830</t>
  </si>
  <si>
    <t>e9c36544-1240-46eb-92b5-db0c89bd8b13</t>
  </si>
  <si>
    <t>Trap Camp-9</t>
  </si>
  <si>
    <t>DMR0014</t>
  </si>
  <si>
    <t>{ "measurements" : "TOT: 151, TV: 67, HFL: 18, EAR: 13, WGT: 19 g" , "preservationFluid" : "70 percent ethanol" }</t>
  </si>
  <si>
    <t>Mammae #: Ax. 0 Ab. 0 Ing. 0 | Mammae Condition: Sm. | Vagina condition: Imp. | Reproductive Stage: Prim. | Embryos: 0 | Placental scars: L 1 R 2</t>
  </si>
  <si>
    <t>originatingSampleOf (tissue): https://csvcoll.org/portal/collections/individual/index.php?guid=b6903194-c06e-4630-a370-ba06413b2538 | originatingSampleOf (tissue): https://csvcoll.org/portal/collections/individual/index.php?guid=06d05cef-3181-4547-8209-000b6d6ed2fc | originatingSampleOf (tissue): https://csvcoll.org/portal/collections/individual/index.php?guid=3b802f87-3ed7-44a7-beba-a311fcb714a0 | originatingSampleOf (tissue): https://csvcoll.org/portal/collections/individual/index.php?guid=e5f6041c-444b-499d-950c-84b35262981d | originatingSampleOf (tissue): https://csvcoll.org/portal/collections/individual/index.php?guid=ae8f471e-1150-44c0-b414-6c90fdfccff2</t>
  </si>
  <si>
    <t>ASUMAC008602</t>
  </si>
  <si>
    <t>2024-01-23T19:40:07.972Z</t>
  </si>
  <si>
    <t>b6903194-c06e-4630-a370-ba06413b2538</t>
  </si>
  <si>
    <t>subsampleOf (tissue): https://csvcoll.org/portal/collections/individual/index.php?guid=e9c36544-1240-46eb-92b5-db0c89bd8b13</t>
  </si>
  <si>
    <t>ASUVTC000602</t>
  </si>
  <si>
    <t>2024-01-22T23:57:04.019Z</t>
  </si>
  <si>
    <t>06d05cef-3181-4547-8209-000b6d6ed2fc</t>
  </si>
  <si>
    <t>ASUVTC000603</t>
  </si>
  <si>
    <t>3b802f87-3ed7-44a7-beba-a311fcb714a0</t>
  </si>
  <si>
    <t>ASUVTC000604</t>
  </si>
  <si>
    <t>e5f6041c-444b-499d-950c-84b35262981d</t>
  </si>
  <si>
    <t>skeletal muscle + ear</t>
  </si>
  <si>
    <t>ASUVTC000843</t>
  </si>
  <si>
    <t>ae8f471e-1150-44c0-b414-6c90fdfccff2</t>
  </si>
  <si>
    <t>ASUVTC000844</t>
  </si>
  <si>
    <t>2024-01-22T23:57:04.021Z</t>
  </si>
  <si>
    <t>9a411faa-d814-4788-8473-ed9d012153e0</t>
  </si>
  <si>
    <t>Trap Camp-10</t>
  </si>
  <si>
    <t>DMR0015</t>
  </si>
  <si>
    <t>{ "measurements" : "TOT: 317, TV: 142, HFL: 30, EAR: 26, WGT: &gt;150 g" , "preservationFluid" : "70 percent ethanol" }</t>
  </si>
  <si>
    <t>Mammae #: Ax. 0 Ab. 0 Ing. 4 | Mammae Condition: Sm. | Vagina condition: ND | Reproductive Stage: ND | Embryos: 0 | Placental scars: L 3 R 3</t>
  </si>
  <si>
    <t>originatingSampleOf (tissue): https://csvcoll.org/portal/collections/individual/index.php?guid=51711162-11c2-46ef-aa02-fd81a92843d3 | originatingSampleOf (tissue): https://csvcoll.org/portal/collections/individual/index.php?guid=28c03c5a-dcc0-4ab7-8261-4cdc0142df03 | originatingSampleOf (tissue): https://csvcoll.org/portal/collections/individual/index.php?guid=f6236de9-6e5e-462f-9856-669a5f65fe19 | originatingSampleOf (tissue): https://csvcoll.org/portal/collections/individual/index.php?guid=22b1e4d3-caf6-4837-ad8c-5bf8fac3d33e | originatingSampleOf (tissue): https://csvcoll.org/portal/collections/individual/index.php?guid=4b6b74b2-a9f1-4a3b-bc37-e038022a9a62 | originatingSampleOf (tissue): https://csvcoll.org/portal/collections/individual/index.php?guid=9d22c5aa-f829-4e95-a9e6-ff3d74a92a56</t>
  </si>
  <si>
    <t>ASUMAC008600</t>
  </si>
  <si>
    <t>2024-01-23T19:40:07.954Z</t>
  </si>
  <si>
    <t>51711162-11c2-46ef-aa02-fd81a92843d3</t>
  </si>
  <si>
    <t>subsampleOf (tissue): https://csvcoll.org/portal/collections/individual/index.php?guid=9a411faa-d814-4788-8473-ed9d012153e0</t>
  </si>
  <si>
    <t>ASUVTC000605</t>
  </si>
  <si>
    <t>28c03c5a-dcc0-4ab7-8261-4cdc0142df03</t>
  </si>
  <si>
    <t>ASUVTC000606</t>
  </si>
  <si>
    <t>f6236de9-6e5e-462f-9856-669a5f65fe19</t>
  </si>
  <si>
    <t>ASUVTC000607</t>
  </si>
  <si>
    <t>22b1e4d3-caf6-4837-ad8c-5bf8fac3d33e</t>
  </si>
  <si>
    <t>ASUVTC000608</t>
  </si>
  <si>
    <t>4b6b74b2-a9f1-4a3b-bc37-e038022a9a62</t>
  </si>
  <si>
    <t>ASUVTC000835</t>
  </si>
  <si>
    <t>9d22c5aa-f829-4e95-a9e6-ff3d74a92a56</t>
  </si>
  <si>
    <t>ASUVTC000836</t>
  </si>
  <si>
    <t>c0aa88aa-0a6a-4022-9bf9-98ccf2b9ab47</t>
  </si>
  <si>
    <t>Trap Camp-12</t>
  </si>
  <si>
    <t>DMR0016</t>
  </si>
  <si>
    <t>ASUVTC000609</t>
  </si>
  <si>
    <t>a6b18a6f-3a54-42c7-ba3b-227992808826</t>
  </si>
  <si>
    <t>Trap Camp-11</t>
  </si>
  <si>
    <t>DMR0017</t>
  </si>
  <si>
    <t>ASUVTC000610</t>
  </si>
  <si>
    <t>2024-01-22T23:57:04.130Z</t>
  </si>
  <si>
    <t>c7bf163f-3aa8-44e4-9c5a-0f4294514c65</t>
  </si>
  <si>
    <t>Santa Catalina Mts., N of E Ski Run Rd midway between Mt. Lemmon trailhead and Mt. Lemmon Sky Center Observatory</t>
  </si>
  <si>
    <t>Trap Line 1-1</t>
  </si>
  <si>
    <t>DMR0018</t>
  </si>
  <si>
    <t>ASUVTC000611</t>
  </si>
  <si>
    <t>9e275565-8707-419b-84d1-44f7640c09c1</t>
  </si>
  <si>
    <t>Trap Line 1-2</t>
  </si>
  <si>
    <t>DMR0019</t>
  </si>
  <si>
    <t>{ "measurements" : "TOT: 122, TV: 51, HFL: 20, EAR: 13, WGT: 10.85 g" , "preservationFluid" : "70 percent ethanol" }</t>
  </si>
  <si>
    <t>Mammae #: ND | Mammae Condition: Sm. | Vagina condition: Imp. | Reproductive Stage: Nul. | Embryos: 0 | Placental scars: 0</t>
  </si>
  <si>
    <t>originatingSampleOf (tissue): https://csvcoll.org/portal/collections/individual/index.php?guid=e2342a30-6155-4ea6-a9d9-ee20b7d4ff60 | originatingSampleOf (tissue): https://csvcoll.org/portal/collections/individual/index.php?guid=de58f636-ba04-48cc-af9d-dcdda03e6923 | originatingSampleOf (tissue): https://csvcoll.org/portal/collections/individual/index.php?guid=6e0437a3-b771-4e64-8d17-c2daddb4bf01 | originatingSampleOf (tissue): https://csvcoll.org/portal/collections/individual/index.php?guid=3a54b191-5cc9-421c-8ad9-0c9e65fac094 | originatingSampleOf (tissue): https://csvcoll.org/portal/collections/individual/index.php?guid=ef280a03-0dd4-46fe-9b5a-90511a38ab71 | originatingSampleOf (tissue): https://csvcoll.org/portal/collections/individual/index.php?guid=334dc254-bfcc-439c-be18-2f9d7f395a68 | originatingSampleOf (tissue): https://csvcoll.org/portal/collections/individual/index.php?guid=7e703cfc-29af-4079-8bd8-4e2b14d87216</t>
  </si>
  <si>
    <t>ASUMAC008601</t>
  </si>
  <si>
    <t>2024-01-23T19:40:07.958Z</t>
  </si>
  <si>
    <t>e2342a30-6155-4ea6-a9d9-ee20b7d4ff60</t>
  </si>
  <si>
    <t>subsampleOf (tissue): https://csvcoll.org/portal/collections/individual/index.php?guid=9e275565-8707-419b-84d1-44f7640c09c1</t>
  </si>
  <si>
    <t>ASUVTC000612</t>
  </si>
  <si>
    <t>de58f636-ba04-48cc-af9d-dcdda03e6923</t>
  </si>
  <si>
    <t>ASUVTC000837</t>
  </si>
  <si>
    <t>6e0437a3-b771-4e64-8d17-c2daddb4bf01</t>
  </si>
  <si>
    <t>ASUVTC000838</t>
  </si>
  <si>
    <t>2024-01-22T23:57:04.125Z</t>
  </si>
  <si>
    <t>3a54b191-5cc9-421c-8ad9-0c9e65fac094</t>
  </si>
  <si>
    <t>ASUVTC000839</t>
  </si>
  <si>
    <t>ef280a03-0dd4-46fe-9b5a-90511a38ab71</t>
  </si>
  <si>
    <t>ASUVTC000840</t>
  </si>
  <si>
    <t>334dc254-bfcc-439c-be18-2f9d7f395a68</t>
  </si>
  <si>
    <t>ASUVTC000841</t>
  </si>
  <si>
    <t>7e703cfc-29af-4079-8bd8-4e2b14d87216</t>
  </si>
  <si>
    <t>ASUVTC000842</t>
  </si>
  <si>
    <t>2e2ac154-e398-4dd1-85c9-859887be5be9</t>
  </si>
  <si>
    <t>Trap Line 1-3</t>
  </si>
  <si>
    <t>DMR0020</t>
  </si>
  <si>
    <t>Testes Position: ND | Testis size: ND | Epididymis: ND</t>
  </si>
  <si>
    <t>ASUVTC000613</t>
  </si>
  <si>
    <t>04fadf8b-93d0-416a-aec9-3b4818b78246</t>
  </si>
  <si>
    <t>Trap Line 1-4</t>
  </si>
  <si>
    <t>DMR0021</t>
  </si>
  <si>
    <t>{ "measurements" : "TOT: 302, TV: 141, HFL: 33, EAR: 24, WGT: &gt;150 g" , "preservationFluid" : "70 percent ethanol" }</t>
  </si>
  <si>
    <t>Mammae #: Ax. 0 Ab. 0 Ing. 0 | Mammae Condition: Sm. | Vagina condition: ND | Reproductive Stage: Nul. | Embryos: 0 | Placental scars: 0</t>
  </si>
  <si>
    <t>originatingSampleOf (tissue): https://csvcoll.org/portal/collections/individual/index.php?guid=82219c9d-1f3c-41c0-9cb6-ca286e831b85 | originatingSampleOf (tissue): https://csvcoll.org/portal/collections/individual/index.php?guid=32decc82-fbf3-440f-bd13-3afa89610586 | originatingSampleOf (tissue): https://csvcoll.org/portal/collections/individual/index.php?guid=662e43c9-e5fd-4e5d-8aa4-fe68ca0013e8 | originatingSampleOf (tissue): https://csvcoll.org/portal/collections/individual/index.php?guid=9b07fa96-957a-4f46-8091-f2750f8b4e14 | originatingSampleOf (tissue): https://csvcoll.org/portal/collections/individual/index.php?guid=ef2b4cd7-2613-48e9-9622-3dc6fd827cb0 | originatingSampleOf (tissue): https://csvcoll.org/portal/collections/individual/index.php?guid=102d3405-707c-4bfc-8f6f-99cc9e4a2ac7</t>
  </si>
  <si>
    <t>ASUMAC008604</t>
  </si>
  <si>
    <t>2024-01-23T19:40:07.952Z</t>
  </si>
  <si>
    <t>82219c9d-1f3c-41c0-9cb6-ca286e831b85</t>
  </si>
  <si>
    <t>subsampleOf (tissue): https://csvcoll.org/portal/collections/individual/index.php?guid=04fadf8b-93d0-416a-aec9-3b4818b78246</t>
  </si>
  <si>
    <t>ASUVTC000614</t>
  </si>
  <si>
    <t>32decc82-fbf3-440f-bd13-3afa89610586</t>
  </si>
  <si>
    <t>ASUVTC000615</t>
  </si>
  <si>
    <t>662e43c9-e5fd-4e5d-8aa4-fe68ca0013e8</t>
  </si>
  <si>
    <t>ASUVTC000616</t>
  </si>
  <si>
    <t>9b07fa96-957a-4f46-8091-f2750f8b4e14</t>
  </si>
  <si>
    <t>ASUVTC000617</t>
  </si>
  <si>
    <t>ef2b4cd7-2613-48e9-9622-3dc6fd827cb0</t>
  </si>
  <si>
    <t>ASUVTC000847</t>
  </si>
  <si>
    <t>102d3405-707c-4bfc-8f6f-99cc9e4a2ac7</t>
  </si>
  <si>
    <t>ASUVTC000848</t>
  </si>
  <si>
    <t>fa2a6e4d-e344-4a17-985e-a5537e075ea7</t>
  </si>
  <si>
    <t>Trap Line 1-6</t>
  </si>
  <si>
    <t>DMR0022</t>
  </si>
  <si>
    <t>sharesOriginatingSample (fecal): https://csvcoll.org/portal/collections/individual/index.php?guid=2447e1ea-982f-4a44-a4bf-42acbcb29e3c</t>
  </si>
  <si>
    <t>ASUVTC000618</t>
  </si>
  <si>
    <t>2447e1ea-982f-4a44-a4bf-42acbcb29e3c</t>
  </si>
  <si>
    <t>sharesOriginatingSample (fecal): https://csvcoll.org/portal/collections/individual/index.php?guid=fa2a6e4d-e344-4a17-985e-a5537e075ea7</t>
  </si>
  <si>
    <t>ASUVTC000619</t>
  </si>
  <si>
    <t>31d9ecd1-28ca-458a-b3d0-d916deed6204</t>
  </si>
  <si>
    <t>Trap Line 1-8</t>
  </si>
  <si>
    <t>DMR0023</t>
  </si>
  <si>
    <t>sharesOriginatingSample (fecal): https://csvcoll.org/portal/collections/individual/index.php?guid=d429650c-7627-42fa-9b04-370f1eed0747</t>
  </si>
  <si>
    <t>ASUVTC000620</t>
  </si>
  <si>
    <t>d429650c-7627-42fa-9b04-370f1eed0747</t>
  </si>
  <si>
    <t>sharesOriginatingSample (fecal): https://csvcoll.org/portal/collections/individual/index.php?guid=31d9ecd1-28ca-458a-b3d0-d916deed6204</t>
  </si>
  <si>
    <t>ASUVTC000621</t>
  </si>
  <si>
    <t>b42325d3-a133-4da6-b555-0745d8f07c38</t>
  </si>
  <si>
    <t>Trap Line 1-5</t>
  </si>
  <si>
    <t>DMR0025</t>
  </si>
  <si>
    <t>ASUVTC000623</t>
  </si>
  <si>
    <t>8bf90d55-91eb-430b-ba18-249519b570db</t>
  </si>
  <si>
    <t>Trap Line 1-9</t>
  </si>
  <si>
    <t>DMR0026</t>
  </si>
  <si>
    <t>ASUVTC000624</t>
  </si>
  <si>
    <t>760e023d-debd-49df-90d7-9f757fa7cdcb</t>
  </si>
  <si>
    <t>Trap Line 1-7</t>
  </si>
  <si>
    <t>DMR0027</t>
  </si>
  <si>
    <t>ASUVTC000625</t>
  </si>
  <si>
    <t>781bc285-5e44-4f56-a48a-c48e51a1e328</t>
  </si>
  <si>
    <t>Santa Catalina Mts., game trail NW of Catalina Wash at intersection with Old Mt. Lemmon Hwy</t>
  </si>
  <si>
    <t>Semidesert Grassland</t>
  </si>
  <si>
    <t>SGN</t>
  </si>
  <si>
    <t>DMR0032</t>
  </si>
  <si>
    <t>{ "measurements" : "TOT: 188, TV: 107, HFL: 27, EAR: 10, WGT: 28 g" , "preservationFluid" : "70 percent ethanol" }</t>
  </si>
  <si>
    <t>Mammae #: ? | Mammae Condition: Sm. | Vagina condition: ND | Reproductive Stage: ND | Embryos: 0 | Placental scars: 0</t>
  </si>
  <si>
    <t>originatingSampleOf (tissue): https://csvcoll.org/portal/collections/individual/index.php?guid=40335158-c50b-47da-b95c-fc480b165e0c | originatingSampleOf (tissue): https://csvcoll.org/portal/collections/individual/index.php?guid=050bf6ea-8813-4992-aa56-e440b12b4b5b | originatingSampleOf (tissue): https://csvcoll.org/portal/collections/individual/index.php?guid=6858b17a-7e98-47d6-be19-2db438650b83 | originatingSampleOf (fecal): https://csvcoll.org/portal/collections/individual/index.php?guid=8acd60bc-c4fd-461d-ae9d-df9178e9949f | originatingSampleOf (tissue): https://csvcoll.org/portal/collections/individual/index.php?guid=359c05aa-d23e-47a0-a7b7-ae3269bd09a4 | originatingSampleOf (tissue): https://csvcoll.org/portal/collections/individual/index.php?guid=7639ba6e-d5c3-4540-b482-0b567be182c2 | originatingSampleOf (blood): https://csvcoll.org/portal/collections/individual/index.php?guid=e40fc10b-2171-4f27-b4bf-5439e9ca3e34</t>
  </si>
  <si>
    <t>ASUMAC008638</t>
  </si>
  <si>
    <t>2024-01-23T19:40:07.961Z</t>
  </si>
  <si>
    <t>40335158-c50b-47da-b95c-fc480b165e0c</t>
  </si>
  <si>
    <t>subsampleOf (tissue): https://csvcoll.org/portal/collections/individual/index.php?guid=781bc285-5e44-4f56-a48a-c48e51a1e328</t>
  </si>
  <si>
    <t>ASUVTC000632</t>
  </si>
  <si>
    <t>050bf6ea-8813-4992-aa56-e440b12b4b5b</t>
  </si>
  <si>
    <t>ASUVTC000633</t>
  </si>
  <si>
    <t>6858b17a-7e98-47d6-be19-2db438650b83</t>
  </si>
  <si>
    <t>ASUVTC000634</t>
  </si>
  <si>
    <t>8acd60bc-c4fd-461d-ae9d-df9178e9949f</t>
  </si>
  <si>
    <t>subsampleOf (fecal): https://csvcoll.org/portal/collections/individual/index.php?guid=781bc285-5e44-4f56-a48a-c48e51a1e328</t>
  </si>
  <si>
    <t>ASUVTC000635</t>
  </si>
  <si>
    <t>359c05aa-d23e-47a0-a7b7-ae3269bd09a4</t>
  </si>
  <si>
    <t>ASUVTC000856</t>
  </si>
  <si>
    <t>7639ba6e-d5c3-4540-b482-0b567be182c2</t>
  </si>
  <si>
    <t>ASUVTC000857</t>
  </si>
  <si>
    <t>e40fc10b-2171-4f27-b4bf-5439e9ca3e34</t>
  </si>
  <si>
    <t>{ "preservationMeans" : "Nobuto filter strip, room temp." , "preservationFluid" : "" }</t>
  </si>
  <si>
    <t>subsampleOf (blood): https://csvcoll.org/portal/collections/individual/index.php?guid=781bc285-5e44-4f56-a48a-c48e51a1e328</t>
  </si>
  <si>
    <t>ASUVTC000871</t>
  </si>
  <si>
    <t>1e00926b-708e-4345-89e7-5c1d935c9df5</t>
  </si>
  <si>
    <t>Onychomys</t>
  </si>
  <si>
    <t>Onychomys torridus</t>
  </si>
  <si>
    <t>Onychomys torridus (Coues, 1874)</t>
  </si>
  <si>
    <t>(Coues, 1874)</t>
  </si>
  <si>
    <t>DMR0033</t>
  </si>
  <si>
    <t>{ "measurements" : "TOT: 145, TV: 46, HFL: 23, EAR: 19, WGT: 30 g" , "preservationFluid" : "70 percent ethanol" }</t>
  </si>
  <si>
    <t>Mammae #: Ax. 2 Ab. 0 Ing. 4 | Mammae Condition: Lg. | Vagina condition: Imp. | Reproductive Stage: Multi. | Embryos: L 2 R 2 CR 6 mm | Placental scars: L 0 R 2</t>
  </si>
  <si>
    <t>originatingSampleOf (tissue): https://csvcoll.org/portal/collections/individual/index.php?guid=fc940f30-506b-4caf-b4ce-e9384ee96e38 | originatingSampleOf (tissue): https://csvcoll.org/portal/collections/individual/index.php?guid=bf5cb093-cf1d-4e0f-86e0-ac4b14a78320 | originatingSampleOf (tissue): https://csvcoll.org/portal/collections/individual/index.php?guid=a1f68b58-1cc4-4772-92a3-dd9b8f7ca623 | originatingSampleOf (tissue): https://csvcoll.org/portal/collections/individual/index.php?guid=42ffdad2-a100-4faf-a0bc-250645c74e98 | originatingSampleOf (fecal): https://csvcoll.org/portal/collections/individual/index.php?guid=34b172c7-01f0-4bbe-a416-68ee5edb6150 | originatingSampleOf (tissue): https://csvcoll.org/portal/collections/individual/index.php?guid=12c011be-05ec-4cfd-b64e-e9fad2a7a738 | originatingSampleOf (blood): https://csvcoll.org/portal/collections/individual/index.php?guid=fbe010e9-c836-49ec-80d3-f92c6620b651</t>
  </si>
  <si>
    <t>ASUMAC008635</t>
  </si>
  <si>
    <t>2024-01-23T19:40:07.933Z</t>
  </si>
  <si>
    <t>fc940f30-506b-4caf-b4ce-e9384ee96e38</t>
  </si>
  <si>
    <t>subsampleOf (tissue): https://csvcoll.org/portal/collections/individual/index.php?guid=1e00926b-708e-4345-89e7-5c1d935c9df5</t>
  </si>
  <si>
    <t>ASUVTC000636</t>
  </si>
  <si>
    <t>bf5cb093-cf1d-4e0f-86e0-ac4b14a78320</t>
  </si>
  <si>
    <t>ASUVTC000637</t>
  </si>
  <si>
    <t>a1f68b58-1cc4-4772-92a3-dd9b8f7ca623</t>
  </si>
  <si>
    <t>ASUVTC000638</t>
  </si>
  <si>
    <t>42ffdad2-a100-4faf-a0bc-250645c74e98</t>
  </si>
  <si>
    <t>ASUVTC000639</t>
  </si>
  <si>
    <t>34b172c7-01f0-4bbe-a416-68ee5edb6150</t>
  </si>
  <si>
    <t>heart/lung</t>
  </si>
  <si>
    <t>ASUVTC000640</t>
  </si>
  <si>
    <t>12c011be-05ec-4cfd-b64e-e9fad2a7a738</t>
  </si>
  <si>
    <t>subsampleOf (fecal): https://csvcoll.org/portal/collections/individual/index.php?guid=1e00926b-708e-4345-89e7-5c1d935c9df5</t>
  </si>
  <si>
    <t>ASUVTC000789</t>
  </si>
  <si>
    <t>fbe010e9-c836-49ec-80d3-f92c6620b651</t>
  </si>
  <si>
    <t>subsampleOf (blood): https://csvcoll.org/portal/collections/individual/index.php?guid=1e00926b-708e-4345-89e7-5c1d935c9df5</t>
  </si>
  <si>
    <t>ASUVTC000872</t>
  </si>
  <si>
    <t>7d31773a-de46-465f-9219-a16e5e37f057</t>
  </si>
  <si>
    <t>DMR0034</t>
  </si>
  <si>
    <t>{ "measurements" : "TOT: 192, TV: 99, HFL: 26, EAR: 9, WGT: 27 g" , "preservationFluid" : "70 percent ethanol" }</t>
  </si>
  <si>
    <t>Mammae #: Ax. 0 Ab. 0 Ing. 0 | Mammae Condition: Sm. | Vagina condition: Imp. | Reproductive Stage: ND | Embryos: 0 | Placental scars: 0</t>
  </si>
  <si>
    <t>originatingSampleOf (tissue): https://csvcoll.org/portal/collections/individual/index.php?guid=401057c9-dd29-4051-9158-5567fab560eb | originatingSampleOf (tissue): https://csvcoll.org/portal/collections/individual/index.php?guid=251e7625-e9a6-4de3-9c9d-cb5cbadf71e7 | originatingSampleOf (tissue): https://csvcoll.org/portal/collections/individual/index.php?guid=322e1628-8971-46c1-99be-737708acafc8 | originatingSampleOf (tissue): https://csvcoll.org/portal/collections/individual/index.php?guid=0a71bd4b-e48e-4f36-9490-b6e0e315de53 | originatingSampleOf (tissue): https://csvcoll.org/portal/collections/individual/index.php?guid=230c5046-eef0-4f60-a713-d8a2e2776288 | originatingSampleOf (blood): https://csvcoll.org/portal/collections/individual/index.php?guid=f815a07b-4260-4f27-8739-96addb4a97cb</t>
  </si>
  <si>
    <t>ASUMAC008616</t>
  </si>
  <si>
    <t>2024-01-23T19:40:07.939Z</t>
  </si>
  <si>
    <t>401057c9-dd29-4051-9158-5567fab560eb</t>
  </si>
  <si>
    <t>subsampleOf (tissue): https://csvcoll.org/portal/collections/individual/index.php?guid=7d31773a-de46-465f-9219-a16e5e37f057</t>
  </si>
  <si>
    <t>ASUVTC000641</t>
  </si>
  <si>
    <t>251e7625-e9a6-4de3-9c9d-cb5cbadf71e7</t>
  </si>
  <si>
    <t>ASUVTC000642</t>
  </si>
  <si>
    <t>322e1628-8971-46c1-99be-737708acafc8</t>
  </si>
  <si>
    <t>ASUVTC000643</t>
  </si>
  <si>
    <t>0a71bd4b-e48e-4f36-9490-b6e0e315de53</t>
  </si>
  <si>
    <t>ASUVTC000790</t>
  </si>
  <si>
    <t>230c5046-eef0-4f60-a713-d8a2e2776288</t>
  </si>
  <si>
    <t>subsampleOf (blood): https://csvcoll.org/portal/collections/individual/index.php?guid=7d31773a-de46-465f-9219-a16e5e37f057</t>
  </si>
  <si>
    <t>ASUVTC000791</t>
  </si>
  <si>
    <t>2024-01-22T23:57:04.095Z</t>
  </si>
  <si>
    <t>f815a07b-4260-4f27-8739-96addb4a97cb</t>
  </si>
  <si>
    <t>ASUVTC000873</t>
  </si>
  <si>
    <t>c039f3fd-3571-41fa-a454-4f498d07a2d0</t>
  </si>
  <si>
    <t>DMR0035</t>
  </si>
  <si>
    <t>{ "measurements" : "TOT: 320, TV: 141, HFL: 36, EAR: 29, WGT: 175 g" , "preservationFluid" : "70 percent ethanol" }</t>
  </si>
  <si>
    <t>Mammae #: Ax. 0 Ab. 0 Ing. 4 | Mammae Condition: Lg. | Vagina condition: Imp. | Reproductive Stage: Multi. | Embryos: L 2 R 0 | Placental scars: L 0 R 2</t>
  </si>
  <si>
    <t>originatingSampleOf (tissue): https://csvcoll.org/portal/collections/individual/index.php?guid=6dbf1340-bcc8-42d0-8fbf-70bdddd582bb | originatingSampleOf (tissue): https://csvcoll.org/portal/collections/individual/index.php?guid=93b407a6-6e58-43ff-b974-17046c3afdaa | originatingSampleOf (tissue): https://csvcoll.org/portal/collections/individual/index.php?guid=c107c8ab-3bff-4f92-8c8d-324c4080aa53 | originatingSampleOf (tissue): https://csvcoll.org/portal/collections/individual/index.php?guid=ba9981f4-ec4a-4466-bc07-a274155fa357 | originatingSampleOf (tissue): https://csvcoll.org/portal/collections/individual/index.php?guid=87f1349d-f9f2-4633-ac07-6e6e6a00d5a8 | originatingSampleOf (fecal): https://csvcoll.org/portal/collections/individual/index.php?guid=967c375b-657e-41bc-8a4a-54e90c51df84 | originatingSampleOf (tissue): https://csvcoll.org/portal/collections/individual/index.php?guid=273a6cbc-d890-4efe-b52c-14b16b392b8c | originatingSampleOf (tissue): https://csvcoll.org/portal/collections/individual/index.php?guid=b51ec5d7-c8f4-4b3b-b9b5-2739ebca9c2a | originatingSampleOf (blood): https://csvcoll.org/portal/collections/individual/index.php?guid=140d2578-51ad-463c-9c29-8199cbb8a89d</t>
  </si>
  <si>
    <t>ASUMAC008620</t>
  </si>
  <si>
    <t>2024-01-23T19:40:07.932Z</t>
  </si>
  <si>
    <t>6dbf1340-bcc8-42d0-8fbf-70bdddd582bb</t>
  </si>
  <si>
    <t>subsampleOf (tissue): https://csvcoll.org/portal/collections/individual/index.php?guid=c039f3fd-3571-41fa-a454-4f498d07a2d0</t>
  </si>
  <si>
    <t>ASUVTC000644</t>
  </si>
  <si>
    <t>93b407a6-6e58-43ff-b974-17046c3afdaa</t>
  </si>
  <si>
    <t>ASUVTC000645</t>
  </si>
  <si>
    <t>c107c8ab-3bff-4f92-8c8d-324c4080aa53</t>
  </si>
  <si>
    <t>ASUVTC000646</t>
  </si>
  <si>
    <t>ba9981f4-ec4a-4466-bc07-a274155fa357</t>
  </si>
  <si>
    <t>ASUVTC000647</t>
  </si>
  <si>
    <t>87f1349d-f9f2-4633-ac07-6e6e6a00d5a8</t>
  </si>
  <si>
    <t>subsampleOf (fecal): https://csvcoll.org/portal/collections/individual/index.php?guid=c039f3fd-3571-41fa-a454-4f498d07a2d0</t>
  </si>
  <si>
    <t>ASUVTC000648</t>
  </si>
  <si>
    <t>2024-01-22T23:57:03.857Z</t>
  </si>
  <si>
    <t>967c375b-657e-41bc-8a4a-54e90c51df84</t>
  </si>
  <si>
    <t>ASUVTC000649</t>
  </si>
  <si>
    <t>2024-01-22T23:57:03.863Z</t>
  </si>
  <si>
    <t>273a6cbc-d890-4efe-b52c-14b16b392b8c</t>
  </si>
  <si>
    <t>ASUVTC000792</t>
  </si>
  <si>
    <t>b51ec5d7-c8f4-4b3b-b9b5-2739ebca9c2a</t>
  </si>
  <si>
    <t>ASUVTC000793</t>
  </si>
  <si>
    <t>140d2578-51ad-463c-9c29-8199cbb8a89d</t>
  </si>
  <si>
    <t>subsampleOf (blood): https://csvcoll.org/portal/collections/individual/index.php?guid=c039f3fd-3571-41fa-a454-4f498d07a2d0</t>
  </si>
  <si>
    <t>ASUVTC000874</t>
  </si>
  <si>
    <t>ff85673f-8fb1-44f7-8edc-e369493cb920</t>
  </si>
  <si>
    <t>Peromyscus eremicus</t>
  </si>
  <si>
    <t>Peromyscus eremicus (Baird, 1857)</t>
  </si>
  <si>
    <t>DMR0036</t>
  </si>
  <si>
    <t>{ "measurements" : "TOT: 198, TV: 104, HFL: 21, EAR: 19, WGT: 26 g" , "preservationFluid" : "70 percent ethanol" }</t>
  </si>
  <si>
    <t>Mammae #: Ax. 0 Ab. 0 Ing. 4 | Mammae Condition: Lg. | Vagina condition: Imp. | Reproductive Stage: Prim. | Embryos: 0 | Placental scars: L 2 R 2</t>
  </si>
  <si>
    <t>originatingSampleOf (tissue): https://csvcoll.org/portal/collections/individual/index.php?guid=7c219199-f22c-45ea-8b04-90491ebfa08f | originatingSampleOf (tissue): https://csvcoll.org/portal/collections/individual/index.php?guid=5db0bad9-2387-44bf-b1ea-9686b0609bf2 | originatingSampleOf (tissue): https://csvcoll.org/portal/collections/individual/index.php?guid=e6936518-4f36-412f-a238-705ff16176fc | originatingSampleOf: https://csvcoll.org/portal/collections/individual/index.php?guid=302820a2-7496-4137-abad-c19709ed6206 | originatingSampleOf (fecal): https://csvcoll.org/portal/collections/individual/index.php?guid=996ecb2c-a461-46b6-bd47-74d8e2b215a6 | originatingSampleOf (tissue): https://csvcoll.org/portal/collections/individual/index.php?guid=624a862f-22fe-4c92-9e35-413d3d477b42 | originatingSampleOf (tissue): https://csvcoll.org/portal/collections/individual/index.php?guid=90ea6f05-232b-4694-bc66-aec6e76a1e65 | originatingSampleOf (blood): https://csvcoll.org/portal/collections/individual/index.php?guid=5fdd903b-7c20-4eeb-bae9-99d237c3bc88</t>
  </si>
  <si>
    <t>ASUMAC008641</t>
  </si>
  <si>
    <t>2024-01-23T19:40:07.934Z</t>
  </si>
  <si>
    <t>7c219199-f22c-45ea-8b04-90491ebfa08f</t>
  </si>
  <si>
    <t>subsampleOf (tissue): https://csvcoll.org/portal/collections/individual/index.php?guid=ff85673f-8fb1-44f7-8edc-e369493cb920</t>
  </si>
  <si>
    <t>ASUVTC000650</t>
  </si>
  <si>
    <t>5db0bad9-2387-44bf-b1ea-9686b0609bf2</t>
  </si>
  <si>
    <t>ASUVTC000651</t>
  </si>
  <si>
    <t>e6936518-4f36-412f-a238-705ff16176fc</t>
  </si>
  <si>
    <t>ASUVTC000652</t>
  </si>
  <si>
    <t>302820a2-7496-4137-abad-c19709ed6206</t>
  </si>
  <si>
    <t>subsampleOf (fecal): https://csvcoll.org/portal/collections/individual/index.php?guid=ff85673f-8fb1-44f7-8edc-e369493cb920</t>
  </si>
  <si>
    <t>ASUVTC000653</t>
  </si>
  <si>
    <t>2024-01-22T23:57:03.854Z</t>
  </si>
  <si>
    <t>996ecb2c-a461-46b6-bd47-74d8e2b215a6</t>
  </si>
  <si>
    <t>subsampleOf: https://csvcoll.org/portal/collections/individual/index.php?guid=ff85673f-8fb1-44f7-8edc-e369493cb920</t>
  </si>
  <si>
    <t>ASUVTC000654</t>
  </si>
  <si>
    <t>624a862f-22fe-4c92-9e35-413d3d477b42</t>
  </si>
  <si>
    <t>ASUVTC000862</t>
  </si>
  <si>
    <t>90ea6f05-232b-4694-bc66-aec6e76a1e65</t>
  </si>
  <si>
    <t>subsampleOf (blood): https://csvcoll.org/portal/collections/individual/index.php?guid=ff85673f-8fb1-44f7-8edc-e369493cb920</t>
  </si>
  <si>
    <t>ASUVTC000863</t>
  </si>
  <si>
    <t>5fdd903b-7c20-4eeb-bae9-99d237c3bc88</t>
  </si>
  <si>
    <t>ASUVTC000875</t>
  </si>
  <si>
    <t>05810114-cce4-4774-a4db-2e50033f9af1</t>
  </si>
  <si>
    <t>Santa Catalina Mts., Catalina Wash at intersection with Old Mt. Lemmon Hwy, Hillside S of road and N of wash</t>
  </si>
  <si>
    <t>Trap Line 4-1</t>
  </si>
  <si>
    <t>DMR0037</t>
  </si>
  <si>
    <t>{ "measurements" : "TOT: 319, TV: 148, HFL: 35, EAR: 30, WGT: 155 g" , "preservationFluid" : "70 percent ethanol" }</t>
  </si>
  <si>
    <t>Mammae #: Ax. 0 Ab. 0 Ing. 4 | Mammae Condition: Lg. | Vagina condition: Perf. | Reproductive Stage: Prim. | Embryos: 0 | Placental scars: L 0 R 2</t>
  </si>
  <si>
    <t>originatingSampleOf (tissue): https://csvcoll.org/portal/collections/individual/index.php?guid=498c08f9-530d-4e95-a0ba-dff15fee9922 | originatingSampleOf (tissue): https://csvcoll.org/portal/collections/individual/index.php?guid=39fba010-32b3-47d6-8d8c-4dad747ea277 | originatingSampleOf (tissue): https://csvcoll.org/portal/collections/individual/index.php?guid=773e354c-c1d7-4c16-bdbe-f03a44113766 | originatingSampleOf (tissue): https://csvcoll.org/portal/collections/individual/index.php?guid=5d72237a-d9fa-4e2d-98f8-229775ab5144 | originatingSampleOf (tissue): https://csvcoll.org/portal/collections/individual/index.php?guid=872c49bc-e1a0-4996-a873-78a0cc0adfae | originatingSampleOf: https://csvcoll.org/portal/collections/individual/index.php?guid=aa898205-2d5d-4122-97c0-1eccd6884bfe | originatingSampleOf (fecal): https://csvcoll.org/portal/collections/individual/index.php?guid=0003ccda-fad7-44a1-acdb-61ab1c8cf77c | originatingSampleOf (tissue): https://csvcoll.org/portal/collections/individual/index.php?guid=8c466b71-3761-4994-bc9f-57895181464d | originatingSampleOf (tissue): https://csvcoll.org/portal/collections/individual/index.php?guid=3cad3a00-b80f-423e-8de3-85937d719c68 | originatingSampleOf (blood): https://csvcoll.org/portal/collections/individual/index.php?guid=a183350b-2377-4c0a-b83e-4023a9bf5bd8</t>
  </si>
  <si>
    <t>ASUMAC008621</t>
  </si>
  <si>
    <t>498c08f9-530d-4e95-a0ba-dff15fee9922</t>
  </si>
  <si>
    <t>subsampleOf (tissue): https://csvcoll.org/portal/collections/individual/index.php?guid=05810114-cce4-4774-a4db-2e50033f9af1</t>
  </si>
  <si>
    <t>ASUVTC000655</t>
  </si>
  <si>
    <t>39fba010-32b3-47d6-8d8c-4dad747ea277</t>
  </si>
  <si>
    <t>ASUVTC000656</t>
  </si>
  <si>
    <t>773e354c-c1d7-4c16-bdbe-f03a44113766</t>
  </si>
  <si>
    <t>ASUVTC000657</t>
  </si>
  <si>
    <t>2024-01-22T23:57:03.848Z</t>
  </si>
  <si>
    <t>5d72237a-d9fa-4e2d-98f8-229775ab5144</t>
  </si>
  <si>
    <t>ASUVTC000658</t>
  </si>
  <si>
    <t>872c49bc-e1a0-4996-a873-78a0cc0adfae</t>
  </si>
  <si>
    <t>subsampleOf: https://csvcoll.org/portal/collections/individual/index.php?guid=05810114-cce4-4774-a4db-2e50033f9af1</t>
  </si>
  <si>
    <t>ASUVTC000659</t>
  </si>
  <si>
    <t>2024-01-22T23:57:03.847Z</t>
  </si>
  <si>
    <t>aa898205-2d5d-4122-97c0-1eccd6884bfe</t>
  </si>
  <si>
    <t>ASUVTC000660</t>
  </si>
  <si>
    <t>0003ccda-fad7-44a1-acdb-61ab1c8cf77c</t>
  </si>
  <si>
    <t>subsampleOf (fecal): https://csvcoll.org/portal/collections/individual/index.php?guid=05810114-cce4-4774-a4db-2e50033f9af1</t>
  </si>
  <si>
    <t>ASUVTC000661</t>
  </si>
  <si>
    <t>8c466b71-3761-4994-bc9f-57895181464d</t>
  </si>
  <si>
    <t>ASUVTC000794</t>
  </si>
  <si>
    <t>3cad3a00-b80f-423e-8de3-85937d719c68</t>
  </si>
  <si>
    <t>ASUVTC000795</t>
  </si>
  <si>
    <t>a183350b-2377-4c0a-b83e-4023a9bf5bd8</t>
  </si>
  <si>
    <t>subsampleOf (blood): https://csvcoll.org/portal/collections/individual/index.php?guid=05810114-cce4-4774-a4db-2e50033f9af1</t>
  </si>
  <si>
    <t>ASUVTC000876</t>
  </si>
  <si>
    <t>2024-01-22T23:57:03.837Z</t>
  </si>
  <si>
    <t>f1b979ce-4cfd-4e45-8d51-5a892547499a</t>
  </si>
  <si>
    <t>Trap Line 4-2</t>
  </si>
  <si>
    <t>DMR0038</t>
  </si>
  <si>
    <t>{ "measurements" : "TOT: 194, TV: 102, HFL: 21, EAR: 19, WGT: 24 g" , "preservationFluid" : "70 percent ethanol" }</t>
  </si>
  <si>
    <t>originatingSampleOf (tissue): https://csvcoll.org/portal/collections/individual/index.php?guid=b31d174e-2647-4fe0-941c-6aa47345868d | originatingSampleOf (tissue): https://csvcoll.org/portal/collections/individual/index.php?guid=84df7176-01a3-44c6-9e8d-20d29da44f8e | originatingSampleOf (tissue): https://csvcoll.org/portal/collections/individual/index.php?guid=d68f3077-9c15-49ac-9800-ce352f311553 | originatingSampleOf (fecal): https://csvcoll.org/portal/collections/individual/index.php?guid=3119ef08-6efa-423d-b8e4-0ce1d0067247 | originatingSampleOf (tissue): https://csvcoll.org/portal/collections/individual/index.php?guid=a23a125e-d8aa-4aea-852e-0cdb6ef420f6 | originatingSampleOf (tissue): https://csvcoll.org/portal/collections/individual/index.php?guid=beca0211-0da1-4a9e-874b-5dc728cd198e | originatingSampleOf (blood): https://csvcoll.org/portal/collections/individual/index.php?guid=84749caf-2a38-48ea-bf29-ff72c00042ec</t>
  </si>
  <si>
    <t>ASUMAC008615</t>
  </si>
  <si>
    <t>b31d174e-2647-4fe0-941c-6aa47345868d</t>
  </si>
  <si>
    <t>subsampleOf (tissue): https://csvcoll.org/portal/collections/individual/index.php?guid=f1b979ce-4cfd-4e45-8d51-5a892547499a</t>
  </si>
  <si>
    <t>ASUVTC000662</t>
  </si>
  <si>
    <t>84df7176-01a3-44c6-9e8d-20d29da44f8e</t>
  </si>
  <si>
    <t>ASUVTC000663</t>
  </si>
  <si>
    <t>2024-01-22T23:57:03.835Z</t>
  </si>
  <si>
    <t>d68f3077-9c15-49ac-9800-ce352f311553</t>
  </si>
  <si>
    <t>ASUVTC000664</t>
  </si>
  <si>
    <t>3119ef08-6efa-423d-b8e4-0ce1d0067247</t>
  </si>
  <si>
    <t>ASUVTC000665</t>
  </si>
  <si>
    <t>2024-01-22T23:57:03.836Z</t>
  </si>
  <si>
    <t>a23a125e-d8aa-4aea-852e-0cdb6ef420f6</t>
  </si>
  <si>
    <t>subsampleOf (fecal): https://csvcoll.org/portal/collections/individual/index.php?guid=f1b979ce-4cfd-4e45-8d51-5a892547499a</t>
  </si>
  <si>
    <t>ASUVTC000796</t>
  </si>
  <si>
    <t>beca0211-0da1-4a9e-874b-5dc728cd198e</t>
  </si>
  <si>
    <t>subsampleOf (blood): https://csvcoll.org/portal/collections/individual/index.php?guid=f1b979ce-4cfd-4e45-8d51-5a892547499a</t>
  </si>
  <si>
    <t>ASUVTC000797</t>
  </si>
  <si>
    <t>84749caf-2a38-48ea-bf29-ff72c00042ec</t>
  </si>
  <si>
    <t>ASUVTC000877</t>
  </si>
  <si>
    <t>2024-01-22T23:57:03.838Z</t>
  </si>
  <si>
    <t>d7196ecf-3529-4bfc-af64-d10f52a1314b</t>
  </si>
  <si>
    <t>Trap Line 4-3</t>
  </si>
  <si>
    <t>DMR0039</t>
  </si>
  <si>
    <t>{ "measurements" : "TOT: 344, TV: 161, HFL: 36, EAR: 31, WGT: 190 g" , "preservationFluid" : "70 percent ethanol" }</t>
  </si>
  <si>
    <t>Mammae #: Ax. 0 Ab. 0 Ing. 4 | Mammae Condition: Lg. | Vagina condition: Perf. | Reproductive Stage: Multi. | Embryos: L 1 R 0 CR 18 mm | Placental scars: L 1 R 1</t>
  </si>
  <si>
    <t>originatingSampleOf (tissue): https://csvcoll.org/portal/collections/individual/index.php?guid=1e4311b2-5085-4e29-93fe-1617557085d5 | originatingSampleOf (tissue): https://csvcoll.org/portal/collections/individual/index.php?guid=b9c1dd89-4183-4415-b1d1-4b4e1cb060d5 | originatingSampleOf (tissue): https://csvcoll.org/portal/collections/individual/index.php?guid=29d9ee1a-e525-4586-ac9b-e4f7d5d2ef3d | originatingSampleOf (tissue): https://csvcoll.org/portal/collections/individual/index.php?guid=0ab2f45c-0423-49d9-807d-7ca372166be3 | originatingSampleOf (tissue): https://csvcoll.org/portal/collections/individual/index.php?guid=177e3694-7719-43e5-bfb4-0b3168b3463e | originatingSampleOf: https://csvcoll.org/portal/collections/individual/index.php?guid=ce520f08-0528-40fa-bec2-e964f025ff22 | originatingSampleOf: https://csvcoll.org/portal/collections/individual/index.php?guid=b438cba7-a355-4d89-af11-dff09f764095 | originatingSampleOf (fecal): https://csvcoll.org/portal/collections/individual/index.php?guid=af96dd3e-030c-4478-8e33-5bb20a067fce | originatingSampleOf (tissue): https://csvcoll.org/portal/collections/individual/index.php?guid=3aba59c3-f7d9-447f-85c3-0e1de86060bf | originatingSampleOf (tissue): https://csvcoll.org/portal/collections/individual/index.php?guid=7da0ab4a-530d-4c9b-af6b-6487285cc402 | originatingSampleOf (blood): https://csvcoll.org/portal/collections/individual/index.php?guid=c398658e-58a3-4026-8460-7e314eff964a</t>
  </si>
  <si>
    <t>ASUMAC008622</t>
  </si>
  <si>
    <t>1e4311b2-5085-4e29-93fe-1617557085d5</t>
  </si>
  <si>
    <t>subsampleOf (blood): https://csvcoll.org/portal/collections/individual/index.php?guid=d7196ecf-3529-4bfc-af64-d10f52a1314b</t>
  </si>
  <si>
    <t>ASUVTC000666</t>
  </si>
  <si>
    <t>b9c1dd89-4183-4415-b1d1-4b4e1cb060d5</t>
  </si>
  <si>
    <t>subsampleOf (tissue): https://csvcoll.org/portal/collections/individual/index.php?guid=d7196ecf-3529-4bfc-af64-d10f52a1314b</t>
  </si>
  <si>
    <t>ASUVTC000667</t>
  </si>
  <si>
    <t>29d9ee1a-e525-4586-ac9b-e4f7d5d2ef3d</t>
  </si>
  <si>
    <t>ASUVTC000668</t>
  </si>
  <si>
    <t>0ab2f45c-0423-49d9-807d-7ca372166be3</t>
  </si>
  <si>
    <t>ASUVTC000669</t>
  </si>
  <si>
    <t>2024-01-22T23:57:03.824Z</t>
  </si>
  <si>
    <t>177e3694-7719-43e5-bfb4-0b3168b3463e</t>
  </si>
  <si>
    <t>ASUVTC000670</t>
  </si>
  <si>
    <t>ce520f08-0528-40fa-bec2-e964f025ff22</t>
  </si>
  <si>
    <t>subsampleOf: https://csvcoll.org/portal/collections/individual/index.php?guid=d7196ecf-3529-4bfc-af64-d10f52a1314b</t>
  </si>
  <si>
    <t>ASUVTC000671</t>
  </si>
  <si>
    <t>b438cba7-a355-4d89-af11-dff09f764095</t>
  </si>
  <si>
    <t>ASUVTC000672</t>
  </si>
  <si>
    <t>af96dd3e-030c-4478-8e33-5bb20a067fce</t>
  </si>
  <si>
    <t>subsampleOf (fecal): https://csvcoll.org/portal/collections/individual/index.php?guid=d7196ecf-3529-4bfc-af64-d10f52a1314b</t>
  </si>
  <si>
    <t>ASUVTC000673</t>
  </si>
  <si>
    <t>3aba59c3-f7d9-447f-85c3-0e1de86060bf</t>
  </si>
  <si>
    <t>ASUVTC000798</t>
  </si>
  <si>
    <t>7da0ab4a-530d-4c9b-af6b-6487285cc402</t>
  </si>
  <si>
    <t>ASUVTC000799</t>
  </si>
  <si>
    <t>c398658e-58a3-4026-8460-7e314eff964a</t>
  </si>
  <si>
    <t>ASUVTC000878</t>
  </si>
  <si>
    <t>48e2196a-ae94-42bb-a6c2-e8a725206ca9</t>
  </si>
  <si>
    <t>Ammospermophilus</t>
  </si>
  <si>
    <t>Ammospermophilus harrisii</t>
  </si>
  <si>
    <t>Ammospermophilus harrisii (Audubon &amp; Bachman, 1854)</t>
  </si>
  <si>
    <t>(Audubon and Bachman, 1854)</t>
  </si>
  <si>
    <t>DMR0040</t>
  </si>
  <si>
    <t>{ "measurements" : "TOT: 245, TV: 90, HFL: 38, EAR: 12, WGT: 120 g" , "preservationFluid" : "70 percent ethanol" }</t>
  </si>
  <si>
    <t>Mammae #: Ax. 2 Ab. 0 Ing. 0 | Mammae Condition: Sm. | Vagina condition: Imp. | Reproductive Stage: ND | Embryos: ND | Placental scars: ND</t>
  </si>
  <si>
    <t>originatingSampleOf (tissue): https://csvcoll.org/portal/collections/individual/index.php?guid=fe339c39-4ba8-428c-822d-def74e5754fa | originatingSampleOf (tissue): https://csvcoll.org/portal/collections/individual/index.php?guid=8e9be3e2-c61f-4881-b3a9-0fa4ba51df2e | originatingSampleOf (tissue): https://csvcoll.org/portal/collections/individual/index.php?guid=50d3a529-ddc9-4efa-ba6b-a58c33478e30 | originatingSampleOf: https://csvcoll.org/portal/collections/individual/index.php?guid=f13ce4a6-5ec2-44fa-95c5-0251d079f791 | originatingSampleOf (tissue): https://csvcoll.org/portal/collections/individual/index.php?guid=80c6bc0f-466c-456e-818a-7249fb6a5105 | originatingSampleOf (tissue): https://csvcoll.org/portal/collections/individual/index.php?guid=c0baa4bd-b6fd-4c7e-9e35-34fb9a294bb2 | originatingSampleOf (blood): https://csvcoll.org/portal/collections/individual/index.php?guid=93553bc5-ee32-4f75-b4da-f6e01e87aa22</t>
  </si>
  <si>
    <t>ASUMAC008611</t>
  </si>
  <si>
    <t>2024-01-23T19:40:07.931Z</t>
  </si>
  <si>
    <t>fe339c39-4ba8-428c-822d-def74e5754fa</t>
  </si>
  <si>
    <t>subsampleOf (tissue): https://csvcoll.org/portal/collections/individual/index.php?guid=48e2196a-ae94-42bb-a6c2-e8a725206ca9</t>
  </si>
  <si>
    <t>ASUVTC000674</t>
  </si>
  <si>
    <t>8e9be3e2-c61f-4881-b3a9-0fa4ba51df2e</t>
  </si>
  <si>
    <t>ASUVTC000675</t>
  </si>
  <si>
    <t>2024-01-22T23:57:03.804Z</t>
  </si>
  <si>
    <t>50d3a529-ddc9-4efa-ba6b-a58c33478e30</t>
  </si>
  <si>
    <t>ASUVTC000676</t>
  </si>
  <si>
    <t>f13ce4a6-5ec2-44fa-95c5-0251d079f791</t>
  </si>
  <si>
    <t>ASUVTC000677</t>
  </si>
  <si>
    <t>80c6bc0f-466c-456e-818a-7249fb6a5105</t>
  </si>
  <si>
    <t>subsampleOf: https://csvcoll.org/portal/collections/individual/index.php?guid=48e2196a-ae94-42bb-a6c2-e8a725206ca9</t>
  </si>
  <si>
    <t>ASUVTC000800</t>
  </si>
  <si>
    <t>c0baa4bd-b6fd-4c7e-9e35-34fb9a294bb2</t>
  </si>
  <si>
    <t>subsampleOf (blood): https://csvcoll.org/portal/collections/individual/index.php?guid=48e2196a-ae94-42bb-a6c2-e8a725206ca9</t>
  </si>
  <si>
    <t>ASUVTC000801</t>
  </si>
  <si>
    <t>93553bc5-ee32-4f75-b4da-f6e01e87aa22</t>
  </si>
  <si>
    <t>ASUVTC000879</t>
  </si>
  <si>
    <t>7853b837-ac65-48c2-bfab-031d808ff087</t>
  </si>
  <si>
    <t>DMR0041</t>
  </si>
  <si>
    <t>{ "measurements" : "TOT: 244, TV: 85, HFL: 41, EAR: 19, WGT: 110 g" , "preservationFluid" : "70 percent ethanol" }</t>
  </si>
  <si>
    <t>Mammae #: Ax. 2 Ab. 0 Ing. 4 | Mammae Condition: Sm. | Vagina condition: Imp. | Reproductive Stage: ND | Embryos: ND | Placental scars: ND</t>
  </si>
  <si>
    <t>originatingSampleOf (tissue): https://csvcoll.org/portal/collections/individual/index.php?guid=4e588fed-0105-44f1-bf2a-dfe20be0c2c3 | originatingSampleOf (tissue): https://csvcoll.org/portal/collections/individual/index.php?guid=0f473967-ea85-46e2-8957-49b123db9713 | originatingSampleOf (tissue): https://csvcoll.org/portal/collections/individual/index.php?guid=9a766bd7-9ae4-409b-a46d-8975f74fd678 | originatingSampleOf: https://csvcoll.org/portal/collections/individual/index.php?guid=019f7188-381a-4e17-ab80-f192b94fb234 | originatingSampleOf (fecal): https://csvcoll.org/portal/collections/individual/index.php?guid=5dc79eb3-3f92-4316-be06-d8562c21a042 | originatingSampleOf (tissue): https://csvcoll.org/portal/collections/individual/index.php?guid=cfe387f4-3529-4e0b-a7eb-5a60851d1bad | originatingSampleOf (tissue): https://csvcoll.org/portal/collections/individual/index.php?guid=7dfaaab7-6501-4bed-a72e-1fe8d6eadc98 | originatingSampleOf (blood): https://csvcoll.org/portal/collections/individual/index.php?guid=8d91c7a3-2e27-44b2-bfde-6bc94afc41e6</t>
  </si>
  <si>
    <t>ASUMAC008612</t>
  </si>
  <si>
    <t>2024-01-23T19:40:07.930Z</t>
  </si>
  <si>
    <t>4e588fed-0105-44f1-bf2a-dfe20be0c2c3</t>
  </si>
  <si>
    <t>subsampleOf (tissue): https://csvcoll.org/portal/collections/individual/index.php?guid=7853b837-ac65-48c2-bfab-031d808ff087</t>
  </si>
  <si>
    <t>ASUVTC000678</t>
  </si>
  <si>
    <t>0f473967-ea85-46e2-8957-49b123db9713</t>
  </si>
  <si>
    <t>ASUVTC000679</t>
  </si>
  <si>
    <t>9a766bd7-9ae4-409b-a46d-8975f74fd678</t>
  </si>
  <si>
    <t>ASUVTC000680</t>
  </si>
  <si>
    <t>019f7188-381a-4e17-ab80-f192b94fb234</t>
  </si>
  <si>
    <t>subsampleOf (fecal): https://csvcoll.org/portal/collections/individual/index.php?guid=7853b837-ac65-48c2-bfab-031d808ff087</t>
  </si>
  <si>
    <t>ASUVTC000681</t>
  </si>
  <si>
    <t>5dc79eb3-3f92-4316-be06-d8562c21a042</t>
  </si>
  <si>
    <t>subsampleOf: https://csvcoll.org/portal/collections/individual/index.php?guid=7853b837-ac65-48c2-bfab-031d808ff087</t>
  </si>
  <si>
    <t>ASUVTC000682</t>
  </si>
  <si>
    <t>cfe387f4-3529-4e0b-a7eb-5a60851d1bad</t>
  </si>
  <si>
    <t>ASUVTC000802</t>
  </si>
  <si>
    <t>7dfaaab7-6501-4bed-a72e-1fe8d6eadc98</t>
  </si>
  <si>
    <t>ASUVTC000803</t>
  </si>
  <si>
    <t>8d91c7a3-2e27-44b2-bfde-6bc94afc41e6</t>
  </si>
  <si>
    <t>subsampleOf (blood): https://csvcoll.org/portal/collections/individual/index.php?guid=7853b837-ac65-48c2-bfab-031d808ff087</t>
  </si>
  <si>
    <t>ASUVTC000880</t>
  </si>
  <si>
    <t>3b346fb4-c1cd-40f1-9e84-71b31f99ac37</t>
  </si>
  <si>
    <t>Santa Catalina Mts., Catalina Wash NW of intersection with Old Mt. Lemmon Hwy</t>
  </si>
  <si>
    <t>Trap Line 2-1</t>
  </si>
  <si>
    <t>DMR0042</t>
  </si>
  <si>
    <t>{ "measurements" : "TOT: 167, TV: 95, HFL: 26, EAR: ND, WGT: ND" , "preservationFluid" : "70 percent ethanol" }</t>
  </si>
  <si>
    <t>originatingSampleOf (tissue): https://csvcoll.org/portal/collections/individual/index.php?guid=097a55bc-cefb-4169-80c0-27fc4c88ccaf | originatingSampleOf (tissue): https://csvcoll.org/portal/collections/individual/index.php?guid=7eead5bb-1704-49c2-9e0e-85aeac5df8ce | originatingSampleOf (tissue): https://csvcoll.org/portal/collections/individual/index.php?guid=86f88ee8-a19e-4126-86e6-b2f86b996657 | originatingSampleOf (tissue): https://csvcoll.org/portal/collections/individual/index.php?guid=dbd4bd31-1442-4ab3-a177-c30a0d449a1a | originatingSampleOf (tissue): https://csvcoll.org/portal/collections/individual/index.php?guid=276ab9ab-8e79-4a29-998c-70e4b78d2a52</t>
  </si>
  <si>
    <t>ASUMAC008613</t>
  </si>
  <si>
    <t>2024-01-23T19:40:07.923Z</t>
  </si>
  <si>
    <t>097a55bc-cefb-4169-80c0-27fc4c88ccaf</t>
  </si>
  <si>
    <t>subsampleOf (tissue): https://csvcoll.org/portal/collections/individual/index.php?guid=3b346fb4-c1cd-40f1-9e84-71b31f99ac37</t>
  </si>
  <si>
    <t>ASUVTC000784</t>
  </si>
  <si>
    <t>7eead5bb-1704-49c2-9e0e-85aeac5df8ce</t>
  </si>
  <si>
    <t>ASUVTC000785</t>
  </si>
  <si>
    <t>86f88ee8-a19e-4126-86e6-b2f86b996657</t>
  </si>
  <si>
    <t>ASUVTC000786</t>
  </si>
  <si>
    <t>2024-01-22T23:57:03.937Z</t>
  </si>
  <si>
    <t>dbd4bd31-1442-4ab3-a177-c30a0d449a1a</t>
  </si>
  <si>
    <t>ASUVTC000787</t>
  </si>
  <si>
    <t>276ab9ab-8e79-4a29-998c-70e4b78d2a52</t>
  </si>
  <si>
    <t>ASUVTC000788</t>
  </si>
  <si>
    <t>5b7d672c-9eee-4f5a-811f-f423e99d7a0c</t>
  </si>
  <si>
    <t>DMR0043</t>
  </si>
  <si>
    <t>ASUVTC000683</t>
  </si>
  <si>
    <t>2024-01-22T23:57:03.930Z</t>
  </si>
  <si>
    <t>c3d18870-8f01-4186-888f-5a313708f463</t>
  </si>
  <si>
    <t>Chaetodipus penicillatus</t>
  </si>
  <si>
    <t>Chaetodipus penicillatus (Woodhouse, 1852)</t>
  </si>
  <si>
    <t>(Woodhouse, 1852)</t>
  </si>
  <si>
    <t>DMR0044</t>
  </si>
  <si>
    <t>ASUVTC000684</t>
  </si>
  <si>
    <t>2024-01-22T23:57:03.786Z</t>
  </si>
  <si>
    <t>3a74373a-e2bf-465e-bfb4-a65c9bf139af</t>
  </si>
  <si>
    <t>Trap Line 1-10</t>
  </si>
  <si>
    <t>DMR0045</t>
  </si>
  <si>
    <t>{ "measurements" : "TOT: 202, TV: 104, HFL: 27, EAR: 11, WGT: 32 g" , "preservationFluid" : "70 percent ethanol" }</t>
  </si>
  <si>
    <t>Mammae #: Ax. 2 Ab. 0 Ing. 4 | Mammae Condition: Lg. | Vagina condition: Perf. | Reproductive Stage: Multi. | Embryos: L 1 R 2 CR 2 mm | Placental scars: L 1 R 1</t>
  </si>
  <si>
    <t>originatingSampleOf (tissue): https://csvcoll.org/portal/collections/individual/index.php?guid=9963782e-17b0-4f6a-9bee-5f93af1a5d19 | originatingSampleOf (tissue): https://csvcoll.org/portal/collections/individual/index.php?guid=4584aeb3-cb99-420b-8023-49509c9c1c03 | originatingSampleOf (tissue): https://csvcoll.org/portal/collections/individual/index.php?guid=e35970c9-4f0c-46c0-8a04-dc37e1c8e108 | originatingSampleOf: https://csvcoll.org/portal/collections/individual/index.php?guid=8835dea5-58d9-4a30-a080-9399ae04868d | originatingSampleOf (fecal): https://csvcoll.org/portal/collections/individual/index.php?guid=e33441a9-eda5-499a-8c7c-1a4bca8afa98 | originatingSampleOf (tissue): https://csvcoll.org/portal/collections/individual/index.php?guid=9ea45302-883d-45de-bdc9-dbb907e18df9 | originatingSampleOf (tissue): https://csvcoll.org/portal/collections/individual/index.php?guid=02575ba2-ad7d-4588-9892-d87d47cbdd81 | originatingSampleOf (blood): https://csvcoll.org/portal/collections/individual/index.php?guid=3192dcfc-919c-450a-b741-c8c268eaf833</t>
  </si>
  <si>
    <t>ASUMAC008640</t>
  </si>
  <si>
    <t>9963782e-17b0-4f6a-9bee-5f93af1a5d19</t>
  </si>
  <si>
    <t>subsampleOf (tissue): https://csvcoll.org/portal/collections/individual/index.php?guid=3a74373a-e2bf-465e-bfb4-a65c9bf139af</t>
  </si>
  <si>
    <t>ASUVTC000685</t>
  </si>
  <si>
    <t>4584aeb3-cb99-420b-8023-49509c9c1c03</t>
  </si>
  <si>
    <t>ASUVTC000686</t>
  </si>
  <si>
    <t>e35970c9-4f0c-46c0-8a04-dc37e1c8e108</t>
  </si>
  <si>
    <t>subsampleOf (blood): https://csvcoll.org/portal/collections/individual/index.php?guid=3a74373a-e2bf-465e-bfb4-a65c9bf139af</t>
  </si>
  <si>
    <t>ASUVTC000687</t>
  </si>
  <si>
    <t>8835dea5-58d9-4a30-a080-9399ae04868d</t>
  </si>
  <si>
    <t>ASUVTC000688</t>
  </si>
  <si>
    <t>e33441a9-eda5-499a-8c7c-1a4bca8afa98</t>
  </si>
  <si>
    <t>ASUVTC000689</t>
  </si>
  <si>
    <t>9ea45302-883d-45de-bdc9-dbb907e18df9</t>
  </si>
  <si>
    <t>subsampleOf: https://csvcoll.org/portal/collections/individual/index.php?guid=3a74373a-e2bf-465e-bfb4-a65c9bf139af</t>
  </si>
  <si>
    <t>ASUVTC000860</t>
  </si>
  <si>
    <t>02575ba2-ad7d-4588-9892-d87d47cbdd81</t>
  </si>
  <si>
    <t>ASUVTC000861</t>
  </si>
  <si>
    <t>3192dcfc-919c-450a-b741-c8c268eaf833</t>
  </si>
  <si>
    <t>subsampleOf (fecal): https://csvcoll.org/portal/collections/individual/index.php?guid=3a74373a-e2bf-465e-bfb4-a65c9bf139af</t>
  </si>
  <si>
    <t>ASUVTC000881</t>
  </si>
  <si>
    <t>44ab1550-4650-468f-9f8a-8f7c54c37096</t>
  </si>
  <si>
    <t>Trap Line 4-4</t>
  </si>
  <si>
    <t>DMR0046</t>
  </si>
  <si>
    <t>{ "measurements" : "TOT: 178, TV: 92, HFL: 26, EAR: 11, WGT: 20 g" , "preservationFluid" : "70 percent ethanol" }</t>
  </si>
  <si>
    <t>Testes Position: Abd. | Testis size: 5 x 2 R | Epididymus: Not Con.</t>
  </si>
  <si>
    <t>originatingSampleOf (tissue): https://csvcoll.org/portal/collections/individual/index.php?guid=b91391a5-3b09-417a-a908-38e987b11cb9 | originatingSampleOf (tissue): https://csvcoll.org/portal/collections/individual/index.php?guid=7de6f2d4-6e09-4d4b-ad36-c33eb7a052b8 | originatingSampleOf (tissue): https://csvcoll.org/portal/collections/individual/index.php?guid=ab42baed-33a5-4281-9dbe-26738065c637 | originatingSampleOf: https://csvcoll.org/portal/collections/individual/index.php?guid=e6b2dcce-09e5-4ef8-a8f2-573ed4b4f873 | originatingSampleOf (fecal): https://csvcoll.org/portal/collections/individual/index.php?guid=f968959f-b81d-4587-8656-bd2a186ed690 | originatingSampleOf (tissue): https://csvcoll.org/portal/collections/individual/index.php?guid=59cf46e8-85eb-4f90-8b11-1b9d61f97b1d | originatingSampleOf (tissue): https://csvcoll.org/portal/collections/individual/index.php?guid=c29aea12-6aa1-4625-96c2-d3575d7e9882 | originatingSampleOf (blood): https://csvcoll.org/portal/collections/individual/index.php?guid=e5304c61-9043-4ea4-842e-df31eead1fcc</t>
  </si>
  <si>
    <t>ASUMAC008636</t>
  </si>
  <si>
    <t>b91391a5-3b09-417a-a908-38e987b11cb9</t>
  </si>
  <si>
    <t>Chaetodipus Merriam, 1889</t>
  </si>
  <si>
    <t>Merriam, 1889</t>
  </si>
  <si>
    <t>Testes Position: Abd. | Testis size: 5 x 2 R | Epididymis: Not Con.</t>
  </si>
  <si>
    <t>subsampleOf (tissue): https://csvcoll.org/portal/collections/individual/index.php?guid=44ab1550-4650-468f-9f8a-8f7c54c37096</t>
  </si>
  <si>
    <t>ASUVTC000690</t>
  </si>
  <si>
    <t>2024-01-22T23:57:03.929Z</t>
  </si>
  <si>
    <t>7de6f2d4-6e09-4d4b-ad36-c33eb7a052b8</t>
  </si>
  <si>
    <t>ASUVTC000691</t>
  </si>
  <si>
    <t>ab42baed-33a5-4281-9dbe-26738065c637</t>
  </si>
  <si>
    <t>subsampleOf: https://csvcoll.org/portal/collections/individual/index.php?guid=44ab1550-4650-468f-9f8a-8f7c54c37096</t>
  </si>
  <si>
    <t>ASUVTC000692</t>
  </si>
  <si>
    <t>e6b2dcce-09e5-4ef8-a8f2-573ed4b4f873</t>
  </si>
  <si>
    <t>ASUVTC000693</t>
  </si>
  <si>
    <t>f968959f-b81d-4587-8656-bd2a186ed690</t>
  </si>
  <si>
    <t>ASUVTC000694</t>
  </si>
  <si>
    <t>59cf46e8-85eb-4f90-8b11-1b9d61f97b1d</t>
  </si>
  <si>
    <t>subsampleOf (fecal): https://csvcoll.org/portal/collections/individual/index.php?guid=44ab1550-4650-468f-9f8a-8f7c54c37096</t>
  </si>
  <si>
    <t>ASUVTC000852</t>
  </si>
  <si>
    <t>c29aea12-6aa1-4625-96c2-d3575d7e9882</t>
  </si>
  <si>
    <t>subsampleOf (blood): https://csvcoll.org/portal/collections/individual/index.php?guid=44ab1550-4650-468f-9f8a-8f7c54c37096</t>
  </si>
  <si>
    <t>ASUVTC000853</t>
  </si>
  <si>
    <t>e5304c61-9043-4ea4-842e-df31eead1fcc</t>
  </si>
  <si>
    <t>ASUVTC000882</t>
  </si>
  <si>
    <t>0a7f5eff-417c-4b11-8842-77541c90d57a</t>
  </si>
  <si>
    <t>Chaetodipus intermedius</t>
  </si>
  <si>
    <t>Chaetodipus intermedius (Merriam, 1889)</t>
  </si>
  <si>
    <t>(Merriam, 1889)</t>
  </si>
  <si>
    <t>Trap Line 4-5</t>
  </si>
  <si>
    <t>DMR0047</t>
  </si>
  <si>
    <t>{ "measurements" : "TOT: 158, TV: 86, HFL: 20, EAR: 7, WGT: 12 g" , "preservationFluid" : "70 percent ethanol" }</t>
  </si>
  <si>
    <t>Testes Position: Scrot. | Testis size: 6 x 3 R | Epididymus: Con.</t>
  </si>
  <si>
    <t>originatingSampleOf (tissue): https://csvcoll.org/portal/collections/individual/index.php?guid=355aa317-8e38-41ba-9bdc-37b6f6def2bd | originatingSampleOf (tissue): https://csvcoll.org/portal/collections/individual/index.php?guid=c9a23d4c-cacd-44e4-a2f3-71e66f477d47 | originatingSampleOf (tissue): https://csvcoll.org/portal/collections/individual/index.php?guid=9e4d7287-b7d9-45b1-bf36-83e278bd781c | originatingSampleOf (tissue): https://csvcoll.org/portal/collections/individual/index.php?guid=91be5fe9-6c3f-4e82-85ba-99a7b3674b18 | originatingSampleOf (tissue): https://csvcoll.org/portal/collections/individual/index.php?guid=540ef0a8-668e-4746-9075-add0dcb33069 | originatingSampleOf (blood): https://csvcoll.org/portal/collections/individual/index.php?guid=b73e3154-d4fc-4d5e-8323-a307e2eb96f2</t>
  </si>
  <si>
    <t>ASUMAC008642</t>
  </si>
  <si>
    <t>355aa317-8e38-41ba-9bdc-37b6f6def2bd</t>
  </si>
  <si>
    <t>Testes Position: Scrot. | Testis size: 6 x 3 R | Epididymis: Con.</t>
  </si>
  <si>
    <t>subsampleOf (tissue): https://csvcoll.org/portal/collections/individual/index.php?guid=0a7f5eff-417c-4b11-8842-77541c90d57a</t>
  </si>
  <si>
    <t>ASUVTC000695</t>
  </si>
  <si>
    <t>c9a23d4c-cacd-44e4-a2f3-71e66f477d47</t>
  </si>
  <si>
    <t>ASUVTC000696</t>
  </si>
  <si>
    <t>9e4d7287-b7d9-45b1-bf36-83e278bd781c</t>
  </si>
  <si>
    <t>ASUVTC000697</t>
  </si>
  <si>
    <t>91be5fe9-6c3f-4e82-85ba-99a7b3674b18</t>
  </si>
  <si>
    <t>ASUVTC000698</t>
  </si>
  <si>
    <t>540ef0a8-668e-4746-9075-add0dcb33069</t>
  </si>
  <si>
    <t>ASUVTC000864</t>
  </si>
  <si>
    <t>b73e3154-d4fc-4d5e-8323-a307e2eb96f2</t>
  </si>
  <si>
    <t>subsampleOf (blood): https://csvcoll.org/portal/collections/individual/index.php?guid=0a7f5eff-417c-4b11-8842-77541c90d57a</t>
  </si>
  <si>
    <t>ASUVTC000883</t>
  </si>
  <si>
    <t>2024-01-22T23:57:03.920Z</t>
  </si>
  <si>
    <t>6759dca3-129f-4895-965c-fa9c2db83a60</t>
  </si>
  <si>
    <t>Trap Line 4-6</t>
  </si>
  <si>
    <t>DMR0048</t>
  </si>
  <si>
    <t>{ "measurements" : "TOT: 170, TV: 89, HFL: 24, EAR: 9, WGT: 21 g" , "preservationFluid" : "70 percent ethanol" }</t>
  </si>
  <si>
    <t>Mammae #: ND | Mammae Condition: ND | Vagina condition: Imp. | Reproductive Stage: Nul. | Embryos: 0 | Placental scars: 0</t>
  </si>
  <si>
    <t>originatingSampleOf (tissue): https://csvcoll.org/portal/collections/individual/index.php?guid=399b891e-99e7-4118-9105-3e2880195833 | originatingSampleOf (tissue): https://csvcoll.org/portal/collections/individual/index.php?guid=3f56b3bf-3a12-4b74-87a2-ac059dbff127 | originatingSampleOf (tissue): https://csvcoll.org/portal/collections/individual/index.php?guid=529da74a-c10f-4aaf-8a7c-ecadc47bcdfd | originatingSampleOf (tissue): https://csvcoll.org/portal/collections/individual/index.php?guid=0c457e4d-2b2d-4f2c-97be-79227da0da71 | originatingSampleOf (fecal): https://csvcoll.org/portal/collections/individual/index.php?guid=48237746-00d3-4db2-a5a3-e315d37c67ac | originatingSampleOf (tissue): https://csvcoll.org/portal/collections/individual/index.php?guid=2ad9368a-9322-45ba-af56-a0d3dbeec0e4 | originatingSampleOf (tissue): https://csvcoll.org/portal/collections/individual/index.php?guid=a47051a0-1595-4ac5-881a-2468a607702e | originatingSampleOf (blood): https://csvcoll.org/portal/collections/individual/index.php?guid=3a3156b4-5aca-417b-9844-5dd8e5777166</t>
  </si>
  <si>
    <t>ASUMAC008605</t>
  </si>
  <si>
    <t>399b891e-99e7-4118-9105-3e2880195833</t>
  </si>
  <si>
    <t>subsampleOf (tissue): https://csvcoll.org/portal/collections/individual/index.php?guid=6759dca3-129f-4895-965c-fa9c2db83a60</t>
  </si>
  <si>
    <t>ASUVTC000699</t>
  </si>
  <si>
    <t>3f56b3bf-3a12-4b74-87a2-ac059dbff127</t>
  </si>
  <si>
    <t>ASUVTC000700</t>
  </si>
  <si>
    <t>529da74a-c10f-4aaf-8a7c-ecadc47bcdfd</t>
  </si>
  <si>
    <t>ASUVTC000701</t>
  </si>
  <si>
    <t>0c457e4d-2b2d-4f2c-97be-79227da0da71</t>
  </si>
  <si>
    <t>subsampleOf (fecal): https://csvcoll.org/portal/collections/individual/index.php?guid=6759dca3-129f-4895-965c-fa9c2db83a60</t>
  </si>
  <si>
    <t>ASUVTC000702</t>
  </si>
  <si>
    <t>48237746-00d3-4db2-a5a3-e315d37c67ac</t>
  </si>
  <si>
    <t>ASUVTC000703</t>
  </si>
  <si>
    <t>2ad9368a-9322-45ba-af56-a0d3dbeec0e4</t>
  </si>
  <si>
    <t>ASUVTC000804</t>
  </si>
  <si>
    <t>a47051a0-1595-4ac5-881a-2468a607702e</t>
  </si>
  <si>
    <t>subsampleOf (blood): https://csvcoll.org/portal/collections/individual/index.php?guid=6759dca3-129f-4895-965c-fa9c2db83a60</t>
  </si>
  <si>
    <t>ASUVTC000805</t>
  </si>
  <si>
    <t>3a3156b4-5aca-417b-9844-5dd8e5777166</t>
  </si>
  <si>
    <t>ASUVTC000884</t>
  </si>
  <si>
    <t>cb5cf499-2b00-432b-826a-8927d136603a</t>
  </si>
  <si>
    <t>DMR0049</t>
  </si>
  <si>
    <t>{ "measurements" : "TOT: 211, TV: 111, HFL: 21, EAR: 18, WGT: 38 g" , "preservationFluid" : "70 percent ethanol" }</t>
  </si>
  <si>
    <t>Mammae #: Ax. 0 Ab. 0 Ing. 4 | Mammae Condition: Lg. | Vagina condition: Perf. | Reproductive Stage: Nul. | Embryos: 0 | Placental scars: 0</t>
  </si>
  <si>
    <t>originatingSampleOf (tissue): https://csvcoll.org/portal/collections/individual/index.php?guid=8bfde00d-e06c-4c73-99b1-b266db5d05ad | originatingSampleOf (tissue): https://csvcoll.org/portal/collections/individual/index.php?guid=b265534b-95d8-4a54-bee9-22477d908ba8 | originatingSampleOf (tissue): https://csvcoll.org/portal/collections/individual/index.php?guid=b48e509b-5a26-4d1a-aa03-904f131518d1 | originatingSampleOf (fecal): https://csvcoll.org/portal/collections/individual/index.php?guid=dcb38bb8-15b4-47a9-890c-8085db875119 | originatingSampleOf (tissue): https://csvcoll.org/portal/collections/individual/index.php?guid=21135fb3-0fe3-443e-951f-46ff7f459725 | originatingSampleOf (blood): https://csvcoll.org/portal/collections/individual/index.php?guid=29b79e2e-2d51-4869-8cbf-51b21efb9448</t>
  </si>
  <si>
    <t>ASUMAC008643</t>
  </si>
  <si>
    <t>8bfde00d-e06c-4c73-99b1-b266db5d05ad</t>
  </si>
  <si>
    <t>subsampleOf (tissue): https://csvcoll.org/portal/collections/individual/index.php?guid=cb5cf499-2b00-432b-826a-8927d136603a</t>
  </si>
  <si>
    <t>ASUVTC000704</t>
  </si>
  <si>
    <t>2024-01-22T23:57:03.908Z</t>
  </si>
  <si>
    <t>b265534b-95d8-4a54-bee9-22477d908ba8</t>
  </si>
  <si>
    <t>ASUVTC000705</t>
  </si>
  <si>
    <t>2024-01-22T23:57:03.909Z</t>
  </si>
  <si>
    <t>b48e509b-5a26-4d1a-aa03-904f131518d1</t>
  </si>
  <si>
    <t>subsampleOf (fecal): https://csvcoll.org/portal/collections/individual/index.php?guid=cb5cf499-2b00-432b-826a-8927d136603a</t>
  </si>
  <si>
    <t>ASUVTC000706</t>
  </si>
  <si>
    <t>2024-01-22T23:57:03.906Z</t>
  </si>
  <si>
    <t>dcb38bb8-15b4-47a9-890c-8085db875119</t>
  </si>
  <si>
    <t>ASUVTC000707</t>
  </si>
  <si>
    <t>21135fb3-0fe3-443e-951f-46ff7f459725</t>
  </si>
  <si>
    <t>subsampleOf (blood): https://csvcoll.org/portal/collections/individual/index.php?guid=cb5cf499-2b00-432b-826a-8927d136603a</t>
  </si>
  <si>
    <t>ASUVTC000865</t>
  </si>
  <si>
    <t>2024-01-22T23:57:03.904Z</t>
  </si>
  <si>
    <t>29b79e2e-2d51-4869-8cbf-51b21efb9448</t>
  </si>
  <si>
    <t>ASUVTC000885</t>
  </si>
  <si>
    <t>a8b9603a-f2fa-46ab-b076-b716d71a411b</t>
  </si>
  <si>
    <t>Trap Line 1-11</t>
  </si>
  <si>
    <t>DMR0050</t>
  </si>
  <si>
    <t>{ "measurements" : "TOT: 157, TV: 82, HFL: 20, EAR: 18, WGT: 14 g" , "preservationFluid" : "70 percent ethanol" }</t>
  </si>
  <si>
    <t>originatingSampleOf (tissue): https://csvcoll.org/portal/collections/individual/index.php?guid=4a3bc10e-21fb-43f8-bfeb-8b69442a9b0a | originatingSampleOf (tissue): https://csvcoll.org/portal/collections/individual/index.php?guid=2ca2fbe7-456e-4f27-bc5c-58ed4508ae8f | originatingSampleOf (tissue): https://csvcoll.org/portal/collections/individual/index.php?guid=1b64abda-7149-438f-90ba-0ea81e3b9acd | originatingSampleOf (fecal): https://csvcoll.org/portal/collections/individual/index.php?guid=a9953893-78b5-4e50-9a12-4f23dc0e5428 | originatingSampleOf (tissue): https://csvcoll.org/portal/collections/individual/index.php?guid=c4f86f0f-ee7a-4632-ad56-8e6eedd0db45 | originatingSampleOf (tissue): https://csvcoll.org/portal/collections/individual/index.php?guid=40dd4040-8465-4dfb-bf2f-35788ed62fbf | originatingSampleOf (blood): https://csvcoll.org/portal/collections/individual/index.php?guid=8daf3654-3e57-431d-a275-23e5fdc78816</t>
  </si>
  <si>
    <t>ASUMAC008639</t>
  </si>
  <si>
    <t>4a3bc10e-21fb-43f8-bfeb-8b69442a9b0a</t>
  </si>
  <si>
    <t>subsampleOf (tissue): https://csvcoll.org/portal/collections/individual/index.php?guid=a8b9603a-f2fa-46ab-b076-b716d71a411b</t>
  </si>
  <si>
    <t>ASUVTC000708</t>
  </si>
  <si>
    <t>2ca2fbe7-456e-4f27-bc5c-58ed4508ae8f</t>
  </si>
  <si>
    <t>ASUVTC000709</t>
  </si>
  <si>
    <t>2024-01-22T23:57:03.670Z</t>
  </si>
  <si>
    <t>1b64abda-7149-438f-90ba-0ea81e3b9acd</t>
  </si>
  <si>
    <t>subsampleOf (fecal): https://csvcoll.org/portal/collections/individual/index.php?guid=a8b9603a-f2fa-46ab-b076-b716d71a411b</t>
  </si>
  <si>
    <t>ASUVTC000710</t>
  </si>
  <si>
    <t>2024-01-22T23:57:03.668Z</t>
  </si>
  <si>
    <t>a9953893-78b5-4e50-9a12-4f23dc0e5428</t>
  </si>
  <si>
    <t>ASUVTC000711</t>
  </si>
  <si>
    <t>c4f86f0f-ee7a-4632-ad56-8e6eedd0db45</t>
  </si>
  <si>
    <t>ASUVTC000858</t>
  </si>
  <si>
    <t>40dd4040-8465-4dfb-bf2f-35788ed62fbf</t>
  </si>
  <si>
    <t>ASUVTC000859</t>
  </si>
  <si>
    <t>8daf3654-3e57-431d-a275-23e5fdc78816</t>
  </si>
  <si>
    <t>subsampleOf (blood): https://csvcoll.org/portal/collections/individual/index.php?guid=a8b9603a-f2fa-46ab-b076-b716d71a411b</t>
  </si>
  <si>
    <t>ASUVTC000886</t>
  </si>
  <si>
    <t>b14e9d39-fb3b-4b0b-8a7b-ec1c07f313d5</t>
  </si>
  <si>
    <t>Santa Catalina Mts., Stratton Canyon at intersection with Old Mt. Lemmon Hwy, game trail W of parking pullout</t>
  </si>
  <si>
    <t>Trap Line 8-1</t>
  </si>
  <si>
    <t>DMR0057</t>
  </si>
  <si>
    <t>Mammae #: Ax. 0 Ab. 0 Ing. 4 | Mammae Condition: Lact. | Vagina condition: ND | Reproductive Stage: ND | Embryos: ND | Placental scars: ND</t>
  </si>
  <si>
    <t>ASUVTC000742</t>
  </si>
  <si>
    <t>2024-01-22T23:57:03.607Z</t>
  </si>
  <si>
    <t>569b8a34-41f0-451d-82fb-1ba58b267a28</t>
  </si>
  <si>
    <t>Trap Line 8-2</t>
  </si>
  <si>
    <t>DMR0058</t>
  </si>
  <si>
    <t>{ "measurements" : "TOT: 175, TV: 91, HFL: 21, EAR: 19, WGT: 19 g" , "preservationFluid" : "70 percent ethanol" }</t>
  </si>
  <si>
    <t>Mammae #: Ax. 0 Ab. 0 Ing. 4 | Mammae Condition: Sm. | Vagina condition: Perf. | Reproductive Stage: Prim. | Embryos: L 1 R 1 CR 2 mm | Placental scars: 0</t>
  </si>
  <si>
    <t>originatingSampleOf (tissue): https://csvcoll.org/portal/collections/individual/index.php?guid=a45ac6f0-76cf-4c01-857d-64591bd63828 | originatingSampleOf (tissue): https://csvcoll.org/portal/collections/individual/index.php?guid=d7950dd7-6c76-490c-b456-115a7febe5ce | originatingSampleOf (tissue): https://csvcoll.org/portal/collections/individual/index.php?guid=8ee2856a-9a21-486a-ae38-ef1f23445274 | originatingSampleOf (fecal): https://csvcoll.org/portal/collections/individual/index.php?guid=bb034c8b-4fb7-4663-8c86-38fed6cd3b96 | originatingSampleOf (tissue): https://csvcoll.org/portal/collections/individual/index.php?guid=4df3baf7-9573-487e-aa6e-61f778e9a712 | originatingSampleOf (tissue): https://csvcoll.org/portal/collections/individual/index.php?guid=0bb535f0-74ef-42be-b0a4-8cfec7fad42a | originatingSampleOf (blood): https://csvcoll.org/portal/collections/individual/index.php?guid=6ea40f9e-2c30-441c-94fd-0b9bdd702d8b</t>
  </si>
  <si>
    <t>ASUMAC008607</t>
  </si>
  <si>
    <t>a45ac6f0-76cf-4c01-857d-64591bd63828</t>
  </si>
  <si>
    <t>subsampleOf (tissue): https://csvcoll.org/portal/collections/individual/index.php?guid=569b8a34-41f0-451d-82fb-1ba58b267a28</t>
  </si>
  <si>
    <t>ASUVTC000743</t>
  </si>
  <si>
    <t>d7950dd7-6c76-490c-b456-115a7febe5ce</t>
  </si>
  <si>
    <t>ASUVTC000744</t>
  </si>
  <si>
    <t>8ee2856a-9a21-486a-ae38-ef1f23445274</t>
  </si>
  <si>
    <t>subsampleOf (fecal): https://csvcoll.org/portal/collections/individual/index.php?guid=569b8a34-41f0-451d-82fb-1ba58b267a28</t>
  </si>
  <si>
    <t>ASUVTC000745</t>
  </si>
  <si>
    <t>bb034c8b-4fb7-4663-8c86-38fed6cd3b96</t>
  </si>
  <si>
    <t>ASUVTC000746</t>
  </si>
  <si>
    <t>4df3baf7-9573-487e-aa6e-61f778e9a712</t>
  </si>
  <si>
    <t>ASUVTC000810</t>
  </si>
  <si>
    <t>2024-01-22T23:57:03.601Z</t>
  </si>
  <si>
    <t>0bb535f0-74ef-42be-b0a4-8cfec7fad42a</t>
  </si>
  <si>
    <t>ASUVTC000811</t>
  </si>
  <si>
    <t>6ea40f9e-2c30-441c-94fd-0b9bdd702d8b</t>
  </si>
  <si>
    <t>subsampleOf (blood): https://csvcoll.org/portal/collections/individual/index.php?guid=569b8a34-41f0-451d-82fb-1ba58b267a28</t>
  </si>
  <si>
    <t>ASUVTC000893</t>
  </si>
  <si>
    <t>2024-01-22T23:57:03.593Z</t>
  </si>
  <si>
    <t>d6c2589f-3eb1-47cd-be27-e0dd168a3bf6</t>
  </si>
  <si>
    <t>Trap Line 8-3</t>
  </si>
  <si>
    <t>DMR0059</t>
  </si>
  <si>
    <t>{ "measurements" : "TOT: 154, TV: 49, HFL: 21, EAR: 18, WGT: 26 g" , "preservationFluid" : "70 percent ethanol" }</t>
  </si>
  <si>
    <t>Mammae #: Ax. 2 Ab. 0 Ing. 4 | Mammae Condition: Sm. | Vagina condition: Perf. | Reproductive Stage: Prim. | Embryos: 0 | Placental scars: L 1 R 1</t>
  </si>
  <si>
    <t>originatingSampleOf (tissue): https://csvcoll.org/portal/collections/individual/index.php?guid=4642ce19-7e92-4ffd-b2b0-251f0412ba6a | originatingSampleOf (tissue): https://csvcoll.org/portal/collections/individual/index.php?guid=5fa7c1f5-8edd-4149-8f7a-a948201bc29f | originatingSampleOf (tissue): https://csvcoll.org/portal/collections/individual/index.php?guid=408fe059-4e66-4897-a023-45ce01975069 | originatingSampleOf (tissue): https://csvcoll.org/portal/collections/individual/index.php?guid=47275903-4d8e-4265-8b18-3e8c5be6cdcc | originatingSampleOf (fecal): https://csvcoll.org/portal/collections/individual/index.php?guid=f5ff98d3-9b55-4649-96cc-e04d7a7d674a | originatingSampleOf (tissue): https://csvcoll.org/portal/collections/individual/index.php?guid=27e7883f-945a-4158-905d-83a2f576f62b | originatingSampleOf (tissue): https://csvcoll.org/portal/collections/individual/index.php?guid=656b6bb6-56e2-46fa-881a-718d4d79204b | originatingSampleOf (blood): https://csvcoll.org/portal/collections/individual/index.php?guid=dd8a9cf5-439c-44ff-9c07-d28dd3a57fce</t>
  </si>
  <si>
    <t>ASUMAC008608</t>
  </si>
  <si>
    <t>2024-01-23T19:40:07.918Z</t>
  </si>
  <si>
    <t>4642ce19-7e92-4ffd-b2b0-251f0412ba6a</t>
  </si>
  <si>
    <t>subsampleOf (tissue): https://csvcoll.org/portal/collections/individual/index.php?guid=d6c2589f-3eb1-47cd-be27-e0dd168a3bf6</t>
  </si>
  <si>
    <t>ASUVTC000747</t>
  </si>
  <si>
    <t>2024-01-22T23:57:03.596Z</t>
  </si>
  <si>
    <t>5fa7c1f5-8edd-4149-8f7a-a948201bc29f</t>
  </si>
  <si>
    <t>ASUVTC000748</t>
  </si>
  <si>
    <t>2024-01-22T23:57:03.586Z</t>
  </si>
  <si>
    <t>408fe059-4e66-4897-a023-45ce01975069</t>
  </si>
  <si>
    <t>ASUVTC000749</t>
  </si>
  <si>
    <t>2024-01-22T23:57:03.590Z</t>
  </si>
  <si>
    <t>47275903-4d8e-4265-8b18-3e8c5be6cdcc</t>
  </si>
  <si>
    <t>ASUVTC000750</t>
  </si>
  <si>
    <t>f5ff98d3-9b55-4649-96cc-e04d7a7d674a</t>
  </si>
  <si>
    <t>ASUVTC000751</t>
  </si>
  <si>
    <t>27e7883f-945a-4158-905d-83a2f576f62b</t>
  </si>
  <si>
    <t>subsampleOf (fecal): https://csvcoll.org/portal/collections/individual/index.php?guid=d6c2589f-3eb1-47cd-be27-e0dd168a3bf6</t>
  </si>
  <si>
    <t>ASUVTC000812</t>
  </si>
  <si>
    <t>656b6bb6-56e2-46fa-881a-718d4d79204b</t>
  </si>
  <si>
    <t>subsampleOf (blood): https://csvcoll.org/portal/collections/individual/index.php?guid=d6c2589f-3eb1-47cd-be27-e0dd168a3bf6</t>
  </si>
  <si>
    <t>ASUVTC000813</t>
  </si>
  <si>
    <t>2024-01-22T23:57:03.588Z</t>
  </si>
  <si>
    <t>dd8a9cf5-439c-44ff-9c07-d28dd3a57fce</t>
  </si>
  <si>
    <t>ASUVTC000894</t>
  </si>
  <si>
    <t>2024-01-22T23:57:03.594Z</t>
  </si>
  <si>
    <t>855d52cb-3b09-4662-af83-b50088d6de0c</t>
  </si>
  <si>
    <t>Trap Line 8-4</t>
  </si>
  <si>
    <t>DMR0060</t>
  </si>
  <si>
    <t>{ "measurements" : "TOT: 143, TV: 42, HFL: 21, EAR: 17, WGT: 24 g" , "preservationFluid" : "70 percent ethanol" }</t>
  </si>
  <si>
    <t>Testes Position: Abd. | Testis size: 18 x 10 R | Epididymus: Con.</t>
  </si>
  <si>
    <t>originatingSampleOf (tissue): https://csvcoll.org/portal/collections/individual/index.php?guid=fe89d911-2683-456d-9c6a-8960812b2cd0 | originatingSampleOf (tissue): https://csvcoll.org/portal/collections/individual/index.php?guid=c384de18-4d8e-4c8c-af53-85c07be1525d | originatingSampleOf (tissue): https://csvcoll.org/portal/collections/individual/index.php?guid=a46f82ab-974b-455a-af9e-cd4009d53b8e | originatingSampleOf (tissue): https://csvcoll.org/portal/collections/individual/index.php?guid=9f8f1cad-843f-4340-8399-1e06fb5b8259 | originatingSampleOf (fecal): https://csvcoll.org/portal/collections/individual/index.php?guid=eef26fad-6789-4734-ba9e-136a2d4b066b | originatingSampleOf (tissue): https://csvcoll.org/portal/collections/individual/index.php?guid=e86ef3c6-a769-4233-a028-90561c910f5a | originatingSampleOf (tissue): https://csvcoll.org/portal/collections/individual/index.php?guid=fb0ade4e-4e1c-4fc8-b298-baddf528fd5a | originatingSampleOf (blood): https://csvcoll.org/portal/collections/individual/index.php?guid=94d10489-15dd-4b50-9474-7ba4d5c9a880</t>
  </si>
  <si>
    <t>ASUMAC008609</t>
  </si>
  <si>
    <t>fe89d911-2683-456d-9c6a-8960812b2cd0</t>
  </si>
  <si>
    <t>Testes Position: Abd. | Testis size: 18 x 10 R | Epididymis: Con.</t>
  </si>
  <si>
    <t>subsampleOf (tissue): https://csvcoll.org/portal/collections/individual/index.php?guid=855d52cb-3b09-4662-af83-b50088d6de0c</t>
  </si>
  <si>
    <t>ASUVTC000752</t>
  </si>
  <si>
    <t>c384de18-4d8e-4c8c-af53-85c07be1525d</t>
  </si>
  <si>
    <t>ASUVTC000753</t>
  </si>
  <si>
    <t>2024-01-22T23:57:03.559Z</t>
  </si>
  <si>
    <t>a46f82ab-974b-455a-af9e-cd4009d53b8e</t>
  </si>
  <si>
    <t>ASUVTC000754</t>
  </si>
  <si>
    <t>2024-01-22T23:57:03.562Z</t>
  </si>
  <si>
    <t>9f8f1cad-843f-4340-8399-1e06fb5b8259</t>
  </si>
  <si>
    <t>subsampleOf (fecal): https://csvcoll.org/portal/collections/individual/index.php?guid=855d52cb-3b09-4662-af83-b50088d6de0c</t>
  </si>
  <si>
    <t>ASUVTC000755</t>
  </si>
  <si>
    <t>eef26fad-6789-4734-ba9e-136a2d4b066b</t>
  </si>
  <si>
    <t>ASUVTC000756</t>
  </si>
  <si>
    <t>e86ef3c6-a769-4233-a028-90561c910f5a</t>
  </si>
  <si>
    <t>ASUVTC000814</t>
  </si>
  <si>
    <t>fb0ade4e-4e1c-4fc8-b298-baddf528fd5a</t>
  </si>
  <si>
    <t>ASUVTC000815</t>
  </si>
  <si>
    <t>94d10489-15dd-4b50-9474-7ba4d5c9a880</t>
  </si>
  <si>
    <t>subsampleOf (blood): https://csvcoll.org/portal/collections/individual/index.php?guid=855d52cb-3b09-4662-af83-b50088d6de0c</t>
  </si>
  <si>
    <t>ASUVTC000895</t>
  </si>
  <si>
    <t>a8a1a867-c5f9-449e-bfae-ae38189a42c0</t>
  </si>
  <si>
    <t>Trap Line 9-1</t>
  </si>
  <si>
    <t>DMR0061</t>
  </si>
  <si>
    <t>{ "measurements" : "TOT: 204, TV: 105, HFL: 27, EAR: 11, WGT: 31 g" , "preservationFluid" : "70 percent ethanol" }</t>
  </si>
  <si>
    <t>Mammae #: Ax. 0 Ab. 0 Ing. 0 | Mammae Condition: Sm. | Vagina condition: Imp. | Reproductive Stage: Prim. | Embryos: 0 | Placental scars: L 1 R 1</t>
  </si>
  <si>
    <t>originatingSampleOf (tissue): https://csvcoll.org/portal/collections/individual/index.php?guid=d24fc5e4-3dac-4a8e-84f2-74d12a3dc9bc | originatingSampleOf (tissue): https://csvcoll.org/portal/collections/individual/index.php?guid=0619caf2-051a-4861-aaec-b9d73777f8fc | originatingSampleOf (tissue): https://csvcoll.org/portal/collections/individual/index.php?guid=20388261-af3b-4aa5-a24a-10de1f19b635 | originatingSampleOf (tissue): https://csvcoll.org/portal/collections/individual/index.php?guid=a84e01bd-08c6-4186-9c30-c00c5ba138db | originatingSampleOf (fecal): https://csvcoll.org/portal/collections/individual/index.php?guid=1a316cf1-a583-4c69-a8a0-7002bc2ba2d0 | originatingSampleOf (tissue): https://csvcoll.org/portal/collections/individual/index.php?guid=ad350f5e-0b0a-4342-b492-b3f8409c96a3 | originatingSampleOf (tissue): https://csvcoll.org/portal/collections/individual/index.php?guid=65b7f5b8-9f9e-45d5-bc5f-8fdd55b9d320 | originatingSampleOf (blood): https://csvcoll.org/portal/collections/individual/index.php?guid=1d18f332-c1c4-4515-8dbd-1251335be572</t>
  </si>
  <si>
    <t>ASUMAC008617</t>
  </si>
  <si>
    <t>d24fc5e4-3dac-4a8e-84f2-74d12a3dc9bc</t>
  </si>
  <si>
    <t>subsampleOf (tissue): https://csvcoll.org/portal/collections/individual/index.php?guid=a8a1a867-c5f9-449e-bfae-ae38189a42c0</t>
  </si>
  <si>
    <t>ASUVTC000757</t>
  </si>
  <si>
    <t>0619caf2-051a-4861-aaec-b9d73777f8fc</t>
  </si>
  <si>
    <t>subsampleOf (blood): https://csvcoll.org/portal/collections/individual/index.php?guid=a8a1a867-c5f9-449e-bfae-ae38189a42c0</t>
  </si>
  <si>
    <t>ASUVTC000758</t>
  </si>
  <si>
    <t>2024-01-22T23:57:03.557Z</t>
  </si>
  <si>
    <t>20388261-af3b-4aa5-a24a-10de1f19b635</t>
  </si>
  <si>
    <t>ASUVTC000759</t>
  </si>
  <si>
    <t>2024-01-22T23:57:03.575Z</t>
  </si>
  <si>
    <t>a84e01bd-08c6-4186-9c30-c00c5ba138db</t>
  </si>
  <si>
    <t>ASUVTC000760</t>
  </si>
  <si>
    <t>2024-01-22T23:57:03.741Z</t>
  </si>
  <si>
    <t>1a316cf1-a583-4c69-a8a0-7002bc2ba2d0</t>
  </si>
  <si>
    <t>ASUVTC000761</t>
  </si>
  <si>
    <t>2024-01-22T23:57:03.735Z</t>
  </si>
  <si>
    <t>ad350f5e-0b0a-4342-b492-b3f8409c96a3</t>
  </si>
  <si>
    <t>ASUVTC000816</t>
  </si>
  <si>
    <t>2024-01-22T23:57:03.734Z</t>
  </si>
  <si>
    <t>65b7f5b8-9f9e-45d5-bc5f-8fdd55b9d320</t>
  </si>
  <si>
    <t>subsampleOf (fecal): https://csvcoll.org/portal/collections/individual/index.php?guid=a8a1a867-c5f9-449e-bfae-ae38189a42c0</t>
  </si>
  <si>
    <t>ASUVTC000817</t>
  </si>
  <si>
    <t>1d18f332-c1c4-4515-8dbd-1251335be572</t>
  </si>
  <si>
    <t>ASUVTC000896</t>
  </si>
  <si>
    <t>2024-01-22T23:57:03.730Z</t>
  </si>
  <si>
    <t>3a24b150-4150-440e-8ccc-1b2637208c7f</t>
  </si>
  <si>
    <t>Trap Line 9-2</t>
  </si>
  <si>
    <t>DMR0062</t>
  </si>
  <si>
    <t>Mammae #: Ax. 0 Ab. 0 Ing. 4 | Mammae Condition: ND | Vagina condition: ND | Reproductive Stage: ND | Embryos: ND | Placental scars: ND</t>
  </si>
  <si>
    <t>ASUVTC000762</t>
  </si>
  <si>
    <t>2024-01-22T23:57:03.728Z</t>
  </si>
  <si>
    <t>c6afd168-e82f-438b-902b-379a4b42b741</t>
  </si>
  <si>
    <t>ASUVTC000763</t>
  </si>
  <si>
    <t>2024-01-22T23:57:03.736Z</t>
  </si>
  <si>
    <t>46a93a28-40db-497c-8a01-97d8e6b81415</t>
  </si>
  <si>
    <t>Trap Line 9-3</t>
  </si>
  <si>
    <t>DMR0063</t>
  </si>
  <si>
    <t>{ "measurements" : "TOT: 129, TV: 42, HFL: 20, EAR: 17, WGT: 14 g" , "preservationFluid" : "70 percent ethanol" }</t>
  </si>
  <si>
    <t>Testes Position: Abd. | Testis size: 6 x 3.5 R | Epididymus: Not Con.</t>
  </si>
  <si>
    <t>originatingSampleOf (tissue): https://csvcoll.org/portal/collections/individual/index.php?guid=4d5a4364-1f18-4eb5-a2c1-f5eb4743a7a7 | originatingSampleOf (tissue): https://csvcoll.org/portal/collections/individual/index.php?guid=4ea484b5-2128-4a2a-b5ad-c7baa031d040 | originatingSampleOf (tissue): https://csvcoll.org/portal/collections/individual/index.php?guid=d69c76d0-9f48-4f84-8429-7fdb501a299a | originatingSampleOf (tissue): https://csvcoll.org/portal/collections/individual/index.php?guid=4643b549-dd4c-46e9-9c22-94105df152fb | originatingSampleOf (fecal): https://csvcoll.org/portal/collections/individual/index.php?guid=19b8d4df-d25f-4c3e-96fd-39ae162ec422 | originatingSampleOf (tissue): https://csvcoll.org/portal/collections/individual/index.php?guid=6e7f5757-da3d-4d82-9af7-bb04a40b7912 | originatingSampleOf (tissue): https://csvcoll.org/portal/collections/individual/index.php?guid=fe61c133-3f58-43a3-88d8-9b2c0f5fbb2e | originatingSampleOf (blood): https://csvcoll.org/portal/collections/individual/index.php?guid=b789693e-f3ef-442b-be6c-54702c3b3923</t>
  </si>
  <si>
    <t>ASUMAC008610</t>
  </si>
  <si>
    <t>2024-01-23T19:40:07.914Z</t>
  </si>
  <si>
    <t>4d5a4364-1f18-4eb5-a2c1-f5eb4743a7a7</t>
  </si>
  <si>
    <t>Testes Position: Abd. | Testis size: 6 x 3.5 R | Epididymis: Not Con.</t>
  </si>
  <si>
    <t>subsampleOf (tissue): https://csvcoll.org/portal/collections/individual/index.php?guid=46a93a28-40db-497c-8a01-97d8e6b81415</t>
  </si>
  <si>
    <t>ASUVTC000764</t>
  </si>
  <si>
    <t>4ea484b5-2128-4a2a-b5ad-c7baa031d040</t>
  </si>
  <si>
    <t>ASUVTC000765</t>
  </si>
  <si>
    <t>2024-01-22T23:57:03.732Z</t>
  </si>
  <si>
    <t>d69c76d0-9f48-4f84-8429-7fdb501a299a</t>
  </si>
  <si>
    <t>ASUVTC000766</t>
  </si>
  <si>
    <t>4643b549-dd4c-46e9-9c22-94105df152fb</t>
  </si>
  <si>
    <t>subsampleOf (fecal): https://csvcoll.org/portal/collections/individual/index.php?guid=46a93a28-40db-497c-8a01-97d8e6b81415</t>
  </si>
  <si>
    <t>ASUVTC000767</t>
  </si>
  <si>
    <t>19b8d4df-d25f-4c3e-96fd-39ae162ec422</t>
  </si>
  <si>
    <t>ASUVTC000768</t>
  </si>
  <si>
    <t>6e7f5757-da3d-4d82-9af7-bb04a40b7912</t>
  </si>
  <si>
    <t>ASUVTC000818</t>
  </si>
  <si>
    <t>fe61c133-3f58-43a3-88d8-9b2c0f5fbb2e</t>
  </si>
  <si>
    <t>ASUVTC000819</t>
  </si>
  <si>
    <t>2024-01-22T23:57:03.720Z</t>
  </si>
  <si>
    <t>b789693e-f3ef-442b-be6c-54702c3b3923</t>
  </si>
  <si>
    <t>{ "preservationMeans" : "Nobuto filter strip, room temp." , "preservationFluid" : "95 percent ethanol" }</t>
  </si>
  <si>
    <t>subsampleOf (blood): https://csvcoll.org/portal/collections/individual/index.php?guid=46a93a28-40db-497c-8a01-97d8e6b81415</t>
  </si>
  <si>
    <t>ASUVTC000897</t>
  </si>
  <si>
    <t>397ba9a8-9387-43f2-b717-476d8965ee0e</t>
  </si>
  <si>
    <t>Trap Line 9-4</t>
  </si>
  <si>
    <t>DMR0064</t>
  </si>
  <si>
    <t>{ "measurements" : "TOT: 186, TV: 94, HFL: 27, EAR: 10, WGT: 30 g" , "preservationFluid" : "70 percent ethanol" }</t>
  </si>
  <si>
    <t>Testes Position: Scrot. | Testis size: 4.5 x 3 R | Epididymus: Not Con.</t>
  </si>
  <si>
    <t>originatingSampleOf (tissue): https://csvcoll.org/portal/collections/individual/index.php?guid=a02d9abc-63ca-4e81-b692-afbd81dc09db | originatingSampleOf (tissue): https://csvcoll.org/portal/collections/individual/index.php?guid=a8dc0a59-6226-42cf-bb39-8fe2e877225c | originatingSampleOf (tissue): https://csvcoll.org/portal/collections/individual/index.php?guid=68281bc8-7fab-4afe-87e5-f5a2cf25ea5a | originatingSampleOf (tissue): https://csvcoll.org/portal/collections/individual/index.php?guid=d546f195-b64d-46ba-a437-434417e864f1 | originatingSampleOf (fecal): https://csvcoll.org/portal/collections/individual/index.php?guid=3dc83913-ed07-40c5-95d4-c8043ef86f56 | originatingSampleOf (tissue): https://csvcoll.org/portal/collections/individual/index.php?guid=9da4ff5c-f6c0-458b-98a8-69d0b2a5f161 | originatingSampleOf (tissue): https://csvcoll.org/portal/collections/individual/index.php?guid=70cfbe45-faa2-4651-baba-4ef40ec9064e | originatingSampleOf (blood): https://csvcoll.org/portal/collections/individual/index.php?guid=8297ccc2-d063-43d9-8e7d-2cfcd8ccb253</t>
  </si>
  <si>
    <t>ASUMAC008618</t>
  </si>
  <si>
    <t>2024-01-23T19:40:07.915Z</t>
  </si>
  <si>
    <t>a02d9abc-63ca-4e81-b692-afbd81dc09db</t>
  </si>
  <si>
    <t>Testes Position: Scrot. | Testis size: 4.5 x 3 R | Epididymis: Not Con.</t>
  </si>
  <si>
    <t>subsampleOf (tissue): https://csvcoll.org/portal/collections/individual/index.php?guid=397ba9a8-9387-43f2-b717-476d8965ee0e</t>
  </si>
  <si>
    <t>ASUVTC000769</t>
  </si>
  <si>
    <t>a8dc0a59-6226-42cf-bb39-8fe2e877225c</t>
  </si>
  <si>
    <t>ASUVTC000770</t>
  </si>
  <si>
    <t>68281bc8-7fab-4afe-87e5-f5a2cf25ea5a</t>
  </si>
  <si>
    <t>ASUVTC000771</t>
  </si>
  <si>
    <t>d546f195-b64d-46ba-a437-434417e864f1</t>
  </si>
  <si>
    <t>subsampleOf (fecal): https://csvcoll.org/portal/collections/individual/index.php?guid=397ba9a8-9387-43f2-b717-476d8965ee0e</t>
  </si>
  <si>
    <t>ASUVTC000772</t>
  </si>
  <si>
    <t>3dc83913-ed07-40c5-95d4-c8043ef86f56</t>
  </si>
  <si>
    <t>ASUVTC000773</t>
  </si>
  <si>
    <t>2024-01-22T23:57:03.721Z</t>
  </si>
  <si>
    <t>9da4ff5c-f6c0-458b-98a8-69d0b2a5f161</t>
  </si>
  <si>
    <t>ASUVTC000820</t>
  </si>
  <si>
    <t>70cfbe45-faa2-4651-baba-4ef40ec9064e</t>
  </si>
  <si>
    <t>ASUVTC000821</t>
  </si>
  <si>
    <t>8297ccc2-d063-43d9-8e7d-2cfcd8ccb253</t>
  </si>
  <si>
    <t>subsampleOf (blood): https://csvcoll.org/portal/collections/individual/index.php?guid=397ba9a8-9387-43f2-b717-476d8965ee0e</t>
  </si>
  <si>
    <t>ASUVTC000898</t>
  </si>
  <si>
    <t>d0fe90b6-5c34-4106-9963-1054148b1c85</t>
  </si>
  <si>
    <t>Trap Line 10-1</t>
  </si>
  <si>
    <t>DMR0065</t>
  </si>
  <si>
    <t>Mammae #: ND | Mammae Condition: ND | Vagina condition: Perf. | Reproductive Stage: ND | Embryos: ND | Placental scars: ND</t>
  </si>
  <si>
    <t>ASUVTC000774</t>
  </si>
  <si>
    <t>4d3ebbdb-1c55-4101-94a6-fbb687959598</t>
  </si>
  <si>
    <t>ASUVTC000775</t>
  </si>
  <si>
    <t>3c3133e9-2d15-435a-9c51-fc12076249f4</t>
  </si>
  <si>
    <t>ASUVTC000776</t>
  </si>
  <si>
    <t>0da18628-750c-486d-8c1a-5e1d5dfd5d7d</t>
  </si>
  <si>
    <t>Santa Catalina Mts., vicinity of Gordon Hirabayashi Campground</t>
  </si>
  <si>
    <t>SGS</t>
  </si>
  <si>
    <t>DMR0068</t>
  </si>
  <si>
    <t>{ "measurements" : "TOT: 180, TV: 91, HFL: 22, EAR: 20, WGT: 22 g" , "preservationFluid" : "70 percent ethanol, formalin fixed" }</t>
  </si>
  <si>
    <t>Mammae #: Ax. 0 Ab. 0 Ing. 0 | Mammae Condition: Sm. | Vagina condition: Perf. | Reproductive Stage: Nul. | Embryos: L 1 R 1 CR 3 mm | Placental scars: L 0 R 0</t>
  </si>
  <si>
    <t>ASUMAC008827</t>
  </si>
  <si>
    <t>Rowsey, Dakota M.; Upham, Nathan S.; Hall, Sharon J.; Gilbert, Edward E.; Gilbert-Kleker, Aven O.</t>
  </si>
  <si>
    <t>2024-01-23T19:40:07.979Z</t>
  </si>
  <si>
    <t>b74ed181-3292-4183-93f9-86e66ff732fd</t>
  </si>
  <si>
    <t>Santa Catalina Mts., Gordon Hirabayashi Campground, wash W of N Prison Camp Rd.</t>
  </si>
  <si>
    <t>{ "preservationMeans" : "Frozen -80C" , "preservationFluid" : "none" }</t>
  </si>
  <si>
    <t>ASUVTC000900</t>
  </si>
  <si>
    <t>ba56feca-9e9c-4c1f-a086-50b3116d918a</t>
  </si>
  <si>
    <t>Mammae #: ? | Mammae Condition: ? | Vagina condition: ? | Reproductive Stage: ? | Embryos: L 1 R 1 CR 3 mm | Placental scars: ?</t>
  </si>
  <si>
    <t>ASUVTC001033</t>
  </si>
  <si>
    <t>d235e4e6-1fce-47d1-b28b-d3763756c267</t>
  </si>
  <si>
    <t>{ "preservationMeans" : "Frozen -80C" , "preservationFluid" : "95 percent ethanol" }</t>
  </si>
  <si>
    <t>ASUVTC001034</t>
  </si>
  <si>
    <t>2024-01-22T23:57:04.180Z</t>
  </si>
  <si>
    <t>24fc4528-b532-420b-a27b-c8ddb12bfa08</t>
  </si>
  <si>
    <t>ASUVTC001035</t>
  </si>
  <si>
    <t>fbbd80f6-8880-4f20-ac8c-999fd94ba214</t>
  </si>
  <si>
    <t>ASUVTC001036</t>
  </si>
  <si>
    <t>cd32a9d7-461f-4ae0-bcdc-73b62be838b1</t>
  </si>
  <si>
    <t>ASUVTC001037</t>
  </si>
  <si>
    <t>6c2bfc8e-4cc1-457e-8957-3a15110dc078</t>
  </si>
  <si>
    <t>ASUVTC001038</t>
  </si>
  <si>
    <t>22a3fb3f-c94c-4e5b-9cb0-848b492fb725</t>
  </si>
  <si>
    <t>ASUVTC001039</t>
  </si>
  <si>
    <t>5478fdf3-0329-4321-ae0c-80f580a25252</t>
  </si>
  <si>
    <t>DMR0069</t>
  </si>
  <si>
    <t>{ "measurements" : "TOT: 189, TV: 96, HFL: 22, EAR: 21, WGT: ND" , "preservationFluid" : "70 percent ethanol, formalin fixed" }</t>
  </si>
  <si>
    <t>Testes Position: Abd. | Testis size: 13 x 8 R | Epididymus: ND</t>
  </si>
  <si>
    <t>originatingSampleOf: https://csvcoll.org/portal/collections/individual/index.php?guid=d45d0d68-9c9c-4835-8721-220d38d1b708</t>
  </si>
  <si>
    <t>ASUMAC008839</t>
  </si>
  <si>
    <t>2024-01-23T19:40:08.062Z</t>
  </si>
  <si>
    <t>550500ec-96ac-4146-91a9-fc08fdebe50d</t>
  </si>
  <si>
    <t>{ "measurements" : "TOT: 189, TV: 96, HFL: 22, EAR: 21, WGT: ND" , "preservationFluid" : "70 percent ethanol, formalin fixed", "presentationMeans" : "Room Temperature" }</t>
  </si>
  <si>
    <t>Testes Position: Abd. | Testis size: 13 x 8 R | Epididymis: ND</t>
  </si>
  <si>
    <t>subsampleOf: https://csvcoll.org/portal/collections/individual/index.php?guid=5478fdf3-0329-4321-ae0c-80f580a25252</t>
  </si>
  <si>
    <t>ASUVTC000901</t>
  </si>
  <si>
    <t>c8ee7d2b-2533-4eef-9b1b-eeb0428e2ff1</t>
  </si>
  <si>
    <t>ASUVTC001040</t>
  </si>
  <si>
    <t>7c11b3f7-d765-4198-b5bb-f66d8c38358d</t>
  </si>
  <si>
    <t>ASUVTC001041</t>
  </si>
  <si>
    <t>9f16919b-6c69-4479-b3d1-de9746eca874</t>
  </si>
  <si>
    <t>ASUVTC001042</t>
  </si>
  <si>
    <t>ad42da4c-9ec3-40a4-a4f1-6033a0ce804c</t>
  </si>
  <si>
    <t>ASUVTC001043</t>
  </si>
  <si>
    <t>6761384f-ea15-4375-aa8f-32ba4e4b2ed5</t>
  </si>
  <si>
    <t>ASUVTC001044</t>
  </si>
  <si>
    <t>903f203b-88a8-4365-a4f9-df07b2f1d40d</t>
  </si>
  <si>
    <t>ASUVTC001188</t>
  </si>
  <si>
    <t>d45d0d68-9c9c-4835-8721-220d38d1b708</t>
  </si>
  <si>
    <t>Testes Position: Abd. | Testis size: 13 x 8 R | Epididymis: ?</t>
  </si>
  <si>
    <t>ASUVTC001808</t>
  </si>
  <si>
    <t>2024-01-22T23:57:03.952Z</t>
  </si>
  <si>
    <t>036c1cf6-38d2-4fb6-b81c-023458740eef</t>
  </si>
  <si>
    <t>DMR0070</t>
  </si>
  <si>
    <t>{ "measurements" : "TOT: [173], TV: [70], HFL: 21, EAR: 18, WGT: 40 g" , "preservationFluid" : "70 percent ethanol, formalin fixed" }</t>
  </si>
  <si>
    <t>Mammae #: Ax. 0 Ab. 0 Ing. 4 | Mammae Condition: Lg. | Vagina condition: Perf. | Reproductive Stage: ND | Embryos: L 2 R 1 CR 20 mm | Placental scars: ND</t>
  </si>
  <si>
    <t>ASUMAC008835</t>
  </si>
  <si>
    <t>2024-01-23T19:40:08.058Z</t>
  </si>
  <si>
    <t>1043ab56-8421-472f-bc6f-08aa613c1243</t>
  </si>
  <si>
    <t>ASUVTC000902</t>
  </si>
  <si>
    <t>d58b69a4-53be-4b81-85cb-e5434d4f35fe</t>
  </si>
  <si>
    <t>ASUVTC001045</t>
  </si>
  <si>
    <t>60dc01f7-e8f4-46a0-bee8-c969e78118aa</t>
  </si>
  <si>
    <t>ASUVTC001046</t>
  </si>
  <si>
    <t>fae6a3c7-3ce4-44a1-a62c-327d4d4b9581</t>
  </si>
  <si>
    <t>ASUVTC001047</t>
  </si>
  <si>
    <t>1cfacce8-dc4e-4497-a13c-1763064fdf69</t>
  </si>
  <si>
    <t>ASUVTC001048</t>
  </si>
  <si>
    <t>47815605-6973-44d1-9e4f-a332481e874a</t>
  </si>
  <si>
    <t>ASUVTC001175</t>
  </si>
  <si>
    <t>8621ddba-bedb-46c2-bff4-5bf534f5608d</t>
  </si>
  <si>
    <t>Mammae #: Ax. 0 Ab. 0 Ing. 4 | Mammae Condition: Lg. | Vagina condition: Perf. | Reproductive Stage: ? | Embryos: 2 L 1 R CR 20 mm | Placental scars: ?</t>
  </si>
  <si>
    <t>ASUVTC001176</t>
  </si>
  <si>
    <t>2024-01-22T23:57:03.776Z</t>
  </si>
  <si>
    <t>7573da9b-5e06-441d-9c61-2513b5640d00</t>
  </si>
  <si>
    <t>Trap Line 2/3-1</t>
  </si>
  <si>
    <t>DMR0071</t>
  </si>
  <si>
    <t>{ "measurements" : "TOT: 160, TV: 85, HFL: 26, EAR: 14, WGT: 23 g" , "preservationFluid" : "70 percent ethanol, formalin fixed" }</t>
  </si>
  <si>
    <t>Testes Position: Abd. | Testis size: 6 x 4 R | Epididymus: Not Con.</t>
  </si>
  <si>
    <t>ASUMAC008847</t>
  </si>
  <si>
    <t>2024-01-23T19:40:08.061Z</t>
  </si>
  <si>
    <t>0b3b58d5-0471-4de9-8645-d7628319cf1e</t>
  </si>
  <si>
    <t>Testes Position: Abd. | Testis size: 6 x 4 R | Epididymis: Not Con.</t>
  </si>
  <si>
    <t>ASUVTC001049</t>
  </si>
  <si>
    <t>a1eefa08-ec7c-440d-a842-58df5869b076</t>
  </si>
  <si>
    <t>ASUVTC001222</t>
  </si>
  <si>
    <t>2024-01-22T23:57:03.957Z</t>
  </si>
  <si>
    <t>ef9f1ce1-b87d-40fe-99a9-abc267f30a19</t>
  </si>
  <si>
    <t>ASUVTC001223</t>
  </si>
  <si>
    <t>2024-01-22T23:57:03.970Z</t>
  </si>
  <si>
    <t>dee50229-4720-43e6-a919-1ea1fa746546</t>
  </si>
  <si>
    <t>ASUVTC001224</t>
  </si>
  <si>
    <t>2024-01-22T23:57:03.971Z</t>
  </si>
  <si>
    <t>40d62d19-a1cf-40a7-9d62-d0c172357604</t>
  </si>
  <si>
    <t>ASUVTC001225</t>
  </si>
  <si>
    <t>2024-01-22T23:57:03.975Z</t>
  </si>
  <si>
    <t>13b6b1a2-b643-4add-aa0f-9add2926c63a</t>
  </si>
  <si>
    <t>ASUVTC001226</t>
  </si>
  <si>
    <t>2024-01-22T23:57:03.972Z</t>
  </si>
  <si>
    <t>695ec8c4-3fdb-475f-8921-20793c11dc0c</t>
  </si>
  <si>
    <t>ASUVTC001259</t>
  </si>
  <si>
    <t>2024-01-22T23:57:03.981Z</t>
  </si>
  <si>
    <t>a72c50fa-edb5-4dad-968a-b0fbfc538bfe</t>
  </si>
  <si>
    <t>Trap Line 2/3-3</t>
  </si>
  <si>
    <t>DMR0072</t>
  </si>
  <si>
    <t>{ "measurements" : "TOT: 152, TV: 88, HFL: 21, EAR: 8, WGT: 16 g" , "preservationFluid" : "70 percent ethanol, formalin fixed" }</t>
  </si>
  <si>
    <t>Testes Position: Abd. | Testis size: 7 x 8 R | Epididymus: ND</t>
  </si>
  <si>
    <t>ASUMAC008836</t>
  </si>
  <si>
    <t>2024-01-23T19:40:08.055Z</t>
  </si>
  <si>
    <t>06e40137-6fb9-4c43-9921-d79587bf16ca</t>
  </si>
  <si>
    <t>Testes Position: Abd. | Testis size: 7 x 8 R | Epididymis: ND</t>
  </si>
  <si>
    <t>ASUVTC001050</t>
  </si>
  <si>
    <t>5a57ecab-3068-4402-8203-2877f9b26694</t>
  </si>
  <si>
    <t>ASUVTC001177</t>
  </si>
  <si>
    <t>2024-01-22T23:57:03.775Z</t>
  </si>
  <si>
    <t>81645739-9e80-46c0-b4e4-520bf61d4d91</t>
  </si>
  <si>
    <t>ASUVTC001178</t>
  </si>
  <si>
    <t>2740f9b1-28ab-4247-91ce-7ee6fd74870a</t>
  </si>
  <si>
    <t>ASUVTC001179</t>
  </si>
  <si>
    <t>fcb25aec-17fa-4eb5-badd-9ed0a1dfcfe6</t>
  </si>
  <si>
    <t>ASUVTC001180</t>
  </si>
  <si>
    <t>2024-01-22T23:57:03.951Z</t>
  </si>
  <si>
    <t>1d2f48d2-c721-4345-b62f-2c7c40d0ab27</t>
  </si>
  <si>
    <t>ASUVTC001181</t>
  </si>
  <si>
    <t>ae1b0f99-5203-4473-97d2-6a14060c9594</t>
  </si>
  <si>
    <t>ASUVTC001251</t>
  </si>
  <si>
    <t>2024-01-22T23:57:03.984Z</t>
  </si>
  <si>
    <t>bc2e6687-40c6-424d-9b24-7099807e086b</t>
  </si>
  <si>
    <t>DMR0073</t>
  </si>
  <si>
    <t>{ "measurements" : "TOT: 157, TV: 87, HFL: 20, EAR: 11, WGT: 16 g" , "preservationFluid" : "70 percent ethanol, formalin fixed" }</t>
  </si>
  <si>
    <t>Testes Position: Scrot. | Testis size: 3 x 2 R | Epididymus: Not Con.</t>
  </si>
  <si>
    <t>ASUMAC008850</t>
  </si>
  <si>
    <t>2024-01-23T19:40:08.066Z</t>
  </si>
  <si>
    <t>5ffc8c2d-d7c6-462e-86f3-6ffdc1077213</t>
  </si>
  <si>
    <t>Testes Position: Scrot. | Testis size: 3 x 2 R | Epididymis: Not Con.</t>
  </si>
  <si>
    <t>ASUVTC001051</t>
  </si>
  <si>
    <t>d9bde5af-b030-4db6-be04-654a450a4cdf</t>
  </si>
  <si>
    <t>ASUVTC001234</t>
  </si>
  <si>
    <t>2024-01-22T23:57:03.963Z</t>
  </si>
  <si>
    <t>39d99da3-e728-4435-82b8-dea6d30dfd8e</t>
  </si>
  <si>
    <t>ASUVTC001235</t>
  </si>
  <si>
    <t>64db5751-49d9-48bb-b1b1-56bee50b6b60</t>
  </si>
  <si>
    <t>ASUVTC001236</t>
  </si>
  <si>
    <t>0698731a-e270-41ff-8c70-75d5ae7fb81d</t>
  </si>
  <si>
    <t>ASUVTC001237</t>
  </si>
  <si>
    <t>ef4a1032-91f5-413c-a49b-93dd9967b538</t>
  </si>
  <si>
    <t>ASUVTC001238</t>
  </si>
  <si>
    <t>2024-01-22T23:57:03.974Z</t>
  </si>
  <si>
    <t>0cef277a-ae31-4280-b4c9-05096774e494</t>
  </si>
  <si>
    <t>ASUVTC001261</t>
  </si>
  <si>
    <t>2024-01-22T23:57:03.977Z</t>
  </si>
  <si>
    <t>e71a01f0-b524-4454-be78-4ef84b7fdd26</t>
  </si>
  <si>
    <t>DMR0074</t>
  </si>
  <si>
    <t>{ "preservationMeans" : "Frozen -80C" , "preservationFluid" : "95% ethanol" }</t>
  </si>
  <si>
    <t>ASUVTC001052</t>
  </si>
  <si>
    <t>dd678bcc-75ca-4d4b-abb0-d98c0bc64d52</t>
  </si>
  <si>
    <t>ASUVTC001053</t>
  </si>
  <si>
    <t>f01742bc-5e7c-4d65-8ef0-c7e103f45c87</t>
  </si>
  <si>
    <t>DMR0075</t>
  </si>
  <si>
    <t>{ "measurements" : "TOT: 170, TV: 91, HFL: 22, EAR: 8, WGT: ND" , "preservationFluid" : "70 percent ethanol, formalin fixed" }</t>
  </si>
  <si>
    <t>originatingSampleOf: https://csvcoll.org/portal/collections/individual/index.php?guid=f2cb930d-d40c-4e02-bc25-cf1a2b85f4dc</t>
  </si>
  <si>
    <t>ASUMAC008746</t>
  </si>
  <si>
    <t>2024-01-23T19:40:08.082Z</t>
  </si>
  <si>
    <t>ccf22396-b77b-4fd2-aa19-779242f8495f</t>
  </si>
  <si>
    <t>{ "measurements" : "TOT: 170, TV: 91, HFL: 22, EAR: 8, WGT: ND" , "preservationFluid" : "70 percent ethanol, formalin fixed" , "preservationMeans" : "Room Temperature" }</t>
  </si>
  <si>
    <t>subsampleOf: https://csvcoll.org/portal/collections/individual/index.php?guid=f01742bc-5e7c-4d65-8ef0-c7e103f45c87</t>
  </si>
  <si>
    <t>ASUVTC000903</t>
  </si>
  <si>
    <t>2024-01-22T23:57:04.175Z</t>
  </si>
  <si>
    <t>b7eab2ae-e4b4-40ca-86f8-8b79d5946f96</t>
  </si>
  <si>
    <t>ASUVTC001054</t>
  </si>
  <si>
    <t>01b5da4c-ff6f-4d34-a93a-021e30db0fdd</t>
  </si>
  <si>
    <t>ASUVTC001055</t>
  </si>
  <si>
    <t>697a61cd-0160-4faf-a4ea-2df2969beff8</t>
  </si>
  <si>
    <t>ASUVTC001056</t>
  </si>
  <si>
    <t>a5656c03-a985-4e9e-8f13-21da6fc3315a</t>
  </si>
  <si>
    <t>ASUVTC001057</t>
  </si>
  <si>
    <t>f2cb930d-d40c-4e02-bc25-cf1a2b85f4dc</t>
  </si>
  <si>
    <t>ASUVTC001809</t>
  </si>
  <si>
    <t>fe324ebc-be38-4bac-8d26-4be837b4fb14</t>
  </si>
  <si>
    <t>DMR0076</t>
  </si>
  <si>
    <t>{ "measurements" : "TOT: 190, TV: 102, HFL: 19, EAR: 21, WGT: 27 g" , "preservationFluid" : "70 percent ethanol, formalin fixed" }</t>
  </si>
  <si>
    <t>Testes Position: Abd. | Testis size: 13 x 7 R | Epididymus: Not Con.</t>
  </si>
  <si>
    <t>ASUMAC008831</t>
  </si>
  <si>
    <t>2024-01-23T19:40:08.074Z</t>
  </si>
  <si>
    <t>97250bf1-b1dd-4f10-903e-f3a63d59a0fc</t>
  </si>
  <si>
    <t>Testes Position: Abd. | Testis size: 13 x 7 R | Epididymis: Not Con.</t>
  </si>
  <si>
    <t>ASUVTC001058</t>
  </si>
  <si>
    <t>4310a323-4f7e-49f3-aa70-3b5f650f9465</t>
  </si>
  <si>
    <t>ASUVTC001157</t>
  </si>
  <si>
    <t>2024-01-22T23:57:04.088Z</t>
  </si>
  <si>
    <t>aa63b813-28cd-4698-b26a-cae81c6dc7bf</t>
  </si>
  <si>
    <t>ASUVTC001158</t>
  </si>
  <si>
    <t>2024-01-22T23:57:04.090Z</t>
  </si>
  <si>
    <t>299f48a1-dda1-4ee5-b7b1-d389ddda066f</t>
  </si>
  <si>
    <t>ASUVTC001159</t>
  </si>
  <si>
    <t>96ccc9c2-e323-4e38-9432-b90a9b55a708</t>
  </si>
  <si>
    <t>ASUVTC001160</t>
  </si>
  <si>
    <t>3b022348-efb9-46af-b8ab-601412a9d2b8</t>
  </si>
  <si>
    <t>ASUVTC001161</t>
  </si>
  <si>
    <t>1bc29d58-97f7-44a3-811e-ad6688859e4f</t>
  </si>
  <si>
    <t>ASUVTC001248</t>
  </si>
  <si>
    <t>36c06388-46aa-48f6-937f-aeb356f968d3</t>
  </si>
  <si>
    <t>DMR0077</t>
  </si>
  <si>
    <t>{ "measurements" : "TOT: 135, TV: 70, HFL: 20, EAR: 6, WGT: 11 g" , "preservationFluid" : "70 percent ethanol, formalin fixed" }</t>
  </si>
  <si>
    <t>ASUMAC008851</t>
  </si>
  <si>
    <t>2024-01-23T19:40:08.078Z</t>
  </si>
  <si>
    <t>0e81ee0b-c827-4a74-a18f-bdf45a29a553</t>
  </si>
  <si>
    <t>ASUVTC000904</t>
  </si>
  <si>
    <t>7a01ef6d-a5db-4b64-9a1f-4737d3b62e99</t>
  </si>
  <si>
    <t>ASUVTC001059</t>
  </si>
  <si>
    <t>bc5e1ed3-d30d-4994-b3bf-baab4a6a649d</t>
  </si>
  <si>
    <t>ASUVTC001060</t>
  </si>
  <si>
    <t>86bda0f3-02e1-4708-bb2f-58d6a88ebb5b</t>
  </si>
  <si>
    <t>ASUVTC001061</t>
  </si>
  <si>
    <t>17fd5985-c8b7-4ac1-8327-01821662c7a7</t>
  </si>
  <si>
    <t>ASUVTC001062</t>
  </si>
  <si>
    <t>6b65fd7f-4462-45e7-ae51-e9c308fd75ce</t>
  </si>
  <si>
    <t>ASUVTC001063</t>
  </si>
  <si>
    <t>2024-01-22T23:57:04.139Z</t>
  </si>
  <si>
    <t>3f5592a3-95f6-4d64-a278-3dad46885f6a</t>
  </si>
  <si>
    <t>ASUVTC001239</t>
  </si>
  <si>
    <t>4a88a9f3-70b6-4f02-9bcf-d0163f7bba26</t>
  </si>
  <si>
    <t>Mammae #: Ax. 0 Ab. 0 Ing. 0 | Mammae Condition: Sm. | Vagina condition: ? | Reproductive Stage: Nul. | Embryos: 0 | Placental scars: 0</t>
  </si>
  <si>
    <t>ASUVTC001240</t>
  </si>
  <si>
    <t>2024-01-22T23:57:03.964Z</t>
  </si>
  <si>
    <t>9743f02f-54d6-458d-9ba3-b2cc39572a96</t>
  </si>
  <si>
    <t>Trap Line 2/3-2</t>
  </si>
  <si>
    <t>DMR0078</t>
  </si>
  <si>
    <t>ASUVTC001064</t>
  </si>
  <si>
    <t>471691ea-ecd8-44c6-9e80-3086fb860eda</t>
  </si>
  <si>
    <t>ASUVTC001065</t>
  </si>
  <si>
    <t>2024-01-22T23:57:04.140Z</t>
  </si>
  <si>
    <t>ede1d456-5fee-4b68-89b4-e4439ae2e713</t>
  </si>
  <si>
    <t>{ "preservationMeans" : "Frozen -80C" , "preservationFluid" : "None" }</t>
  </si>
  <si>
    <t>ASUVTC001066</t>
  </si>
  <si>
    <t>a819485a-57b1-44d5-b728-7db55ddfceaa</t>
  </si>
  <si>
    <t>Trap Line 2-3-4</t>
  </si>
  <si>
    <t>DMR0079</t>
  </si>
  <si>
    <t>{ "measurements" : "TOT: 167, TV: 89, HFL: 21, EAR: 9, WGT: 13 g" , "preservationFluid" : "70 percent ethanol, formalin fixed" }</t>
  </si>
  <si>
    <t>ASUMAC008842</t>
  </si>
  <si>
    <t>2024-01-23T19:40:08.065Z</t>
  </si>
  <si>
    <t>070c5997-66c8-4905-9790-b231b6984ecd</t>
  </si>
  <si>
    <t>Santa Catalina Mts., Gordon Hirabayashi Campground, hillside NW of N Prison Camp Rd.</t>
  </si>
  <si>
    <t>ASUVTC000905</t>
  </si>
  <si>
    <t>ae04a384-9658-47a8-8323-efd0846ba566</t>
  </si>
  <si>
    <t>Trap Line 2/3-4</t>
  </si>
  <si>
    <t>ASUVTC001067</t>
  </si>
  <si>
    <t>2024-01-22T23:57:04.141Z</t>
  </si>
  <si>
    <t>a9d71388-6a1f-4f32-a11c-fa1e859364cc</t>
  </si>
  <si>
    <t>ASUVTC001068</t>
  </si>
  <si>
    <t>c3881c84-f25b-4ce0-9366-8679c2c59f13</t>
  </si>
  <si>
    <t>ASUVTC001069</t>
  </si>
  <si>
    <t>2024-01-22T23:57:04.142Z</t>
  </si>
  <si>
    <t>d90c3daf-0f77-46e9-b64d-8581a80b9f34</t>
  </si>
  <si>
    <t>ASUVTC001070</t>
  </si>
  <si>
    <t>2cba7f76-9742-43d0-89b4-b6a621538183</t>
  </si>
  <si>
    <t>ASUVTC001199</t>
  </si>
  <si>
    <t>7cf348b2-b925-40b9-9834-da1858df1dd1</t>
  </si>
  <si>
    <t>ASUVTC001200</t>
  </si>
  <si>
    <t>00cf7dea-48d7-4ffe-a720-55156b47754b</t>
  </si>
  <si>
    <t>Trap Line 2/3-5</t>
  </si>
  <si>
    <t>DMR0080</t>
  </si>
  <si>
    <t>ASUVTC001071</t>
  </si>
  <si>
    <t>2024-01-22T23:57:04.150Z</t>
  </si>
  <si>
    <t>ba6a274c-7229-4d5e-9bab-c2f5db867a41</t>
  </si>
  <si>
    <t>ASUVTC001072</t>
  </si>
  <si>
    <t>d49d5996-7ad8-495b-a5e9-2ffc92fb6027</t>
  </si>
  <si>
    <t>Trap Line 2/3-6</t>
  </si>
  <si>
    <t>DMR0081</t>
  </si>
  <si>
    <t>ASUVTC001073</t>
  </si>
  <si>
    <t>a6c7a686-c17a-4b00-9b2c-50b7202efc4e</t>
  </si>
  <si>
    <t>ASUVTC001074</t>
  </si>
  <si>
    <t>63626e4d-02da-4eff-ace4-a784c27f535e</t>
  </si>
  <si>
    <t>Trap Line 2/3-7</t>
  </si>
  <si>
    <t>DMR0082</t>
  </si>
  <si>
    <t>ASUVTC001075</t>
  </si>
  <si>
    <t>5f43255c-ee70-4c1d-9686-8292a03c565d</t>
  </si>
  <si>
    <t>ASUVTC001076</t>
  </si>
  <si>
    <t>2024-01-22T23:57:04.138Z</t>
  </si>
  <si>
    <t>8e189e1b-abe9-41bf-a24b-d5433741ac72</t>
  </si>
  <si>
    <t>Trap Line 2/3-8</t>
  </si>
  <si>
    <t>DMR0083</t>
  </si>
  <si>
    <t>ASUVTC001077</t>
  </si>
  <si>
    <t>2024-01-22T23:57:04.137Z</t>
  </si>
  <si>
    <t>6f2121ac-d7ab-475b-800b-6bf8f1ec48e8</t>
  </si>
  <si>
    <t>ASUVTC001078</t>
  </si>
  <si>
    <t>2bbe7fba-75dd-4241-bf1c-94134259f633</t>
  </si>
  <si>
    <t>Trap Line 2/3-9</t>
  </si>
  <si>
    <t>DMR0084</t>
  </si>
  <si>
    <t>Mammae #: Ax. 0 Ab. 0 Ing. 0 | Mammae Condition: Sm. | Vagina: Imp.</t>
  </si>
  <si>
    <t>ASUVTC001079</t>
  </si>
  <si>
    <t>aba71691-f3d1-493f-a96e-a3bdf9233b9e</t>
  </si>
  <si>
    <t>ASUVTC001080</t>
  </si>
  <si>
    <t>e425bc3d-3578-42aa-88d3-d4347760c339</t>
  </si>
  <si>
    <t>Trap Line 2/3-10</t>
  </si>
  <si>
    <t>DMR0085</t>
  </si>
  <si>
    <t>{ "measurements" : "TOT: 180, TV: 99, HFL: 22, EAR: 10, WGT: 17 g" , "preservationFluid" : "70 percent ethanol, formalin fixed" }</t>
  </si>
  <si>
    <t>originatingSampleOf: https://csvcoll.org/portal/collections/individual/index.php?guid=e0feca2b-d461-4d01-8e4d-45987ea61b8a</t>
  </si>
  <si>
    <t>ASUMAC008832</t>
  </si>
  <si>
    <t>2024-01-23T19:40:08.060Z</t>
  </si>
  <si>
    <t>46434b87-ae96-43e1-a3dc-395843786f14</t>
  </si>
  <si>
    <t>ASUVTC000906</t>
  </si>
  <si>
    <t>311e7569-e57a-48d7-adc5-40bb4668189e</t>
  </si>
  <si>
    <t>ASUVTC001081</t>
  </si>
  <si>
    <t>f6931e11-fa39-430b-b457-661f0604a7dc</t>
  </si>
  <si>
    <t>ASUVTC001082</t>
  </si>
  <si>
    <t>2024-01-22T23:57:04.148Z</t>
  </si>
  <si>
    <t>3a6bc900-45c3-4e77-9e3d-d6877f7de123</t>
  </si>
  <si>
    <t>ASUVTC001083</t>
  </si>
  <si>
    <t>2024-01-22T23:57:04.143Z</t>
  </si>
  <si>
    <t>92618600-c30b-4aea-bec1-0f24a219ce65</t>
  </si>
  <si>
    <t>ASUVTC001084</t>
  </si>
  <si>
    <t>ac6cde3f-7f4e-4dc6-bd08-b49b1045d2ba</t>
  </si>
  <si>
    <t>ASUVTC001085</t>
  </si>
  <si>
    <t>2024-01-22T23:57:04.145Z</t>
  </si>
  <si>
    <t>ed755e92-5f3d-4c83-9031-864e98172c3b</t>
  </si>
  <si>
    <t>{ "measurements" : "TOT: 180, TV: 99, HFL: 22, EAR: 10, WGT: 17 g" , "preservationFluid" : "70 percent ethanol, formalin fixed" , "preservationMeans" : 'Room Temperature" } }</t>
  </si>
  <si>
    <t>subsampleOf: https://csvcoll.org/portal/collections/individual/index.php?guid=e425bc3d-3578-42aa-88d3-d4347760c339</t>
  </si>
  <si>
    <t>ASUVTC001162</t>
  </si>
  <si>
    <t>f63593f8-97b9-43db-a9fb-67c0b22998dc</t>
  </si>
  <si>
    <t>ASUVTC001163</t>
  </si>
  <si>
    <t>e0feca2b-d461-4d01-8e4d-45987ea61b8a</t>
  </si>
  <si>
    <t>ASUVTC001810</t>
  </si>
  <si>
    <t>2024-01-22T23:57:03.954Z</t>
  </si>
  <si>
    <t>5e45b51a-edd4-4158-a3e4-42eb926b49a3</t>
  </si>
  <si>
    <t>Trap Line 2/3-11</t>
  </si>
  <si>
    <t>DMR0086</t>
  </si>
  <si>
    <t>{ "measurements" : "TOT: 355, TV: 145, HFL: 34, EAR: 28, WGT: 225 g" , "preservationFluid" : "70 percent ethanol, formalin fixed" }</t>
  </si>
  <si>
    <t>Testes Position: Scrot. | Testis size: 19 x 12 R | Epididymus: Con.</t>
  </si>
  <si>
    <t>originatingSampleOf: https://csvcoll.org/portal/collections/individual/index.php?guid=7d0ed62a-2582-4293-b55b-be99a6da1e5a</t>
  </si>
  <si>
    <t>ASUMAC008838</t>
  </si>
  <si>
    <t>2024-01-23T19:40:08.025Z</t>
  </si>
  <si>
    <t>a846fa51-2090-4930-a269-376e20535b94</t>
  </si>
  <si>
    <t>{ "measurements" : "TOT: 355, TV: 145, HFL: 34, EAR: 28, WGT: 225 g" , "preservationFluid" : "95 percent ethanol, formalin fixed", "preservationMeans" : "Room Temp" }</t>
  </si>
  <si>
    <t>Testes Position: Scrot. | Testis size: 19 x 12 R | Epididymis: Con.</t>
  </si>
  <si>
    <t>subsampleOf: https://csvcoll.org/portal/collections/individual/index.php?guid=5e45b51a-edd4-4158-a3e4-42eb926b49a3</t>
  </si>
  <si>
    <t>ASUVTC000907</t>
  </si>
  <si>
    <t>aac30a8e-5def-4920-8540-57152206c2a5</t>
  </si>
  <si>
    <t>ASUVTC001086</t>
  </si>
  <si>
    <t>6baa7788-0c9a-4686-9145-027e872e5206</t>
  </si>
  <si>
    <t>ASUVTC001087</t>
  </si>
  <si>
    <t>2024-01-22T23:57:04.144Z</t>
  </si>
  <si>
    <t>2598dd61-4043-471a-8895-126ca791d686</t>
  </si>
  <si>
    <t>ASUVTC001088</t>
  </si>
  <si>
    <t>b7db436b-b068-42d1-acf1-18238b25cd56</t>
  </si>
  <si>
    <t>ASUVTC001089</t>
  </si>
  <si>
    <t>84433211-b181-4583-aacc-9ccf921e3c33</t>
  </si>
  <si>
    <t>ASUVTC001090</t>
  </si>
  <si>
    <t>bc0418bd-4985-4f98-ac69-1a4a482eee3b</t>
  </si>
  <si>
    <t>ASUVTC001187</t>
  </si>
  <si>
    <t>2024-01-22T23:57:03.953Z</t>
  </si>
  <si>
    <t>7d0ed62a-2582-4293-b55b-be99a6da1e5a</t>
  </si>
  <si>
    <t>Testes Position: Scrot. | Testis size: ? | Epididymis: ?</t>
  </si>
  <si>
    <t>ASUVTC002164</t>
  </si>
  <si>
    <t>886cfd08-1ea5-4799-bfaf-6e18a1250c57</t>
  </si>
  <si>
    <t>Trap Line 2/3-12</t>
  </si>
  <si>
    <t>DMR0087</t>
  </si>
  <si>
    <t>ASUVTC001091</t>
  </si>
  <si>
    <t>62c05010-0aea-4108-8354-ec868c522f3c</t>
  </si>
  <si>
    <t>ASUVTC001092</t>
  </si>
  <si>
    <t>74fffc96-8b34-4be8-9036-f85f86023082</t>
  </si>
  <si>
    <t>DMR0088</t>
  </si>
  <si>
    <t>Mammae Condition: Lg.</t>
  </si>
  <si>
    <t>ASUVTC001093</t>
  </si>
  <si>
    <t>aa09d77a-c155-410e-b5b4-5f30224b0192</t>
  </si>
  <si>
    <t>ASUVTC001094</t>
  </si>
  <si>
    <t>877d85af-70e1-4850-a08e-d969602adfb8</t>
  </si>
  <si>
    <t>DMR0089</t>
  </si>
  <si>
    <t>ASUVTC001095</t>
  </si>
  <si>
    <t>f81ade27-8ab0-4978-93c8-40cad655b20a</t>
  </si>
  <si>
    <t>ASUVTC001096</t>
  </si>
  <si>
    <t>813b2b79-10a8-4ba0-9ab7-3b09ab56a6a3</t>
  </si>
  <si>
    <t>DMR0090</t>
  </si>
  <si>
    <t>Mammae #: Ax. 0 Ab. 0 Ing. 0 |Mammae Condition: Sm. | Vagina Condition: Imp.</t>
  </si>
  <si>
    <t>ASUVTC001097</t>
  </si>
  <si>
    <t>c921fd6d-0eb9-429c-a2b9-9e92fa75d680</t>
  </si>
  <si>
    <t>ASUVTC001098</t>
  </si>
  <si>
    <t>5deab639-47af-4591-9a74-a95a89f377e7</t>
  </si>
  <si>
    <t>DMR0091</t>
  </si>
  <si>
    <t>{ "measurements" : "TOT: [150], TV: [45], HFL: 21, EAR: 24, WGT: 29 g" , "preservationFluid" : "70 percent ethanol, formalin fixed" }</t>
  </si>
  <si>
    <t>Testes Position: Scrot. | Testis size: 15 x 7 R | Epididymus: Con.</t>
  </si>
  <si>
    <t>ASUMAC008747</t>
  </si>
  <si>
    <t>2024-01-23T19:40:08.021Z</t>
  </si>
  <si>
    <t>787c3f52-0c76-4ed2-a121-366b330ced13</t>
  </si>
  <si>
    <t>Testes Position: Scrot. | Testis size: 15 x 7 R | Epididymis: Con.</t>
  </si>
  <si>
    <t>ASUVTC001099</t>
  </si>
  <si>
    <t>e1a31021-34ff-4fab-9f0b-495ab2248935</t>
  </si>
  <si>
    <t>ASUVTC001100</t>
  </si>
  <si>
    <t>57550890-4082-470f-98a9-1ed153756f8e</t>
  </si>
  <si>
    <t>Trap Line 5-4</t>
  </si>
  <si>
    <t>DMR0106</t>
  </si>
  <si>
    <t>{ "measurements" : "TOT: 187, TV: 100, HFL: 28, EAR: 8, WGT: 29 g" , "preservationFluid" : "70 percent ethanol, formalin fixed" }</t>
  </si>
  <si>
    <t>Mammae #: Ax. 0 Ab. 0 Ing. 0 | Mammae Condition: Sm. | Vagina condition: Perf. | Reproductive Stage: Prim. | Embryos: L 0 R 0 | Placental scars: L 1 R 1</t>
  </si>
  <si>
    <t>ASUMAC008829</t>
  </si>
  <si>
    <t>2024-01-23T19:40:07.887Z</t>
  </si>
  <si>
    <t>b8f0b050-c6ec-4e13-8bc8-0f6505fa004c</t>
  </si>
  <si>
    <t>ASUVTC001132</t>
  </si>
  <si>
    <t>2024-01-22T23:57:04.151Z</t>
  </si>
  <si>
    <t>fb0d822d-d81f-452f-8833-5e1b29b542a4</t>
  </si>
  <si>
    <t>ASUVTC001133</t>
  </si>
  <si>
    <t>a6efb58c-c3c8-49ea-aca4-bc9c0b05317a</t>
  </si>
  <si>
    <t>ASUVTC001134</t>
  </si>
  <si>
    <t>2024-01-22T23:57:04.149Z</t>
  </si>
  <si>
    <t>dafc854f-6ae7-47af-a75e-b6e9b3fb25ad</t>
  </si>
  <si>
    <t>ASUVTC001135</t>
  </si>
  <si>
    <t>88f19615-d917-4647-9799-77775c6ff8c3</t>
  </si>
  <si>
    <t>ASUVTC001136</t>
  </si>
  <si>
    <t>5889201c-3a0a-4d6e-b257-df5cba4d4ab0</t>
  </si>
  <si>
    <t>ASUVTC001137</t>
  </si>
  <si>
    <t>2024-01-22T23:57:04.147Z</t>
  </si>
  <si>
    <t>8925fbee-695a-486c-9067-9f8fa0e2acfe</t>
  </si>
  <si>
    <t>ASUVTC001138</t>
  </si>
  <si>
    <t>afd32374-48ec-41c7-ae47-7956a486eeb9</t>
  </si>
  <si>
    <t>ASUVTC001246</t>
  </si>
  <si>
    <t>fcf81487-3a79-41e6-8a9e-dbef82e8a6a4</t>
  </si>
  <si>
    <t>DMR0107</t>
  </si>
  <si>
    <t>ASUVTC001139</t>
  </si>
  <si>
    <t>bdd1f251-c66b-4bba-a9a8-22537cc76ad6</t>
  </si>
  <si>
    <t>ASUVTC001140</t>
  </si>
  <si>
    <t>0de05483-0cfa-4515-9d32-50763af7bae5</t>
  </si>
  <si>
    <t>Trap Line 5-5</t>
  </si>
  <si>
    <t>DMR0108</t>
  </si>
  <si>
    <t>Mammae #: Ax. 0 Ab. 0 Ing. 0 |Mammae Condition: Sm. | Vagina Condition: Perf.</t>
  </si>
  <si>
    <t>ASUVTC001141</t>
  </si>
  <si>
    <t>b340fa08-c57a-4f00-b914-9ade9c0e1f8c</t>
  </si>
  <si>
    <t>ASUVTC001142</t>
  </si>
  <si>
    <t>e17a24e6-a049-43e2-904a-eff300e9afce</t>
  </si>
  <si>
    <t>Trap Line 5-6</t>
  </si>
  <si>
    <t>DMR0109</t>
  </si>
  <si>
    <t>Mammae #: Ax. 0 Ab. 0 Ing. 0 | Mammae Condition: Sm. | Vagina Condition: Perf.</t>
  </si>
  <si>
    <t>ASUVTC001143</t>
  </si>
  <si>
    <t>7e573fb9-c8c4-485e-a6af-d036e7377f29</t>
  </si>
  <si>
    <t>ASUVTC001144</t>
  </si>
  <si>
    <t>2024-01-22T23:57:04.092Z</t>
  </si>
  <si>
    <t>7718a780-487b-4d0b-aefe-c27e16b1374d</t>
  </si>
  <si>
    <t>DMR0110</t>
  </si>
  <si>
    <t>ASUVTC001145</t>
  </si>
  <si>
    <t>2024-01-22T23:57:04.091Z</t>
  </si>
  <si>
    <t>377e9835-58a6-429f-9aea-1f24835ab679</t>
  </si>
  <si>
    <t>ASUVTC001146</t>
  </si>
  <si>
    <t>e51e0f1d-d1a4-4971-ba8a-aca78075c43f</t>
  </si>
  <si>
    <t>DMR0111</t>
  </si>
  <si>
    <t>ASUVTC001147</t>
  </si>
  <si>
    <t>982c5a69-9f7d-4646-9788-509e794811c5</t>
  </si>
  <si>
    <t>ASUVTC001148</t>
  </si>
  <si>
    <t>d48c2665-a7b0-4dee-b58f-2ee8c0ea8b51</t>
  </si>
  <si>
    <t>DMR0112</t>
  </si>
  <si>
    <t>ASUVTC001149</t>
  </si>
  <si>
    <t>1f8a8691-3dc4-4a7c-aba6-ff764729ecab</t>
  </si>
  <si>
    <t>ASUVTC001150</t>
  </si>
  <si>
    <t>a2316410-4fd0-42bf-bd1d-1a7d6e32d1b6</t>
  </si>
  <si>
    <t>Trap Line 5-3</t>
  </si>
  <si>
    <t>DMR0113</t>
  </si>
  <si>
    <t>{ "measurements" : "TOT: 220, TV: 89, HFL: 26, EAR: 16, WGT: 61 g" , "preservationFluid" : "70 percent ethanol, formalin fixed" }</t>
  </si>
  <si>
    <t>originatingSampleOf: https://csvcoll.org/portal/collections/individual/index.php?guid=a90fd889-7945-4703-9d3b-9ae15acdc1cb</t>
  </si>
  <si>
    <t>ASUMAC008849</t>
  </si>
  <si>
    <t>2024-01-23T19:40:07.905Z</t>
  </si>
  <si>
    <t>b7a177f2-e84c-4f86-b2a6-f72121855024</t>
  </si>
  <si>
    <t>Santa Catalina Mts., Gordon Hirabayashi Campground, Hillside S of N Prison Camp Rd</t>
  </si>
  <si>
    <t>{ "measurements" : "TOT: 220, TV: 89, HFL: 26, EAR: 16, WGT: 61 g" , "preservationFluid" : "95 percent ethanol, formalin fixed" , "preservationMeans" : "Room Temp" }</t>
  </si>
  <si>
    <t>subsampleOf: https://csvcoll.org/portal/collections/individual/index.php?guid=a2316410-4fd0-42bf-bd1d-1a7d6e32d1b6</t>
  </si>
  <si>
    <t>ASUVTC000908</t>
  </si>
  <si>
    <t>5ae72f03-0f56-4103-803c-255bc0a495e0</t>
  </si>
  <si>
    <t>ASUVTC001151</t>
  </si>
  <si>
    <t>68d05e15-59a4-418c-87ab-aef65c618f55</t>
  </si>
  <si>
    <t>ASUVTC001152</t>
  </si>
  <si>
    <t>f26f9049-9fd1-4b7a-8a21-001f98101340</t>
  </si>
  <si>
    <t>ASUVTC001153</t>
  </si>
  <si>
    <t>7d0eec0c-8689-4540-9a63-5ed81c97794d</t>
  </si>
  <si>
    <t>ASUVTC001154</t>
  </si>
  <si>
    <t>3186a121-aa0f-4bb6-ad0f-225cfd1c014e</t>
  </si>
  <si>
    <t>ASUVTC001232</t>
  </si>
  <si>
    <t>c3bd4e60-bfc7-4f3c-be75-90aa51110584</t>
  </si>
  <si>
    <t>ASUVTC001233</t>
  </si>
  <si>
    <t>a90fd889-7945-4703-9d3b-9ae15acdc1cb</t>
  </si>
  <si>
    <t>ASUVTC002168</t>
  </si>
  <si>
    <t>1b781d1f-489f-4c3e-82b2-ecf2972db768</t>
  </si>
  <si>
    <t>Trap Line 2/3-14</t>
  </si>
  <si>
    <t>DMR0114</t>
  </si>
  <si>
    <t>{ "measurements" : "TOT: 145, TV: 80, HFL: 19, EAR: 8, WGT: 13 g" , "preservationFluid" : "70 percent ethanol, formalin fixed" }</t>
  </si>
  <si>
    <t>Testes Position: Scrot. | Testis size: 6 x 3 R | Epididymus: Not Con.</t>
  </si>
  <si>
    <t>ASUMAC008846</t>
  </si>
  <si>
    <t>2024-01-23T19:40:07.889Z</t>
  </si>
  <si>
    <t>ab704292-a0d4-429c-8ce3-7630798906da</t>
  </si>
  <si>
    <t>Testes Position: Scrot. | Testis size: 6 x 3 R | Epididymis: Not Con.</t>
  </si>
  <si>
    <t>ASUVTC001155</t>
  </si>
  <si>
    <t>420fab17-a86d-4fd9-838f-8ab7f651cfa4</t>
  </si>
  <si>
    <t>ASUVTC001156</t>
  </si>
  <si>
    <t>5dcb3a30-58fe-4e4d-916f-144d46f43265</t>
  </si>
  <si>
    <t>ASUVTC001217</t>
  </si>
  <si>
    <t>78b09ed8-04d9-408e-9f26-961e2e5adf85</t>
  </si>
  <si>
    <t>ASUVTC001218</t>
  </si>
  <si>
    <t>6f0bfa5b-8730-461e-8cf7-66f9d7c04569</t>
  </si>
  <si>
    <t>ASUVTC001219</t>
  </si>
  <si>
    <t>2024-01-22T23:57:03.958Z</t>
  </si>
  <si>
    <t>6361ee7e-e0b6-433a-aa17-1a60b1539808</t>
  </si>
  <si>
    <t>ASUVTC001220</t>
  </si>
  <si>
    <t>6525ab81-2e30-43df-bb14-2f7b656babfd</t>
  </si>
  <si>
    <t>ASUVTC001221</t>
  </si>
  <si>
    <t>b5a443d8-a5c8-46c8-918b-6879bea841cc</t>
  </si>
  <si>
    <t>ASUVTC001258</t>
  </si>
  <si>
    <t>d4ffc84d-453e-480c-a09d-270eb21e8f54</t>
  </si>
  <si>
    <t>Santa Catalina Mts., 0.7 km NE Babad Do'ag Trailhead</t>
  </si>
  <si>
    <t>Upland Sonoran Desertscrub/Semidesert Grassland ecotone</t>
  </si>
  <si>
    <t>SDS</t>
  </si>
  <si>
    <t>DMR0092</t>
  </si>
  <si>
    <t>{ "measurements" : "TOT: 194, TV: 103, HFL: 22, EAR: 19, WGT: 21 g" , "preservationFluid" : "70 percent ethanol, formalin fixed" }</t>
  </si>
  <si>
    <t>Mammae #: Ax. 0 Ab. 0 Ing. 4 | Mammae Condition: Lg. | Vagina condition: Perf. | Reproductive Stage: Prim. | Embryos: L 0 R 1 CR 2 mm | Placental scars: L 0 R 0</t>
  </si>
  <si>
    <t>ASUMAC008828</t>
  </si>
  <si>
    <t>2024-01-23T19:40:08.029Z</t>
  </si>
  <si>
    <t>7d83f095-7c9a-4487-ad10-930a95ef45b0</t>
  </si>
  <si>
    <t>ASUVTC001101</t>
  </si>
  <si>
    <t>497de9e6-d24c-4edb-ad2c-ce0899562fad</t>
  </si>
  <si>
    <t>ASUVTC001102</t>
  </si>
  <si>
    <t>ff0ee897-a694-4a07-8ba5-3c28f09493bd</t>
  </si>
  <si>
    <t>ASUVTC001103</t>
  </si>
  <si>
    <t>93f98db0-f11e-4d4e-a88b-4d82a1e70ef3</t>
  </si>
  <si>
    <t>ASUVTC001104</t>
  </si>
  <si>
    <t>2024-01-22T23:57:04.146Z</t>
  </si>
  <si>
    <t>a0fe9f28-cb65-429f-9191-f4b01db2d520</t>
  </si>
  <si>
    <t>ASUVTC001105</t>
  </si>
  <si>
    <t>ab43ae69-9f78-46ff-b8e5-bbabfcd12787</t>
  </si>
  <si>
    <t>ASUVTC001106</t>
  </si>
  <si>
    <t>e669875a-5b14-4732-9034-1204deb655e2</t>
  </si>
  <si>
    <t>ASUVTC001107</t>
  </si>
  <si>
    <t>8f635784-5197-4080-8d35-6fc5da652dad</t>
  </si>
  <si>
    <t>ASUVTC001699</t>
  </si>
  <si>
    <t>2024-01-22T23:57:03.541Z</t>
  </si>
  <si>
    <t>412b85e5-d42e-4f43-9994-f8bafd0ad9a3</t>
  </si>
  <si>
    <t>DMR0093</t>
  </si>
  <si>
    <t>{ "measurements" : "TOT: [141], TV: [56], HFL: 21, EAR: 20, WGT: 22 g" , "preservationFluid" : "70 percent ethanol, formalin fixed" }</t>
  </si>
  <si>
    <t>Testes Position: Abd. | Testis size: 6 x 3 R | Epididymus: Con.</t>
  </si>
  <si>
    <t>ASUMAC008833</t>
  </si>
  <si>
    <t>2024-01-23T19:40:08.016Z</t>
  </si>
  <si>
    <t>f741955b-e410-4b93-ba88-cfd2db563483</t>
  </si>
  <si>
    <t>Testes Position: Abd. | Testis size: 6 x 3 R | Epididymis: Con.</t>
  </si>
  <si>
    <t>ASUVTC001108</t>
  </si>
  <si>
    <t>ba0d53a8-edee-4e15-ad49-c1498813cde4</t>
  </si>
  <si>
    <t>ASUVTC001164</t>
  </si>
  <si>
    <t>a0813c57-b9b2-4b28-b2fa-cf833553242e</t>
  </si>
  <si>
    <t>ASUVTC001165</t>
  </si>
  <si>
    <t>c49f09c0-78af-404a-8467-2e435bcf0977</t>
  </si>
  <si>
    <t>ASUVTC001166</t>
  </si>
  <si>
    <t>fa4cac5e-7a60-4378-99d7-2c46c04a616e</t>
  </si>
  <si>
    <t>ASUVTC001167</t>
  </si>
  <si>
    <t>5c3e9e71-33b9-4fbb-9187-3a78a921a366</t>
  </si>
  <si>
    <t>ASUVTC001168</t>
  </si>
  <si>
    <t>67e9bef0-73c3-4954-8bed-b0b426e9bed8</t>
  </si>
  <si>
    <t>ASUVTC001249</t>
  </si>
  <si>
    <t>2024-01-22T23:57:03.983Z</t>
  </si>
  <si>
    <t>001d3af9-5ca5-4356-a1fd-35b4107f8898</t>
  </si>
  <si>
    <t>Trap Line 6-5</t>
  </si>
  <si>
    <t>DMR0094</t>
  </si>
  <si>
    <t>{ "measurements" : "TOT: 386, TV: 139, HFL: 33, EAR: 27, WGT: 142 g" , "preservationFluid" : "70 percent ethanol, formalin fixed" }</t>
  </si>
  <si>
    <t>Mammae #: Ax. 0 Ab. 0 Ing. 4 | Mammae Condition: Lg. | Vagina condition: Perf. | Reproductive Stage: Multi. | Embryos: L 0 R 0 | Placental scars: L 1 R 2</t>
  </si>
  <si>
    <t>ASUMAC008748</t>
  </si>
  <si>
    <t>2024-01-23T19:40:08.008Z</t>
  </si>
  <si>
    <t>3c5e5cea-0e88-4d00-bd63-1b3d01fa992b</t>
  </si>
  <si>
    <t>ASUVTC001109</t>
  </si>
  <si>
    <t>0ca4be0e-5518-4f8b-a465-fdc6962b1b5e</t>
  </si>
  <si>
    <t>ASUVTC001110</t>
  </si>
  <si>
    <t>83f9d6aa-cac4-40ac-8d4f-414692cbac63</t>
  </si>
  <si>
    <t>Trap Line 6-7</t>
  </si>
  <si>
    <t>DMR0095</t>
  </si>
  <si>
    <t>{ "measurements" : "TOT: 171, TV: 95, HFL: 19, EAR: 17, WGT: 14 g" , "preservationFluid" : "70 percent ethanol, formalin fixed" }</t>
  </si>
  <si>
    <t>Mammae #: Ax. 0 Ab. 0 Ing. 2 | Mammae Condition: Lg. | Vagina condition: Imp. | Reproductive Stage: Nul. | Embryos: L 0 R 0 | Placental scars: L 0 R 0</t>
  </si>
  <si>
    <t>ASUMAC008840</t>
  </si>
  <si>
    <t>2024-01-23T19:40:08.034Z</t>
  </si>
  <si>
    <t>afa803bc-5441-4b08-8c14-449a9a31b767</t>
  </si>
  <si>
    <t>ASUVTC001111</t>
  </si>
  <si>
    <t>56f63a6f-1aef-414f-8962-b7d8a3f56a22</t>
  </si>
  <si>
    <t>ASUVTC001112</t>
  </si>
  <si>
    <t>7e8f8512-b1d8-4b30-8911-de22cef81fdf</t>
  </si>
  <si>
    <t>ASUVTC001189</t>
  </si>
  <si>
    <t>2765864b-0f69-47c2-8db5-304864632090</t>
  </si>
  <si>
    <t>ASUVTC001190</t>
  </si>
  <si>
    <t>4b0364a7-0b41-40cd-8168-0b8723191e06</t>
  </si>
  <si>
    <t>ASUVTC001191</t>
  </si>
  <si>
    <t>5bd1beeb-e2e9-4f6f-aa2c-45a59ffc3c8e</t>
  </si>
  <si>
    <t>ASUVTC001192</t>
  </si>
  <si>
    <t>477e40ec-6680-4b8f-81d2-5670af3a30b5</t>
  </si>
  <si>
    <t>ASUVTC001193</t>
  </si>
  <si>
    <t>8496eb37-ebe5-43ea-b333-18e43fe99c76</t>
  </si>
  <si>
    <t>ASUVTC001253</t>
  </si>
  <si>
    <t>2024-01-22T23:57:03.980Z</t>
  </si>
  <si>
    <t>6f61f105-d809-4be0-b60c-58adf02ce746</t>
  </si>
  <si>
    <t>Trap Line 6-8</t>
  </si>
  <si>
    <t>DMR0096</t>
  </si>
  <si>
    <t>{ "measurements" : "TOT: 182, TV: 95, HFL: 21, EAR: 16, WGT: 17 g" , "preservationFluid" : "70 percent ethanol, formalin fixed" }</t>
  </si>
  <si>
    <t>Testes Position: Abd. | Testis size: 6 x 3 R | Epididymus: ND</t>
  </si>
  <si>
    <t>ASUMAC008837</t>
  </si>
  <si>
    <t>2024-01-23T19:40:08.037Z</t>
  </si>
  <si>
    <t>eba53104-01e5-49d5-8a88-91d513663ccf</t>
  </si>
  <si>
    <t>Testes Position: Abd. | Testis size: 6 x 3 R | Epididymis: ND</t>
  </si>
  <si>
    <t>ASUVTC001113</t>
  </si>
  <si>
    <t>5a5e755c-4bf9-44d1-b800-37555d1ccaf8</t>
  </si>
  <si>
    <t>ASUVTC001182</t>
  </si>
  <si>
    <t>630bbdd7-e4a6-4923-aa71-77ca56795337</t>
  </si>
  <si>
    <t>ASUVTC001183</t>
  </si>
  <si>
    <t>eb35c9c9-7b0b-43e0-b0bd-d957e4fafb88</t>
  </si>
  <si>
    <t>ASUVTC001184</t>
  </si>
  <si>
    <t>4969cbcd-a976-4b7a-8a22-b8de8a3fff30</t>
  </si>
  <si>
    <t>ASUVTC001185</t>
  </si>
  <si>
    <t>2024-01-22T23:57:03.959Z</t>
  </si>
  <si>
    <t>065eb273-7734-4a06-86d8-4d6cabc81a33</t>
  </si>
  <si>
    <t>ASUVTC001186</t>
  </si>
  <si>
    <t>76e9f578-942f-4b52-a23c-b91d56921f81</t>
  </si>
  <si>
    <t>ASUVTC001252</t>
  </si>
  <si>
    <t>0c1d2ec3-1ecf-4f43-8083-a10ac9f8a2ba</t>
  </si>
  <si>
    <t>Trap Line 6-9</t>
  </si>
  <si>
    <t>DMR0097</t>
  </si>
  <si>
    <t>{ "measurements" : "TOT: 170, TV: 97, HFL: 21, EAR: 6, WGT: 14 g" , "preservationFluid" : "70 percent ethanol, formalin fixed" }</t>
  </si>
  <si>
    <t>Testes Position: Abd. | Testis size: 5 x 3 R | Epididymus: Not Con.</t>
  </si>
  <si>
    <t>ASUMAC008843</t>
  </si>
  <si>
    <t>9c70a44c-4a4d-4b79-9080-eae5fb586318</t>
  </si>
  <si>
    <t>ASUVTC001114</t>
  </si>
  <si>
    <t>b77971a1-1340-4529-a442-23b20d8a4cf9</t>
  </si>
  <si>
    <t>ASUVTC001115</t>
  </si>
  <si>
    <t>d816b671-ad99-400f-ba59-17de0fce49a4</t>
  </si>
  <si>
    <t>ASUVTC001201</t>
  </si>
  <si>
    <t>32e8ecce-c0e0-4b2d-860b-79fce5092b59</t>
  </si>
  <si>
    <t>ASUVTC001202</t>
  </si>
  <si>
    <t>dece1878-4087-4031-b1c0-3823df843f18</t>
  </si>
  <si>
    <t>ASUVTC001203</t>
  </si>
  <si>
    <t>2024-01-22T23:57:03.962Z</t>
  </si>
  <si>
    <t>9d4f9ba3-0151-4994-93c7-2170f77b2138</t>
  </si>
  <si>
    <t>ASUVTC001204</t>
  </si>
  <si>
    <t>c3dd3d18-0625-4496-abab-125a5376bb9a</t>
  </si>
  <si>
    <t>ASUVTC001205</t>
  </si>
  <si>
    <t>83cc9fa5-e2a6-4d11-a7ed-3a83289571e3</t>
  </si>
  <si>
    <t>ASUVTC001255</t>
  </si>
  <si>
    <t>2024-01-22T23:57:03.979Z</t>
  </si>
  <si>
    <t>cda25e3e-f57f-4290-b8ca-697a6feaab0c</t>
  </si>
  <si>
    <t>Trap Line 6-10</t>
  </si>
  <si>
    <t>DMR0098</t>
  </si>
  <si>
    <t>{ "measurements" : "TOT: 245, TV: 74, HFL: 36, EAR: 15, WGT: 115 g" , "preservationFluid" : "70 percent ethanol, formalin fixed" }</t>
  </si>
  <si>
    <t>ASUMAC008830</t>
  </si>
  <si>
    <t>2024-01-23T19:40:08.031Z</t>
  </si>
  <si>
    <t>addf4dfd-4c75-46a4-b319-d4f887c16a5b</t>
  </si>
  <si>
    <t>ASUVTC001116</t>
  </si>
  <si>
    <t>0e74cc3f-4fe1-47b9-90f5-2181497bc962</t>
  </si>
  <si>
    <t>ASUVTC001117</t>
  </si>
  <si>
    <t>aed87665-ab2c-4b7d-9068-11080cb4a968</t>
  </si>
  <si>
    <t>ASUVTC001118</t>
  </si>
  <si>
    <t>a4bd1eb4-016c-499b-8649-7086048d8eb9</t>
  </si>
  <si>
    <t>ASUVTC001119</t>
  </si>
  <si>
    <t>9f328d62-7a88-47db-aef4-af25d9027bfd</t>
  </si>
  <si>
    <t>ASUVTC001120</t>
  </si>
  <si>
    <t>906fdd37-181f-49b2-9afe-b81e90162b87</t>
  </si>
  <si>
    <t>ASUVTC001121</t>
  </si>
  <si>
    <t>3a1f57ec-0d83-4352-9028-01a0908b818c</t>
  </si>
  <si>
    <t>ASUVTC001247</t>
  </si>
  <si>
    <t>4e80d03e-3b81-4001-8092-7974210fedf2</t>
  </si>
  <si>
    <t>Trap Line 6-11</t>
  </si>
  <si>
    <t>DMR0099</t>
  </si>
  <si>
    <t>{ "measurements" : "TOT: 173, TV: 93, HFL: 21, EAR: 6, WGT: 15 g" , "preservationFluid" : "70 percent ethanol, formalin fixed" }</t>
  </si>
  <si>
    <t>Testes Position: Abd. | Testis size: 4 x 2 R | Epididymus: Not Con.</t>
  </si>
  <si>
    <t>ASUMAC008844</t>
  </si>
  <si>
    <t>2024-01-23T19:40:08.367Z</t>
  </si>
  <si>
    <t>db5221b3-9513-45c6-9c65-d4f8d2e5abaa</t>
  </si>
  <si>
    <t>ASUVTC001122</t>
  </si>
  <si>
    <t>66300da0-d54b-43ff-ac7b-30dd4adc95da</t>
  </si>
  <si>
    <t>ASUVTC001123</t>
  </si>
  <si>
    <t>d52cdbcc-be57-47b8-92f0-7fddc7b17e48</t>
  </si>
  <si>
    <t>ASUVTC001206</t>
  </si>
  <si>
    <t>0b89a244-f8fc-4b4d-aab6-328a8b0b79ca</t>
  </si>
  <si>
    <t>ASUVTC001207</t>
  </si>
  <si>
    <t>d55b0b61-e05f-459a-9f47-2306c70dc16f</t>
  </si>
  <si>
    <t>ASUVTC001208</t>
  </si>
  <si>
    <t>2024-01-22T23:57:03.961Z</t>
  </si>
  <si>
    <t>e7fa048e-8cfc-456d-8e5e-fa2a9002ef71</t>
  </si>
  <si>
    <t>ASUVTC001209</t>
  </si>
  <si>
    <t>2024-01-22T23:57:03.960Z</t>
  </si>
  <si>
    <t>f852c3f9-91ea-40d2-a0e6-972e5ab94af3</t>
  </si>
  <si>
    <t>ASUVTC001210</t>
  </si>
  <si>
    <t>cdac1b65-3c85-4350-bc88-92cf73ac84d2</t>
  </si>
  <si>
    <t>ASUVTC001256</t>
  </si>
  <si>
    <t>88dce618-850c-43c7-8387-e37e64af1986</t>
  </si>
  <si>
    <t>Trap Line 6-13</t>
  </si>
  <si>
    <t>DMR0100</t>
  </si>
  <si>
    <t>{ "measurements" : "TOT: 320, TV: 144, HFL: 32, EAR: 26, WGT: 170 g" , "preservationFluid" : "" }</t>
  </si>
  <si>
    <t>Testes Position: Abd. | Testis size: 18 x 6 R | Epididymus: Con.</t>
  </si>
  <si>
    <t>ASUMAC008834</t>
  </si>
  <si>
    <t>2024-01-23T19:40:07.903Z</t>
  </si>
  <si>
    <t>4413087d-da9a-4540-b94d-d5d536736569</t>
  </si>
  <si>
    <t>Testes Position: Abd. | Testis size: 18 x 6 R | Epididymis: Con.</t>
  </si>
  <si>
    <t>ASUVTC001124</t>
  </si>
  <si>
    <t>07976c4b-6a32-4cd3-a83a-8dfa69fb276d</t>
  </si>
  <si>
    <t>ASUVTC001125</t>
  </si>
  <si>
    <t>c7ea95ca-e166-49a8-b3ff-51f9874ba46c</t>
  </si>
  <si>
    <t>ASUVTC001169</t>
  </si>
  <si>
    <t>2024-01-22T23:57:03.770Z</t>
  </si>
  <si>
    <t>2051e3c1-9e94-425b-8b04-6d5a0b2879fa</t>
  </si>
  <si>
    <t>ASUVTC001170</t>
  </si>
  <si>
    <t>88c01a49-e97d-461e-ae4e-088334f593a3</t>
  </si>
  <si>
    <t>ASUVTC001171</t>
  </si>
  <si>
    <t>4a241631-7b46-431b-a8e2-d16fbd638057</t>
  </si>
  <si>
    <t>ASUVTC001172</t>
  </si>
  <si>
    <t>1f154210-1c4f-49ec-be0d-1c431f65e25f</t>
  </si>
  <si>
    <t>ASUVTC001173</t>
  </si>
  <si>
    <t>2e95f4b1-35d0-423f-8c93-4f68babaa064</t>
  </si>
  <si>
    <t>ASUVTC001174</t>
  </si>
  <si>
    <t>dbbbb83d-be02-4856-81ab-a863eea70684</t>
  </si>
  <si>
    <t>ASUVTC001250</t>
  </si>
  <si>
    <t>1ef3f591-0403-4251-90e2-b3db505ad9dd</t>
  </si>
  <si>
    <t>Trap Line 7-2</t>
  </si>
  <si>
    <t>DMR0101</t>
  </si>
  <si>
    <t>{ "measurements" : "TOT: 335, TV: 146, HFL: 34, EAR: 31, WGT: 165 g" , "preservationFluid" : "70 percent ethanol, formalin fixed" }</t>
  </si>
  <si>
    <t>Mammae #: Ax. 0 Ab. 0 Ing. 4 | Mammae Condition: Lg. | Vagina condition: Perf. | Reproductive Stage: Prim. | Embryos: L 2 R 0 CR 39 mm | Placental scars: L 0 R 0</t>
  </si>
  <si>
    <t>ASUMAC008845</t>
  </si>
  <si>
    <t>fbeb3efc-3cd9-4fc2-bdcf-3f1a2fa6b9ba</t>
  </si>
  <si>
    <t>ASUVTC001126</t>
  </si>
  <si>
    <t>c3a086b3-69a1-4950-9269-37be8704b284</t>
  </si>
  <si>
    <t>ASUVTC001211</t>
  </si>
  <si>
    <t>6b056db6-ad09-48aa-8f94-9c04610f7262</t>
  </si>
  <si>
    <t>ASUVTC001212</t>
  </si>
  <si>
    <t>876e6358-54d9-4270-9222-52e73b69c065</t>
  </si>
  <si>
    <t>ASUVTC001213</t>
  </si>
  <si>
    <t>0f32af96-e53f-4c42-9c91-1816076bbe1f</t>
  </si>
  <si>
    <t>ASUVTC001214</t>
  </si>
  <si>
    <t>91423abf-a6bd-4fff-b362-009058f26c34</t>
  </si>
  <si>
    <t>ASUVTC001215</t>
  </si>
  <si>
    <t>5c497c68-d99e-4e26-b608-9a79b22708b1</t>
  </si>
  <si>
    <t>ASUVTC001216</t>
  </si>
  <si>
    <t>58f2ec42-4f31-4784-9a58-71fedddb3ea9</t>
  </si>
  <si>
    <t>ASUVTC001257</t>
  </si>
  <si>
    <t>40754b6e-d49c-447e-80e6-8959cf51276a</t>
  </si>
  <si>
    <t>DMR0102</t>
  </si>
  <si>
    <t>{ "measurements" : "TOT: 206, TV: 105, HFL: 27, EAR: 11, WGT: 26 g" , "preservationFluid" : "70 percent ethanol, formalin fixed" }</t>
  </si>
  <si>
    <t>ASUMAC008852</t>
  </si>
  <si>
    <t>2024-01-23T19:40:07.897Z</t>
  </si>
  <si>
    <t>c44dbe16-a823-4197-a1f9-e429d747df5a</t>
  </si>
  <si>
    <t>ASUVTC001127</t>
  </si>
  <si>
    <t>8c638485-6257-418d-bb4f-d5b145582aea</t>
  </si>
  <si>
    <t>ASUVTC001241</t>
  </si>
  <si>
    <t>dd6c2cba-7ac6-4d8e-85a8-bda8e0862970</t>
  </si>
  <si>
    <t>ASUVTC001242</t>
  </si>
  <si>
    <t>12a58cae-89f2-40af-b000-45e439f56d18</t>
  </si>
  <si>
    <t>ASUVTC001243</t>
  </si>
  <si>
    <t>d850e398-0d7b-43ef-9a3e-a559f6175f7a</t>
  </si>
  <si>
    <t>ASUVTC001244</t>
  </si>
  <si>
    <t>2024-01-22T23:57:03.986Z</t>
  </si>
  <si>
    <t>3f4f7ccd-eef7-41bd-afdc-5e3e2b74311c</t>
  </si>
  <si>
    <t>ASUVTC001245</t>
  </si>
  <si>
    <t>2024-01-22T23:57:03.985Z</t>
  </si>
  <si>
    <t>a468fea3-c5c4-416b-81c0-c3fecd988a5d</t>
  </si>
  <si>
    <t>ASUVTC001262</t>
  </si>
  <si>
    <t>2024-01-22T23:57:03.978Z</t>
  </si>
  <si>
    <t>b5d1217f-676d-4378-b2de-3a217a42a4b0</t>
  </si>
  <si>
    <t>Trap Line 10-16</t>
  </si>
  <si>
    <t>DMR0103</t>
  </si>
  <si>
    <t>{ "measurements" : "TOT: 231, TV: 124, HFL: 27, EAR: 12, WGT: 31 g" , "preservationFluid" : "70 percent ethanol, formalin fixed" }</t>
  </si>
  <si>
    <t>Testes Position: Abd. | Testis size: 8 x 4 R | Epididymus: Con.</t>
  </si>
  <si>
    <t>ASUMAC008848</t>
  </si>
  <si>
    <t>2024-01-23T19:40:07.901Z</t>
  </si>
  <si>
    <t>cbbc8176-b53b-4cb8-a6ca-5ec7b80bf2f6</t>
  </si>
  <si>
    <t>Testes Position: Abd. | Testis size: 8 x 4 R | Epididymis: Con.</t>
  </si>
  <si>
    <t>ASUVTC001128</t>
  </si>
  <si>
    <t>abfd1942-1c34-4aeb-a596-0e9a633de353</t>
  </si>
  <si>
    <t>ASUVTC001129</t>
  </si>
  <si>
    <t>b7f5e8d5-cdca-4117-acac-78c8b7f1a4b4</t>
  </si>
  <si>
    <t>ASUVTC001227</t>
  </si>
  <si>
    <t>414ea1f9-4d34-407c-8ac7-a026541e4bbb</t>
  </si>
  <si>
    <t>ASUVTC001228</t>
  </si>
  <si>
    <t>2024-01-22T23:57:03.969Z</t>
  </si>
  <si>
    <t>942f2369-dab0-4b2b-a678-8292e3968217</t>
  </si>
  <si>
    <t>ASUVTC001229</t>
  </si>
  <si>
    <t>2024-01-22T23:57:03.967Z</t>
  </si>
  <si>
    <t>653af24a-8d0b-4698-8ead-d24ce2a51544</t>
  </si>
  <si>
    <t>ASUVTC001230</t>
  </si>
  <si>
    <t>7c0e796f-d9f0-42bd-8d45-a661f8ccc5a0</t>
  </si>
  <si>
    <t>ASUVTC001231</t>
  </si>
  <si>
    <t>3b1e8078-7a17-48e4-b477-69f48d57a2c9</t>
  </si>
  <si>
    <t>ASUVTC001260</t>
  </si>
  <si>
    <t>2024-01-22T23:57:03.976Z</t>
  </si>
  <si>
    <t>ce1af88b-3272-488e-851f-cc45c231a863</t>
  </si>
  <si>
    <t>Trap Line 10-19</t>
  </si>
  <si>
    <t>DMR0104</t>
  </si>
  <si>
    <t>{ "measurements" : "TOT: 200, TV: 98, HFL: 26, EAR: 9, WGT: 29 g" , "preservationFluid" : "70 percent ethanol, formalin fixed" }</t>
  </si>
  <si>
    <t>Mammae #: Ax. 0 Ab. 0 Ing. 2 | Mammae Condition: Lg. | Vagina condition: Perf. | Reproductive Stage: Nul. | Embryos: L 0 R 0 | Placental scars: L 0 R 0</t>
  </si>
  <si>
    <t>ASUMAC008841</t>
  </si>
  <si>
    <t>aa1c6eac-f02f-4b73-8f9d-6cc3cf98abbd</t>
  </si>
  <si>
    <t>ASUVTC001130</t>
  </si>
  <si>
    <t>e9be989e-ea94-4f9e-bcb4-9bf30d4191be</t>
  </si>
  <si>
    <t>ASUVTC001194</t>
  </si>
  <si>
    <t>c794e3df-72f5-4a1b-b6f0-16d8dc802234</t>
  </si>
  <si>
    <t>ASUVTC001195</t>
  </si>
  <si>
    <t>2024-01-22T23:57:03.949Z</t>
  </si>
  <si>
    <t>cd708c52-eec9-4dbd-b64e-893486eda103</t>
  </si>
  <si>
    <t>ASUVTC001196</t>
  </si>
  <si>
    <t>8a6dfe49-0649-4f74-8438-0a7d4053c4ba</t>
  </si>
  <si>
    <t>ASUVTC001197</t>
  </si>
  <si>
    <t>b0ba1721-153a-445a-9eee-f3d187ba08e7</t>
  </si>
  <si>
    <t>ASUVTC001198</t>
  </si>
  <si>
    <t>c06d7012-5c84-435a-be32-d735b34ac3a4</t>
  </si>
  <si>
    <t>ASUVTC001254</t>
  </si>
  <si>
    <t>2024-01-22T23:57:03.982Z</t>
  </si>
  <si>
    <t>9c849842-a9fe-4354-964c-85f28ab829db</t>
  </si>
  <si>
    <t>Trap Line 10-20</t>
  </si>
  <si>
    <t>DMR0105</t>
  </si>
  <si>
    <t>ASUVTC001131</t>
  </si>
  <si>
    <t>3181aea9-255a-4e47-b10f-f698ff1ab7df</t>
  </si>
  <si>
    <t>Line 2-10</t>
  </si>
  <si>
    <t>DMR0179</t>
  </si>
  <si>
    <t>{ "preservationMeans" : "frozen -80C" , "preservationFluid" : "no preservative fluid" }</t>
  </si>
  <si>
    <t>Mammae #: Ax. 0 Ab. 0 Ing. 0 | Mammae Condition: Sm. | Pubic Symphysis: Closed</t>
  </si>
  <si>
    <t>ASUVTC001919</t>
  </si>
  <si>
    <t>Bucci, Melanie; Rivera, Damien; Dean, Brianna</t>
  </si>
  <si>
    <t>Rowsey, Dakota M.; Upham, Nathan S.; Smith, Stephanie M.; Hess, Savage C.; Zamora Chavez, Luisa; Liao, Rosie; Baez, Justin; Rivera, Damien; Vargas, Karla; Bucci, Melanie; Dean, Brianna</t>
  </si>
  <si>
    <t>a97b6584-8415-46c8-8a67-f21064e6d64e</t>
  </si>
  <si>
    <t>ASUVTC001920</t>
  </si>
  <si>
    <t>ba7687cf-09f8-47a5-986e-750486bc93bf</t>
  </si>
  <si>
    <t>DMR0180</t>
  </si>
  <si>
    <t>ASUVTC001921</t>
  </si>
  <si>
    <t>39071272-83d1-4a7b-a9b3-e8925c11b346</t>
  </si>
  <si>
    <t>ASUVTC001922</t>
  </si>
  <si>
    <t>61d48bb2-b182-4770-a649-f782b3132335</t>
  </si>
  <si>
    <t>DMR0181</t>
  </si>
  <si>
    <t>ASUVTC001923</t>
  </si>
  <si>
    <t>f661299e-622d-4328-a9cd-d7365240aafe</t>
  </si>
  <si>
    <t>ASUVTC001924</t>
  </si>
  <si>
    <t>2024-01-22T23:57:03.841Z</t>
  </si>
  <si>
    <t>7d9e5587-7fdb-40e4-ba91-611dffe9a856</t>
  </si>
  <si>
    <t>Line 5-3</t>
  </si>
  <si>
    <t>DMR0182</t>
  </si>
  <si>
    <t>ASUVTC001925</t>
  </si>
  <si>
    <t>85e31ad7-5fa3-4006-aeb5-cf7ffd661f15</t>
  </si>
  <si>
    <t>ASUVTC001926</t>
  </si>
  <si>
    <t>2024-01-22T23:57:03.840Z</t>
  </si>
  <si>
    <t>55e56fe1-b785-4acd-b150-d4373cd69d64</t>
  </si>
  <si>
    <t>DMR0183</t>
  </si>
  <si>
    <t>ASUVTC001927</t>
  </si>
  <si>
    <t>869873b2-0ec4-4f9f-a81d-4c2897c9456c</t>
  </si>
  <si>
    <t>ASUVTC001928</t>
  </si>
  <si>
    <t>2ae329f6-a03e-4b89-98e2-6fa4ed54b9fe</t>
  </si>
  <si>
    <t>Line 4-15</t>
  </si>
  <si>
    <t>DMR0184</t>
  </si>
  <si>
    <t>Mammae #: Ax. 0 Ab. 0 Ing. 4 | Mammae Condition: Lg.</t>
  </si>
  <si>
    <t>ASUVTC001929</t>
  </si>
  <si>
    <t>7c7724ad-5b00-4e87-928c-d2cae02ffc9d</t>
  </si>
  <si>
    <t>ASUVTC001930</t>
  </si>
  <si>
    <t>22f31486-6f1a-4d24-8117-aa3320619c0a</t>
  </si>
  <si>
    <t>DMR0185</t>
  </si>
  <si>
    <t>ASUVTC001931</t>
  </si>
  <si>
    <t>2024-01-22T23:57:03.845Z</t>
  </si>
  <si>
    <t>5f17dd78-1021-43da-9eef-01d8fd1d44bd</t>
  </si>
  <si>
    <t>ASUVTC001932</t>
  </si>
  <si>
    <t>7e8847f3-9e54-463a-a5ea-525dc82ad9b2</t>
  </si>
  <si>
    <t>DMR0186</t>
  </si>
  <si>
    <t>ASUVTC001933</t>
  </si>
  <si>
    <t>acef4a99-2e1e-4f76-9600-663826c9d9a9</t>
  </si>
  <si>
    <t>DMR0187</t>
  </si>
  <si>
    <t>ASUVTC001934</t>
  </si>
  <si>
    <t>20de787b-cf3f-47ef-af46-161d6a6ba244</t>
  </si>
  <si>
    <t>ASUVTC001935</t>
  </si>
  <si>
    <t>3554a158-75f7-48f0-935f-0216b10ba03d</t>
  </si>
  <si>
    <t>DMR0188</t>
  </si>
  <si>
    <t>ASUVTC001936</t>
  </si>
  <si>
    <t>d2890d6e-dcd0-4b3f-91fe-7a05f742913c</t>
  </si>
  <si>
    <t>ASUVTC001937</t>
  </si>
  <si>
    <t>c50700df-5c2b-479d-afaf-551742a21794</t>
  </si>
  <si>
    <t>ASUVTC001938</t>
  </si>
  <si>
    <t>79a86793-b19d-4c1f-b805-ae1c197f5345</t>
  </si>
  <si>
    <t>Line 5-6</t>
  </si>
  <si>
    <t>DMR0189</t>
  </si>
  <si>
    <t>Non-reproductive</t>
  </si>
  <si>
    <t>ASUVTC001939</t>
  </si>
  <si>
    <t>2024-01-22T23:57:03.828Z</t>
  </si>
  <si>
    <t>7c9878ba-a847-4282-90c4-43bf1d2a0300</t>
  </si>
  <si>
    <t>ASUVTC001940</t>
  </si>
  <si>
    <t>0c7280f2-96ce-4e4d-84e8-6d58df786eaa</t>
  </si>
  <si>
    <t>ASUVTC001941</t>
  </si>
  <si>
    <t>2090157e-6c1c-4c5b-a141-025b3a0d0194</t>
  </si>
  <si>
    <t>Line 5-11</t>
  </si>
  <si>
    <t>DMR0190</t>
  </si>
  <si>
    <t>ASUVTC001942</t>
  </si>
  <si>
    <t>ce5ffc5e-a135-41f4-bef5-8f65d5a9ec14</t>
  </si>
  <si>
    <t>ASUVTC001943</t>
  </si>
  <si>
    <t>8df57c7b-fea7-4cad-a6c6-5a8a7fe266da</t>
  </si>
  <si>
    <t>ASUVTC001944</t>
  </si>
  <si>
    <t>36a50939-1b29-43e2-b161-11da188cb36a</t>
  </si>
  <si>
    <t>DMR0191</t>
  </si>
  <si>
    <t>ASUVTC001945</t>
  </si>
  <si>
    <t>3cf8c8e6-684f-43cc-bf69-bc172f040096</t>
  </si>
  <si>
    <t>ASUVTC001946</t>
  </si>
  <si>
    <t>97a0ab47-21c0-401c-816a-4857e69bdd46</t>
  </si>
  <si>
    <t>ASUVTC001947</t>
  </si>
  <si>
    <t>ba3a9f2b-018d-4b5c-8a0a-2ecd3e341f20</t>
  </si>
  <si>
    <t>Line 5-1</t>
  </si>
  <si>
    <t>DMR0192</t>
  </si>
  <si>
    <t>Testes Position: Semi-scrot.</t>
  </si>
  <si>
    <t>ASUVTC001948</t>
  </si>
  <si>
    <t>eda90675-14c7-4780-9f58-1af2ea3eb8f7</t>
  </si>
  <si>
    <t>ASUVTC001949</t>
  </si>
  <si>
    <t>5b96db76-fcc6-4c16-8d91-1e30fcbc9e2e</t>
  </si>
  <si>
    <t>DMR0193</t>
  </si>
  <si>
    <t>ASUVTC001950</t>
  </si>
  <si>
    <t>40d8b1f8-6d4b-470a-9281-c52454c1b57f</t>
  </si>
  <si>
    <t>ASUVTC001951</t>
  </si>
  <si>
    <t>36a88fcc-078d-40b5-9de1-1d0912d5d7a2</t>
  </si>
  <si>
    <t>ASUVTC001952</t>
  </si>
  <si>
    <t>6acf6a9b-4539-402d-9b31-cfafa3bb15ae</t>
  </si>
  <si>
    <t>DMR0194</t>
  </si>
  <si>
    <t>ASUVTC001953</t>
  </si>
  <si>
    <t>6a1d46ba-4762-4bdc-85d1-d0cb27189f9f</t>
  </si>
  <si>
    <t>Line 3-9</t>
  </si>
  <si>
    <t>DMR0195</t>
  </si>
  <si>
    <t>Mammae #: Ax. 0 Ab. 0 Ing. 4 | Mammae Condition: Lg. | Pubic Symphysis: Closed</t>
  </si>
  <si>
    <t>ASUVTC001954</t>
  </si>
  <si>
    <t>3076975b-6b7f-438a-b1e4-7a08f5ad5725</t>
  </si>
  <si>
    <t>ASUVTC001955</t>
  </si>
  <si>
    <t>c4b6e179-3640-4f6a-8aba-af52f67c262d</t>
  </si>
  <si>
    <t>DMR0196</t>
  </si>
  <si>
    <t>Pregnant</t>
  </si>
  <si>
    <t>ASUVTC001956</t>
  </si>
  <si>
    <t>803cb836-6e4d-4158-999d-ffa38e8987b4</t>
  </si>
  <si>
    <t>DMR0197</t>
  </si>
  <si>
    <t>ASUVTC001957</t>
  </si>
  <si>
    <t>1f5484ae-a0bd-4fed-9945-d9c8450eadcd</t>
  </si>
  <si>
    <t>ASUVTC001958</t>
  </si>
  <si>
    <t>749d71a9-b9e7-48e7-8763-958117889222</t>
  </si>
  <si>
    <t>ASUVTC001959</t>
  </si>
  <si>
    <t>12831614-9cae-4f34-a2f0-18ce1c2f11fa</t>
  </si>
  <si>
    <t>DMR0198</t>
  </si>
  <si>
    <t>ASUVTC001960</t>
  </si>
  <si>
    <t>115cf444-85be-432b-b60c-83721939da2b</t>
  </si>
  <si>
    <t>ASUVTC001961</t>
  </si>
  <si>
    <t>81e3ffe3-c8e6-456d-9671-e3f390ce6f8a</t>
  </si>
  <si>
    <t>Line 5-14</t>
  </si>
  <si>
    <t>DMR0199</t>
  </si>
  <si>
    <t>ASUVTC001962</t>
  </si>
  <si>
    <t>44471fdb-6d67-4c1f-99bf-656447e807a9</t>
  </si>
  <si>
    <t>ASUVTC001963</t>
  </si>
  <si>
    <t>ff721afb-9ad4-411f-bdf7-dbfb70728a73</t>
  </si>
  <si>
    <t>ASUVTC001964</t>
  </si>
  <si>
    <t>c9a3e252-f249-437f-8d10-52afa5c7cb6d</t>
  </si>
  <si>
    <t>DMR0200</t>
  </si>
  <si>
    <t>ASUVTC001965</t>
  </si>
  <si>
    <t>6952bee5-2be6-40f9-a56c-9cdd2d140305</t>
  </si>
  <si>
    <t>ASUVTC001966</t>
  </si>
  <si>
    <t>7a1e0f70-05e1-4c49-a47f-6415c2ddeedf</t>
  </si>
  <si>
    <t>DMR0201</t>
  </si>
  <si>
    <t>ASUVTC001967</t>
  </si>
  <si>
    <t>4aedcba3-bb45-4c45-a5b0-68019e3d3f33</t>
  </si>
  <si>
    <t>ASUVTC001968</t>
  </si>
  <si>
    <t>2024-01-22T23:57:03.900Z</t>
  </si>
  <si>
    <t>5713e05d-be2a-4a31-937f-88f7997f6f4f</t>
  </si>
  <si>
    <t>Line 5-7</t>
  </si>
  <si>
    <t>DMR0202</t>
  </si>
  <si>
    <t>ASUVTC001969</t>
  </si>
  <si>
    <t>3337de99-f03e-4a24-88e6-d1edf3e813a8</t>
  </si>
  <si>
    <t>ASUVTC001970</t>
  </si>
  <si>
    <t>1a9a4cb2-4ff8-4d8f-9125-1a145dcce118</t>
  </si>
  <si>
    <t>DMR0203</t>
  </si>
  <si>
    <t>ASUVTC001971</t>
  </si>
  <si>
    <t>84b494b5-326b-48c0-b722-b84c3ae2ae92</t>
  </si>
  <si>
    <t>ASUVTC001972</t>
  </si>
  <si>
    <t>729a3d42-0fcb-441d-a593-6c2225adf238</t>
  </si>
  <si>
    <t>Line 2-18</t>
  </si>
  <si>
    <t>DMR0204</t>
  </si>
  <si>
    <t>ASUVTC001973</t>
  </si>
  <si>
    <t>e1138feb-d9c3-4b21-99fb-f3d6b0bf5f9f</t>
  </si>
  <si>
    <t>ASUVTC001974</t>
  </si>
  <si>
    <t>0a33be3f-765f-42f3-b6c5-2aa3c400e606</t>
  </si>
  <si>
    <t>ASUVTC001975</t>
  </si>
  <si>
    <t>83ccf87f-1a77-427e-9d30-6d8ed1c8bed1</t>
  </si>
  <si>
    <t>Line 2-17</t>
  </si>
  <si>
    <t>DMR0205</t>
  </si>
  <si>
    <t>ASUVTC001976</t>
  </si>
  <si>
    <t>9b21bfc8-9cd5-4d7e-b681-9dd64369a79f</t>
  </si>
  <si>
    <t>ASUVTC001977</t>
  </si>
  <si>
    <t>59aad99f-b5c6-4003-98c0-361c94915cb8</t>
  </si>
  <si>
    <t>ASUVTC001978</t>
  </si>
  <si>
    <t>6a7eeb1b-950d-4043-a39d-1acdc224e07d</t>
  </si>
  <si>
    <t>Line 5-12</t>
  </si>
  <si>
    <t>DMR0206</t>
  </si>
  <si>
    <t>ASUVTC001979</t>
  </si>
  <si>
    <t>ca0b0a57-e844-47e0-bbe1-2702b9e795b2</t>
  </si>
  <si>
    <t>ASUVTC001980</t>
  </si>
  <si>
    <t>687fe129-73c7-4c45-9a08-4ca55e013380</t>
  </si>
  <si>
    <t>DMR0207</t>
  </si>
  <si>
    <t>ASUVTC001981</t>
  </si>
  <si>
    <t>7ea153fe-71ec-4772-a4c9-fda6502d331a</t>
  </si>
  <si>
    <t>ASUVTC001982</t>
  </si>
  <si>
    <t>2024-01-22T23:57:03.886Z</t>
  </si>
  <si>
    <t>013ca258-3736-4982-89c0-65cc04344aff</t>
  </si>
  <si>
    <t>ASUVTC001983</t>
  </si>
  <si>
    <t>2024-01-22T23:57:03.890Z</t>
  </si>
  <si>
    <t>9b880ee2-2ee8-4c53-a2ed-0f6495a94aa2</t>
  </si>
  <si>
    <t>NSU0086</t>
  </si>
  <si>
    <t>{ "measurements" : "TOT: 177, TV: 94, HFL: 22, EAR: 7, WGT: 18" , "preservationFluid" : "70 percent ethanol" }</t>
  </si>
  <si>
    <t>originatingSampleOf (tissue): https://csvcoll.org/portal/collections/individual/index.php?guid=e11d6c28-3b28-41a1-a2c0-d8bd3e5c6dd5 | originatingSampleOf (tissue): https://csvcoll.org/portal/collections/individual/index.php?guid=d1cb3b35-240a-40be-9093-be7e0eda64bc | originatingSampleOf (tissue): https://csvcoll.org/portal/collections/individual/index.php?guid=206b1595-3c2b-48a9-a537-80cc4590326d | originatingSampleOf (tissue): https://csvcoll.org/portal/collections/individual/index.php?guid=73ba1ec2-3d94-47a0-9861-8f696dc3e77f | originatingSampleOf (tissue): https://csvcoll.org/portal/collections/individual/index.php?guid=c397a030-4199-4239-b0a8-dbe846786a17 | originatingSampleOf (tissue): https://csvcoll.org/portal/collections/individual/index.php?guid=e7ddfea3-1921-45ac-871a-d3efee0181a0 | originatingSampleOf (tissue): https://csvcoll.org/portal/collections/individual/index.php?guid=744929da-37c8-42be-ba08-a9ae7a238d1f | hostOf (tissue): https://csvcoll.org/portal/collections/individual/index.php?guid=f1d29dab-a661-44f0-a30a-0d1ccaec069c | originatingSampleOf (fecal): https://csvcoll.org/portal/collections/individual/index.php?guid=7aec2b44-df69-4bb8-a8cc-508a23b43702 | originatingSampleOf (blood): https://csvcoll.org/portal/collections/individual/index.php?guid=8c059808-6147-4681-8ff7-0bd64f2ad660 | originatingSampleOf (tissue): https://csvcoll.org/portal/collections/individual/index.php?guid=451f1034-4b1e-43dd-be12-80be6fa50de1</t>
  </si>
  <si>
    <t>ASUMAC008973</t>
  </si>
  <si>
    <t>Upham, Nathan S.; Rowsey, Dakota M.; Hess, Savage C.; Zamora Chavez, Luisa; Liao, Rosie; Baez, Justin; Rivera, Damien; Vargas, Karla; Bucci, Melanie; Dean, Brianna</t>
  </si>
  <si>
    <t>2024-01-23T19:40:09.394Z</t>
  </si>
  <si>
    <t>e11d6c28-3b28-41a1-a2c0-d8bd3e5c6dd5</t>
  </si>
  <si>
    <t>subsampleOf (tissue): https://csvcoll.org/portal/collections/individual/index.php?guid=9b880ee2-2ee8-4c53-a2ed-0f6495a94aa2</t>
  </si>
  <si>
    <t>ASUVTC001753</t>
  </si>
  <si>
    <t>Upham, Nathan S.; Rowsey, Dakota M.; Smith, Stephanie M.; Hess, Savage C.; Zamora Chavez, Luisa; Liao, Rosie; Baez, Justin; Rivera, Damien; Vargas, Karla; Bucci, Melanie; Dean, Brianna</t>
  </si>
  <si>
    <t>d1cb3b35-240a-40be-9093-be7e0eda64bc</t>
  </si>
  <si>
    <t>{ "preservationMeans" : "frozen -80C" , "preservationFluid" : "in RNA stabilizing solution" }</t>
  </si>
  <si>
    <t>ASUVTC001754</t>
  </si>
  <si>
    <t>206b1595-3c2b-48a9-a537-80cc4590326d</t>
  </si>
  <si>
    <t>ASUVTC001755</t>
  </si>
  <si>
    <t>73ba1ec2-3d94-47a0-9861-8f696dc3e77f</t>
  </si>
  <si>
    <t>ASUVTC001756</t>
  </si>
  <si>
    <t>c397a030-4199-4239-b0a8-dbe846786a17</t>
  </si>
  <si>
    <t>ASUVTC001757</t>
  </si>
  <si>
    <t>2024-01-22T23:57:04.041Z</t>
  </si>
  <si>
    <t>e7ddfea3-1921-45ac-871a-d3efee0181a0</t>
  </si>
  <si>
    <t>{ "preservationMeans" : "Centrifuge tube, room temperature" , "preservationFluid" : "95 percent ethanol, not formalin fixed" }</t>
  </si>
  <si>
    <t>ASUVTC001758</t>
  </si>
  <si>
    <t>744929da-37c8-42be-ba08-a9ae7a238d1f</t>
  </si>
  <si>
    <t>subsampleOf (fecal): https://csvcoll.org/portal/collections/individual/index.php?guid=9b880ee2-2ee8-4c53-a2ed-0f6495a94aa2</t>
  </si>
  <si>
    <t>ASUVTC001759</t>
  </si>
  <si>
    <t>f1d29dab-a661-44f0-a30a-0d1ccaec069c</t>
  </si>
  <si>
    <t>{ "preservationMeans" : "Nobuto strip, room temperature" , "preservationFluid" : "no preservative solution" }</t>
  </si>
  <si>
    <t>subsampleOf (blood): https://csvcoll.org/portal/collections/individual/index.php?guid=9b880ee2-2ee8-4c53-a2ed-0f6495a94aa2</t>
  </si>
  <si>
    <t>ASUVTC001760</t>
  </si>
  <si>
    <t>7aec2b44-df69-4bb8-a8cc-508a23b43702</t>
  </si>
  <si>
    <t>{ "preservationMeans" : "frozen -80C" , "preservationFluid" : "95% ethanol" }</t>
  </si>
  <si>
    <t>hasHost (tissue): https://csvcoll.org/portal/collections/individual/index.php?guid=9b880ee2-2ee8-4c53-a2ed-0f6495a94aa2</t>
  </si>
  <si>
    <t>ASUVTC001761</t>
  </si>
  <si>
    <t>451f1034-4b1e-43dd-be12-80be6fa50de1</t>
  </si>
  <si>
    <t>ASUVTC001830</t>
  </si>
  <si>
    <t>8c059808-6147-4681-8ff7-0bd64f2ad660</t>
  </si>
  <si>
    <t>ASUVTC002024</t>
  </si>
  <si>
    <t>914082fe-486a-401b-9b36-53bc9b77cce3</t>
  </si>
  <si>
    <t>NSU0087</t>
  </si>
  <si>
    <t>{ "measurements" : "TOT: 208, TV: 116, HFL: 28, EAR: 10, WGT: 30" , "preservationFluid" : "70 percent ethanol" }</t>
  </si>
  <si>
    <t>Mammae #: Ax. 2 Ab. 0 Ing. 2 | Mammae Condition: Lg. | Vagina condition: Imp. | Reproductive Stage: Nul. | Embryos: L 0 R 0 | Placental scars: L 0 R 0</t>
  </si>
  <si>
    <t>originatingSampleOf (tissue): https://csvcoll.org/portal/collections/individual/index.php?guid=8541b878-d654-42a4-9bef-0923e3d6ca9e | originatingSampleOf (tissue): https://csvcoll.org/portal/collections/individual/index.php?guid=27831841-6b8f-491e-bc94-852f537babc7 | originatingSampleOf (tissue): https://csvcoll.org/portal/collections/individual/index.php?guid=f9bd0648-b219-438b-8143-8c38ac4b325f | originatingSampleOf (tissue): https://csvcoll.org/portal/collections/individual/index.php?guid=658a46c6-cd0f-4d93-a6a5-4e8bdf28ea01 | originatingSampleOf (tissue): https://csvcoll.org/portal/collections/individual/index.php?guid=8c5246da-5349-4b90-8b11-e269c1a1fcdf | originatingSampleOf (tissue): https://csvcoll.org/portal/collections/individual/index.php?guid=3cf86617-79ca-49ed-9c3d-4e83657908df | originatingSampleOf (tissue): https://csvcoll.org/portal/collections/individual/index.php?guid=a076c18c-63fd-4de9-9817-18fdfc0678a0 | originatingSampleOf (fecal): https://csvcoll.org/portal/collections/individual/index.php?guid=0571c567-a8cc-4cef-932e-4e8a4cbab71e | originatingSampleOf (blood): https://csvcoll.org/portal/collections/individual/index.php?guid=07ee69e7-d0cc-4d26-ba0e-89e27e6957b8</t>
  </si>
  <si>
    <t>ASUMAC008966</t>
  </si>
  <si>
    <t>2024-01-23T19:40:09.397Z</t>
  </si>
  <si>
    <t>COORDINATE_ROUNDED;CONTINENT_DERIVED_FROM_COORDINATES;TAXON_MATCH_TAXON_ID_IGNORED;IDENTIFIED_DATE_INVALID;OCCURRENCE_STATUS_INFERRED_FROM_INDIVIDUAL_COUNT;INSTITUTION_MATCH_FUZZY;COLLECTION_MATCH_FUZZY</t>
  </si>
  <si>
    <t>8541b878-d654-42a4-9bef-0923e3d6ca9e</t>
  </si>
  <si>
    <t>subsampleOf (tissue): https://csvcoll.org/portal/collections/individual/index.php?guid=914082fe-486a-401b-9b36-53bc9b77cce3</t>
  </si>
  <si>
    <t>ASUVTC001762</t>
  </si>
  <si>
    <t>2024-01-22T23:57:04.030Z</t>
  </si>
  <si>
    <t>27831841-6b8f-491e-bc94-852f537babc7</t>
  </si>
  <si>
    <t>ASUVTC001763</t>
  </si>
  <si>
    <t>f9bd0648-b219-438b-8143-8c38ac4b325f</t>
  </si>
  <si>
    <t>ASUVTC001764</t>
  </si>
  <si>
    <t>658a46c6-cd0f-4d93-a6a5-4e8bdf28ea01</t>
  </si>
  <si>
    <t>subsampleOf (fecal): https://csvcoll.org/portal/collections/individual/index.php?guid=914082fe-486a-401b-9b36-53bc9b77cce3</t>
  </si>
  <si>
    <t>ASUVTC001765</t>
  </si>
  <si>
    <t>8c5246da-5349-4b90-8b11-e269c1a1fcdf</t>
  </si>
  <si>
    <t>subsampleOf (blood): https://csvcoll.org/portal/collections/individual/index.php?guid=914082fe-486a-401b-9b36-53bc9b77cce3</t>
  </si>
  <si>
    <t>ASUVTC001766</t>
  </si>
  <si>
    <t>3cf86617-79ca-49ed-9c3d-4e83657908df</t>
  </si>
  <si>
    <t>ASUVTC001767</t>
  </si>
  <si>
    <t>a076c18c-63fd-4de9-9817-18fdfc0678a0</t>
  </si>
  <si>
    <t>ASUVTC001768</t>
  </si>
  <si>
    <t>0571c567-a8cc-4cef-932e-4e8a4cbab71e</t>
  </si>
  <si>
    <t>ASUVTC001769</t>
  </si>
  <si>
    <t>07ee69e7-d0cc-4d26-ba0e-89e27e6957b8</t>
  </si>
  <si>
    <t>ASUVTC002025</t>
  </si>
  <si>
    <t>8419083f-fe07-4ed9-81ba-368f9afca7ab</t>
  </si>
  <si>
    <t>NSU0088</t>
  </si>
  <si>
    <t>{ "measurements" : "TOT: 212, TV: 115, HFL: 29, EAR: 10, WGT: 32" , "preservationFluid" : "70 percent ethanol" }</t>
  </si>
  <si>
    <t>originatingSampleOf (tissue): https://csvcoll.org/portal/collections/individual/index.php?guid=99182824-1a1f-4ef6-a055-781c9b9353b8 | originatingSampleOf (tissue): https://csvcoll.org/portal/collections/individual/index.php?guid=dc5a4466-0cc4-493f-861e-d3966fb3daf5 | originatingSampleOf (tissue): https://csvcoll.org/portal/collections/individual/index.php?guid=2d7cced6-fb49-48aa-8e8d-46531ab9641d | originatingSampleOf (tissue): https://csvcoll.org/portal/collections/individual/index.php?guid=178de7c1-c34a-4481-83bf-d0df2a44ad51 | originatingSampleOf (tissue): https://csvcoll.org/portal/collections/individual/index.php?guid=babd6de0-aff6-41b2-b4f5-3baa639f065d | originatingSampleOf (tissue): https://csvcoll.org/portal/collections/individual/index.php?guid=e6533d22-2fb6-4ff7-a0b7-3b696a46d6b1 | originatingSampleOf (tissue): https://csvcoll.org/portal/collections/individual/index.php?guid=0d10c6f3-f275-46a4-b0c7-5e4a58b75716 | originatingSampleOf (fecal): https://csvcoll.org/portal/collections/individual/index.php?guid=9fb2d8e7-f978-4f9f-b3ed-64377e87ea64 | originatingSampleOf (blood): https://csvcoll.org/portal/collections/individual/index.php?guid=ea160ce2-426b-4bb4-9c4b-4f131325aeb2</t>
  </si>
  <si>
    <t>ASUMAC008974</t>
  </si>
  <si>
    <t>2024-01-23T19:40:09.403Z</t>
  </si>
  <si>
    <t>99182824-1a1f-4ef6-a055-781c9b9353b8</t>
  </si>
  <si>
    <t>subsampleOf (tissue): https://csvcoll.org/portal/collections/individual/index.php?guid=8419083f-fe07-4ed9-81ba-368f9afca7ab</t>
  </si>
  <si>
    <t>ASUVTC001770</t>
  </si>
  <si>
    <t>dc5a4466-0cc4-493f-861e-d3966fb3daf5</t>
  </si>
  <si>
    <t>ASUVTC001771</t>
  </si>
  <si>
    <t>2d7cced6-fb49-48aa-8e8d-46531ab9641d</t>
  </si>
  <si>
    <t>ASUVTC001772</t>
  </si>
  <si>
    <t>178de7c1-c34a-4481-83bf-d0df2a44ad51</t>
  </si>
  <si>
    <t>ASUVTC001773</t>
  </si>
  <si>
    <t>babd6de0-aff6-41b2-b4f5-3baa639f065d</t>
  </si>
  <si>
    <t>ASUVTC001774</t>
  </si>
  <si>
    <t>e6533d22-2fb6-4ff7-a0b7-3b696a46d6b1</t>
  </si>
  <si>
    <t>ASUVTC001775</t>
  </si>
  <si>
    <t>0d10c6f3-f275-46a4-b0c7-5e4a58b75716</t>
  </si>
  <si>
    <t>ASUVTC001776</t>
  </si>
  <si>
    <t>9fb2d8e7-f978-4f9f-b3ed-64377e87ea64</t>
  </si>
  <si>
    <t>subsampleOf (fecal): https://csvcoll.org/portal/collections/individual/index.php?guid=8419083f-fe07-4ed9-81ba-368f9afca7ab</t>
  </si>
  <si>
    <t>ASUVTC001777</t>
  </si>
  <si>
    <t>ea160ce2-426b-4bb4-9c4b-4f131325aeb2</t>
  </si>
  <si>
    <t>subsampleOf (blood): https://csvcoll.org/portal/collections/individual/index.php?guid=8419083f-fe07-4ed9-81ba-368f9afca7ab</t>
  </si>
  <si>
    <t>ASUVTC002026</t>
  </si>
  <si>
    <t>2024-01-22T23:57:03.597Z</t>
  </si>
  <si>
    <t>73d89c0a-f94d-4075-baaf-95b645e39657</t>
  </si>
  <si>
    <t>NSU0089</t>
  </si>
  <si>
    <t>{ "measurements" : "TOT: 188, TV: 99, HFL: 21, EAR: 19, WGT: 20" , "preservationFluid" : "70 percent ethanol" }</t>
  </si>
  <si>
    <t>Testes Position: Abd. | Testis size: 4 x 2 L | Epididymis: Not Con.</t>
  </si>
  <si>
    <t>originatingSampleOf (tissue): https://csvcoll.org/portal/collections/individual/index.php?guid=57fba2e5-6d5d-4360-bcf9-f0ee85bb753e | originatingSampleOf (tissue): https://csvcoll.org/portal/collections/individual/index.php?guid=cbd2465f-b639-497d-aa50-9973c4b15a34 | originatingSampleOf (tissue): https://csvcoll.org/portal/collections/individual/index.php?guid=c3aac255-9de4-41be-aa75-e264ff2cd496 | originatingSampleOf (tissue): https://csvcoll.org/portal/collections/individual/index.php?guid=281bb8f9-d6d1-45c7-94bf-41a1260b37e9 | originatingSampleOf (tissue): https://csvcoll.org/portal/collections/individual/index.php?guid=ea8ba1a9-f11d-48d2-a758-8025e7b62ec9 | originatingSampleOf (tissue): https://csvcoll.org/portal/collections/individual/index.php?guid=ce682ea9-365c-4a1f-90d5-e93b751c6798 | originatingSampleOf (tissue): https://csvcoll.org/portal/collections/individual/index.php?guid=3cccac77-18d4-465a-970e-8456b06c2173 | hostOf (tissue): https://csvcoll.org/portal/collections/individual/index.php?guid=f8b47e4a-cee0-4b56-8d91-d788af8e2e8d | originatingSampleOf (fecal): https://csvcoll.org/portal/collections/individual/index.php?guid=7c2a420e-57a5-473c-9a63-c7f6918014c1 | originatingSampleOf (blood): https://csvcoll.org/portal/collections/individual/index.php?guid=4b05f4ab-92ac-4ca1-af75-bfcb83191256 | originatingSampleOf (tissue): https://csvcoll.org/portal/collections/individual/index.php?guid=9bfc56f8-c605-43c1-b22f-b13c2e463db4</t>
  </si>
  <si>
    <t>ASUMAC008967</t>
  </si>
  <si>
    <t>2024-01-23T19:40:09.400Z</t>
  </si>
  <si>
    <t>57fba2e5-6d5d-4360-bcf9-f0ee85bb753e</t>
  </si>
  <si>
    <t>subsampleOf (blood): https://csvcoll.org/portal/collections/individual/index.php?guid=73d89c0a-f94d-4075-baaf-95b645e39657</t>
  </si>
  <si>
    <t>ASUVTC001778</t>
  </si>
  <si>
    <t>cbd2465f-b639-497d-aa50-9973c4b15a34</t>
  </si>
  <si>
    <t>subsampleOf (tissue): https://csvcoll.org/portal/collections/individual/index.php?guid=73d89c0a-f94d-4075-baaf-95b645e39657</t>
  </si>
  <si>
    <t>ASUVTC001779</t>
  </si>
  <si>
    <t>c3aac255-9de4-41be-aa75-e264ff2cd496</t>
  </si>
  <si>
    <t>ASUVTC001780</t>
  </si>
  <si>
    <t>281bb8f9-d6d1-45c7-94bf-41a1260b37e9</t>
  </si>
  <si>
    <t>ASUVTC001781</t>
  </si>
  <si>
    <t>ea8ba1a9-f11d-48d2-a758-8025e7b62ec9</t>
  </si>
  <si>
    <t>ASUVTC001782</t>
  </si>
  <si>
    <t>ce682ea9-365c-4a1f-90d5-e93b751c6798</t>
  </si>
  <si>
    <t>hasHost (tissue): https://csvcoll.org/portal/collections/individual/index.php?guid=73d89c0a-f94d-4075-baaf-95b645e39657</t>
  </si>
  <si>
    <t>ASUVTC001783</t>
  </si>
  <si>
    <t>3cccac77-18d4-465a-970e-8456b06c2173</t>
  </si>
  <si>
    <t>subsampleOf (fecal): https://csvcoll.org/portal/collections/individual/index.php?guid=73d89c0a-f94d-4075-baaf-95b645e39657</t>
  </si>
  <si>
    <t>ASUVTC001784</t>
  </si>
  <si>
    <t>f8b47e4a-cee0-4b56-8d91-d788af8e2e8d</t>
  </si>
  <si>
    <t>ASUVTC001785</t>
  </si>
  <si>
    <t>7c2a420e-57a5-473c-9a63-c7f6918014c1</t>
  </si>
  <si>
    <t>ASUVTC001786</t>
  </si>
  <si>
    <t>9bfc56f8-c605-43c1-b22f-b13c2e463db4</t>
  </si>
  <si>
    <t>ASUVTC001831</t>
  </si>
  <si>
    <t>2024-01-22T23:57:03.608Z</t>
  </si>
  <si>
    <t>4b05f4ab-92ac-4ca1-af75-bfcb83191256</t>
  </si>
  <si>
    <t>ASUVTC002027</t>
  </si>
  <si>
    <t>06e045ad-ec21-45bd-8919-dfacedfde3bc</t>
  </si>
  <si>
    <t>NSU0090</t>
  </si>
  <si>
    <t>{ "measurements" : "TOT: 190, TV: 99, HFL: 21, EAR: 20, WGT: 18" , "preservationFluid" : "70 percent ethanol" }</t>
  </si>
  <si>
    <t>Testes Position: Scrot | Testis size: 6 x 4 R | Epididymis: Not Con.</t>
  </si>
  <si>
    <t>originatingSampleOf (tissue): https://csvcoll.org/portal/collections/individual/index.php?guid=d6c84d81-f7a8-49f8-a226-500924188ca5 | originatingSampleOf (tissue): https://csvcoll.org/portal/collections/individual/index.php?guid=66db7d5f-e507-4e10-9bfd-bf5efec320cc | originatingSampleOf (tissue): https://csvcoll.org/portal/collections/individual/index.php?guid=8bd223de-5f16-4235-870f-3457c13627d7 | originatingSampleOf (tissue): https://csvcoll.org/portal/collections/individual/index.php?guid=070303e6-2ba3-482f-a1b3-09dc198a463a | originatingSampleOf (tissue): https://csvcoll.org/portal/collections/individual/index.php?guid=5f465988-b76b-4b0a-841b-37ba5d9d04a2 | originatingSampleOf (tissue): https://csvcoll.org/portal/collections/individual/index.php?guid=bedd7564-87d8-451a-9ec2-f18e1cd6aa46 | originatingSampleOf (tissue): https://csvcoll.org/portal/collections/individual/index.php?guid=eaabaf2f-ed4c-4c02-ac8a-090ee881a74d | originatingSampleOf (fecal): https://csvcoll.org/portal/collections/individual/index.php?guid=cbc42c82-3a4d-4ba2-984a-002749c00b24 | originatingSampleOf (tissue): https://csvcoll.org/portal/collections/individual/index.php?guid=26916785-f2b4-423d-a356-0a4fa5d47ae4 | originatingSampleOf (blood): https://csvcoll.org/portal/collections/individual/index.php?guid=6bf415db-c842-46d4-a14f-ac7bd45b0dd2 | originatingSampleOf (tissue): https://csvcoll.org/portal/collections/individual/index.php?guid=79f650f6-091f-40b9-9c63-66efd2cf1bde</t>
  </si>
  <si>
    <t>ASUMAC008960</t>
  </si>
  <si>
    <t>2024-01-23T19:40:09.396Z</t>
  </si>
  <si>
    <t>CONTINENT_DERIVED_FROM_COORDINATES;TAXON_MATCH_TAXON_ID_IGNORED;IDENTIFIED_DATE_INVALID;OCCURRENCE_STATUS_INFERRED_FROM_INDIVIDUAL_COUNT;INSTITUTION_MATCH_FUZZY;COLLECTION_MATCH_FUZZY</t>
  </si>
  <si>
    <t>d6c84d81-f7a8-49f8-a226-500924188ca5</t>
  </si>
  <si>
    <t>{ "preservationMeans" : "frozen -80C" , "preservationFluid" : "no preservative solution" }</t>
  </si>
  <si>
    <t>subsampleOf (tissue): https://csvcoll.org/portal/collections/individual/index.php?guid=06e045ad-ec21-45bd-8919-dfacedfde3bc</t>
  </si>
  <si>
    <t>ASUVTC001787</t>
  </si>
  <si>
    <t>66db7d5f-e507-4e10-9bfd-bf5efec320cc</t>
  </si>
  <si>
    <t>ASUVTC001788</t>
  </si>
  <si>
    <t>8bd223de-5f16-4235-870f-3457c13627d7</t>
  </si>
  <si>
    <t>ASUVTC001789</t>
  </si>
  <si>
    <t>070303e6-2ba3-482f-a1b3-09dc198a463a</t>
  </si>
  <si>
    <t>ASUVTC001790</t>
  </si>
  <si>
    <t>5f465988-b76b-4b0a-841b-37ba5d9d04a2</t>
  </si>
  <si>
    <t>ASUVTC001791</t>
  </si>
  <si>
    <t>bedd7564-87d8-451a-9ec2-f18e1cd6aa46</t>
  </si>
  <si>
    <t>ASUVTC001792</t>
  </si>
  <si>
    <t>eaabaf2f-ed4c-4c02-ac8a-090ee881a74d</t>
  </si>
  <si>
    <t>ASUVTC001793</t>
  </si>
  <si>
    <t>cbc42c82-3a4d-4ba2-984a-002749c00b24</t>
  </si>
  <si>
    <t>ASUVTC001794</t>
  </si>
  <si>
    <t>2024-01-22T23:57:04.075Z</t>
  </si>
  <si>
    <t>79f650f6-091f-40b9-9c63-66efd2cf1bde</t>
  </si>
  <si>
    <t>subsampleOf (fecal): https://csvcoll.org/portal/collections/individual/index.php?guid=06e045ad-ec21-45bd-8919-dfacedfde3bc</t>
  </si>
  <si>
    <t>ASUVTC001827</t>
  </si>
  <si>
    <t>2024-01-22T23:57:03.635Z</t>
  </si>
  <si>
    <t>6bf415db-c842-46d4-a14f-ac7bd45b0dd2</t>
  </si>
  <si>
    <t>subsampleOf (blood): https://csvcoll.org/portal/collections/individual/index.php?guid=06e045ad-ec21-45bd-8919-dfacedfde3bc</t>
  </si>
  <si>
    <t>ASUVTC002028</t>
  </si>
  <si>
    <t>2024-01-22T23:57:03.591Z</t>
  </si>
  <si>
    <t>26916785-f2b4-423d-a356-0a4fa5d47ae4</t>
  </si>
  <si>
    <t>ASUVTC002101</t>
  </si>
  <si>
    <t>85965caf-61ea-45e9-b5d5-eaf7e693c198</t>
  </si>
  <si>
    <t>NSU0091</t>
  </si>
  <si>
    <t>{ "measurements" : "TOT: 170, TV: 90, HFL: 17, EAR: 19, WGT: 21" , "preservationFluid" : "70 percent ethanol" }</t>
  </si>
  <si>
    <t>Mammae #: Ax. 0 Ab. 0 Ing. 0 | Mammae Condition: Sm. | Vagina condition: Imp. | Reproductive Stage: Nul. | Embryos: | Placental scars: | thickened uterine lining</t>
  </si>
  <si>
    <t>originatingSampleOf (tissue): https://csvcoll.org/portal/collections/individual/index.php?guid=e82cb118-4990-48c2-b057-5700aa446a20 | originatingSampleOf (tissue): https://csvcoll.org/portal/collections/individual/index.php?guid=01dee830-7b9d-4492-8766-3902b5cf91c9 | originatingSampleOf (tissue): https://csvcoll.org/portal/collections/individual/index.php?guid=d847d477-a682-4f26-aeab-3ecb31d50a9a | originatingSampleOf (tissue): https://csvcoll.org/portal/collections/individual/index.php?guid=098dd8a3-e357-4380-9a21-f39bad69b0ce | originatingSampleOf (tissue): https://csvcoll.org/portal/collections/individual/index.php?guid=0d1108ce-2723-44ba-9e80-e23be2ad0938 | originatingSampleOf (tissue): https://csvcoll.org/portal/collections/individual/index.php?guid=646a8174-11ff-4dc6-ab65-f69e20c951b4 | originatingSampleOf (tissue): https://csvcoll.org/portal/collections/individual/index.php?guid=cd8aafc4-0994-4d9e-9077-303e59b64087 | originatingSampleOf (fecal): https://csvcoll.org/portal/collections/individual/index.php?guid=93ea690e-4628-4fca-8629-86adbc770f8f | originatingSampleOf (blood): https://csvcoll.org/portal/collections/individual/index.php?guid=41ee912a-4a05-4c0b-9bbf-1c09613687cd</t>
  </si>
  <si>
    <t>ASUMAC008975</t>
  </si>
  <si>
    <t>2024-01-23T19:40:09.399Z</t>
  </si>
  <si>
    <t>e82cb118-4990-48c2-b057-5700aa446a20</t>
  </si>
  <si>
    <t>subsampleOf (tissue): https://csvcoll.org/portal/collections/individual/index.php?guid=85965caf-61ea-45e9-b5d5-eaf7e693c198</t>
  </si>
  <si>
    <t>ASUVTC001795</t>
  </si>
  <si>
    <t>2024-01-22T23:57:04.074Z</t>
  </si>
  <si>
    <t>01dee830-7b9d-4492-8766-3902b5cf91c9</t>
  </si>
  <si>
    <t>ASUVTC001796</t>
  </si>
  <si>
    <t>2024-01-22T23:57:04.078Z</t>
  </si>
  <si>
    <t>d847d477-a682-4f26-aeab-3ecb31d50a9a</t>
  </si>
  <si>
    <t>ASUVTC001797</t>
  </si>
  <si>
    <t>098dd8a3-e357-4380-9a21-f39bad69b0ce</t>
  </si>
  <si>
    <t>subsampleOf (fecal): https://csvcoll.org/portal/collections/individual/index.php?guid=85965caf-61ea-45e9-b5d5-eaf7e693c198</t>
  </si>
  <si>
    <t>ASUVTC001798</t>
  </si>
  <si>
    <t>0d1108ce-2723-44ba-9e80-e23be2ad0938</t>
  </si>
  <si>
    <t>ASUVTC001799</t>
  </si>
  <si>
    <t>646a8174-11ff-4dc6-ab65-f69e20c951b4</t>
  </si>
  <si>
    <t>ASUVTC001800</t>
  </si>
  <si>
    <t>cd8aafc4-0994-4d9e-9077-303e59b64087</t>
  </si>
  <si>
    <t>ASUVTC001801</t>
  </si>
  <si>
    <t>93ea690e-4628-4fca-8629-86adbc770f8f</t>
  </si>
  <si>
    <t>ASUVTC001802</t>
  </si>
  <si>
    <t>41ee912a-4a05-4c0b-9bbf-1c09613687cd</t>
  </si>
  <si>
    <t>subsampleOf (blood): https://csvcoll.org/portal/collections/individual/index.php?guid=85965caf-61ea-45e9-b5d5-eaf7e693c198</t>
  </si>
  <si>
    <t>ASUVTC002029</t>
  </si>
  <si>
    <t>2024-01-22T23:57:03.548Z</t>
  </si>
  <si>
    <t>4012f1f8-dee3-41ce-ac44-722cfff590ae</t>
  </si>
  <si>
    <t>NSU0092</t>
  </si>
  <si>
    <t>{ "measurements" : "TOT: 165, TV: 97, HFL: 21, EAR: 7, WGT: 13" , "preservationFluid" : "70 percent ethanol" }</t>
  </si>
  <si>
    <t>originatingSampleOf (tissue): https://csvcoll.org/portal/collections/individual/index.php?guid=8aea8d34-2e46-4e47-a7d8-89258b35404f | originatingSampleOf (tissue): https://csvcoll.org/portal/collections/individual/index.php?guid=8a1f4a48-7b9d-4040-953f-263a213d07ef | originatingSampleOf (tissue): https://csvcoll.org/portal/collections/individual/index.php?guid=38ce75eb-7455-4023-8ce3-2a747451c181 | originatingSampleOf (tissue): https://csvcoll.org/portal/collections/individual/index.php?guid=89b49bbc-d36f-4d92-88e9-38addae91f24 | originatingSampleOf (tissue): https://csvcoll.org/portal/collections/individual/index.php?guid=37d58c85-42fc-4fb5-a2c9-8363faa0823a | originatingSampleOf (tissue): https://csvcoll.org/portal/collections/individual/index.php?guid=fdfd9fd1-db38-4bbc-b9ba-2d3e4e1e8274 | originatingSampleOf (tissue): https://csvcoll.org/portal/collections/individual/index.php?guid=b3f513d6-eab3-466c-a884-db9ba59a1feb | originatingSampleOf (fecal): https://csvcoll.org/portal/collections/individual/index.php?guid=57375406-0b12-4cc9-aa8e-da6f1e21d659 | originatingSampleOf (blood): https://csvcoll.org/portal/collections/individual/index.php?guid=e88d8f63-11f1-417e-aa59-27fa06d15074 | originatingSampleOf (tissue): https://csvcoll.org/portal/collections/individual/index.php?guid=eda50c2f-f885-4fa7-b4e4-dad9910c2e5b</t>
  </si>
  <si>
    <t>ASUMAC008968</t>
  </si>
  <si>
    <t>2024-01-23T19:40:09.392Z</t>
  </si>
  <si>
    <t>8aea8d34-2e46-4e47-a7d8-89258b35404f</t>
  </si>
  <si>
    <t>{ "preservationMeans" : "frozen -80C" , "preservationFluid" : "RNA stabilizing solution" }</t>
  </si>
  <si>
    <t>subsampleOf (tissue): https://csvcoll.org/portal/collections/individual/index.php?guid=4012f1f8-dee3-41ce-ac44-722cfff590ae</t>
  </si>
  <si>
    <t>ASUVTC001803</t>
  </si>
  <si>
    <t>8a1f4a48-7b9d-4040-953f-263a213d07ef</t>
  </si>
  <si>
    <t>subsampleOf (fecal): https://csvcoll.org/portal/collections/individual/index.php?guid=4012f1f8-dee3-41ce-ac44-722cfff590ae</t>
  </si>
  <si>
    <t>ASUVTC001804</t>
  </si>
  <si>
    <t>38ce75eb-7455-4023-8ce3-2a747451c181</t>
  </si>
  <si>
    <t>{ "preservationMeans" : "frozen -80C" , "preservationFluid" : "in RNA stablilizing solution" }</t>
  </si>
  <si>
    <t>ASUVTC001805</t>
  </si>
  <si>
    <t>89b49bbc-d36f-4d92-88e9-38addae91f24</t>
  </si>
  <si>
    <t>ASUVTC001806</t>
  </si>
  <si>
    <t>37d58c85-42fc-4fb5-a2c9-8363faa0823a</t>
  </si>
  <si>
    <t>ASUVTC001807</t>
  </si>
  <si>
    <t>eda50c2f-f885-4fa7-b4e4-dad9910c2e5b</t>
  </si>
  <si>
    <t>subsampleOf (blood): https://csvcoll.org/portal/collections/individual/index.php?guid=4012f1f8-dee3-41ce-ac44-722cfff590ae</t>
  </si>
  <si>
    <t>ASUVTC001828</t>
  </si>
  <si>
    <t>fdfd9fd1-db38-4bbc-b9ba-2d3e4e1e8274</t>
  </si>
  <si>
    <t>ASUVTC001844</t>
  </si>
  <si>
    <t>2024-01-22T23:57:04.080Z</t>
  </si>
  <si>
    <t>b3f513d6-eab3-466c-a884-db9ba59a1feb</t>
  </si>
  <si>
    <t>ASUVTC001845</t>
  </si>
  <si>
    <t>57375406-0b12-4cc9-aa8e-da6f1e21d659</t>
  </si>
  <si>
    <t>ASUVTC001846</t>
  </si>
  <si>
    <t>e88d8f63-11f1-417e-aa59-27fa06d15074</t>
  </si>
  <si>
    <t>ASUVTC002030</t>
  </si>
  <si>
    <t>2024-01-22T23:57:03.570Z</t>
  </si>
  <si>
    <t>f831ecdf-3df9-415b-aa56-356ac63a7022</t>
  </si>
  <si>
    <t>Line 5-2</t>
  </si>
  <si>
    <t>NSU0093</t>
  </si>
  <si>
    <t>{ "measurements" : "TOT: 165, TV: 93, HFL: 20, EAR: 7, WGT: 13" , "preservationFluid" : "70 percent ethanol" }</t>
  </si>
  <si>
    <t>Mammae #: Ax. 2 Ab. 0 Ing. 2 | Mammae Condition: Lg. | Vagina condition: Perf. | Reproductive Stage: Nul. | Embryos: L 0 R 0 | Placental scars: L 0 R 0</t>
  </si>
  <si>
    <t>originatingSampleOf (tissue): https://csvcoll.org/portal/collections/individual/index.php?guid=bbd6db59-2b8a-43a3-8336-8c3e248f979b | originatingSampleOf (tissue): https://csvcoll.org/portal/collections/individual/index.php?guid=78ce5cbd-d19e-42da-8af8-e08bf5eb83b8 | originatingSampleOf (tissue): https://csvcoll.org/portal/collections/individual/index.php?guid=ff12c4db-f674-4c7e-a67c-430d94574426 | originatingSampleOf (tissue): https://csvcoll.org/portal/collections/individual/index.php?guid=56e615eb-8f7f-4aee-9c7c-a8cc3367fa29 | originatingSampleOf (tissue): https://csvcoll.org/portal/collections/individual/index.php?guid=3e4e131e-20ca-4ef9-b01b-a3c972273ff8 | originatingSampleOf (tissue): https://csvcoll.org/portal/collections/individual/index.php?guid=61d4004f-a217-4679-9ac3-a12f23ec07a3 | originatingSampleOf (tissue): https://csvcoll.org/portal/collections/individual/index.php?guid=1b181fdb-3a36-46e5-818b-9bf7d34bb319 | hostOf (tissue): https://csvcoll.org/portal/collections/individual/index.php?guid=08abe752-a24b-4a95-b03e-71005c0260d7 | originatingSampleOf (fecal): https://csvcoll.org/portal/collections/individual/index.php?guid=d792461c-9ec5-4e39-ab31-7c5746af8736 | originatingSampleOf (fecal): https://csvcoll.org/portal/collections/individual/index.php?guid=b761dce0-9d16-4f6a-a49e-579bb54fc736 | originatingSampleOf (tissue): https://csvcoll.org/portal/collections/individual/index.php?guid=9396b404-1922-4203-8363-894e8b3f807a | originatingSampleOf (blood): https://csvcoll.org/portal/collections/individual/index.php?guid=a73397ca-c5aa-4c28-af2a-4cd7aa6059c8</t>
  </si>
  <si>
    <t>ASUMAC008961</t>
  </si>
  <si>
    <t>bbd6db59-2b8a-43a3-8336-8c3e248f979b</t>
  </si>
  <si>
    <t>subsampleOf (tissue): https://csvcoll.org/portal/collections/individual/index.php?guid=f831ecdf-3df9-415b-aa56-356ac63a7022</t>
  </si>
  <si>
    <t>ASUVTC001847</t>
  </si>
  <si>
    <t>78ce5cbd-d19e-42da-8af8-e08bf5eb83b8</t>
  </si>
  <si>
    <t>ASUVTC001848</t>
  </si>
  <si>
    <t>ff12c4db-f674-4c7e-a67c-430d94574426</t>
  </si>
  <si>
    <t>ASUVTC001849</t>
  </si>
  <si>
    <t>56e615eb-8f7f-4aee-9c7c-a8cc3367fa29</t>
  </si>
  <si>
    <t>ASUVTC001850</t>
  </si>
  <si>
    <t>3e4e131e-20ca-4ef9-b01b-a3c972273ff8</t>
  </si>
  <si>
    <t>ASUVTC001851</t>
  </si>
  <si>
    <t>61d4004f-a217-4679-9ac3-a12f23ec07a3</t>
  </si>
  <si>
    <t>ASUVTC001852</t>
  </si>
  <si>
    <t>1b181fdb-3a36-46e5-818b-9bf7d34bb319</t>
  </si>
  <si>
    <t>ASUVTC001853</t>
  </si>
  <si>
    <t>08abe752-a24b-4a95-b03e-71005c0260d7</t>
  </si>
  <si>
    <t>subsampleOf (fecal): https://csvcoll.org/portal/collections/individual/index.php?guid=f831ecdf-3df9-415b-aa56-356ac63a7022</t>
  </si>
  <si>
    <t>ASUVTC001854</t>
  </si>
  <si>
    <t>d792461c-9ec5-4e39-ab31-7c5746af8736</t>
  </si>
  <si>
    <t>hasHost (tissue): https://csvcoll.org/portal/collections/individual/index.php?guid=f831ecdf-3df9-415b-aa56-356ac63a7022</t>
  </si>
  <si>
    <t>ASUVTC001855</t>
  </si>
  <si>
    <t>b761dce0-9d16-4f6a-a49e-579bb54fc736</t>
  </si>
  <si>
    <t>ASUVTC001856</t>
  </si>
  <si>
    <t>a73397ca-c5aa-4c28-af2a-4cd7aa6059c8</t>
  </si>
  <si>
    <t>ASUVTC002031</t>
  </si>
  <si>
    <t>9396b404-1922-4203-8363-894e8b3f807a</t>
  </si>
  <si>
    <t>subsampleOf (blood): https://csvcoll.org/portal/collections/individual/index.php?guid=f831ecdf-3df9-415b-aa56-356ac63a7022</t>
  </si>
  <si>
    <t>ASUVTC002102</t>
  </si>
  <si>
    <t>19b9b270-e982-4f9f-bb93-f1f07b81fac5</t>
  </si>
  <si>
    <t>NSU0094</t>
  </si>
  <si>
    <t>{ "measurements" : "TOT: 175, TV: 98, HFL: 21, EAR: 7, WGT: 13" , "preservationFluid" : "70 percent ethanol" }</t>
  </si>
  <si>
    <t>Testes Position: Abd. | Testis size: 5 x 3 L | Epididymis: Not Con.</t>
  </si>
  <si>
    <t>originatingSampleOf (tissue): https://csvcoll.org/portal/collections/individual/index.php?guid=27b628e3-3e98-47a2-bd4a-03f221aee227 | originatingSampleOf (tissue): https://csvcoll.org/portal/collections/individual/index.php?guid=1dbd0e1f-9050-4774-a629-ce3b5fcdff9a | originatingSampleOf (tissue): https://csvcoll.org/portal/collections/individual/index.php?guid=cb238046-f8d7-4a22-b86f-4e0e4f3078fa | originatingSampleOf (tissue): https://csvcoll.org/portal/collections/individual/index.php?guid=b60f751b-f406-4bdb-986d-a2a3db0818c8 | originatingSampleOf (tissue): https://csvcoll.org/portal/collections/individual/index.php?guid=a0b553b9-acd9-4022-ba22-c90a2a41e377 | originatingSampleOf (tissue): https://csvcoll.org/portal/collections/individual/index.php?guid=8d4ee920-6fbb-4dbb-86a7-ba7d8973231b | originatingSampleOf (tissue): https://csvcoll.org/portal/collections/individual/index.php?guid=6e4455f8-299f-4f62-b1eb-7e81be78e334 | hostOf (tissue): https://csvcoll.org/portal/collections/individual/index.php?guid=6f6a3cf3-4cff-4ddd-8730-18ae298315ce | originatingSampleOf (fecal): https://csvcoll.org/portal/collections/individual/index.php?guid=a98f00c9-7c97-405b-b2bd-b55aa5fb2899 | originatingSampleOf (blood): https://csvcoll.org/portal/collections/individual/index.php?guid=2ea91959-20a7-47f1-ae7a-c9c5d69fcd66</t>
  </si>
  <si>
    <t>ASUMAC008969</t>
  </si>
  <si>
    <t>2024-01-23T19:40:09.398Z</t>
  </si>
  <si>
    <t>27b628e3-3e98-47a2-bd4a-03f221aee227</t>
  </si>
  <si>
    <t>subsampleOf (tissue): https://csvcoll.org/portal/collections/individual/index.php?guid=19b9b270-e982-4f9f-bb93-f1f07b81fac5</t>
  </si>
  <si>
    <t>ASUVTC001857</t>
  </si>
  <si>
    <t>1dbd0e1f-9050-4774-a629-ce3b5fcdff9a</t>
  </si>
  <si>
    <t>ASUVTC001858</t>
  </si>
  <si>
    <t>cb238046-f8d7-4a22-b86f-4e0e4f3078fa</t>
  </si>
  <si>
    <t>ASUVTC001859</t>
  </si>
  <si>
    <t>b60f751b-f406-4bdb-986d-a2a3db0818c8</t>
  </si>
  <si>
    <t>ASUVTC001860</t>
  </si>
  <si>
    <t>a0b553b9-acd9-4022-ba22-c90a2a41e377</t>
  </si>
  <si>
    <t>ASUVTC001861</t>
  </si>
  <si>
    <t>8d4ee920-6fbb-4dbb-86a7-ba7d8973231b</t>
  </si>
  <si>
    <t>ASUVTC001862</t>
  </si>
  <si>
    <t>6e4455f8-299f-4f62-b1eb-7e81be78e334</t>
  </si>
  <si>
    <t>subsampleOf (fecal): https://csvcoll.org/portal/collections/individual/index.php?guid=19b9b270-e982-4f9f-bb93-f1f07b81fac5</t>
  </si>
  <si>
    <t>ASUVTC001863</t>
  </si>
  <si>
    <t>6f6a3cf3-4cff-4ddd-8730-18ae298315ce</t>
  </si>
  <si>
    <t>subsampleOf (blood): https://csvcoll.org/portal/collections/individual/index.php?guid=19b9b270-e982-4f9f-bb93-f1f07b81fac5</t>
  </si>
  <si>
    <t>ASUVTC001864</t>
  </si>
  <si>
    <t>a98f00c9-7c97-405b-b2bd-b55aa5fb2899</t>
  </si>
  <si>
    <t>hasHost (tissue): https://csvcoll.org/portal/collections/individual/index.php?guid=19b9b270-e982-4f9f-bb93-f1f07b81fac5</t>
  </si>
  <si>
    <t>ASUVTC001865</t>
  </si>
  <si>
    <t>2024-01-22T23:57:04.121Z</t>
  </si>
  <si>
    <t>2ea91959-20a7-47f1-ae7a-c9c5d69fcd66</t>
  </si>
  <si>
    <t>ASUVTC002032</t>
  </si>
  <si>
    <t>2024-01-22T23:57:03.572Z</t>
  </si>
  <si>
    <t>1f3faef2-83bb-4048-8392-9fe8647df0e8</t>
  </si>
  <si>
    <t>NSU0095</t>
  </si>
  <si>
    <t>{ "measurements" : "TOT: 179, TV: 99, HFL: 27, EAR: 8, WGT: 24.1" , "preservationFluid" : "70 percent ethanol" }</t>
  </si>
  <si>
    <t>originatingSampleOf (fecal): https://csvcoll.org/portal/collections/individual/index.php?guid=bf050c24-b324-4a8e-b0fe-5da5b1530736 | originatingSampleOf (tissue): https://csvcoll.org/portal/collections/individual/index.php?guid=ecca6202-b4b3-48c8-83af-309a429c2d70 | originatingSampleOf (tissue): https://csvcoll.org/portal/collections/individual/index.php?guid=13a92841-7838-4834-a440-e9b39e4c2c7c | originatingSampleOf (tissue): https://csvcoll.org/portal/collections/individual/index.php?guid=8adab325-2763-4dc6-83f0-d9eaea6f7044 | originatingSampleOf (tissue): https://csvcoll.org/portal/collections/individual/index.php?guid=3cee46b5-c895-4c11-a084-dc616176a749 | originatingSampleOf (tissue): https://csvcoll.org/portal/collections/individual/index.php?guid=71405cc0-36be-4864-aed8-e67bdc24d997 | originatingSampleOf (tissue): https://csvcoll.org/portal/collections/individual/index.php?guid=7e4ac9b3-2db5-4cbc-87c0-44fadb35fd74 | originatingSampleOf (blood): https://csvcoll.org/portal/collections/individual/index.php?guid=fe4822be-c254-46bd-8207-e4dd1c526ead</t>
  </si>
  <si>
    <t>ASUMAC008976</t>
  </si>
  <si>
    <t>2024-01-23T19:40:09.386Z</t>
  </si>
  <si>
    <t>bf050c24-b324-4a8e-b0fe-5da5b1530736</t>
  </si>
  <si>
    <t>subsampleOf (blood): https://csvcoll.org/portal/collections/individual/index.php?guid=1f3faef2-83bb-4048-8392-9fe8647df0e8</t>
  </si>
  <si>
    <t>ASUVTC001866</t>
  </si>
  <si>
    <t>fe4822be-c254-46bd-8207-e4dd1c526ead</t>
  </si>
  <si>
    <t>subsampleOf (fecal): https://csvcoll.org/portal/collections/individual/index.php?guid=1f3faef2-83bb-4048-8392-9fe8647df0e8</t>
  </si>
  <si>
    <t>ASUVTC002052</t>
  </si>
  <si>
    <t>2024-01-22T23:57:03.624Z</t>
  </si>
  <si>
    <t>ecca6202-b4b3-48c8-83af-309a429c2d70</t>
  </si>
  <si>
    <t>subsampleOf (tissue): https://csvcoll.org/portal/collections/individual/index.php?guid=1f3faef2-83bb-4048-8392-9fe8647df0e8</t>
  </si>
  <si>
    <t>ASUVTC002150</t>
  </si>
  <si>
    <t>13a92841-7838-4834-a440-e9b39e4c2c7c</t>
  </si>
  <si>
    <t>ASUVTC002151</t>
  </si>
  <si>
    <t>2024-01-22T23:57:03.931Z</t>
  </si>
  <si>
    <t>8adab325-2763-4dc6-83f0-d9eaea6f7044</t>
  </si>
  <si>
    <t>ASUVTC002152</t>
  </si>
  <si>
    <t>3cee46b5-c895-4c11-a084-dc616176a749</t>
  </si>
  <si>
    <t>ASUVTC002153</t>
  </si>
  <si>
    <t>71405cc0-36be-4864-aed8-e67bdc24d997</t>
  </si>
  <si>
    <t>ASUVTC002154</t>
  </si>
  <si>
    <t>7e4ac9b3-2db5-4cbc-87c0-44fadb35fd74</t>
  </si>
  <si>
    <t>ASUVTC002155</t>
  </si>
  <si>
    <t>1b1d22b4-2967-481e-b41f-2b94f78714cb</t>
  </si>
  <si>
    <t>NSU0096</t>
  </si>
  <si>
    <t>{ "measurements" : "TOT: 205, TV: 118, HFL: 26, EAR: 6, WGT: 25.3" , "preservationFluid" : "70 percent ethanol" }</t>
  </si>
  <si>
    <t>originatingSampleOf (fecal): https://csvcoll.org/portal/collections/individual/index.php?guid=7a663c73-2128-4d3c-9c6c-31f06df9fdfd | originatingSampleOf (tissue): https://csvcoll.org/portal/collections/individual/index.php?guid=c0512d87-5088-4da2-bbfd-f2ebc297ebce | originatingSampleOf (tissue): https://csvcoll.org/portal/collections/individual/index.php?guid=b8290aa7-ef00-45b2-84c2-fbf1c47c2621 | originatingSampleOf (tissue): https://csvcoll.org/portal/collections/individual/index.php?guid=8aea682c-7ea1-4925-9859-cbf91bae9cb7 | originatingSampleOf (tissue): https://csvcoll.org/portal/collections/individual/index.php?guid=350f038a-30c1-40d0-84ea-978a80dc61b1 | originatingSampleOf (tissue): https://csvcoll.org/portal/collections/individual/index.php?guid=1086de54-b198-45e4-8073-be99310943ff | originatingSampleOf (blood): https://csvcoll.org/portal/collections/individual/index.php?guid=55076bdf-eedd-4725-bd35-c3a83932fe01</t>
  </si>
  <si>
    <t>ASUMAC008962</t>
  </si>
  <si>
    <t>2024-01-23T19:40:09.416Z</t>
  </si>
  <si>
    <t>7a663c73-2128-4d3c-9c6c-31f06df9fdfd</t>
  </si>
  <si>
    <t>subsampleOf (tissue): https://csvcoll.org/portal/collections/individual/index.php?guid=1b1d22b4-2967-481e-b41f-2b94f78714cb</t>
  </si>
  <si>
    <t>ASUVTC001867</t>
  </si>
  <si>
    <t>55076bdf-eedd-4725-bd35-c3a83932fe01</t>
  </si>
  <si>
    <t>subsampleOf (fecal): https://csvcoll.org/portal/collections/individual/index.php?guid=1b1d22b4-2967-481e-b41f-2b94f78714cb</t>
  </si>
  <si>
    <t>ASUVTC002039</t>
  </si>
  <si>
    <t>c0512d87-5088-4da2-bbfd-f2ebc297ebce</t>
  </si>
  <si>
    <t>ASUVTC002103</t>
  </si>
  <si>
    <t>b8290aa7-ef00-45b2-84c2-fbf1c47c2621</t>
  </si>
  <si>
    <t>ASUVTC002104</t>
  </si>
  <si>
    <t>8aea682c-7ea1-4925-9859-cbf91bae9cb7</t>
  </si>
  <si>
    <t>ASUVTC002105</t>
  </si>
  <si>
    <t>350f038a-30c1-40d0-84ea-978a80dc61b1</t>
  </si>
  <si>
    <t>subsampleOf (blood): https://csvcoll.org/portal/collections/individual/index.php?guid=1b1d22b4-2967-481e-b41f-2b94f78714cb</t>
  </si>
  <si>
    <t>ASUVTC002106</t>
  </si>
  <si>
    <t>1086de54-b198-45e4-8073-be99310943ff</t>
  </si>
  <si>
    <t>ASUVTC002107</t>
  </si>
  <si>
    <t>5ae31812-3cce-494d-ac21-eace3af93e07</t>
  </si>
  <si>
    <t>NSU0097</t>
  </si>
  <si>
    <t>{ "measurements" : "TOT: 204, TV: 119, HFL: 26, EAR: 10, WGT: 26.6" , "preservationFluid" : "70 percent ethanol" }</t>
  </si>
  <si>
    <t>Testes Position: Abd. | Testis size: 4 x 1.5 R | Epididymis: Not Con.</t>
  </si>
  <si>
    <t>originatingSampleOf (tissue): https://csvcoll.org/portal/collections/individual/index.php?guid=ad42689d-265a-4383-86c0-2d3757e26722 | originatingSampleOf (tissue): https://csvcoll.org/portal/collections/individual/index.php?guid=4d4aec6c-d2bb-4e16-bb53-91d4e8660cfc | originatingSampleOf (tissue): https://csvcoll.org/portal/collections/individual/index.php?guid=c10e9a0d-554a-42fd-9d93-6a62786ecd7a | originatingSampleOf (tissue): https://csvcoll.org/portal/collections/individual/index.php?guid=58a49de0-a665-4fde-8281-19c9f0cefc01 | originatingSampleOf (tissue): https://csvcoll.org/portal/collections/individual/index.php?guid=85d13c05-a509-441b-a93e-ef2f48f593a0 | originatingSampleOf (blood): https://csvcoll.org/portal/collections/individual/index.php?guid=a1cd41ef-9e7f-4976-9da2-2e625553ced2</t>
  </si>
  <si>
    <t>ASUMAC008977</t>
  </si>
  <si>
    <t>2024-01-23T19:40:09.385Z</t>
  </si>
  <si>
    <t>a1cd41ef-9e7f-4976-9da2-2e625553ced2</t>
  </si>
  <si>
    <t>subsampleOf (tissue): https://csvcoll.org/portal/collections/individual/index.php?guid=5ae31812-3cce-494d-ac21-eace3af93e07</t>
  </si>
  <si>
    <t>ASUVTC002053</t>
  </si>
  <si>
    <t>2024-01-22T23:57:03.626Z</t>
  </si>
  <si>
    <t>ad42689d-265a-4383-86c0-2d3757e26722</t>
  </si>
  <si>
    <t>ASUVTC002156</t>
  </si>
  <si>
    <t>4d4aec6c-d2bb-4e16-bb53-91d4e8660cfc</t>
  </si>
  <si>
    <t>ASUVTC002157</t>
  </si>
  <si>
    <t>c10e9a0d-554a-42fd-9d93-6a62786ecd7a</t>
  </si>
  <si>
    <t>ASUVTC002158</t>
  </si>
  <si>
    <t>2024-01-22T23:57:03.928Z</t>
  </si>
  <si>
    <t>58a49de0-a665-4fde-8281-19c9f0cefc01</t>
  </si>
  <si>
    <t>subsampleOf (blood): https://csvcoll.org/portal/collections/individual/index.php?guid=5ae31812-3cce-494d-ac21-eace3af93e07</t>
  </si>
  <si>
    <t>ASUVTC002159</t>
  </si>
  <si>
    <t>85d13c05-a509-441b-a93e-ef2f48f593a0</t>
  </si>
  <si>
    <t>ASUVTC002160</t>
  </si>
  <si>
    <t>753e68cc-cede-4d48-aa19-cf9ca4188a5b</t>
  </si>
  <si>
    <t>NSU0098</t>
  </si>
  <si>
    <t>{ "measurements" : "TOT: 202 mm, TV: 106 mm, HFL: 28 mm, EAR: 10 mm, WGT: 38.24 g" , "preservationFluid" : "70 percent ethanol" }</t>
  </si>
  <si>
    <t>originatingSampleOf (fecal): https://csvcoll.org/portal/collections/individual/index.php?guid=d73ff35d-c3d3-446c-a84a-7893535997e4 | originatingSampleOf (tissue): https://csvcoll.org/portal/collections/individual/index.php?guid=f401cb65-1cb2-48bc-b2f6-c2f790bf1f58 | originatingSampleOf (tissue): https://csvcoll.org/portal/collections/individual/index.php?guid=abba0949-a89c-40a2-b760-b76c36ba7cff | originatingSampleOf (tissue): https://csvcoll.org/portal/collections/individual/index.php?guid=f03cce6b-2712-44e7-a021-2e11045b3ebc | originatingSampleOf (tissue): https://csvcoll.org/portal/collections/individual/index.php?guid=be276ba5-d60e-4c3d-aa5f-98bd2053c429 | originatingSampleOf (tissue): https://csvcoll.org/portal/collections/individual/index.php?guid=26773888-d58d-4e71-8e03-985b4a77e238 | originatingSampleOf (blood): https://csvcoll.org/portal/collections/individual/index.php?guid=6ad9ef76-5035-4346-bb95-a2ea83176232</t>
  </si>
  <si>
    <t>ASUMAC008963</t>
  </si>
  <si>
    <t>2024-01-23T19:40:09.387Z</t>
  </si>
  <si>
    <t>d73ff35d-c3d3-446c-a84a-7893535997e4</t>
  </si>
  <si>
    <t>subsampleOf (tissue): https://csvcoll.org/portal/collections/individual/index.php?guid=753e68cc-cede-4d48-aa19-cf9ca4188a5b</t>
  </si>
  <si>
    <t>ASUVTC001868</t>
  </si>
  <si>
    <t>6ad9ef76-5035-4346-bb95-a2ea83176232</t>
  </si>
  <si>
    <t>subsampleOf (fecal): https://csvcoll.org/portal/collections/individual/index.php?guid=753e68cc-cede-4d48-aa19-cf9ca4188a5b</t>
  </si>
  <si>
    <t>ASUVTC002040</t>
  </si>
  <si>
    <t>2024-01-22T23:57:03.615Z</t>
  </si>
  <si>
    <t>f401cb65-1cb2-48bc-b2f6-c2f790bf1f58</t>
  </si>
  <si>
    <t>ASUVTC002108</t>
  </si>
  <si>
    <t>abba0949-a89c-40a2-b760-b76c36ba7cff</t>
  </si>
  <si>
    <t>ASUVTC002109</t>
  </si>
  <si>
    <t>f03cce6b-2712-44e7-a021-2e11045b3ebc</t>
  </si>
  <si>
    <t>ASUVTC002110</t>
  </si>
  <si>
    <t>be276ba5-d60e-4c3d-aa5f-98bd2053c429</t>
  </si>
  <si>
    <t>subsampleOf (blood): https://csvcoll.org/portal/collections/individual/index.php?guid=753e68cc-cede-4d48-aa19-cf9ca4188a5b</t>
  </si>
  <si>
    <t>ASUVTC002111</t>
  </si>
  <si>
    <t>2024-01-22T23:57:03.914Z</t>
  </si>
  <si>
    <t>26773888-d58d-4e71-8e03-985b4a77e238</t>
  </si>
  <si>
    <t>ASUVTC002112</t>
  </si>
  <si>
    <t>b9f3374f-e91b-49a1-aca2-b90711b3a380</t>
  </si>
  <si>
    <t>NSU0099</t>
  </si>
  <si>
    <t>{ "measurements" : "TOT: 198, TV: 111, HFL: 26, EAR: 10, WGT: 22.3" , "preservationFluid" : "70 percent ethanol" }</t>
  </si>
  <si>
    <t>originatingSampleOf (fecal): https://csvcoll.org/portal/collections/individual/index.php?guid=038a63f6-4745-4d2c-ac03-6e7c03ae390f | originatingSampleOf (tissue): https://csvcoll.org/portal/collections/individual/index.php?guid=46431d85-4306-494a-8726-4b0bb1c7a550 | originatingSampleOf (tissue): https://csvcoll.org/portal/collections/individual/index.php?guid=585a1735-39f3-49dd-9108-ddf5b6a40219 | originatingSampleOf (tissue): https://csvcoll.org/portal/collections/individual/index.php?guid=cf64f47a-d032-4e47-a038-d1ce312dad6d | originatingSampleOf (tissue): https://csvcoll.org/portal/collections/individual/index.php?guid=6c8601da-b146-4bf8-9655-d25201b2bb54 | originatingSampleOf (tissue): https://csvcoll.org/portal/collections/individual/index.php?guid=14d603fe-a5bf-40dd-9e20-ef0f94a21af6 | originatingSampleOf (fecal): https://csvcoll.org/portal/collections/individual/index.php?guid=d71aa1b6-5f2f-4fec-bf1e-1b1d9d74f7ae | originatingSampleOf (blood): https://csvcoll.org/portal/collections/individual/index.php?guid=4114de54-a217-43c5-bf02-8781ed23ab75</t>
  </si>
  <si>
    <t>ASUMAC008964</t>
  </si>
  <si>
    <t>038a63f6-4745-4d2c-ac03-6e7c03ae390f</t>
  </si>
  <si>
    <t>subsampleOf (tissue): https://csvcoll.org/portal/collections/individual/index.php?guid=b9f3374f-e91b-49a1-aca2-b90711b3a380</t>
  </si>
  <si>
    <t>ASUVTC001869</t>
  </si>
  <si>
    <t>4114de54-a217-43c5-bf02-8781ed23ab75</t>
  </si>
  <si>
    <t>subsampleOf (fecal): https://csvcoll.org/portal/collections/individual/index.php?guid=b9f3374f-e91b-49a1-aca2-b90711b3a380</t>
  </si>
  <si>
    <t>ASUVTC002041</t>
  </si>
  <si>
    <t>46431d85-4306-494a-8726-4b0bb1c7a550</t>
  </si>
  <si>
    <t>ASUVTC002113</t>
  </si>
  <si>
    <t>585a1735-39f3-49dd-9108-ddf5b6a40219</t>
  </si>
  <si>
    <t>ASUVTC002114</t>
  </si>
  <si>
    <t>cf64f47a-d032-4e47-a038-d1ce312dad6d</t>
  </si>
  <si>
    <t>ASUVTC002115</t>
  </si>
  <si>
    <t>6c8601da-b146-4bf8-9655-d25201b2bb54</t>
  </si>
  <si>
    <t>ASUVTC002116</t>
  </si>
  <si>
    <t>14d603fe-a5bf-40dd-9e20-ef0f94a21af6</t>
  </si>
  <si>
    <t>subsampleOf (blood): https://csvcoll.org/portal/collections/individual/index.php?guid=b9f3374f-e91b-49a1-aca2-b90711b3a380</t>
  </si>
  <si>
    <t>ASUVTC002117</t>
  </si>
  <si>
    <t>2024-01-22T23:57:03.907Z</t>
  </si>
  <si>
    <t>d71aa1b6-5f2f-4fec-bf1e-1b1d9d74f7ae</t>
  </si>
  <si>
    <t>ASUVTC002118</t>
  </si>
  <si>
    <t>b2cf9099-2552-4933-9dc1-6a6724cbad69</t>
  </si>
  <si>
    <t>Line 1-17</t>
  </si>
  <si>
    <t>NSU0100</t>
  </si>
  <si>
    <t>{ "measurements" : "TOT: 265, TV: 130, HFL: 29, EAR: 27, WGT: 99.8" , "preservationFluid" : "70 percent ethanol" }</t>
  </si>
  <si>
    <t>Mammae #: Ax. 0 Ab. 0 Ing. 4 | Mammae Condition: Lg. | Vagina condition: Perf. | Reproductive Stage: Nul. | Embryos: L 0 R 0 | Placental scars: L 0 R 0| thickened uterine lining</t>
  </si>
  <si>
    <t>hostOf (tissue): https://csvcoll.org/portal/collections/individual/index.php?guid=46711109-22a5-49e8-acb6-81ded9ed49b3 | hostOf (tissue): https://csvcoll.org/portal/collections/individual/index.php?guid=f2057516-c8c5-4f8f-affb-72968040fafe | originatingSampleOf (fecal): https://csvcoll.org/portal/collections/individual/index.php?guid=80e9185b-cca2-492f-8e75-9a59598a3a68 | originatingSampleOf (tissue): https://csvcoll.org/portal/collections/individual/index.php?guid=1bc9dd21-ede3-4999-a7e4-8a1ccdefd96c | originatingSampleOf (tissue): https://csvcoll.org/portal/collections/individual/index.php?guid=9a25197b-6790-4683-b5d9-573f0342dc4d | originatingSampleOf (tissue): https://csvcoll.org/portal/collections/individual/index.php?guid=209c1c7f-df5e-4278-a86b-261ae29132d2 | originatingSampleOf (tissue): https://csvcoll.org/portal/collections/individual/index.php?guid=3a47a870-7b48-44f5-be4c-1c479e08b5d5 | originatingSampleOf (tissue): https://csvcoll.org/portal/collections/individual/index.php?guid=ba875e88-5855-49ab-812b-947fab6ab8d4 | originatingSampleOf (blood): https://csvcoll.org/portal/collections/individual/index.php?guid=2c7cff37-9404-4960-ab29-b21b43880eb7</t>
  </si>
  <si>
    <t>ASUMAC008970</t>
  </si>
  <si>
    <t>46711109-22a5-49e8-acb6-81ded9ed49b3</t>
  </si>
  <si>
    <t>subsampleOf (tissue): https://csvcoll.org/portal/collections/individual/index.php?guid=b2cf9099-2552-4933-9dc1-6a6724cbad69</t>
  </si>
  <si>
    <t>ASUVTC001870</t>
  </si>
  <si>
    <t>f2057516-c8c5-4f8f-affb-72968040fafe</t>
  </si>
  <si>
    <t>ASUVTC001871</t>
  </si>
  <si>
    <t>2024-01-22T23:57:04.119Z</t>
  </si>
  <si>
    <t>80e9185b-cca2-492f-8e75-9a59598a3a68</t>
  </si>
  <si>
    <t>ASUVTC001872</t>
  </si>
  <si>
    <t>2c7cff37-9404-4960-ab29-b21b43880eb7</t>
  </si>
  <si>
    <t>hasHost (tissue): https://csvcoll.org/portal/collections/individual/index.php?guid=b2cf9099-2552-4933-9dc1-6a6724cbad69</t>
  </si>
  <si>
    <t>ASUVTC002042</t>
  </si>
  <si>
    <t>2024-01-22T23:57:03.619Z</t>
  </si>
  <si>
    <t>1bc9dd21-ede3-4999-a7e4-8a1ccdefd96c</t>
  </si>
  <si>
    <t>subsampleOf (blood): https://csvcoll.org/portal/collections/individual/index.php?guid=b2cf9099-2552-4933-9dc1-6a6724cbad69</t>
  </si>
  <si>
    <t>ASUVTC002119</t>
  </si>
  <si>
    <t>9a25197b-6790-4683-b5d9-573f0342dc4d</t>
  </si>
  <si>
    <t>ASUVTC002120</t>
  </si>
  <si>
    <t>209c1c7f-df5e-4278-a86b-261ae29132d2</t>
  </si>
  <si>
    <t>subsampleOf (fecal): https://csvcoll.org/portal/collections/individual/index.php?guid=b2cf9099-2552-4933-9dc1-6a6724cbad69</t>
  </si>
  <si>
    <t>ASUVTC002121</t>
  </si>
  <si>
    <t>3a47a870-7b48-44f5-be4c-1c479e08b5d5</t>
  </si>
  <si>
    <t>ASUVTC002122</t>
  </si>
  <si>
    <t>ba875e88-5855-49ab-812b-947fab6ab8d4</t>
  </si>
  <si>
    <t>ASUVTC002123</t>
  </si>
  <si>
    <t>ab103317-8823-4248-b999-1561923f51cb</t>
  </si>
  <si>
    <t>Line 2-14</t>
  </si>
  <si>
    <t>NSU0101</t>
  </si>
  <si>
    <t>{ "measurements" : "TOT: 276, TV: 126, HFL: 30, EAR: 27, WGT: 105" , "preservationFluid" : "70 percent ethanol" }</t>
  </si>
  <si>
    <t>originatingSampleOf (tissue): https://csvcoll.org/portal/collections/individual/index.php?guid=6c8f9d91-c684-4dbb-b85f-dc1061ce944f | originatingSampleOf (tissue): https://csvcoll.org/portal/collections/individual/index.php?guid=7efb8dfd-d03e-433c-affa-edfa4048ae40 | originatingSampleOf (tissue): https://csvcoll.org/portal/collections/individual/index.php?guid=472771a3-c327-493b-9c29-64191bd9b88c | originatingSampleOf (tissue): https://csvcoll.org/portal/collections/individual/index.php?guid=48fd52ce-495f-4c42-be33-f4d0a2e807ee | originatingSampleOf (tissue): https://csvcoll.org/portal/collections/individual/index.php?guid=63d61027-0cfc-4170-97e7-d3678a251801 | originatingSampleOf (tissue): https://csvcoll.org/portal/collections/individual/index.php?guid=c0a4aa67-5779-4393-8aeb-ce0776779776 | originatingSampleOf (tissue): https://csvcoll.org/portal/collections/individual/index.php?guid=b1d16c9f-7b66-4369-ba0e-f855e6588edd | originatingSampleOf (fecal): https://csvcoll.org/portal/collections/individual/index.php?guid=084d5d60-78cb-40d6-a01c-e0cd451f0cc7 | originatingSampleOf (blood): https://csvcoll.org/portal/collections/individual/index.php?guid=ba96dea9-7282-447a-9e29-697d49e3b0ee</t>
  </si>
  <si>
    <t>ASUMAC008979</t>
  </si>
  <si>
    <t>2024-01-23T19:40:09.381Z</t>
  </si>
  <si>
    <t>6c8f9d91-c684-4dbb-b85f-dc1061ce944f</t>
  </si>
  <si>
    <t>subsampleOf (tissue): https://csvcoll.org/portal/collections/individual/index.php?guid=ab103317-8823-4248-b999-1561923f51cb</t>
  </si>
  <si>
    <t>ASUVTC001873</t>
  </si>
  <si>
    <t>7efb8dfd-d03e-433c-affa-edfa4048ae40</t>
  </si>
  <si>
    <t>ASUVTC001874</t>
  </si>
  <si>
    <t>472771a3-c327-493b-9c29-64191bd9b88c</t>
  </si>
  <si>
    <t>ASUVTC001875</t>
  </si>
  <si>
    <t>48fd52ce-495f-4c42-be33-f4d0a2e807ee</t>
  </si>
  <si>
    <t>ASUVTC001876</t>
  </si>
  <si>
    <t>63d61027-0cfc-4170-97e7-d3678a251801</t>
  </si>
  <si>
    <t>ASUVTC001877</t>
  </si>
  <si>
    <t>c0a4aa67-5779-4393-8aeb-ce0776779776</t>
  </si>
  <si>
    <t>subsampleOf (fecal): https://csvcoll.org/portal/collections/individual/index.php?guid=ab103317-8823-4248-b999-1561923f51cb</t>
  </si>
  <si>
    <t>ASUVTC001878</t>
  </si>
  <si>
    <t>b1d16c9f-7b66-4369-ba0e-f855e6588edd</t>
  </si>
  <si>
    <t>subsampleOf (blood): https://csvcoll.org/portal/collections/individual/index.php?guid=ab103317-8823-4248-b999-1561923f51cb</t>
  </si>
  <si>
    <t>ASUVTC001879</t>
  </si>
  <si>
    <t>084d5d60-78cb-40d6-a01c-e0cd451f0cc7</t>
  </si>
  <si>
    <t>ASUVTC001880</t>
  </si>
  <si>
    <t>ba96dea9-7282-447a-9e29-697d49e3b0ee</t>
  </si>
  <si>
    <t>ASUVTC002033</t>
  </si>
  <si>
    <t>2024-01-22T23:57:03.569Z</t>
  </si>
  <si>
    <t>5862aebe-aa5b-4741-9139-44254824e3c6</t>
  </si>
  <si>
    <t>NSU0102</t>
  </si>
  <si>
    <t>{ "measurements" : "TOT: 306, TV: 154, HFL: 32, EAR: 28, WGT: 172.4" , "preservationFluid" : "70 percent ethanol" }</t>
  </si>
  <si>
    <t>Mammae #: Ax. 0 Ab. 0 Ing. 4 | Mammae Condition: Lact. | Vagina condition: Perf. | Reproductive Stage: Multi. | Embryos: L 0 R 0 | Placental scars: L 2 R 3</t>
  </si>
  <si>
    <t>hostOf (tissue): https://csvcoll.org/portal/collections/individual/index.php?guid=0361261b-db9a-40b6-b321-5e2d4a66bd40 | originatingSampleOf (tissue): https://csvcoll.org/portal/collections/individual/index.php?guid=27b609a8-7343-403d-90b5-339ce1efb2d8 | originatingSampleOf (tissue): https://csvcoll.org/portal/collections/individual/index.php?guid=f9163f37-72a3-4e9f-8dc4-7124a5735dda | originatingSampleOf (tissue): https://csvcoll.org/portal/collections/individual/index.php?guid=331ecb62-0e75-4c10-b4c6-c4492af35f56 | originatingSampleOf (tissue): https://csvcoll.org/portal/collections/individual/index.php?guid=1e7044b7-0fe3-4b90-8af1-30e5805ee1df | originatingSampleOf (tissue): https://csvcoll.org/portal/collections/individual/index.php?guid=2b02b0a6-e3ec-48ca-be9a-68bb2e92552a | originatingSampleOf (tissue): https://csvcoll.org/portal/collections/individual/index.php?guid=2b4fc719-436a-4772-b53c-2784e7732bc5 | originatingSampleOf (blood): https://csvcoll.org/portal/collections/individual/index.php?guid=3b48242e-7cd8-4955-9e99-d00d5733e050</t>
  </si>
  <si>
    <t>ASUMAC008971</t>
  </si>
  <si>
    <t>2024-01-23T19:40:09.382Z</t>
  </si>
  <si>
    <t>0361261b-db9a-40b6-b321-5e2d4a66bd40</t>
  </si>
  <si>
    <t>subsampleOf (blood): https://csvcoll.org/portal/collections/individual/index.php?guid=5862aebe-aa5b-4741-9139-44254824e3c6</t>
  </si>
  <si>
    <t>ASUVTC001881</t>
  </si>
  <si>
    <t>3b48242e-7cd8-4955-9e99-d00d5733e050</t>
  </si>
  <si>
    <t>hasHost (tissue): https://csvcoll.org/portal/collections/individual/index.php?guid=5862aebe-aa5b-4741-9139-44254824e3c6</t>
  </si>
  <si>
    <t>ASUVTC002043</t>
  </si>
  <si>
    <t>27b609a8-7343-403d-90b5-339ce1efb2d8</t>
  </si>
  <si>
    <t>subsampleOf (tissue): https://csvcoll.org/portal/collections/individual/index.php?guid=5862aebe-aa5b-4741-9139-44254824e3c6</t>
  </si>
  <si>
    <t>ASUVTC002124</t>
  </si>
  <si>
    <t>f9163f37-72a3-4e9f-8dc4-7124a5735dda</t>
  </si>
  <si>
    <t>ASUVTC002125</t>
  </si>
  <si>
    <t>331ecb62-0e75-4c10-b4c6-c4492af35f56</t>
  </si>
  <si>
    <t>ASUVTC002126</t>
  </si>
  <si>
    <t>1e7044b7-0fe3-4b90-8af1-30e5805ee1df</t>
  </si>
  <si>
    <t>ASUVTC002127</t>
  </si>
  <si>
    <t>2b02b0a6-e3ec-48ca-be9a-68bb2e92552a</t>
  </si>
  <si>
    <t>ASUVTC002128</t>
  </si>
  <si>
    <t>2b4fc719-436a-4772-b53c-2784e7732bc5</t>
  </si>
  <si>
    <t>ASUVTC002129</t>
  </si>
  <si>
    <t>4af01603-eb63-4cc0-b192-dd2a5e51038d</t>
  </si>
  <si>
    <t>NSU0103</t>
  </si>
  <si>
    <t>{ "measurements" : "TOT: 316, TV: 143, HFL: 34, EAR: 30, WGT: 147" , "preservationFluid" : "70 percent ethanol" }</t>
  </si>
  <si>
    <t>Testes Position: Abd. | Testis size: 13 x 5 R | Epididymis: Not Con.</t>
  </si>
  <si>
    <t>originatingSampleOf (tissue): https://csvcoll.org/portal/collections/individual/index.php?guid=3abf0fd4-679f-4bfe-80fe-7061a953e008 | originatingSampleOf (tissue): https://csvcoll.org/portal/collections/individual/index.php?guid=d677dd4a-4fac-4b15-85d7-06978ea9dd01 | originatingSampleOf (tissue): https://csvcoll.org/portal/collections/individual/index.php?guid=244a4614-9d3c-4714-b863-9b959504d25f | originatingSampleOf (tissue): https://csvcoll.org/portal/collections/individual/index.php?guid=19b12fa3-f78b-4d8f-abaf-289a8b7d7ba9 | originatingSampleOf (tissue): https://csvcoll.org/portal/collections/individual/index.php?guid=436cbc72-5d14-411e-bfae-63746399a4a2 | originatingSampleOf (tissue): https://csvcoll.org/portal/collections/individual/index.php?guid=6f571d7f-4a78-46a9-963a-0608d5f740b1 | originatingSampleOf (tissue): https://csvcoll.org/portal/collections/individual/index.php?guid=60550590-dfa5-451b-b3fd-17faf0a1180c | hostOf (tissue): https://csvcoll.org/portal/collections/individual/index.php?guid=ce7f6cb8-b7c7-40f7-b506-c52e69dbc34c | originatingSampleOf (fecal): https://csvcoll.org/portal/collections/individual/index.php?guid=3c3ae079-b47b-4be5-87a9-a5aff3c010ea | originatingSampleOf (blood): https://csvcoll.org/portal/collections/individual/index.php?guid=8a3425d7-ebdf-465e-a5ce-414a41827311 | originatingSampleOf (tissue): https://csvcoll.org/portal/collections/individual/index.php?guid=4b556c47-42fd-4f35-9fa9-bc330bbfb450</t>
  </si>
  <si>
    <t>ASUMAC008980</t>
  </si>
  <si>
    <t>3abf0fd4-679f-4bfe-80fe-7061a953e008</t>
  </si>
  <si>
    <t>subsampleOf (blood): https://csvcoll.org/portal/collections/individual/index.php?guid=4af01603-eb63-4cc0-b192-dd2a5e51038d</t>
  </si>
  <si>
    <t>ASUVTC001882</t>
  </si>
  <si>
    <t>d677dd4a-4fac-4b15-85d7-06978ea9dd01</t>
  </si>
  <si>
    <t>subsampleOf (tissue): https://csvcoll.org/portal/collections/individual/index.php?guid=4af01603-eb63-4cc0-b192-dd2a5e51038d</t>
  </si>
  <si>
    <t>ASUVTC001883</t>
  </si>
  <si>
    <t>244a4614-9d3c-4714-b863-9b959504d25f</t>
  </si>
  <si>
    <t>ASUVTC001884</t>
  </si>
  <si>
    <t>19b12fa3-f78b-4d8f-abaf-289a8b7d7ba9</t>
  </si>
  <si>
    <t>ASUVTC001885</t>
  </si>
  <si>
    <t>436cbc72-5d14-411e-bfae-63746399a4a2</t>
  </si>
  <si>
    <t>ASUVTC001886</t>
  </si>
  <si>
    <t>6f571d7f-4a78-46a9-963a-0608d5f740b1</t>
  </si>
  <si>
    <t>ASUVTC001887</t>
  </si>
  <si>
    <t>60550590-dfa5-451b-b3fd-17faf0a1180c</t>
  </si>
  <si>
    <t>ASUVTC001888</t>
  </si>
  <si>
    <t>ce7f6cb8-b7c7-40f7-b506-c52e69dbc34c</t>
  </si>
  <si>
    <t>hasHost (tissue): https://csvcoll.org/portal/collections/individual/index.php?guid=4af01603-eb63-4cc0-b192-dd2a5e51038d</t>
  </si>
  <si>
    <t>ASUVTC001889</t>
  </si>
  <si>
    <t>3c3ae079-b47b-4be5-87a9-a5aff3c010ea</t>
  </si>
  <si>
    <t>subsampleOf (fecal): https://csvcoll.org/portal/collections/individual/index.php?guid=4af01603-eb63-4cc0-b192-dd2a5e51038d</t>
  </si>
  <si>
    <t>ASUVTC001890</t>
  </si>
  <si>
    <t>8a3425d7-ebdf-465e-a5ce-414a41827311</t>
  </si>
  <si>
    <t>ASUVTC002034</t>
  </si>
  <si>
    <t>2024-01-22T23:57:03.580Z</t>
  </si>
  <si>
    <t>4b556c47-42fd-4f35-9fa9-bc330bbfb450</t>
  </si>
  <si>
    <t>ASUVTC002174</t>
  </si>
  <si>
    <t>828ac72f-1d37-49bd-b1cd-76dc5ed78a07</t>
  </si>
  <si>
    <t>Line 3-7</t>
  </si>
  <si>
    <t>NSU0104</t>
  </si>
  <si>
    <t>{ "measurements" : "TOT: 322, TV: 134, HFL: 32, EAR: 32, WGT: 215" , "preservationFluid" : "70 percent ethanol" }</t>
  </si>
  <si>
    <t>Testes Position: Scrot. | Testis size: 21 x 12 R | Epididymis: Con.</t>
  </si>
  <si>
    <t>originatingSampleOf (tissue): https://csvcoll.org/portal/collections/individual/index.php?guid=1629306d-a2a0-4c04-9853-5689df8fd5e4 | originatingSampleOf (tissue): https://csvcoll.org/portal/collections/individual/index.php?guid=348b61ab-a1c6-4fa4-90d4-85095c4f4a5b | originatingSampleOf (tissue): https://csvcoll.org/portal/collections/individual/index.php?guid=c4275b26-e433-4114-93ac-926284d2b7c3 | originatingSampleOf (tissue): https://csvcoll.org/portal/collections/individual/index.php?guid=2b2e25f6-eb23-48a4-b785-0449e13d221e | originatingSampleOf (tissue): https://csvcoll.org/portal/collections/individual/index.php?guid=dae996c3-c2f8-471b-bd69-a5f4541a0736 | originatingSampleOf (tissue): https://csvcoll.org/portal/collections/individual/index.php?guid=53703992-6350-4faa-98ca-b26b85cc1ca9 | originatingSampleOf (tissue): https://csvcoll.org/portal/collections/individual/index.php?guid=e86ffe2b-8213-4f9a-8f8a-e366a6b9297d | hostOf (tissue): https://csvcoll.org/portal/collections/individual/index.php?guid=0f4559d5-9f30-47d5-bf34-c328709f3a62 | hostOf (tissue): https://csvcoll.org/portal/collections/individual/index.php?guid=954f2941-d9e3-4a43-9d90-4d518d10c83d | hostOf (tissue): https://csvcoll.org/portal/collections/individual/index.php?guid=3415d7f3-c265-44bd-896f-470466b0d4ef | originatingSampleOf (fecal): https://csvcoll.org/portal/collections/individual/index.php?guid=0c24a343-05fc-46b3-9fa5-cea5d76d1aff | originatingSampleOf (blood): https://csvcoll.org/portal/collections/individual/index.php?guid=e1136cce-ac3d-432c-b29f-4e54ee80b334 | originatingSampleOf (tissue): https://csvcoll.org/portal/collections/individual/index.php?guid=351af7bb-a500-40d7-b7a9-ac9cd81e68f2</t>
  </si>
  <si>
    <t>ASUMAC008981</t>
  </si>
  <si>
    <t>2024-01-23T19:40:09.417Z</t>
  </si>
  <si>
    <t>351af7bb-a500-40d7-b7a9-ac9cd81e68f2</t>
  </si>
  <si>
    <t>subsampleOf (tissue): https://csvcoll.org/portal/collections/individual/index.php?guid=828ac72f-1d37-49bd-b1cd-76dc5ed78a07</t>
  </si>
  <si>
    <t>ASUVTC001829</t>
  </si>
  <si>
    <t>1629306d-a2a0-4c04-9853-5689df8fd5e4</t>
  </si>
  <si>
    <t>ASUVTC001891</t>
  </si>
  <si>
    <t>348b61ab-a1c6-4fa4-90d4-85095c4f4a5b</t>
  </si>
  <si>
    <t>ASUVTC001892</t>
  </si>
  <si>
    <t>c4275b26-e433-4114-93ac-926284d2b7c3</t>
  </si>
  <si>
    <t>ASUVTC001893</t>
  </si>
  <si>
    <t>2b2e25f6-eb23-48a4-b785-0449e13d221e</t>
  </si>
  <si>
    <t>hasHost (tissue): https://csvcoll.org/portal/collections/individual/index.php?guid=828ac72f-1d37-49bd-b1cd-76dc5ed78a07</t>
  </si>
  <si>
    <t>ASUVTC001894</t>
  </si>
  <si>
    <t>dae996c3-c2f8-471b-bd69-a5f4541a0736</t>
  </si>
  <si>
    <t>subsampleOf (fecal): https://csvcoll.org/portal/collections/individual/index.php?guid=828ac72f-1d37-49bd-b1cd-76dc5ed78a07</t>
  </si>
  <si>
    <t>ASUVTC001895</t>
  </si>
  <si>
    <t>53703992-6350-4faa-98ca-b26b85cc1ca9</t>
  </si>
  <si>
    <t>ASUVTC001896</t>
  </si>
  <si>
    <t>e86ffe2b-8213-4f9a-8f8a-e366a6b9297d</t>
  </si>
  <si>
    <t>ASUVTC001897</t>
  </si>
  <si>
    <t>0f4559d5-9f30-47d5-bf34-c328709f3a62</t>
  </si>
  <si>
    <t>ASUVTC001898</t>
  </si>
  <si>
    <t>954f2941-d9e3-4a43-9d90-4d518d10c83d</t>
  </si>
  <si>
    <t>ASUVTC001899</t>
  </si>
  <si>
    <t>3415d7f3-c265-44bd-896f-470466b0d4ef</t>
  </si>
  <si>
    <t>subsampleOf (blood): https://csvcoll.org/portal/collections/individual/index.php?guid=828ac72f-1d37-49bd-b1cd-76dc5ed78a07</t>
  </si>
  <si>
    <t>ASUVTC001900</t>
  </si>
  <si>
    <t>0c24a343-05fc-46b3-9fa5-cea5d76d1aff</t>
  </si>
  <si>
    <t>Unidentified tissue, possibly endoparasite</t>
  </si>
  <si>
    <t>ASUVTC001901</t>
  </si>
  <si>
    <t>e1136cce-ac3d-432c-b29f-4e54ee80b334</t>
  </si>
  <si>
    <t>ASUVTC002035</t>
  </si>
  <si>
    <t>2024-01-22T23:57:03.578Z</t>
  </si>
  <si>
    <t>545cf88e-7dcb-4d65-b492-96f696498dc8</t>
  </si>
  <si>
    <t>NSU0105</t>
  </si>
  <si>
    <t>{ "measurements" : "TOT: 214, TV: 99, HFL: 31, EAR: 16, WGT: 58" , "preservationFluid" : "None" }</t>
  </si>
  <si>
    <t>Testes Position: Scrot. | Testis size: 6 x 4 R | Epididymis: ND</t>
  </si>
  <si>
    <t>originatingSampleOf (tissue): https://csvcoll.org/portal/collections/individual/index.php?guid=059fe6e1-6d38-4b87-a06d-27b23d945ef7 | originatingSampleOf (tissue): https://csvcoll.org/portal/collections/individual/index.php?guid=c358fb8e-9348-4c2e-8735-73b1c1a233dd | originatingSampleOf (tissue): https://csvcoll.org/portal/collections/individual/index.php?guid=43818b04-8fd5-4d6c-896d-abc78aa91ebe | originatingSampleOf (tissue): https://csvcoll.org/portal/collections/individual/index.php?guid=0e556d36-e331-400a-a15d-6c1a95a50d41 | originatingSampleOf (tissue): https://csvcoll.org/portal/collections/individual/index.php?guid=01a325ad-4813-4330-b41e-a79b98d5c035 | originatingSampleOf (tissue): https://csvcoll.org/portal/collections/individual/index.php?guid=9f5aa780-fbdb-4684-be3f-71ce82923ac7 | originatingSampleOf (tissue): https://csvcoll.org/portal/collections/individual/index.php?guid=b9ba81aa-30d5-4540-906e-ab42fb934c59 | originatingSampleOf (fecal): https://csvcoll.org/portal/collections/individual/index.php?guid=e5cf3e61-908f-49c6-b2a4-79966dfa7631 | originatingSampleOf (blood): https://csvcoll.org/portal/collections/individual/index.php?guid=1f6494fc-ac41-419f-95fa-163140e0c488 | originatingSampleOf (tissue): https://csvcoll.org/portal/collections/individual/index.php?guid=20beefd2-1eff-453f-9aea-dd02a5e4e654</t>
  </si>
  <si>
    <t>ASUMAC008972</t>
  </si>
  <si>
    <t>2024-01-23T19:40:09.409Z</t>
  </si>
  <si>
    <t>20beefd2-1eff-453f-9aea-dd02a5e4e654</t>
  </si>
  <si>
    <t>subsampleOf (tissue): https://csvcoll.org/portal/collections/individual/index.php?guid=545cf88e-7dcb-4d65-b492-96f696498dc8</t>
  </si>
  <si>
    <t>ASUVTC001832</t>
  </si>
  <si>
    <t>059fe6e1-6d38-4b87-a06d-27b23d945ef7</t>
  </si>
  <si>
    <t>subsampleOf (blood): https://csvcoll.org/portal/collections/individual/index.php?guid=545cf88e-7dcb-4d65-b492-96f696498dc8</t>
  </si>
  <si>
    <t>ASUVTC001902</t>
  </si>
  <si>
    <t>c358fb8e-9348-4c2e-8735-73b1c1a233dd</t>
  </si>
  <si>
    <t>ASUVTC001903</t>
  </si>
  <si>
    <t>43818b04-8fd5-4d6c-896d-abc78aa91ebe</t>
  </si>
  <si>
    <t>ASUVTC001904</t>
  </si>
  <si>
    <t>0e556d36-e331-400a-a15d-6c1a95a50d41</t>
  </si>
  <si>
    <t>ASUVTC001905</t>
  </si>
  <si>
    <t>01a325ad-4813-4330-b41e-a79b98d5c035</t>
  </si>
  <si>
    <t>ASUVTC001906</t>
  </si>
  <si>
    <t>9f5aa780-fbdb-4684-be3f-71ce82923ac7</t>
  </si>
  <si>
    <t>ASUVTC001907</t>
  </si>
  <si>
    <t>b9ba81aa-30d5-4540-906e-ab42fb934c59</t>
  </si>
  <si>
    <t>ASUVTC001908</t>
  </si>
  <si>
    <t>e5cf3e61-908f-49c6-b2a4-79966dfa7631</t>
  </si>
  <si>
    <t>ASUVTC001909</t>
  </si>
  <si>
    <t>1f6494fc-ac41-419f-95fa-163140e0c488</t>
  </si>
  <si>
    <t>subsampleOf (fecal): https://csvcoll.org/portal/collections/individual/index.php?guid=545cf88e-7dcb-4d65-b492-96f696498dc8</t>
  </si>
  <si>
    <t>ASUVTC002036</t>
  </si>
  <si>
    <t>2024-01-22T23:57:03.583Z</t>
  </si>
  <si>
    <t>401df2c6-eebe-41e3-a21a-ad0bc79aaee3</t>
  </si>
  <si>
    <t>Line 3-8</t>
  </si>
  <si>
    <t>NSU0106</t>
  </si>
  <si>
    <t>{ "measurements" : "TOT: 204, TV: 86, HFL: 27, EAR: 15, WGT: 62" , "preservationFluid" : "None" }</t>
  </si>
  <si>
    <t>Testes Position: Scrot | Testis size: 9 x 5 R | Epididymis: Not Con.</t>
  </si>
  <si>
    <t>originatingSampleOf (tissue): https://csvcoll.org/portal/collections/individual/index.php?guid=c2321eb2-bba1-4663-8879-b8aa058f7930 | originatingSampleOf (tissue): https://csvcoll.org/portal/collections/individual/index.php?guid=d9515680-0b7a-4a9b-83dc-eaf6f682ff0a | originatingSampleOf (tissue): https://csvcoll.org/portal/collections/individual/index.php?guid=eda092a3-623a-4ccd-85ba-33c4e0cfdf88 | originatingSampleOf (tissue): https://csvcoll.org/portal/collections/individual/index.php?guid=767f19cd-a729-41ce-b189-c16af77a4f3c | originatingSampleOf (tissue): https://csvcoll.org/portal/collections/individual/index.php?guid=fb6ee7e2-ef7d-4f68-b737-707d9d0facbd | originatingSampleOf (tissue): https://csvcoll.org/portal/collections/individual/index.php?guid=a46212b3-8542-4a16-8176-63c8ffa4f284 | originatingSampleOf (tissue): https://csvcoll.org/portal/collections/individual/index.php?guid=7efbd6e8-3f2a-42a2-8e32-6db12e7931c1 | originatingSampleOf (fecal): https://csvcoll.org/portal/collections/individual/index.php?guid=399261c2-940f-4086-a1a1-4555307ef2ae | originatingSampleOf (blood): https://csvcoll.org/portal/collections/individual/index.php?guid=4d3a93e1-f6de-4c3c-a02d-ad4fc0de27d8</t>
  </si>
  <si>
    <t>ASUMAC008965</t>
  </si>
  <si>
    <t>2024-01-23T19:40:09.418Z</t>
  </si>
  <si>
    <t>c2321eb2-bba1-4663-8879-b8aa058f7930</t>
  </si>
  <si>
    <t>subsampleOf (tissue): https://csvcoll.org/portal/collections/individual/index.php?guid=401df2c6-eebe-41e3-a21a-ad0bc79aaee3</t>
  </si>
  <si>
    <t>ASUVTC001910</t>
  </si>
  <si>
    <t>d9515680-0b7a-4a9b-83dc-eaf6f682ff0a</t>
  </si>
  <si>
    <t>ASUVTC001911</t>
  </si>
  <si>
    <t>eda092a3-623a-4ccd-85ba-33c4e0cfdf88</t>
  </si>
  <si>
    <t>ASUVTC001912</t>
  </si>
  <si>
    <t>767f19cd-a729-41ce-b189-c16af77a4f3c</t>
  </si>
  <si>
    <t>ASUVTC001913</t>
  </si>
  <si>
    <t>fb6ee7e2-ef7d-4f68-b737-707d9d0facbd</t>
  </si>
  <si>
    <t>subsampleOf (fecal): https://csvcoll.org/portal/collections/individual/index.php?guid=401df2c6-eebe-41e3-a21a-ad0bc79aaee3</t>
  </si>
  <si>
    <t>ASUVTC001914</t>
  </si>
  <si>
    <t>2024-01-22T23:57:03.811Z</t>
  </si>
  <si>
    <t>a46212b3-8542-4a16-8176-63c8ffa4f284</t>
  </si>
  <si>
    <t>subsampleOf (blood): https://csvcoll.org/portal/collections/individual/index.php?guid=401df2c6-eebe-41e3-a21a-ad0bc79aaee3</t>
  </si>
  <si>
    <t>ASUVTC001915</t>
  </si>
  <si>
    <t>7efbd6e8-3f2a-42a2-8e32-6db12e7931c1</t>
  </si>
  <si>
    <t>ASUVTC001916</t>
  </si>
  <si>
    <t>399261c2-940f-4086-a1a1-4555307ef2ae</t>
  </si>
  <si>
    <t>ASUVTC001917</t>
  </si>
  <si>
    <t>4d3a93e1-f6de-4c3c-a02d-ad4fc0de27d8</t>
  </si>
  <si>
    <t>ASUVTC002037</t>
  </si>
  <si>
    <t>9350d969-6011-4619-b05a-2419d97458f7</t>
  </si>
  <si>
    <t>Line 3-10</t>
  </si>
  <si>
    <t>NSU0107</t>
  </si>
  <si>
    <t>{ "measurements" : "TOT: [142], TV: [56], HFL: 26, EAR: 11, WGT: 22" , "preservationFluid" : "70 percent ethanol" }</t>
  </si>
  <si>
    <t>originatingSampleOf (fecal): https://csvcoll.org/portal/collections/individual/index.php?guid=a6a498c2-481b-466b-8961-b682ceb48a26 | originatingSampleOf (tissue): https://csvcoll.org/portal/collections/individual/index.php?guid=01b2e3dc-f89e-42af-b780-3d22ae7390be | originatingSampleOf (tissue): https://csvcoll.org/portal/collections/individual/index.php?guid=82079c8a-fe69-4492-8066-3decd18db81e | originatingSampleOf (tissue): https://csvcoll.org/portal/collections/individual/index.php?guid=fc06d5f8-a2da-40f2-8e53-3591f8795488 | originatingSampleOf (tissue): https://csvcoll.org/portal/collections/individual/index.php?guid=f9d38201-a98e-4768-bcbc-9b22875213bf | originatingSampleOf (tissue): https://csvcoll.org/portal/collections/individual/index.php?guid=b7f453a6-917c-48aa-b22f-fef08e540afa | originatingSampleOf (blood): https://csvcoll.org/portal/collections/individual/index.php?guid=9c1a6811-8bd4-4a38-9378-4a27f98798e1</t>
  </si>
  <si>
    <t>ASUMAC008978</t>
  </si>
  <si>
    <t>a6a498c2-481b-466b-8961-b682ceb48a26</t>
  </si>
  <si>
    <t>subsampleOf (blood): https://csvcoll.org/portal/collections/individual/index.php?guid=9350d969-6011-4619-b05a-2419d97458f7</t>
  </si>
  <si>
    <t>ASUVTC001918</t>
  </si>
  <si>
    <t>9c1a6811-8bd4-4a38-9378-4a27f98798e1</t>
  </si>
  <si>
    <t>subsampleOf (fecal): https://csvcoll.org/portal/collections/individual/index.php?guid=9350d969-6011-4619-b05a-2419d97458f7</t>
  </si>
  <si>
    <t>ASUVTC002054</t>
  </si>
  <si>
    <t>01b2e3dc-f89e-42af-b780-3d22ae7390be</t>
  </si>
  <si>
    <t>subsampleOf (tissue): https://csvcoll.org/portal/collections/individual/index.php?guid=9350d969-6011-4619-b05a-2419d97458f7</t>
  </si>
  <si>
    <t>ASUVTC002161</t>
  </si>
  <si>
    <t>2024-01-22T23:57:03.592Z</t>
  </si>
  <si>
    <t>82079c8a-fe69-4492-8066-3decd18db81e</t>
  </si>
  <si>
    <t>ASUVTC002162</t>
  </si>
  <si>
    <t>2024-01-22T23:57:03.595Z</t>
  </si>
  <si>
    <t>fc06d5f8-a2da-40f2-8e53-3591f8795488</t>
  </si>
  <si>
    <t>ASUVTC002163</t>
  </si>
  <si>
    <t>2024-01-22T23:57:03.600Z</t>
  </si>
  <si>
    <t>f9d38201-a98e-4768-bcbc-9b22875213bf</t>
  </si>
  <si>
    <t>ASUVTC002204</t>
  </si>
  <si>
    <t>b7f453a6-917c-48aa-b22f-fef08e540afa</t>
  </si>
  <si>
    <t>ASUVTC002205</t>
  </si>
  <si>
    <t>Var1</t>
  </si>
  <si>
    <t>Freq</t>
  </si>
  <si>
    <t>ectoparasites</t>
  </si>
  <si>
    <t>endoparasites</t>
  </si>
  <si>
    <t>Cat</t>
  </si>
  <si>
    <t>both</t>
  </si>
  <si>
    <t>non-lethal</t>
  </si>
  <si>
    <t>lethal</t>
  </si>
  <si>
    <t>tail only (in trap)</t>
  </si>
  <si>
    <t>lethal_body</t>
  </si>
  <si>
    <t>nonLethal</t>
  </si>
  <si>
    <t>total</t>
  </si>
  <si>
    <t>trapSuccess</t>
  </si>
  <si>
    <t>FreqRaw</t>
  </si>
  <si>
    <t>LETHAL?</t>
  </si>
  <si>
    <t>feces-lethal</t>
  </si>
  <si>
    <t>feces-nonlethal</t>
  </si>
  <si>
    <t>ectos-lethal</t>
  </si>
  <si>
    <t>ectos-nonlethal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</si>
</sst>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643A-7F66-5849-9E46-946162A7D9BF}">
  <sheetPr filterMode="1"/>
  <dimension ref="A1:BL1802"/>
  <sheetViews>
    <sheetView topLeftCell="O1" zoomScale="120" zoomScaleNormal="120" workbookViewId="0">
      <selection activeCell="AD360" sqref="AD5:AD360"/>
    </sheetView>
  </sheetViews>
  <sheetFormatPr baseColWidth="10" defaultRowHeight="16" x14ac:dyDescent="0.2"/>
  <cols>
    <col min="26" max="28" width="0" hidden="1" customWidth="1"/>
    <col min="51" max="51" width="20.5" bestFit="1" customWidth="1"/>
  </cols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6177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hidden="1" x14ac:dyDescent="0.2">
      <c r="A2">
        <v>1611</v>
      </c>
      <c r="B2">
        <v>3744741522</v>
      </c>
      <c r="C2" t="s">
        <v>101</v>
      </c>
      <c r="D2" t="s">
        <v>102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M2" t="s">
        <v>72</v>
      </c>
      <c r="N2" t="s">
        <v>73</v>
      </c>
      <c r="O2" t="s">
        <v>71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s="1">
        <v>44520</v>
      </c>
      <c r="X2" t="s">
        <v>81</v>
      </c>
      <c r="Y2" t="s">
        <v>82</v>
      </c>
      <c r="Z2" t="s">
        <v>83</v>
      </c>
      <c r="AA2">
        <v>1</v>
      </c>
      <c r="AB2" t="s">
        <v>103</v>
      </c>
      <c r="AD2" t="s">
        <v>104</v>
      </c>
      <c r="AE2" t="s">
        <v>86</v>
      </c>
      <c r="AF2" t="s">
        <v>87</v>
      </c>
      <c r="AG2" t="s">
        <v>88</v>
      </c>
      <c r="AH2" t="s">
        <v>105</v>
      </c>
      <c r="AI2" t="s">
        <v>90</v>
      </c>
      <c r="AJ2">
        <v>32.500143999999999</v>
      </c>
      <c r="AK2">
        <v>-110.68186300000001</v>
      </c>
      <c r="AL2">
        <v>3</v>
      </c>
      <c r="AN2">
        <v>1322</v>
      </c>
      <c r="AP2">
        <v>1322</v>
      </c>
      <c r="AQ2">
        <v>1322.4087910000001</v>
      </c>
      <c r="AT2">
        <v>20</v>
      </c>
      <c r="AU2">
        <v>11</v>
      </c>
      <c r="AV2">
        <v>2021</v>
      </c>
      <c r="AW2">
        <v>2439581</v>
      </c>
      <c r="AX2">
        <v>2439581</v>
      </c>
      <c r="AY2" t="s">
        <v>106</v>
      </c>
      <c r="AZ2" t="s">
        <v>92</v>
      </c>
      <c r="BA2" t="s">
        <v>107</v>
      </c>
      <c r="BB2" t="s">
        <v>108</v>
      </c>
      <c r="BC2" t="s">
        <v>95</v>
      </c>
      <c r="BD2" s="1">
        <v>45126</v>
      </c>
      <c r="BE2" t="s">
        <v>96</v>
      </c>
      <c r="BG2" t="s">
        <v>97</v>
      </c>
      <c r="BI2" t="s">
        <v>98</v>
      </c>
      <c r="BJ2" t="s">
        <v>109</v>
      </c>
      <c r="BL2" t="s">
        <v>110</v>
      </c>
    </row>
    <row r="3" spans="1:64" hidden="1" x14ac:dyDescent="0.2">
      <c r="A3">
        <v>1614</v>
      </c>
      <c r="B3">
        <v>3744741519</v>
      </c>
      <c r="C3" t="s">
        <v>101</v>
      </c>
      <c r="D3" t="s">
        <v>111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M3" t="s">
        <v>72</v>
      </c>
      <c r="N3" t="s">
        <v>73</v>
      </c>
      <c r="O3" t="s">
        <v>71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s="1">
        <v>44520</v>
      </c>
      <c r="X3" t="s">
        <v>81</v>
      </c>
      <c r="Y3" t="s">
        <v>82</v>
      </c>
      <c r="Z3" t="s">
        <v>83</v>
      </c>
      <c r="AA3">
        <v>1</v>
      </c>
      <c r="AB3" t="s">
        <v>103</v>
      </c>
      <c r="AD3" t="s">
        <v>112</v>
      </c>
      <c r="AE3" t="s">
        <v>86</v>
      </c>
      <c r="AF3" t="s">
        <v>87</v>
      </c>
      <c r="AG3" t="s">
        <v>88</v>
      </c>
      <c r="AH3" t="s">
        <v>105</v>
      </c>
      <c r="AI3" t="s">
        <v>90</v>
      </c>
      <c r="AJ3">
        <v>32.500143999999999</v>
      </c>
      <c r="AK3">
        <v>-110.68186300000001</v>
      </c>
      <c r="AL3">
        <v>3</v>
      </c>
      <c r="AN3">
        <v>1322</v>
      </c>
      <c r="AP3">
        <v>1322</v>
      </c>
      <c r="AQ3">
        <v>1322.4087910000001</v>
      </c>
      <c r="AT3">
        <v>20</v>
      </c>
      <c r="AU3">
        <v>11</v>
      </c>
      <c r="AV3">
        <v>2021</v>
      </c>
      <c r="AW3">
        <v>2439581</v>
      </c>
      <c r="AX3">
        <v>2439581</v>
      </c>
      <c r="AY3" t="s">
        <v>106</v>
      </c>
      <c r="AZ3" t="s">
        <v>92</v>
      </c>
      <c r="BA3" t="s">
        <v>107</v>
      </c>
      <c r="BB3" t="s">
        <v>113</v>
      </c>
      <c r="BC3" t="s">
        <v>95</v>
      </c>
      <c r="BD3" s="1">
        <v>45126</v>
      </c>
      <c r="BE3" t="s">
        <v>96</v>
      </c>
      <c r="BG3" t="s">
        <v>97</v>
      </c>
      <c r="BI3" t="s">
        <v>98</v>
      </c>
      <c r="BJ3" t="s">
        <v>114</v>
      </c>
      <c r="BL3" t="s">
        <v>110</v>
      </c>
    </row>
    <row r="4" spans="1:64" hidden="1" x14ac:dyDescent="0.2">
      <c r="A4">
        <v>1613</v>
      </c>
      <c r="B4">
        <v>3744741520</v>
      </c>
      <c r="C4" t="s">
        <v>101</v>
      </c>
      <c r="D4" t="s">
        <v>115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M4" t="s">
        <v>72</v>
      </c>
      <c r="N4" t="s">
        <v>73</v>
      </c>
      <c r="O4" t="s">
        <v>71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s="1">
        <v>44520</v>
      </c>
      <c r="X4" t="s">
        <v>81</v>
      </c>
      <c r="Y4" t="s">
        <v>82</v>
      </c>
      <c r="Z4" t="s">
        <v>83</v>
      </c>
      <c r="AA4">
        <v>1</v>
      </c>
      <c r="AB4" t="s">
        <v>103</v>
      </c>
      <c r="AD4" t="s">
        <v>116</v>
      </c>
      <c r="AE4" t="s">
        <v>86</v>
      </c>
      <c r="AF4" t="s">
        <v>87</v>
      </c>
      <c r="AG4" t="s">
        <v>88</v>
      </c>
      <c r="AH4" t="s">
        <v>105</v>
      </c>
      <c r="AI4" t="s">
        <v>90</v>
      </c>
      <c r="AJ4">
        <v>32.500143999999999</v>
      </c>
      <c r="AK4">
        <v>-110.68186300000001</v>
      </c>
      <c r="AL4">
        <v>3</v>
      </c>
      <c r="AN4">
        <v>1322</v>
      </c>
      <c r="AP4">
        <v>1322</v>
      </c>
      <c r="AQ4">
        <v>1322.4087910000001</v>
      </c>
      <c r="AT4">
        <v>20</v>
      </c>
      <c r="AU4">
        <v>11</v>
      </c>
      <c r="AV4">
        <v>2021</v>
      </c>
      <c r="AW4">
        <v>2439581</v>
      </c>
      <c r="AX4">
        <v>2439581</v>
      </c>
      <c r="AY4" t="s">
        <v>106</v>
      </c>
      <c r="AZ4" t="s">
        <v>92</v>
      </c>
      <c r="BA4" t="s">
        <v>107</v>
      </c>
      <c r="BB4" t="s">
        <v>117</v>
      </c>
      <c r="BC4" t="s">
        <v>95</v>
      </c>
      <c r="BD4" s="1">
        <v>45126</v>
      </c>
      <c r="BE4" t="s">
        <v>96</v>
      </c>
      <c r="BG4" t="s">
        <v>97</v>
      </c>
      <c r="BI4" t="s">
        <v>98</v>
      </c>
      <c r="BJ4" t="s">
        <v>109</v>
      </c>
      <c r="BL4" t="s">
        <v>110</v>
      </c>
    </row>
    <row r="5" spans="1:64" x14ac:dyDescent="0.2">
      <c r="A5">
        <v>1786</v>
      </c>
      <c r="B5">
        <v>3744741316</v>
      </c>
      <c r="C5" t="s">
        <v>101</v>
      </c>
      <c r="D5" t="s">
        <v>4498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4195</v>
      </c>
      <c r="M5" t="s">
        <v>72</v>
      </c>
      <c r="N5" t="s">
        <v>4196</v>
      </c>
      <c r="O5" t="s">
        <v>4195</v>
      </c>
      <c r="P5" t="s">
        <v>4197</v>
      </c>
      <c r="Q5" t="s">
        <v>75</v>
      </c>
      <c r="R5" t="s">
        <v>4297</v>
      </c>
      <c r="S5" t="s">
        <v>4492</v>
      </c>
      <c r="T5" t="s">
        <v>78</v>
      </c>
      <c r="U5" t="s">
        <v>79</v>
      </c>
      <c r="V5" t="s">
        <v>80</v>
      </c>
      <c r="W5" s="1">
        <v>44521</v>
      </c>
      <c r="X5" t="s">
        <v>81</v>
      </c>
      <c r="Y5" t="s">
        <v>4493</v>
      </c>
      <c r="Z5" t="s">
        <v>83</v>
      </c>
      <c r="AA5">
        <v>1</v>
      </c>
      <c r="AB5" t="s">
        <v>103</v>
      </c>
      <c r="AC5">
        <v>0</v>
      </c>
      <c r="AD5" t="s">
        <v>119</v>
      </c>
      <c r="AE5" t="s">
        <v>86</v>
      </c>
      <c r="AF5" t="s">
        <v>146</v>
      </c>
      <c r="AG5" t="s">
        <v>4494</v>
      </c>
      <c r="AI5" t="s">
        <v>90</v>
      </c>
      <c r="AJ5">
        <v>32.500373000000003</v>
      </c>
      <c r="AK5">
        <v>-110.683768</v>
      </c>
      <c r="AL5">
        <v>3</v>
      </c>
      <c r="AN5">
        <v>1331</v>
      </c>
      <c r="AP5">
        <v>1331</v>
      </c>
      <c r="AQ5">
        <v>1334.118825</v>
      </c>
      <c r="AT5">
        <v>21</v>
      </c>
      <c r="AU5">
        <v>11</v>
      </c>
      <c r="AV5">
        <v>2021</v>
      </c>
      <c r="AW5">
        <v>2439589</v>
      </c>
      <c r="AX5">
        <v>2439589</v>
      </c>
      <c r="AY5" t="s">
        <v>106</v>
      </c>
      <c r="AZ5" t="s">
        <v>92</v>
      </c>
      <c r="BA5" t="s">
        <v>107</v>
      </c>
      <c r="BB5" t="s">
        <v>4499</v>
      </c>
      <c r="BC5" t="s">
        <v>97</v>
      </c>
      <c r="BE5" t="s">
        <v>96</v>
      </c>
      <c r="BG5" t="s">
        <v>97</v>
      </c>
      <c r="BI5" t="s">
        <v>98</v>
      </c>
      <c r="BJ5" t="s">
        <v>930</v>
      </c>
      <c r="BL5" t="s">
        <v>110</v>
      </c>
    </row>
    <row r="6" spans="1:64" hidden="1" x14ac:dyDescent="0.2">
      <c r="A6">
        <v>1617</v>
      </c>
      <c r="B6">
        <v>3744741516</v>
      </c>
      <c r="C6" t="s">
        <v>101</v>
      </c>
      <c r="D6" t="s">
        <v>122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M6" t="s">
        <v>72</v>
      </c>
      <c r="N6" t="s">
        <v>73</v>
      </c>
      <c r="O6" t="s">
        <v>71</v>
      </c>
      <c r="P6" t="s">
        <v>74</v>
      </c>
      <c r="Q6" t="s">
        <v>75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s="1">
        <v>44520</v>
      </c>
      <c r="X6" t="s">
        <v>81</v>
      </c>
      <c r="Y6" t="s">
        <v>82</v>
      </c>
      <c r="Z6" t="s">
        <v>83</v>
      </c>
      <c r="AA6">
        <v>1</v>
      </c>
      <c r="AB6" t="s">
        <v>103</v>
      </c>
      <c r="AD6" t="s">
        <v>123</v>
      </c>
      <c r="AE6" t="s">
        <v>86</v>
      </c>
      <c r="AF6" t="s">
        <v>87</v>
      </c>
      <c r="AG6" t="s">
        <v>88</v>
      </c>
      <c r="AH6" t="s">
        <v>105</v>
      </c>
      <c r="AI6" t="s">
        <v>90</v>
      </c>
      <c r="AJ6">
        <v>32.500143999999999</v>
      </c>
      <c r="AK6">
        <v>-110.68186300000001</v>
      </c>
      <c r="AL6">
        <v>3</v>
      </c>
      <c r="AN6">
        <v>1322</v>
      </c>
      <c r="AP6">
        <v>1322</v>
      </c>
      <c r="AQ6">
        <v>1322.4087910000001</v>
      </c>
      <c r="AT6">
        <v>20</v>
      </c>
      <c r="AU6">
        <v>11</v>
      </c>
      <c r="AV6">
        <v>2021</v>
      </c>
      <c r="AW6">
        <v>2439581</v>
      </c>
      <c r="AX6">
        <v>2439581</v>
      </c>
      <c r="AY6" t="s">
        <v>106</v>
      </c>
      <c r="AZ6" t="s">
        <v>92</v>
      </c>
      <c r="BA6" t="s">
        <v>107</v>
      </c>
      <c r="BB6" t="s">
        <v>124</v>
      </c>
      <c r="BC6" t="s">
        <v>95</v>
      </c>
      <c r="BD6" s="1">
        <v>45126</v>
      </c>
      <c r="BE6" t="s">
        <v>96</v>
      </c>
      <c r="BG6" t="s">
        <v>97</v>
      </c>
      <c r="BI6" t="s">
        <v>98</v>
      </c>
      <c r="BJ6" t="s">
        <v>125</v>
      </c>
      <c r="BL6" t="s">
        <v>110</v>
      </c>
    </row>
    <row r="7" spans="1:64" hidden="1" x14ac:dyDescent="0.2">
      <c r="A7">
        <v>1677</v>
      </c>
      <c r="B7">
        <v>3744741456</v>
      </c>
      <c r="C7" t="s">
        <v>101</v>
      </c>
      <c r="D7" t="s">
        <v>3563</v>
      </c>
      <c r="E7" t="s">
        <v>65</v>
      </c>
      <c r="F7" t="s">
        <v>66</v>
      </c>
      <c r="G7" t="s">
        <v>67</v>
      </c>
      <c r="H7" t="s">
        <v>68</v>
      </c>
      <c r="I7" t="s">
        <v>176</v>
      </c>
      <c r="J7" t="s">
        <v>773</v>
      </c>
      <c r="M7" t="s">
        <v>1072</v>
      </c>
      <c r="N7" t="s">
        <v>1073</v>
      </c>
      <c r="O7" t="s">
        <v>773</v>
      </c>
      <c r="P7" t="s">
        <v>1074</v>
      </c>
      <c r="Q7" t="s">
        <v>75</v>
      </c>
      <c r="R7" t="s">
        <v>3564</v>
      </c>
      <c r="S7" t="s">
        <v>3565</v>
      </c>
      <c r="T7" t="s">
        <v>78</v>
      </c>
      <c r="U7" t="s">
        <v>1822</v>
      </c>
      <c r="V7" t="s">
        <v>80</v>
      </c>
      <c r="W7" s="1">
        <v>44508</v>
      </c>
      <c r="X7" t="s">
        <v>1823</v>
      </c>
      <c r="Y7" t="s">
        <v>3566</v>
      </c>
      <c r="Z7" t="s">
        <v>83</v>
      </c>
      <c r="AA7">
        <v>1</v>
      </c>
      <c r="AB7" t="s">
        <v>127</v>
      </c>
      <c r="AC7">
        <v>0</v>
      </c>
      <c r="AD7" t="s">
        <v>128</v>
      </c>
      <c r="AE7" t="s">
        <v>3567</v>
      </c>
      <c r="AF7" t="s">
        <v>146</v>
      </c>
      <c r="AG7" t="s">
        <v>3568</v>
      </c>
      <c r="AI7" t="s">
        <v>90</v>
      </c>
      <c r="AJ7">
        <v>32.441074</v>
      </c>
      <c r="AK7">
        <v>-110.784778</v>
      </c>
      <c r="AL7">
        <v>3</v>
      </c>
      <c r="AN7">
        <v>2757</v>
      </c>
      <c r="AP7">
        <v>2757</v>
      </c>
      <c r="AQ7">
        <v>2777.4156790000002</v>
      </c>
      <c r="AT7">
        <v>8</v>
      </c>
      <c r="AU7">
        <v>11</v>
      </c>
      <c r="AV7">
        <v>2021</v>
      </c>
      <c r="AW7">
        <v>2438433</v>
      </c>
      <c r="AY7" t="s">
        <v>106</v>
      </c>
      <c r="AZ7" t="s">
        <v>92</v>
      </c>
      <c r="BA7" t="s">
        <v>107</v>
      </c>
      <c r="BB7" t="s">
        <v>3569</v>
      </c>
      <c r="BC7" t="s">
        <v>1186</v>
      </c>
      <c r="BE7" t="s">
        <v>96</v>
      </c>
      <c r="BG7" t="s">
        <v>1186</v>
      </c>
      <c r="BI7" t="s">
        <v>98</v>
      </c>
      <c r="BJ7" t="s">
        <v>3570</v>
      </c>
      <c r="BL7" t="s">
        <v>110</v>
      </c>
    </row>
    <row r="8" spans="1:64" hidden="1" x14ac:dyDescent="0.2">
      <c r="A8">
        <v>1619</v>
      </c>
      <c r="B8">
        <v>3744741514</v>
      </c>
      <c r="C8" t="s">
        <v>101</v>
      </c>
      <c r="D8" t="s">
        <v>132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M8" t="s">
        <v>72</v>
      </c>
      <c r="N8" t="s">
        <v>73</v>
      </c>
      <c r="O8" t="s">
        <v>71</v>
      </c>
      <c r="P8" t="s">
        <v>74</v>
      </c>
      <c r="Q8" t="s">
        <v>75</v>
      </c>
      <c r="R8" t="s">
        <v>76</v>
      </c>
      <c r="S8" t="s">
        <v>77</v>
      </c>
      <c r="T8" t="s">
        <v>78</v>
      </c>
      <c r="U8" t="s">
        <v>79</v>
      </c>
      <c r="V8" t="s">
        <v>80</v>
      </c>
      <c r="W8" s="1">
        <v>44520</v>
      </c>
      <c r="X8" t="s">
        <v>81</v>
      </c>
      <c r="Y8" t="s">
        <v>82</v>
      </c>
      <c r="Z8" t="s">
        <v>83</v>
      </c>
      <c r="AA8">
        <v>1</v>
      </c>
      <c r="AB8" t="s">
        <v>133</v>
      </c>
      <c r="AD8" t="s">
        <v>134</v>
      </c>
      <c r="AE8" t="s">
        <v>86</v>
      </c>
      <c r="AF8" t="s">
        <v>87</v>
      </c>
      <c r="AG8" t="s">
        <v>88</v>
      </c>
      <c r="AH8" t="s">
        <v>135</v>
      </c>
      <c r="AI8" t="s">
        <v>90</v>
      </c>
      <c r="AJ8">
        <v>32.500143999999999</v>
      </c>
      <c r="AK8">
        <v>-110.68186300000001</v>
      </c>
      <c r="AL8">
        <v>3</v>
      </c>
      <c r="AN8">
        <v>1322</v>
      </c>
      <c r="AP8">
        <v>1322</v>
      </c>
      <c r="AQ8">
        <v>1322.4087910000001</v>
      </c>
      <c r="AT8">
        <v>20</v>
      </c>
      <c r="AU8">
        <v>11</v>
      </c>
      <c r="AV8">
        <v>2021</v>
      </c>
      <c r="AW8">
        <v>2439581</v>
      </c>
      <c r="AX8">
        <v>2439581</v>
      </c>
      <c r="AY8" t="s">
        <v>106</v>
      </c>
      <c r="AZ8" t="s">
        <v>92</v>
      </c>
      <c r="BA8" t="s">
        <v>107</v>
      </c>
      <c r="BB8" t="s">
        <v>136</v>
      </c>
      <c r="BC8" t="s">
        <v>95</v>
      </c>
      <c r="BD8" s="1">
        <v>45126</v>
      </c>
      <c r="BE8" t="s">
        <v>96</v>
      </c>
      <c r="BG8" t="s">
        <v>97</v>
      </c>
      <c r="BI8" t="s">
        <v>98</v>
      </c>
      <c r="BJ8" t="s">
        <v>137</v>
      </c>
      <c r="BL8" t="s">
        <v>110</v>
      </c>
    </row>
    <row r="9" spans="1:64" hidden="1" x14ac:dyDescent="0.2">
      <c r="A9">
        <v>1618</v>
      </c>
      <c r="B9">
        <v>3744741515</v>
      </c>
      <c r="C9" t="s">
        <v>101</v>
      </c>
      <c r="D9" t="s">
        <v>138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  <c r="N9" t="s">
        <v>73</v>
      </c>
      <c r="O9" t="s">
        <v>71</v>
      </c>
      <c r="P9" t="s">
        <v>74</v>
      </c>
      <c r="Q9" t="s">
        <v>75</v>
      </c>
      <c r="R9" t="s">
        <v>76</v>
      </c>
      <c r="S9" t="s">
        <v>77</v>
      </c>
      <c r="T9" t="s">
        <v>78</v>
      </c>
      <c r="U9" t="s">
        <v>79</v>
      </c>
      <c r="V9" t="s">
        <v>80</v>
      </c>
      <c r="W9" s="1">
        <v>44520</v>
      </c>
      <c r="X9" t="s">
        <v>81</v>
      </c>
      <c r="Y9" t="s">
        <v>82</v>
      </c>
      <c r="Z9" t="s">
        <v>83</v>
      </c>
      <c r="AA9">
        <v>1</v>
      </c>
      <c r="AB9" t="s">
        <v>103</v>
      </c>
      <c r="AD9" t="s">
        <v>139</v>
      </c>
      <c r="AE9" t="s">
        <v>86</v>
      </c>
      <c r="AF9" t="s">
        <v>87</v>
      </c>
      <c r="AG9" t="s">
        <v>88</v>
      </c>
      <c r="AH9" t="s">
        <v>105</v>
      </c>
      <c r="AI9" t="s">
        <v>90</v>
      </c>
      <c r="AJ9">
        <v>32.500143999999999</v>
      </c>
      <c r="AK9">
        <v>-110.68186300000001</v>
      </c>
      <c r="AL9">
        <v>3</v>
      </c>
      <c r="AN9">
        <v>1322</v>
      </c>
      <c r="AP9">
        <v>1322</v>
      </c>
      <c r="AQ9">
        <v>1322.4087910000001</v>
      </c>
      <c r="AT9">
        <v>20</v>
      </c>
      <c r="AU9">
        <v>11</v>
      </c>
      <c r="AV9">
        <v>2021</v>
      </c>
      <c r="AW9">
        <v>2439581</v>
      </c>
      <c r="AX9">
        <v>2439581</v>
      </c>
      <c r="AY9" t="s">
        <v>106</v>
      </c>
      <c r="AZ9" t="s">
        <v>92</v>
      </c>
      <c r="BA9" t="s">
        <v>107</v>
      </c>
      <c r="BB9" t="s">
        <v>140</v>
      </c>
      <c r="BC9" t="s">
        <v>95</v>
      </c>
      <c r="BD9" s="1">
        <v>45126</v>
      </c>
      <c r="BE9" t="s">
        <v>96</v>
      </c>
      <c r="BG9" t="s">
        <v>97</v>
      </c>
      <c r="BI9" t="s">
        <v>98</v>
      </c>
      <c r="BJ9" t="s">
        <v>131</v>
      </c>
      <c r="BL9" t="s">
        <v>110</v>
      </c>
    </row>
    <row r="10" spans="1:64" hidden="1" x14ac:dyDescent="0.2">
      <c r="A10">
        <v>1621</v>
      </c>
      <c r="B10">
        <v>3744741512</v>
      </c>
      <c r="C10" t="s">
        <v>101</v>
      </c>
      <c r="D10" t="s">
        <v>151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M10" t="s">
        <v>72</v>
      </c>
      <c r="N10" t="s">
        <v>73</v>
      </c>
      <c r="O10" t="s">
        <v>71</v>
      </c>
      <c r="P10" t="s">
        <v>74</v>
      </c>
      <c r="Q10" t="s">
        <v>75</v>
      </c>
      <c r="R10" t="s">
        <v>76</v>
      </c>
      <c r="S10" t="s">
        <v>142</v>
      </c>
      <c r="T10" t="s">
        <v>78</v>
      </c>
      <c r="U10" t="s">
        <v>79</v>
      </c>
      <c r="V10" t="s">
        <v>80</v>
      </c>
      <c r="W10" s="1">
        <v>44520</v>
      </c>
      <c r="X10" t="s">
        <v>81</v>
      </c>
      <c r="Y10" t="s">
        <v>143</v>
      </c>
      <c r="Z10" t="s">
        <v>83</v>
      </c>
      <c r="AA10">
        <v>1</v>
      </c>
      <c r="AB10" t="s">
        <v>103</v>
      </c>
      <c r="AD10" t="s">
        <v>116</v>
      </c>
      <c r="AE10" t="s">
        <v>145</v>
      </c>
      <c r="AF10" t="s">
        <v>146</v>
      </c>
      <c r="AG10" t="s">
        <v>152</v>
      </c>
      <c r="AH10" t="s">
        <v>153</v>
      </c>
      <c r="AI10" t="s">
        <v>90</v>
      </c>
      <c r="AJ10">
        <v>32.499198</v>
      </c>
      <c r="AK10">
        <v>-110.681755</v>
      </c>
      <c r="AL10">
        <v>3</v>
      </c>
      <c r="AN10">
        <v>1318</v>
      </c>
      <c r="AP10">
        <v>1318</v>
      </c>
      <c r="AQ10">
        <v>1314.712929</v>
      </c>
      <c r="AT10">
        <v>20</v>
      </c>
      <c r="AU10">
        <v>11</v>
      </c>
      <c r="AV10">
        <v>2021</v>
      </c>
      <c r="AW10">
        <v>2439581</v>
      </c>
      <c r="AX10">
        <v>2439581</v>
      </c>
      <c r="AY10" t="s">
        <v>106</v>
      </c>
      <c r="AZ10" t="s">
        <v>92</v>
      </c>
      <c r="BA10" t="s">
        <v>107</v>
      </c>
      <c r="BB10" t="s">
        <v>154</v>
      </c>
      <c r="BC10" t="s">
        <v>97</v>
      </c>
      <c r="BE10" t="s">
        <v>96</v>
      </c>
      <c r="BG10" t="s">
        <v>97</v>
      </c>
      <c r="BI10" t="s">
        <v>98</v>
      </c>
      <c r="BJ10" t="s">
        <v>155</v>
      </c>
      <c r="BL10" t="s">
        <v>110</v>
      </c>
    </row>
    <row r="11" spans="1:64" hidden="1" x14ac:dyDescent="0.2">
      <c r="A11">
        <v>1620</v>
      </c>
      <c r="B11">
        <v>3744741513</v>
      </c>
      <c r="C11" t="s">
        <v>101</v>
      </c>
      <c r="D11" t="s">
        <v>156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M11" t="s">
        <v>72</v>
      </c>
      <c r="N11" t="s">
        <v>73</v>
      </c>
      <c r="O11" t="s">
        <v>71</v>
      </c>
      <c r="P11" t="s">
        <v>74</v>
      </c>
      <c r="Q11" t="s">
        <v>75</v>
      </c>
      <c r="R11" t="s">
        <v>76</v>
      </c>
      <c r="S11" t="s">
        <v>142</v>
      </c>
      <c r="T11" t="s">
        <v>78</v>
      </c>
      <c r="U11" t="s">
        <v>79</v>
      </c>
      <c r="V11" t="s">
        <v>80</v>
      </c>
      <c r="W11" s="1">
        <v>44520</v>
      </c>
      <c r="X11" t="s">
        <v>81</v>
      </c>
      <c r="Y11" t="s">
        <v>143</v>
      </c>
      <c r="Z11" t="s">
        <v>83</v>
      </c>
      <c r="AA11">
        <v>1</v>
      </c>
      <c r="AB11" t="s">
        <v>103</v>
      </c>
      <c r="AD11" t="s">
        <v>104</v>
      </c>
      <c r="AE11" t="s">
        <v>145</v>
      </c>
      <c r="AF11" t="s">
        <v>146</v>
      </c>
      <c r="AG11" t="s">
        <v>152</v>
      </c>
      <c r="AH11" t="s">
        <v>153</v>
      </c>
      <c r="AI11" t="s">
        <v>90</v>
      </c>
      <c r="AJ11">
        <v>32.499198</v>
      </c>
      <c r="AK11">
        <v>-110.681755</v>
      </c>
      <c r="AL11">
        <v>3</v>
      </c>
      <c r="AN11">
        <v>1318</v>
      </c>
      <c r="AP11">
        <v>1318</v>
      </c>
      <c r="AQ11">
        <v>1314.712929</v>
      </c>
      <c r="AT11">
        <v>20</v>
      </c>
      <c r="AU11">
        <v>11</v>
      </c>
      <c r="AV11">
        <v>2021</v>
      </c>
      <c r="AW11">
        <v>2439581</v>
      </c>
      <c r="AX11">
        <v>2439581</v>
      </c>
      <c r="AY11" t="s">
        <v>106</v>
      </c>
      <c r="AZ11" t="s">
        <v>92</v>
      </c>
      <c r="BA11" t="s">
        <v>107</v>
      </c>
      <c r="BB11" t="s">
        <v>157</v>
      </c>
      <c r="BC11" t="s">
        <v>97</v>
      </c>
      <c r="BE11" t="s">
        <v>96</v>
      </c>
      <c r="BG11" t="s">
        <v>97</v>
      </c>
      <c r="BI11" t="s">
        <v>98</v>
      </c>
      <c r="BJ11" t="s">
        <v>158</v>
      </c>
      <c r="BL11" t="s">
        <v>110</v>
      </c>
    </row>
    <row r="12" spans="1:64" x14ac:dyDescent="0.2">
      <c r="A12">
        <v>1279</v>
      </c>
      <c r="B12">
        <v>4022923434</v>
      </c>
      <c r="C12" t="s">
        <v>101</v>
      </c>
      <c r="D12" t="s">
        <v>4735</v>
      </c>
      <c r="E12" t="s">
        <v>65</v>
      </c>
      <c r="F12" t="s">
        <v>66</v>
      </c>
      <c r="G12" t="s">
        <v>67</v>
      </c>
      <c r="H12" t="s">
        <v>68</v>
      </c>
      <c r="I12" t="s">
        <v>176</v>
      </c>
      <c r="J12" t="s">
        <v>177</v>
      </c>
      <c r="K12" t="s">
        <v>178</v>
      </c>
      <c r="M12" t="s">
        <v>72</v>
      </c>
      <c r="N12" t="s">
        <v>179</v>
      </c>
      <c r="O12" t="s">
        <v>178</v>
      </c>
      <c r="P12" t="s">
        <v>180</v>
      </c>
      <c r="Q12" t="s">
        <v>75</v>
      </c>
      <c r="R12" t="s">
        <v>4501</v>
      </c>
      <c r="S12" t="s">
        <v>4732</v>
      </c>
      <c r="T12" t="s">
        <v>78</v>
      </c>
      <c r="U12" t="s">
        <v>3817</v>
      </c>
      <c r="V12" t="s">
        <v>80</v>
      </c>
      <c r="W12" s="1">
        <v>44534</v>
      </c>
      <c r="X12" t="s">
        <v>4502</v>
      </c>
      <c r="Y12" t="s">
        <v>4733</v>
      </c>
      <c r="Z12" t="s">
        <v>83</v>
      </c>
      <c r="AA12">
        <v>1</v>
      </c>
      <c r="AB12" t="s">
        <v>4517</v>
      </c>
      <c r="AC12">
        <v>0</v>
      </c>
      <c r="AD12" t="s">
        <v>119</v>
      </c>
      <c r="AE12" t="s">
        <v>86</v>
      </c>
      <c r="AF12" t="s">
        <v>610</v>
      </c>
      <c r="AG12" t="s">
        <v>875</v>
      </c>
      <c r="AI12" t="s">
        <v>90</v>
      </c>
      <c r="AJ12">
        <v>32.337369000000002</v>
      </c>
      <c r="AK12">
        <v>-110.719869</v>
      </c>
      <c r="AL12">
        <v>3</v>
      </c>
      <c r="AN12">
        <v>1468</v>
      </c>
      <c r="AP12">
        <v>1468</v>
      </c>
      <c r="AQ12">
        <v>1480.5584120000001</v>
      </c>
      <c r="AT12">
        <v>4</v>
      </c>
      <c r="AU12">
        <v>12</v>
      </c>
      <c r="AV12">
        <v>2021</v>
      </c>
      <c r="AW12">
        <v>2438038</v>
      </c>
      <c r="AX12">
        <v>2438038</v>
      </c>
      <c r="AY12" t="s">
        <v>106</v>
      </c>
      <c r="AZ12" t="s">
        <v>92</v>
      </c>
      <c r="BA12" t="s">
        <v>107</v>
      </c>
      <c r="BB12" t="s">
        <v>4736</v>
      </c>
      <c r="BC12" t="s">
        <v>1186</v>
      </c>
      <c r="BE12" t="s">
        <v>96</v>
      </c>
      <c r="BG12" t="s">
        <v>4507</v>
      </c>
      <c r="BI12" t="s">
        <v>98</v>
      </c>
      <c r="BJ12" t="s">
        <v>4737</v>
      </c>
      <c r="BL12" t="s">
        <v>412</v>
      </c>
    </row>
    <row r="13" spans="1:64" hidden="1" x14ac:dyDescent="0.2">
      <c r="A13">
        <v>1622</v>
      </c>
      <c r="B13">
        <v>3744741511</v>
      </c>
      <c r="C13" t="s">
        <v>101</v>
      </c>
      <c r="D13" t="s">
        <v>162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M13" t="s">
        <v>72</v>
      </c>
      <c r="N13" t="s">
        <v>73</v>
      </c>
      <c r="O13" t="s">
        <v>71</v>
      </c>
      <c r="P13" t="s">
        <v>74</v>
      </c>
      <c r="Q13" t="s">
        <v>75</v>
      </c>
      <c r="R13" t="s">
        <v>76</v>
      </c>
      <c r="S13" t="s">
        <v>142</v>
      </c>
      <c r="T13" t="s">
        <v>78</v>
      </c>
      <c r="U13" t="s">
        <v>79</v>
      </c>
      <c r="V13" t="s">
        <v>80</v>
      </c>
      <c r="W13" s="1">
        <v>44520</v>
      </c>
      <c r="X13" t="s">
        <v>81</v>
      </c>
      <c r="Y13" t="s">
        <v>143</v>
      </c>
      <c r="Z13" t="s">
        <v>83</v>
      </c>
      <c r="AA13">
        <v>1</v>
      </c>
      <c r="AB13" t="s">
        <v>103</v>
      </c>
      <c r="AD13" t="s">
        <v>112</v>
      </c>
      <c r="AE13" t="s">
        <v>145</v>
      </c>
      <c r="AF13" t="s">
        <v>146</v>
      </c>
      <c r="AG13" t="s">
        <v>152</v>
      </c>
      <c r="AH13" t="s">
        <v>153</v>
      </c>
      <c r="AI13" t="s">
        <v>90</v>
      </c>
      <c r="AJ13">
        <v>32.499198</v>
      </c>
      <c r="AK13">
        <v>-110.681755</v>
      </c>
      <c r="AL13">
        <v>3</v>
      </c>
      <c r="AN13">
        <v>1318</v>
      </c>
      <c r="AP13">
        <v>1318</v>
      </c>
      <c r="AQ13">
        <v>1314.712929</v>
      </c>
      <c r="AT13">
        <v>20</v>
      </c>
      <c r="AU13">
        <v>11</v>
      </c>
      <c r="AV13">
        <v>2021</v>
      </c>
      <c r="AW13">
        <v>2439581</v>
      </c>
      <c r="AX13">
        <v>2439581</v>
      </c>
      <c r="AY13" t="s">
        <v>106</v>
      </c>
      <c r="AZ13" t="s">
        <v>92</v>
      </c>
      <c r="BA13" t="s">
        <v>107</v>
      </c>
      <c r="BB13" t="s">
        <v>163</v>
      </c>
      <c r="BC13" t="s">
        <v>97</v>
      </c>
      <c r="BE13" t="s">
        <v>96</v>
      </c>
      <c r="BG13" t="s">
        <v>97</v>
      </c>
      <c r="BI13" t="s">
        <v>98</v>
      </c>
      <c r="BJ13" t="s">
        <v>158</v>
      </c>
      <c r="BL13" t="s">
        <v>110</v>
      </c>
    </row>
    <row r="14" spans="1:64" hidden="1" x14ac:dyDescent="0.2">
      <c r="A14">
        <v>1625</v>
      </c>
      <c r="B14">
        <v>3744741508</v>
      </c>
      <c r="C14" t="s">
        <v>101</v>
      </c>
      <c r="D14" t="s">
        <v>164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M14" t="s">
        <v>72</v>
      </c>
      <c r="N14" t="s">
        <v>73</v>
      </c>
      <c r="O14" t="s">
        <v>71</v>
      </c>
      <c r="P14" t="s">
        <v>74</v>
      </c>
      <c r="Q14" t="s">
        <v>75</v>
      </c>
      <c r="R14" t="s">
        <v>76</v>
      </c>
      <c r="S14" t="s">
        <v>142</v>
      </c>
      <c r="T14" t="s">
        <v>78</v>
      </c>
      <c r="U14" t="s">
        <v>79</v>
      </c>
      <c r="V14" t="s">
        <v>80</v>
      </c>
      <c r="W14" s="1">
        <v>44520</v>
      </c>
      <c r="X14" t="s">
        <v>81</v>
      </c>
      <c r="Y14" t="s">
        <v>143</v>
      </c>
      <c r="Z14" t="s">
        <v>83</v>
      </c>
      <c r="AA14">
        <v>1</v>
      </c>
      <c r="AB14" t="s">
        <v>103</v>
      </c>
      <c r="AD14" t="s">
        <v>123</v>
      </c>
      <c r="AE14" t="s">
        <v>145</v>
      </c>
      <c r="AF14" t="s">
        <v>146</v>
      </c>
      <c r="AG14" t="s">
        <v>152</v>
      </c>
      <c r="AH14" t="s">
        <v>153</v>
      </c>
      <c r="AI14" t="s">
        <v>90</v>
      </c>
      <c r="AJ14">
        <v>32.499198</v>
      </c>
      <c r="AK14">
        <v>-110.681755</v>
      </c>
      <c r="AL14">
        <v>3</v>
      </c>
      <c r="AN14">
        <v>1318</v>
      </c>
      <c r="AP14">
        <v>1318</v>
      </c>
      <c r="AQ14">
        <v>1314.712929</v>
      </c>
      <c r="AT14">
        <v>20</v>
      </c>
      <c r="AU14">
        <v>11</v>
      </c>
      <c r="AV14">
        <v>2021</v>
      </c>
      <c r="AW14">
        <v>2439581</v>
      </c>
      <c r="AX14">
        <v>2439581</v>
      </c>
      <c r="AY14" t="s">
        <v>106</v>
      </c>
      <c r="AZ14" t="s">
        <v>92</v>
      </c>
      <c r="BA14" t="s">
        <v>107</v>
      </c>
      <c r="BB14" t="s">
        <v>165</v>
      </c>
      <c r="BC14" t="s">
        <v>97</v>
      </c>
      <c r="BE14" t="s">
        <v>96</v>
      </c>
      <c r="BG14" t="s">
        <v>97</v>
      </c>
      <c r="BI14" t="s">
        <v>98</v>
      </c>
      <c r="BJ14" t="s">
        <v>161</v>
      </c>
      <c r="BL14" t="s">
        <v>110</v>
      </c>
    </row>
    <row r="15" spans="1:64" hidden="1" x14ac:dyDescent="0.2">
      <c r="A15">
        <v>1685</v>
      </c>
      <c r="B15">
        <v>3744741448</v>
      </c>
      <c r="C15" t="s">
        <v>101</v>
      </c>
      <c r="D15" t="s">
        <v>3571</v>
      </c>
      <c r="E15" t="s">
        <v>65</v>
      </c>
      <c r="F15" t="s">
        <v>66</v>
      </c>
      <c r="G15" t="s">
        <v>67</v>
      </c>
      <c r="H15" t="s">
        <v>68</v>
      </c>
      <c r="I15" t="s">
        <v>176</v>
      </c>
      <c r="J15" t="s">
        <v>177</v>
      </c>
      <c r="K15" t="s">
        <v>1817</v>
      </c>
      <c r="M15" t="s">
        <v>72</v>
      </c>
      <c r="N15" t="s">
        <v>1818</v>
      </c>
      <c r="O15" t="s">
        <v>1817</v>
      </c>
      <c r="P15" t="s">
        <v>1819</v>
      </c>
      <c r="Q15" t="s">
        <v>75</v>
      </c>
      <c r="R15" t="s">
        <v>3564</v>
      </c>
      <c r="S15" t="s">
        <v>3572</v>
      </c>
      <c r="T15" t="s">
        <v>78</v>
      </c>
      <c r="U15" t="s">
        <v>1822</v>
      </c>
      <c r="V15" t="s">
        <v>80</v>
      </c>
      <c r="W15" s="1">
        <v>44508</v>
      </c>
      <c r="X15" t="s">
        <v>1823</v>
      </c>
      <c r="Y15" t="s">
        <v>3573</v>
      </c>
      <c r="Z15" t="s">
        <v>83</v>
      </c>
      <c r="AA15">
        <v>1</v>
      </c>
      <c r="AB15" t="s">
        <v>127</v>
      </c>
      <c r="AC15">
        <v>0</v>
      </c>
      <c r="AD15" t="s">
        <v>128</v>
      </c>
      <c r="AE15" t="s">
        <v>3567</v>
      </c>
      <c r="AF15" t="s">
        <v>281</v>
      </c>
      <c r="AG15" t="s">
        <v>3568</v>
      </c>
      <c r="AH15" t="s">
        <v>3574</v>
      </c>
      <c r="AI15" t="s">
        <v>90</v>
      </c>
      <c r="AJ15">
        <v>32.441079000000002</v>
      </c>
      <c r="AK15">
        <v>-110.784901</v>
      </c>
      <c r="AL15">
        <v>3</v>
      </c>
      <c r="AN15">
        <v>2780</v>
      </c>
      <c r="AP15">
        <v>2780</v>
      </c>
      <c r="AQ15">
        <v>2778.9227989999999</v>
      </c>
      <c r="AT15">
        <v>8</v>
      </c>
      <c r="AU15">
        <v>11</v>
      </c>
      <c r="AV15">
        <v>2021</v>
      </c>
      <c r="AW15">
        <v>2437967</v>
      </c>
      <c r="AX15">
        <v>2437967</v>
      </c>
      <c r="AY15" t="s">
        <v>106</v>
      </c>
      <c r="AZ15" t="s">
        <v>92</v>
      </c>
      <c r="BA15" t="s">
        <v>107</v>
      </c>
      <c r="BB15" t="s">
        <v>3575</v>
      </c>
      <c r="BC15" t="s">
        <v>1186</v>
      </c>
      <c r="BE15" t="s">
        <v>96</v>
      </c>
      <c r="BG15" t="s">
        <v>1186</v>
      </c>
      <c r="BI15" t="s">
        <v>98</v>
      </c>
      <c r="BJ15" t="s">
        <v>2606</v>
      </c>
      <c r="BL15" t="s">
        <v>110</v>
      </c>
    </row>
    <row r="16" spans="1:64" hidden="1" x14ac:dyDescent="0.2">
      <c r="A16">
        <v>1626</v>
      </c>
      <c r="B16">
        <v>3744741507</v>
      </c>
      <c r="C16" t="s">
        <v>101</v>
      </c>
      <c r="D16" t="s">
        <v>169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M16" t="s">
        <v>72</v>
      </c>
      <c r="N16" t="s">
        <v>73</v>
      </c>
      <c r="O16" t="s">
        <v>71</v>
      </c>
      <c r="P16" t="s">
        <v>74</v>
      </c>
      <c r="Q16" t="s">
        <v>75</v>
      </c>
      <c r="R16" t="s">
        <v>76</v>
      </c>
      <c r="S16" t="s">
        <v>142</v>
      </c>
      <c r="T16" t="s">
        <v>78</v>
      </c>
      <c r="U16" t="s">
        <v>79</v>
      </c>
      <c r="V16" t="s">
        <v>80</v>
      </c>
      <c r="W16" s="1">
        <v>44520</v>
      </c>
      <c r="X16" t="s">
        <v>81</v>
      </c>
      <c r="Y16" t="s">
        <v>143</v>
      </c>
      <c r="Z16" t="s">
        <v>83</v>
      </c>
      <c r="AA16">
        <v>1</v>
      </c>
      <c r="AB16" t="s">
        <v>103</v>
      </c>
      <c r="AD16" t="s">
        <v>139</v>
      </c>
      <c r="AE16" t="s">
        <v>145</v>
      </c>
      <c r="AF16" t="s">
        <v>146</v>
      </c>
      <c r="AG16" t="s">
        <v>152</v>
      </c>
      <c r="AH16" t="s">
        <v>153</v>
      </c>
      <c r="AI16" t="s">
        <v>90</v>
      </c>
      <c r="AJ16">
        <v>32.499198</v>
      </c>
      <c r="AK16">
        <v>-110.681755</v>
      </c>
      <c r="AL16">
        <v>3</v>
      </c>
      <c r="AN16">
        <v>1318</v>
      </c>
      <c r="AP16">
        <v>1318</v>
      </c>
      <c r="AQ16">
        <v>1314.712929</v>
      </c>
      <c r="AT16">
        <v>20</v>
      </c>
      <c r="AU16">
        <v>11</v>
      </c>
      <c r="AV16">
        <v>2021</v>
      </c>
      <c r="AW16">
        <v>2439581</v>
      </c>
      <c r="AX16">
        <v>2439581</v>
      </c>
      <c r="AY16" t="s">
        <v>106</v>
      </c>
      <c r="AZ16" t="s">
        <v>92</v>
      </c>
      <c r="BA16" t="s">
        <v>107</v>
      </c>
      <c r="BB16" t="s">
        <v>170</v>
      </c>
      <c r="BC16" t="s">
        <v>97</v>
      </c>
      <c r="BE16" t="s">
        <v>96</v>
      </c>
      <c r="BG16" t="s">
        <v>97</v>
      </c>
      <c r="BI16" t="s">
        <v>98</v>
      </c>
      <c r="BJ16" t="s">
        <v>171</v>
      </c>
      <c r="BL16" t="s">
        <v>110</v>
      </c>
    </row>
    <row r="17" spans="1:64" hidden="1" x14ac:dyDescent="0.2">
      <c r="A17">
        <v>1629</v>
      </c>
      <c r="B17">
        <v>3744741504</v>
      </c>
      <c r="C17" t="s">
        <v>101</v>
      </c>
      <c r="D17" t="s">
        <v>172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M17" t="s">
        <v>72</v>
      </c>
      <c r="N17" t="s">
        <v>73</v>
      </c>
      <c r="O17" t="s">
        <v>71</v>
      </c>
      <c r="P17" t="s">
        <v>74</v>
      </c>
      <c r="Q17" t="s">
        <v>75</v>
      </c>
      <c r="R17" t="s">
        <v>76</v>
      </c>
      <c r="S17" t="s">
        <v>142</v>
      </c>
      <c r="T17" t="s">
        <v>78</v>
      </c>
      <c r="U17" t="s">
        <v>79</v>
      </c>
      <c r="V17" t="s">
        <v>80</v>
      </c>
      <c r="W17" s="1">
        <v>44520</v>
      </c>
      <c r="X17" t="s">
        <v>81</v>
      </c>
      <c r="Y17" t="s">
        <v>143</v>
      </c>
      <c r="Z17" t="s">
        <v>83</v>
      </c>
      <c r="AA17">
        <v>1</v>
      </c>
      <c r="AB17" t="s">
        <v>133</v>
      </c>
      <c r="AD17" t="s">
        <v>134</v>
      </c>
      <c r="AE17" t="s">
        <v>145</v>
      </c>
      <c r="AF17" t="s">
        <v>146</v>
      </c>
      <c r="AG17" t="s">
        <v>152</v>
      </c>
      <c r="AH17" t="s">
        <v>173</v>
      </c>
      <c r="AI17" t="s">
        <v>90</v>
      </c>
      <c r="AJ17">
        <v>32.499198</v>
      </c>
      <c r="AK17">
        <v>-110.681755</v>
      </c>
      <c r="AL17">
        <v>3</v>
      </c>
      <c r="AN17">
        <v>1318</v>
      </c>
      <c r="AP17">
        <v>1318</v>
      </c>
      <c r="AQ17">
        <v>1314.712929</v>
      </c>
      <c r="AT17">
        <v>20</v>
      </c>
      <c r="AU17">
        <v>11</v>
      </c>
      <c r="AV17">
        <v>2021</v>
      </c>
      <c r="AW17">
        <v>2439581</v>
      </c>
      <c r="AX17">
        <v>2439581</v>
      </c>
      <c r="AY17" t="s">
        <v>106</v>
      </c>
      <c r="AZ17" t="s">
        <v>92</v>
      </c>
      <c r="BA17" t="s">
        <v>107</v>
      </c>
      <c r="BB17" t="s">
        <v>174</v>
      </c>
      <c r="BC17" t="s">
        <v>97</v>
      </c>
      <c r="BE17" t="s">
        <v>96</v>
      </c>
      <c r="BG17" t="s">
        <v>97</v>
      </c>
      <c r="BI17" t="s">
        <v>98</v>
      </c>
      <c r="BJ17" t="s">
        <v>171</v>
      </c>
      <c r="BL17" t="s">
        <v>110</v>
      </c>
    </row>
    <row r="18" spans="1:64" hidden="1" x14ac:dyDescent="0.2">
      <c r="A18">
        <v>1627</v>
      </c>
      <c r="B18">
        <v>3744741506</v>
      </c>
      <c r="C18" t="s">
        <v>101</v>
      </c>
      <c r="D18" t="s">
        <v>188</v>
      </c>
      <c r="E18" t="s">
        <v>65</v>
      </c>
      <c r="F18" t="s">
        <v>66</v>
      </c>
      <c r="G18" t="s">
        <v>67</v>
      </c>
      <c r="H18" t="s">
        <v>68</v>
      </c>
      <c r="I18" t="s">
        <v>176</v>
      </c>
      <c r="J18" t="s">
        <v>177</v>
      </c>
      <c r="K18" t="s">
        <v>178</v>
      </c>
      <c r="M18" t="s">
        <v>72</v>
      </c>
      <c r="N18" t="s">
        <v>179</v>
      </c>
      <c r="O18" t="s">
        <v>178</v>
      </c>
      <c r="P18" t="s">
        <v>180</v>
      </c>
      <c r="Q18" t="s">
        <v>75</v>
      </c>
      <c r="R18" t="s">
        <v>76</v>
      </c>
      <c r="S18" t="s">
        <v>181</v>
      </c>
      <c r="T18" t="s">
        <v>78</v>
      </c>
      <c r="U18" t="s">
        <v>79</v>
      </c>
      <c r="V18" t="s">
        <v>80</v>
      </c>
      <c r="W18" s="1">
        <v>44520</v>
      </c>
      <c r="X18" t="s">
        <v>81</v>
      </c>
      <c r="Y18" t="s">
        <v>182</v>
      </c>
      <c r="Z18" t="s">
        <v>83</v>
      </c>
      <c r="AA18">
        <v>1</v>
      </c>
      <c r="AB18" t="s">
        <v>103</v>
      </c>
      <c r="AD18" t="s">
        <v>104</v>
      </c>
      <c r="AE18" t="s">
        <v>86</v>
      </c>
      <c r="AF18" t="s">
        <v>146</v>
      </c>
      <c r="AG18" t="s">
        <v>184</v>
      </c>
      <c r="AH18" t="s">
        <v>189</v>
      </c>
      <c r="AI18" t="s">
        <v>90</v>
      </c>
      <c r="AJ18">
        <v>32.500329000000001</v>
      </c>
      <c r="AK18">
        <v>-110.68177799999999</v>
      </c>
      <c r="AL18">
        <v>3</v>
      </c>
      <c r="AN18">
        <v>1318</v>
      </c>
      <c r="AP18">
        <v>1318</v>
      </c>
      <c r="AQ18">
        <v>1325.0239079999999</v>
      </c>
      <c r="AT18">
        <v>20</v>
      </c>
      <c r="AU18">
        <v>11</v>
      </c>
      <c r="AV18">
        <v>2021</v>
      </c>
      <c r="AW18">
        <v>2438038</v>
      </c>
      <c r="AX18">
        <v>2438038</v>
      </c>
      <c r="AY18" t="s">
        <v>106</v>
      </c>
      <c r="AZ18" t="s">
        <v>92</v>
      </c>
      <c r="BA18" t="s">
        <v>107</v>
      </c>
      <c r="BB18" t="s">
        <v>190</v>
      </c>
      <c r="BC18" t="s">
        <v>97</v>
      </c>
      <c r="BE18" t="s">
        <v>96</v>
      </c>
      <c r="BG18" t="s">
        <v>97</v>
      </c>
      <c r="BI18" t="s">
        <v>98</v>
      </c>
      <c r="BJ18" t="s">
        <v>114</v>
      </c>
      <c r="BL18" t="s">
        <v>110</v>
      </c>
    </row>
    <row r="19" spans="1:64" hidden="1" x14ac:dyDescent="0.2">
      <c r="A19">
        <v>1633</v>
      </c>
      <c r="B19">
        <v>3744741500</v>
      </c>
      <c r="C19" t="s">
        <v>101</v>
      </c>
      <c r="D19" t="s">
        <v>191</v>
      </c>
      <c r="E19" t="s">
        <v>65</v>
      </c>
      <c r="F19" t="s">
        <v>66</v>
      </c>
      <c r="G19" t="s">
        <v>67</v>
      </c>
      <c r="H19" t="s">
        <v>68</v>
      </c>
      <c r="I19" t="s">
        <v>176</v>
      </c>
      <c r="J19" t="s">
        <v>177</v>
      </c>
      <c r="K19" t="s">
        <v>178</v>
      </c>
      <c r="M19" t="s">
        <v>72</v>
      </c>
      <c r="N19" t="s">
        <v>179</v>
      </c>
      <c r="O19" t="s">
        <v>178</v>
      </c>
      <c r="P19" t="s">
        <v>180</v>
      </c>
      <c r="Q19" t="s">
        <v>75</v>
      </c>
      <c r="R19" t="s">
        <v>76</v>
      </c>
      <c r="S19" t="s">
        <v>181</v>
      </c>
      <c r="T19" t="s">
        <v>78</v>
      </c>
      <c r="U19" t="s">
        <v>79</v>
      </c>
      <c r="V19" t="s">
        <v>80</v>
      </c>
      <c r="W19" s="1">
        <v>44520</v>
      </c>
      <c r="X19" t="s">
        <v>81</v>
      </c>
      <c r="Y19" t="s">
        <v>182</v>
      </c>
      <c r="Z19" t="s">
        <v>83</v>
      </c>
      <c r="AA19">
        <v>1</v>
      </c>
      <c r="AB19" t="s">
        <v>103</v>
      </c>
      <c r="AD19" t="s">
        <v>112</v>
      </c>
      <c r="AE19" t="s">
        <v>86</v>
      </c>
      <c r="AF19" t="s">
        <v>146</v>
      </c>
      <c r="AG19" t="s">
        <v>184</v>
      </c>
      <c r="AH19" t="s">
        <v>189</v>
      </c>
      <c r="AI19" t="s">
        <v>90</v>
      </c>
      <c r="AJ19">
        <v>32.500329000000001</v>
      </c>
      <c r="AK19">
        <v>-110.68177799999999</v>
      </c>
      <c r="AL19">
        <v>3</v>
      </c>
      <c r="AN19">
        <v>1318</v>
      </c>
      <c r="AP19">
        <v>1318</v>
      </c>
      <c r="AQ19">
        <v>1325.0239079999999</v>
      </c>
      <c r="AT19">
        <v>20</v>
      </c>
      <c r="AU19">
        <v>11</v>
      </c>
      <c r="AV19">
        <v>2021</v>
      </c>
      <c r="AW19">
        <v>2438038</v>
      </c>
      <c r="AX19">
        <v>2438038</v>
      </c>
      <c r="AY19" t="s">
        <v>106</v>
      </c>
      <c r="AZ19" t="s">
        <v>92</v>
      </c>
      <c r="BA19" t="s">
        <v>107</v>
      </c>
      <c r="BB19" t="s">
        <v>192</v>
      </c>
      <c r="BC19" t="s">
        <v>97</v>
      </c>
      <c r="BE19" t="s">
        <v>96</v>
      </c>
      <c r="BG19" t="s">
        <v>97</v>
      </c>
      <c r="BI19" t="s">
        <v>98</v>
      </c>
      <c r="BJ19" t="s">
        <v>171</v>
      </c>
      <c r="BL19" t="s">
        <v>110</v>
      </c>
    </row>
    <row r="20" spans="1:64" hidden="1" x14ac:dyDescent="0.2">
      <c r="A20">
        <v>1631</v>
      </c>
      <c r="B20">
        <v>3744741502</v>
      </c>
      <c r="C20" t="s">
        <v>101</v>
      </c>
      <c r="D20" t="s">
        <v>193</v>
      </c>
      <c r="E20" t="s">
        <v>65</v>
      </c>
      <c r="F20" t="s">
        <v>66</v>
      </c>
      <c r="G20" t="s">
        <v>67</v>
      </c>
      <c r="H20" t="s">
        <v>68</v>
      </c>
      <c r="I20" t="s">
        <v>176</v>
      </c>
      <c r="J20" t="s">
        <v>177</v>
      </c>
      <c r="K20" t="s">
        <v>178</v>
      </c>
      <c r="M20" t="s">
        <v>72</v>
      </c>
      <c r="N20" t="s">
        <v>179</v>
      </c>
      <c r="O20" t="s">
        <v>178</v>
      </c>
      <c r="P20" t="s">
        <v>180</v>
      </c>
      <c r="Q20" t="s">
        <v>75</v>
      </c>
      <c r="R20" t="s">
        <v>76</v>
      </c>
      <c r="S20" t="s">
        <v>181</v>
      </c>
      <c r="T20" t="s">
        <v>78</v>
      </c>
      <c r="U20" t="s">
        <v>79</v>
      </c>
      <c r="V20" t="s">
        <v>80</v>
      </c>
      <c r="W20" s="1">
        <v>44520</v>
      </c>
      <c r="X20" t="s">
        <v>81</v>
      </c>
      <c r="Y20" t="s">
        <v>182</v>
      </c>
      <c r="Z20" t="s">
        <v>83</v>
      </c>
      <c r="AA20">
        <v>1</v>
      </c>
      <c r="AB20" t="s">
        <v>103</v>
      </c>
      <c r="AD20" t="s">
        <v>116</v>
      </c>
      <c r="AE20" t="s">
        <v>86</v>
      </c>
      <c r="AF20" t="s">
        <v>146</v>
      </c>
      <c r="AG20" t="s">
        <v>184</v>
      </c>
      <c r="AH20" t="s">
        <v>189</v>
      </c>
      <c r="AI20" t="s">
        <v>90</v>
      </c>
      <c r="AJ20">
        <v>32.500329000000001</v>
      </c>
      <c r="AK20">
        <v>-110.68177799999999</v>
      </c>
      <c r="AL20">
        <v>3</v>
      </c>
      <c r="AN20">
        <v>1318</v>
      </c>
      <c r="AP20">
        <v>1318</v>
      </c>
      <c r="AQ20">
        <v>1325.0239079999999</v>
      </c>
      <c r="AT20">
        <v>20</v>
      </c>
      <c r="AU20">
        <v>11</v>
      </c>
      <c r="AV20">
        <v>2021</v>
      </c>
      <c r="AW20">
        <v>2438038</v>
      </c>
      <c r="AX20">
        <v>2438038</v>
      </c>
      <c r="AY20" t="s">
        <v>106</v>
      </c>
      <c r="AZ20" t="s">
        <v>92</v>
      </c>
      <c r="BA20" t="s">
        <v>107</v>
      </c>
      <c r="BB20" t="s">
        <v>194</v>
      </c>
      <c r="BC20" t="s">
        <v>97</v>
      </c>
      <c r="BE20" t="s">
        <v>96</v>
      </c>
      <c r="BG20" t="s">
        <v>97</v>
      </c>
      <c r="BI20" t="s">
        <v>98</v>
      </c>
      <c r="BJ20" t="s">
        <v>171</v>
      </c>
      <c r="BL20" t="s">
        <v>110</v>
      </c>
    </row>
    <row r="21" spans="1:64" hidden="1" x14ac:dyDescent="0.2">
      <c r="A21">
        <v>1551</v>
      </c>
      <c r="B21">
        <v>3744741582</v>
      </c>
      <c r="C21" t="s">
        <v>101</v>
      </c>
      <c r="D21" t="s">
        <v>3792</v>
      </c>
      <c r="E21" t="s">
        <v>65</v>
      </c>
      <c r="F21" t="s">
        <v>66</v>
      </c>
      <c r="G21" t="s">
        <v>67</v>
      </c>
      <c r="H21" t="s">
        <v>68</v>
      </c>
      <c r="I21" t="s">
        <v>176</v>
      </c>
      <c r="J21" t="s">
        <v>773</v>
      </c>
      <c r="K21" t="s">
        <v>774</v>
      </c>
      <c r="M21" t="s">
        <v>72</v>
      </c>
      <c r="N21" t="s">
        <v>775</v>
      </c>
      <c r="O21" t="s">
        <v>774</v>
      </c>
      <c r="P21" t="s">
        <v>776</v>
      </c>
      <c r="Q21" t="s">
        <v>75</v>
      </c>
      <c r="R21" t="s">
        <v>3733</v>
      </c>
      <c r="S21" t="s">
        <v>3788</v>
      </c>
      <c r="T21" t="s">
        <v>78</v>
      </c>
      <c r="U21" t="s">
        <v>1822</v>
      </c>
      <c r="V21" t="s">
        <v>80</v>
      </c>
      <c r="W21" s="1">
        <v>44508</v>
      </c>
      <c r="X21" t="s">
        <v>1823</v>
      </c>
      <c r="Y21" t="s">
        <v>3789</v>
      </c>
      <c r="Z21" t="s">
        <v>83</v>
      </c>
      <c r="AA21">
        <v>1</v>
      </c>
      <c r="AB21" t="s">
        <v>127</v>
      </c>
      <c r="AC21">
        <v>0</v>
      </c>
      <c r="AD21" t="s">
        <v>128</v>
      </c>
      <c r="AE21" t="s">
        <v>86</v>
      </c>
      <c r="AF21" t="s">
        <v>146</v>
      </c>
      <c r="AG21" t="s">
        <v>1825</v>
      </c>
      <c r="AH21" t="s">
        <v>3793</v>
      </c>
      <c r="AI21" t="s">
        <v>90</v>
      </c>
      <c r="AJ21">
        <v>32.441161000000001</v>
      </c>
      <c r="AK21">
        <v>-110.7872</v>
      </c>
      <c r="AL21">
        <v>4</v>
      </c>
      <c r="AN21">
        <v>2796</v>
      </c>
      <c r="AP21">
        <v>2796</v>
      </c>
      <c r="AQ21">
        <v>2788.4832000000001</v>
      </c>
      <c r="AT21">
        <v>8</v>
      </c>
      <c r="AU21">
        <v>11</v>
      </c>
      <c r="AV21">
        <v>2021</v>
      </c>
      <c r="AW21">
        <v>2438447</v>
      </c>
      <c r="AX21">
        <v>2438447</v>
      </c>
      <c r="AY21" t="s">
        <v>106</v>
      </c>
      <c r="AZ21" t="s">
        <v>92</v>
      </c>
      <c r="BA21" t="s">
        <v>107</v>
      </c>
      <c r="BB21" t="s">
        <v>3794</v>
      </c>
      <c r="BC21" t="s">
        <v>1186</v>
      </c>
      <c r="BE21" t="s">
        <v>96</v>
      </c>
      <c r="BG21" t="s">
        <v>1186</v>
      </c>
      <c r="BI21" t="s">
        <v>98</v>
      </c>
      <c r="BJ21" t="s">
        <v>2511</v>
      </c>
      <c r="BL21" t="s">
        <v>110</v>
      </c>
    </row>
    <row r="22" spans="1:64" x14ac:dyDescent="0.2">
      <c r="A22">
        <v>1081</v>
      </c>
      <c r="B22">
        <v>4027015349</v>
      </c>
      <c r="C22" t="s">
        <v>101</v>
      </c>
      <c r="D22" t="s">
        <v>767</v>
      </c>
      <c r="E22" t="s">
        <v>65</v>
      </c>
      <c r="F22" t="s">
        <v>66</v>
      </c>
      <c r="G22" t="s">
        <v>67</v>
      </c>
      <c r="H22" t="s">
        <v>68</v>
      </c>
      <c r="I22" t="s">
        <v>176</v>
      </c>
      <c r="J22" t="s">
        <v>177</v>
      </c>
      <c r="K22" t="s">
        <v>178</v>
      </c>
      <c r="M22" t="s">
        <v>72</v>
      </c>
      <c r="N22" t="s">
        <v>179</v>
      </c>
      <c r="O22" t="s">
        <v>178</v>
      </c>
      <c r="P22" t="s">
        <v>180</v>
      </c>
      <c r="Q22" t="s">
        <v>75</v>
      </c>
      <c r="R22" t="s">
        <v>644</v>
      </c>
      <c r="S22" t="s">
        <v>763</v>
      </c>
      <c r="T22" t="s">
        <v>78</v>
      </c>
      <c r="U22" t="s">
        <v>646</v>
      </c>
      <c r="V22" t="s">
        <v>80</v>
      </c>
      <c r="W22" s="1">
        <v>44694</v>
      </c>
      <c r="X22" t="s">
        <v>647</v>
      </c>
      <c r="Y22" t="s">
        <v>764</v>
      </c>
      <c r="Z22" t="s">
        <v>83</v>
      </c>
      <c r="AA22">
        <v>1</v>
      </c>
      <c r="AB22" t="s">
        <v>657</v>
      </c>
      <c r="AC22">
        <v>0</v>
      </c>
      <c r="AD22" t="s">
        <v>119</v>
      </c>
      <c r="AE22" t="s">
        <v>145</v>
      </c>
      <c r="AF22" t="s">
        <v>146</v>
      </c>
      <c r="AG22" t="s">
        <v>765</v>
      </c>
      <c r="AI22" t="s">
        <v>90</v>
      </c>
      <c r="AJ22">
        <v>32.387717000000002</v>
      </c>
      <c r="AK22">
        <v>-110.712658</v>
      </c>
      <c r="AL22">
        <v>3</v>
      </c>
      <c r="AN22">
        <v>2113</v>
      </c>
      <c r="AP22">
        <v>2113</v>
      </c>
      <c r="AQ22">
        <v>2127.7027750000002</v>
      </c>
      <c r="AT22">
        <v>13</v>
      </c>
      <c r="AU22">
        <v>5</v>
      </c>
      <c r="AV22">
        <v>2022</v>
      </c>
      <c r="AW22">
        <v>2438038</v>
      </c>
      <c r="AX22">
        <v>2438038</v>
      </c>
      <c r="AY22" t="s">
        <v>106</v>
      </c>
      <c r="AZ22" t="s">
        <v>92</v>
      </c>
      <c r="BA22" t="s">
        <v>107</v>
      </c>
      <c r="BB22" t="s">
        <v>768</v>
      </c>
      <c r="BC22" t="s">
        <v>97</v>
      </c>
      <c r="BE22" t="s">
        <v>96</v>
      </c>
      <c r="BG22" t="s">
        <v>654</v>
      </c>
      <c r="BI22" t="s">
        <v>98</v>
      </c>
      <c r="BJ22" t="s">
        <v>769</v>
      </c>
      <c r="BL22" t="s">
        <v>110</v>
      </c>
    </row>
    <row r="23" spans="1:64" hidden="1" x14ac:dyDescent="0.2">
      <c r="A23">
        <v>1641</v>
      </c>
      <c r="B23">
        <v>3744741492</v>
      </c>
      <c r="C23" t="s">
        <v>101</v>
      </c>
      <c r="D23" t="s">
        <v>201</v>
      </c>
      <c r="E23" t="s">
        <v>65</v>
      </c>
      <c r="F23" t="s">
        <v>66</v>
      </c>
      <c r="G23" t="s">
        <v>67</v>
      </c>
      <c r="H23" t="s">
        <v>68</v>
      </c>
      <c r="I23" t="s">
        <v>176</v>
      </c>
      <c r="J23" t="s">
        <v>177</v>
      </c>
      <c r="K23" t="s">
        <v>178</v>
      </c>
      <c r="M23" t="s">
        <v>72</v>
      </c>
      <c r="N23" t="s">
        <v>179</v>
      </c>
      <c r="O23" t="s">
        <v>178</v>
      </c>
      <c r="P23" t="s">
        <v>180</v>
      </c>
      <c r="Q23" t="s">
        <v>75</v>
      </c>
      <c r="R23" t="s">
        <v>76</v>
      </c>
      <c r="S23" t="s">
        <v>181</v>
      </c>
      <c r="T23" t="s">
        <v>78</v>
      </c>
      <c r="U23" t="s">
        <v>79</v>
      </c>
      <c r="V23" t="s">
        <v>80</v>
      </c>
      <c r="W23" s="1">
        <v>44520</v>
      </c>
      <c r="X23" t="s">
        <v>81</v>
      </c>
      <c r="Y23" t="s">
        <v>182</v>
      </c>
      <c r="Z23" t="s">
        <v>83</v>
      </c>
      <c r="AA23">
        <v>1</v>
      </c>
      <c r="AB23" t="s">
        <v>103</v>
      </c>
      <c r="AD23" t="s">
        <v>139</v>
      </c>
      <c r="AE23" t="s">
        <v>86</v>
      </c>
      <c r="AF23" t="s">
        <v>146</v>
      </c>
      <c r="AG23" t="s">
        <v>184</v>
      </c>
      <c r="AH23" t="s">
        <v>189</v>
      </c>
      <c r="AI23" t="s">
        <v>90</v>
      </c>
      <c r="AJ23">
        <v>32.500329000000001</v>
      </c>
      <c r="AK23">
        <v>-110.68177799999999</v>
      </c>
      <c r="AL23">
        <v>3</v>
      </c>
      <c r="AN23">
        <v>1318</v>
      </c>
      <c r="AP23">
        <v>1318</v>
      </c>
      <c r="AQ23">
        <v>1325.0239079999999</v>
      </c>
      <c r="AT23">
        <v>20</v>
      </c>
      <c r="AU23">
        <v>11</v>
      </c>
      <c r="AV23">
        <v>2021</v>
      </c>
      <c r="AW23">
        <v>2438038</v>
      </c>
      <c r="AX23">
        <v>2438038</v>
      </c>
      <c r="AY23" t="s">
        <v>106</v>
      </c>
      <c r="AZ23" t="s">
        <v>92</v>
      </c>
      <c r="BA23" t="s">
        <v>107</v>
      </c>
      <c r="BB23" t="s">
        <v>202</v>
      </c>
      <c r="BC23" t="s">
        <v>97</v>
      </c>
      <c r="BE23" t="s">
        <v>96</v>
      </c>
      <c r="BG23" t="s">
        <v>97</v>
      </c>
      <c r="BI23" t="s">
        <v>98</v>
      </c>
      <c r="BJ23" t="s">
        <v>203</v>
      </c>
      <c r="BL23" t="s">
        <v>110</v>
      </c>
    </row>
    <row r="24" spans="1:64" hidden="1" x14ac:dyDescent="0.2">
      <c r="A24">
        <v>1639</v>
      </c>
      <c r="B24">
        <v>3744741494</v>
      </c>
      <c r="C24" t="s">
        <v>101</v>
      </c>
      <c r="D24" t="s">
        <v>204</v>
      </c>
      <c r="E24" t="s">
        <v>65</v>
      </c>
      <c r="F24" t="s">
        <v>66</v>
      </c>
      <c r="G24" t="s">
        <v>67</v>
      </c>
      <c r="H24" t="s">
        <v>68</v>
      </c>
      <c r="I24" t="s">
        <v>176</v>
      </c>
      <c r="J24" t="s">
        <v>177</v>
      </c>
      <c r="K24" t="s">
        <v>178</v>
      </c>
      <c r="M24" t="s">
        <v>72</v>
      </c>
      <c r="N24" t="s">
        <v>179</v>
      </c>
      <c r="O24" t="s">
        <v>178</v>
      </c>
      <c r="P24" t="s">
        <v>180</v>
      </c>
      <c r="Q24" t="s">
        <v>75</v>
      </c>
      <c r="R24" t="s">
        <v>76</v>
      </c>
      <c r="S24" t="s">
        <v>181</v>
      </c>
      <c r="T24" t="s">
        <v>78</v>
      </c>
      <c r="U24" t="s">
        <v>79</v>
      </c>
      <c r="V24" t="s">
        <v>80</v>
      </c>
      <c r="W24" s="1">
        <v>44520</v>
      </c>
      <c r="X24" t="s">
        <v>81</v>
      </c>
      <c r="Y24" t="s">
        <v>182</v>
      </c>
      <c r="Z24" t="s">
        <v>83</v>
      </c>
      <c r="AA24">
        <v>1</v>
      </c>
      <c r="AB24" t="s">
        <v>103</v>
      </c>
      <c r="AD24" t="s">
        <v>123</v>
      </c>
      <c r="AE24" t="s">
        <v>86</v>
      </c>
      <c r="AF24" t="s">
        <v>146</v>
      </c>
      <c r="AG24" t="s">
        <v>184</v>
      </c>
      <c r="AH24" t="s">
        <v>189</v>
      </c>
      <c r="AI24" t="s">
        <v>90</v>
      </c>
      <c r="AJ24">
        <v>32.500329000000001</v>
      </c>
      <c r="AK24">
        <v>-110.68177799999999</v>
      </c>
      <c r="AL24">
        <v>3</v>
      </c>
      <c r="AN24">
        <v>1318</v>
      </c>
      <c r="AP24">
        <v>1318</v>
      </c>
      <c r="AQ24">
        <v>1325.0239079999999</v>
      </c>
      <c r="AT24">
        <v>20</v>
      </c>
      <c r="AU24">
        <v>11</v>
      </c>
      <c r="AV24">
        <v>2021</v>
      </c>
      <c r="AW24">
        <v>2438038</v>
      </c>
      <c r="AX24">
        <v>2438038</v>
      </c>
      <c r="AY24" t="s">
        <v>106</v>
      </c>
      <c r="AZ24" t="s">
        <v>92</v>
      </c>
      <c r="BA24" t="s">
        <v>107</v>
      </c>
      <c r="BB24" t="s">
        <v>205</v>
      </c>
      <c r="BC24" t="s">
        <v>97</v>
      </c>
      <c r="BE24" t="s">
        <v>96</v>
      </c>
      <c r="BG24" t="s">
        <v>97</v>
      </c>
      <c r="BI24" t="s">
        <v>98</v>
      </c>
      <c r="BJ24" t="s">
        <v>206</v>
      </c>
      <c r="BL24" t="s">
        <v>110</v>
      </c>
    </row>
    <row r="25" spans="1:64" hidden="1" x14ac:dyDescent="0.2">
      <c r="A25">
        <v>1644</v>
      </c>
      <c r="B25">
        <v>3744741489</v>
      </c>
      <c r="C25" t="s">
        <v>101</v>
      </c>
      <c r="D25" t="s">
        <v>207</v>
      </c>
      <c r="E25" t="s">
        <v>65</v>
      </c>
      <c r="F25" t="s">
        <v>66</v>
      </c>
      <c r="G25" t="s">
        <v>67</v>
      </c>
      <c r="H25" t="s">
        <v>68</v>
      </c>
      <c r="I25" t="s">
        <v>176</v>
      </c>
      <c r="J25" t="s">
        <v>177</v>
      </c>
      <c r="K25" t="s">
        <v>178</v>
      </c>
      <c r="M25" t="s">
        <v>72</v>
      </c>
      <c r="N25" t="s">
        <v>179</v>
      </c>
      <c r="O25" t="s">
        <v>178</v>
      </c>
      <c r="P25" t="s">
        <v>180</v>
      </c>
      <c r="Q25" t="s">
        <v>75</v>
      </c>
      <c r="R25" t="s">
        <v>76</v>
      </c>
      <c r="S25" t="s">
        <v>181</v>
      </c>
      <c r="T25" t="s">
        <v>78</v>
      </c>
      <c r="U25" t="s">
        <v>79</v>
      </c>
      <c r="V25" t="s">
        <v>80</v>
      </c>
      <c r="W25" s="1">
        <v>44520</v>
      </c>
      <c r="X25" t="s">
        <v>81</v>
      </c>
      <c r="Y25" t="s">
        <v>182</v>
      </c>
      <c r="Z25" t="s">
        <v>83</v>
      </c>
      <c r="AA25">
        <v>1</v>
      </c>
      <c r="AB25" t="s">
        <v>133</v>
      </c>
      <c r="AD25" t="s">
        <v>134</v>
      </c>
      <c r="AE25" t="s">
        <v>86</v>
      </c>
      <c r="AF25" t="s">
        <v>146</v>
      </c>
      <c r="AG25" t="s">
        <v>184</v>
      </c>
      <c r="AH25" t="s">
        <v>208</v>
      </c>
      <c r="AI25" t="s">
        <v>90</v>
      </c>
      <c r="AJ25">
        <v>32.500329000000001</v>
      </c>
      <c r="AK25">
        <v>-110.68177799999999</v>
      </c>
      <c r="AL25">
        <v>3</v>
      </c>
      <c r="AN25">
        <v>1318</v>
      </c>
      <c r="AP25">
        <v>1318</v>
      </c>
      <c r="AQ25">
        <v>1325.0239079999999</v>
      </c>
      <c r="AT25">
        <v>20</v>
      </c>
      <c r="AU25">
        <v>11</v>
      </c>
      <c r="AV25">
        <v>2021</v>
      </c>
      <c r="AW25">
        <v>2438038</v>
      </c>
      <c r="AX25">
        <v>2438038</v>
      </c>
      <c r="AY25" t="s">
        <v>106</v>
      </c>
      <c r="AZ25" t="s">
        <v>92</v>
      </c>
      <c r="BA25" t="s">
        <v>107</v>
      </c>
      <c r="BB25" t="s">
        <v>209</v>
      </c>
      <c r="BC25" t="s">
        <v>97</v>
      </c>
      <c r="BE25" t="s">
        <v>96</v>
      </c>
      <c r="BG25" t="s">
        <v>97</v>
      </c>
      <c r="BI25" t="s">
        <v>98</v>
      </c>
      <c r="BJ25" t="s">
        <v>171</v>
      </c>
      <c r="BL25" t="s">
        <v>110</v>
      </c>
    </row>
    <row r="26" spans="1:64" hidden="1" x14ac:dyDescent="0.2">
      <c r="A26">
        <v>1648</v>
      </c>
      <c r="B26">
        <v>3744741485</v>
      </c>
      <c r="C26" t="s">
        <v>101</v>
      </c>
      <c r="D26" t="s">
        <v>217</v>
      </c>
      <c r="E26" t="s">
        <v>65</v>
      </c>
      <c r="F26" t="s">
        <v>66</v>
      </c>
      <c r="G26" t="s">
        <v>67</v>
      </c>
      <c r="H26" t="s">
        <v>68</v>
      </c>
      <c r="I26" t="s">
        <v>176</v>
      </c>
      <c r="J26" t="s">
        <v>177</v>
      </c>
      <c r="K26" t="s">
        <v>178</v>
      </c>
      <c r="M26" t="s">
        <v>72</v>
      </c>
      <c r="N26" t="s">
        <v>179</v>
      </c>
      <c r="O26" t="s">
        <v>178</v>
      </c>
      <c r="P26" t="s">
        <v>180</v>
      </c>
      <c r="Q26" t="s">
        <v>75</v>
      </c>
      <c r="R26" t="s">
        <v>76</v>
      </c>
      <c r="S26" t="s">
        <v>211</v>
      </c>
      <c r="T26" t="s">
        <v>78</v>
      </c>
      <c r="U26" t="s">
        <v>79</v>
      </c>
      <c r="V26" t="s">
        <v>80</v>
      </c>
      <c r="W26" s="1">
        <v>44520</v>
      </c>
      <c r="X26" t="s">
        <v>81</v>
      </c>
      <c r="Y26" t="s">
        <v>212</v>
      </c>
      <c r="Z26" t="s">
        <v>83</v>
      </c>
      <c r="AA26">
        <v>1</v>
      </c>
      <c r="AB26" t="s">
        <v>103</v>
      </c>
      <c r="AD26" t="s">
        <v>116</v>
      </c>
      <c r="AE26" t="s">
        <v>145</v>
      </c>
      <c r="AF26" t="s">
        <v>146</v>
      </c>
      <c r="AG26" t="s">
        <v>218</v>
      </c>
      <c r="AH26" t="s">
        <v>219</v>
      </c>
      <c r="AI26" t="s">
        <v>90</v>
      </c>
      <c r="AJ26">
        <v>32.500371999999999</v>
      </c>
      <c r="AK26">
        <v>-110.681731</v>
      </c>
      <c r="AL26">
        <v>3</v>
      </c>
      <c r="AN26">
        <v>1311</v>
      </c>
      <c r="AP26">
        <v>1311</v>
      </c>
      <c r="AQ26">
        <v>1326.16976</v>
      </c>
      <c r="AT26">
        <v>20</v>
      </c>
      <c r="AU26">
        <v>11</v>
      </c>
      <c r="AV26">
        <v>2021</v>
      </c>
      <c r="AW26">
        <v>2438038</v>
      </c>
      <c r="AX26">
        <v>2438038</v>
      </c>
      <c r="AY26" t="s">
        <v>106</v>
      </c>
      <c r="AZ26" t="s">
        <v>92</v>
      </c>
      <c r="BA26" t="s">
        <v>107</v>
      </c>
      <c r="BB26" t="s">
        <v>220</v>
      </c>
      <c r="BC26" t="s">
        <v>97</v>
      </c>
      <c r="BE26" t="s">
        <v>96</v>
      </c>
      <c r="BG26" t="s">
        <v>97</v>
      </c>
      <c r="BI26" t="s">
        <v>98</v>
      </c>
      <c r="BJ26" t="s">
        <v>221</v>
      </c>
      <c r="BL26" t="s">
        <v>110</v>
      </c>
    </row>
    <row r="27" spans="1:64" hidden="1" x14ac:dyDescent="0.2">
      <c r="A27">
        <v>1646</v>
      </c>
      <c r="B27">
        <v>3744741487</v>
      </c>
      <c r="C27" t="s">
        <v>101</v>
      </c>
      <c r="D27" t="s">
        <v>222</v>
      </c>
      <c r="E27" t="s">
        <v>65</v>
      </c>
      <c r="F27" t="s">
        <v>66</v>
      </c>
      <c r="G27" t="s">
        <v>67</v>
      </c>
      <c r="H27" t="s">
        <v>68</v>
      </c>
      <c r="I27" t="s">
        <v>176</v>
      </c>
      <c r="J27" t="s">
        <v>177</v>
      </c>
      <c r="K27" t="s">
        <v>178</v>
      </c>
      <c r="M27" t="s">
        <v>72</v>
      </c>
      <c r="N27" t="s">
        <v>179</v>
      </c>
      <c r="O27" t="s">
        <v>178</v>
      </c>
      <c r="P27" t="s">
        <v>180</v>
      </c>
      <c r="Q27" t="s">
        <v>75</v>
      </c>
      <c r="R27" t="s">
        <v>76</v>
      </c>
      <c r="S27" t="s">
        <v>211</v>
      </c>
      <c r="T27" t="s">
        <v>78</v>
      </c>
      <c r="U27" t="s">
        <v>79</v>
      </c>
      <c r="V27" t="s">
        <v>80</v>
      </c>
      <c r="W27" s="1">
        <v>44520</v>
      </c>
      <c r="X27" t="s">
        <v>81</v>
      </c>
      <c r="Y27" t="s">
        <v>212</v>
      </c>
      <c r="Z27" t="s">
        <v>83</v>
      </c>
      <c r="AA27">
        <v>1</v>
      </c>
      <c r="AB27" t="s">
        <v>103</v>
      </c>
      <c r="AD27" t="s">
        <v>104</v>
      </c>
      <c r="AE27" t="s">
        <v>145</v>
      </c>
      <c r="AF27" t="s">
        <v>146</v>
      </c>
      <c r="AG27" t="s">
        <v>218</v>
      </c>
      <c r="AH27" t="s">
        <v>219</v>
      </c>
      <c r="AI27" t="s">
        <v>90</v>
      </c>
      <c r="AJ27">
        <v>32.500371999999999</v>
      </c>
      <c r="AK27">
        <v>-110.681731</v>
      </c>
      <c r="AL27">
        <v>3</v>
      </c>
      <c r="AN27">
        <v>1311</v>
      </c>
      <c r="AP27">
        <v>1311</v>
      </c>
      <c r="AQ27">
        <v>1326.16976</v>
      </c>
      <c r="AT27">
        <v>20</v>
      </c>
      <c r="AU27">
        <v>11</v>
      </c>
      <c r="AV27">
        <v>2021</v>
      </c>
      <c r="AW27">
        <v>2438038</v>
      </c>
      <c r="AX27">
        <v>2438038</v>
      </c>
      <c r="AY27" t="s">
        <v>106</v>
      </c>
      <c r="AZ27" t="s">
        <v>92</v>
      </c>
      <c r="BA27" t="s">
        <v>107</v>
      </c>
      <c r="BB27" t="s">
        <v>223</v>
      </c>
      <c r="BC27" t="s">
        <v>97</v>
      </c>
      <c r="BE27" t="s">
        <v>96</v>
      </c>
      <c r="BG27" t="s">
        <v>97</v>
      </c>
      <c r="BI27" t="s">
        <v>98</v>
      </c>
      <c r="BJ27" t="s">
        <v>224</v>
      </c>
      <c r="BL27" t="s">
        <v>110</v>
      </c>
    </row>
    <row r="28" spans="1:64" x14ac:dyDescent="0.2">
      <c r="A28">
        <v>1067</v>
      </c>
      <c r="B28">
        <v>4027015363</v>
      </c>
      <c r="C28" t="s">
        <v>101</v>
      </c>
      <c r="D28" t="s">
        <v>982</v>
      </c>
      <c r="E28" t="s">
        <v>65</v>
      </c>
      <c r="F28" t="s">
        <v>66</v>
      </c>
      <c r="G28" t="s">
        <v>67</v>
      </c>
      <c r="H28" t="s">
        <v>68</v>
      </c>
      <c r="I28" t="s">
        <v>176</v>
      </c>
      <c r="J28" t="s">
        <v>177</v>
      </c>
      <c r="K28" t="s">
        <v>178</v>
      </c>
      <c r="M28" t="s">
        <v>72</v>
      </c>
      <c r="N28" t="s">
        <v>179</v>
      </c>
      <c r="O28" t="s">
        <v>178</v>
      </c>
      <c r="P28" t="s">
        <v>180</v>
      </c>
      <c r="Q28" t="s">
        <v>75</v>
      </c>
      <c r="R28" t="s">
        <v>977</v>
      </c>
      <c r="S28" t="s">
        <v>978</v>
      </c>
      <c r="T28" t="s">
        <v>78</v>
      </c>
      <c r="U28" t="s">
        <v>646</v>
      </c>
      <c r="V28" t="s">
        <v>80</v>
      </c>
      <c r="W28" s="1">
        <v>44694</v>
      </c>
      <c r="X28" t="s">
        <v>647</v>
      </c>
      <c r="Y28" t="s">
        <v>979</v>
      </c>
      <c r="Z28" t="s">
        <v>83</v>
      </c>
      <c r="AA28">
        <v>1</v>
      </c>
      <c r="AB28" t="s">
        <v>657</v>
      </c>
      <c r="AC28">
        <v>0</v>
      </c>
      <c r="AD28" t="s">
        <v>119</v>
      </c>
      <c r="AE28" t="s">
        <v>145</v>
      </c>
      <c r="AF28" t="s">
        <v>281</v>
      </c>
      <c r="AG28" t="s">
        <v>980</v>
      </c>
      <c r="AI28" t="s">
        <v>90</v>
      </c>
      <c r="AJ28">
        <v>32.390197000000001</v>
      </c>
      <c r="AK28">
        <v>-110.706631</v>
      </c>
      <c r="AL28">
        <v>5</v>
      </c>
      <c r="AN28">
        <v>2126</v>
      </c>
      <c r="AP28">
        <v>2126</v>
      </c>
      <c r="AQ28">
        <v>2146.6902770000002</v>
      </c>
      <c r="AT28">
        <v>13</v>
      </c>
      <c r="AU28">
        <v>5</v>
      </c>
      <c r="AV28">
        <v>2022</v>
      </c>
      <c r="AW28">
        <v>2438038</v>
      </c>
      <c r="AX28">
        <v>2438038</v>
      </c>
      <c r="AY28" t="s">
        <v>106</v>
      </c>
      <c r="AZ28" t="s">
        <v>92</v>
      </c>
      <c r="BA28" t="s">
        <v>107</v>
      </c>
      <c r="BB28" t="s">
        <v>983</v>
      </c>
      <c r="BC28" t="s">
        <v>97</v>
      </c>
      <c r="BE28" t="s">
        <v>96</v>
      </c>
      <c r="BG28" t="s">
        <v>654</v>
      </c>
      <c r="BI28" t="s">
        <v>98</v>
      </c>
      <c r="BJ28" t="s">
        <v>936</v>
      </c>
      <c r="BL28" t="s">
        <v>110</v>
      </c>
    </row>
    <row r="29" spans="1:64" hidden="1" x14ac:dyDescent="0.2">
      <c r="A29">
        <v>1649</v>
      </c>
      <c r="B29">
        <v>3744741484</v>
      </c>
      <c r="C29" t="s">
        <v>101</v>
      </c>
      <c r="D29" t="s">
        <v>228</v>
      </c>
      <c r="E29" t="s">
        <v>65</v>
      </c>
      <c r="F29" t="s">
        <v>66</v>
      </c>
      <c r="G29" t="s">
        <v>67</v>
      </c>
      <c r="H29" t="s">
        <v>68</v>
      </c>
      <c r="I29" t="s">
        <v>176</v>
      </c>
      <c r="J29" t="s">
        <v>177</v>
      </c>
      <c r="K29" t="s">
        <v>178</v>
      </c>
      <c r="M29" t="s">
        <v>72</v>
      </c>
      <c r="N29" t="s">
        <v>179</v>
      </c>
      <c r="O29" t="s">
        <v>178</v>
      </c>
      <c r="P29" t="s">
        <v>180</v>
      </c>
      <c r="Q29" t="s">
        <v>75</v>
      </c>
      <c r="R29" t="s">
        <v>76</v>
      </c>
      <c r="S29" t="s">
        <v>211</v>
      </c>
      <c r="T29" t="s">
        <v>78</v>
      </c>
      <c r="U29" t="s">
        <v>79</v>
      </c>
      <c r="V29" t="s">
        <v>80</v>
      </c>
      <c r="W29" s="1">
        <v>44520</v>
      </c>
      <c r="X29" t="s">
        <v>81</v>
      </c>
      <c r="Y29" t="s">
        <v>212</v>
      </c>
      <c r="Z29" t="s">
        <v>83</v>
      </c>
      <c r="AA29">
        <v>1</v>
      </c>
      <c r="AB29" t="s">
        <v>103</v>
      </c>
      <c r="AD29" t="s">
        <v>112</v>
      </c>
      <c r="AE29" t="s">
        <v>145</v>
      </c>
      <c r="AF29" t="s">
        <v>146</v>
      </c>
      <c r="AG29" t="s">
        <v>218</v>
      </c>
      <c r="AH29" t="s">
        <v>219</v>
      </c>
      <c r="AI29" t="s">
        <v>90</v>
      </c>
      <c r="AJ29">
        <v>32.500371999999999</v>
      </c>
      <c r="AK29">
        <v>-110.681731</v>
      </c>
      <c r="AL29">
        <v>3</v>
      </c>
      <c r="AN29">
        <v>1311</v>
      </c>
      <c r="AP29">
        <v>1311</v>
      </c>
      <c r="AQ29">
        <v>1326.16976</v>
      </c>
      <c r="AT29">
        <v>20</v>
      </c>
      <c r="AU29">
        <v>11</v>
      </c>
      <c r="AV29">
        <v>2021</v>
      </c>
      <c r="AW29">
        <v>2438038</v>
      </c>
      <c r="AX29">
        <v>2438038</v>
      </c>
      <c r="AY29" t="s">
        <v>106</v>
      </c>
      <c r="AZ29" t="s">
        <v>92</v>
      </c>
      <c r="BA29" t="s">
        <v>107</v>
      </c>
      <c r="BB29" t="s">
        <v>229</v>
      </c>
      <c r="BC29" t="s">
        <v>97</v>
      </c>
      <c r="BE29" t="s">
        <v>96</v>
      </c>
      <c r="BG29" t="s">
        <v>97</v>
      </c>
      <c r="BI29" t="s">
        <v>98</v>
      </c>
      <c r="BJ29" t="s">
        <v>230</v>
      </c>
      <c r="BL29" t="s">
        <v>110</v>
      </c>
    </row>
    <row r="30" spans="1:64" hidden="1" x14ac:dyDescent="0.2">
      <c r="A30">
        <v>1655</v>
      </c>
      <c r="B30">
        <v>3744741478</v>
      </c>
      <c r="C30" t="s">
        <v>101</v>
      </c>
      <c r="D30" t="s">
        <v>231</v>
      </c>
      <c r="E30" t="s">
        <v>65</v>
      </c>
      <c r="F30" t="s">
        <v>66</v>
      </c>
      <c r="G30" t="s">
        <v>67</v>
      </c>
      <c r="H30" t="s">
        <v>68</v>
      </c>
      <c r="I30" t="s">
        <v>176</v>
      </c>
      <c r="J30" t="s">
        <v>177</v>
      </c>
      <c r="K30" t="s">
        <v>178</v>
      </c>
      <c r="M30" t="s">
        <v>72</v>
      </c>
      <c r="N30" t="s">
        <v>179</v>
      </c>
      <c r="O30" t="s">
        <v>178</v>
      </c>
      <c r="P30" t="s">
        <v>180</v>
      </c>
      <c r="Q30" t="s">
        <v>75</v>
      </c>
      <c r="R30" t="s">
        <v>76</v>
      </c>
      <c r="S30" t="s">
        <v>211</v>
      </c>
      <c r="T30" t="s">
        <v>78</v>
      </c>
      <c r="U30" t="s">
        <v>79</v>
      </c>
      <c r="V30" t="s">
        <v>80</v>
      </c>
      <c r="W30" s="1">
        <v>44520</v>
      </c>
      <c r="X30" t="s">
        <v>81</v>
      </c>
      <c r="Y30" t="s">
        <v>212</v>
      </c>
      <c r="Z30" t="s">
        <v>83</v>
      </c>
      <c r="AA30">
        <v>1</v>
      </c>
      <c r="AB30" t="s">
        <v>103</v>
      </c>
      <c r="AD30" t="s">
        <v>123</v>
      </c>
      <c r="AE30" t="s">
        <v>145</v>
      </c>
      <c r="AF30" t="s">
        <v>146</v>
      </c>
      <c r="AG30" t="s">
        <v>218</v>
      </c>
      <c r="AH30" t="s">
        <v>219</v>
      </c>
      <c r="AI30" t="s">
        <v>90</v>
      </c>
      <c r="AJ30">
        <v>32.500371999999999</v>
      </c>
      <c r="AK30">
        <v>-110.681731</v>
      </c>
      <c r="AL30">
        <v>3</v>
      </c>
      <c r="AN30">
        <v>1311</v>
      </c>
      <c r="AP30">
        <v>1311</v>
      </c>
      <c r="AQ30">
        <v>1326.16976</v>
      </c>
      <c r="AT30">
        <v>20</v>
      </c>
      <c r="AU30">
        <v>11</v>
      </c>
      <c r="AV30">
        <v>2021</v>
      </c>
      <c r="AW30">
        <v>2438038</v>
      </c>
      <c r="AX30">
        <v>2438038</v>
      </c>
      <c r="AY30" t="s">
        <v>106</v>
      </c>
      <c r="AZ30" t="s">
        <v>92</v>
      </c>
      <c r="BA30" t="s">
        <v>107</v>
      </c>
      <c r="BB30" t="s">
        <v>232</v>
      </c>
      <c r="BC30" t="s">
        <v>97</v>
      </c>
      <c r="BE30" t="s">
        <v>96</v>
      </c>
      <c r="BG30" t="s">
        <v>97</v>
      </c>
      <c r="BI30" t="s">
        <v>98</v>
      </c>
      <c r="BJ30" t="s">
        <v>233</v>
      </c>
      <c r="BL30" t="s">
        <v>110</v>
      </c>
    </row>
    <row r="31" spans="1:64" hidden="1" x14ac:dyDescent="0.2">
      <c r="A31">
        <v>1555</v>
      </c>
      <c r="B31">
        <v>3744741578</v>
      </c>
      <c r="C31" t="s">
        <v>101</v>
      </c>
      <c r="D31" t="s">
        <v>3800</v>
      </c>
      <c r="E31" t="s">
        <v>65</v>
      </c>
      <c r="F31" t="s">
        <v>66</v>
      </c>
      <c r="G31" t="s">
        <v>67</v>
      </c>
      <c r="H31" t="s">
        <v>68</v>
      </c>
      <c r="I31" t="s">
        <v>176</v>
      </c>
      <c r="J31" t="s">
        <v>773</v>
      </c>
      <c r="K31" t="s">
        <v>774</v>
      </c>
      <c r="M31" t="s">
        <v>72</v>
      </c>
      <c r="N31" t="s">
        <v>775</v>
      </c>
      <c r="O31" t="s">
        <v>774</v>
      </c>
      <c r="P31" t="s">
        <v>776</v>
      </c>
      <c r="Q31" t="s">
        <v>75</v>
      </c>
      <c r="R31" t="s">
        <v>3733</v>
      </c>
      <c r="S31" t="s">
        <v>3796</v>
      </c>
      <c r="T31" t="s">
        <v>78</v>
      </c>
      <c r="U31" t="s">
        <v>1822</v>
      </c>
      <c r="V31" t="s">
        <v>80</v>
      </c>
      <c r="W31" s="1">
        <v>44508</v>
      </c>
      <c r="X31" t="s">
        <v>1823</v>
      </c>
      <c r="Y31" t="s">
        <v>3797</v>
      </c>
      <c r="Z31" t="s">
        <v>83</v>
      </c>
      <c r="AA31">
        <v>1</v>
      </c>
      <c r="AB31" t="s">
        <v>127</v>
      </c>
      <c r="AC31">
        <v>0</v>
      </c>
      <c r="AD31" t="s">
        <v>128</v>
      </c>
      <c r="AE31" t="s">
        <v>86</v>
      </c>
      <c r="AF31" t="s">
        <v>146</v>
      </c>
      <c r="AG31" t="s">
        <v>1825</v>
      </c>
      <c r="AH31" t="s">
        <v>3801</v>
      </c>
      <c r="AI31" t="s">
        <v>90</v>
      </c>
      <c r="AJ31">
        <v>32.440677000000001</v>
      </c>
      <c r="AK31">
        <v>-110.78690400000001</v>
      </c>
      <c r="AL31">
        <v>8</v>
      </c>
      <c r="AN31">
        <v>2779</v>
      </c>
      <c r="AP31">
        <v>2779</v>
      </c>
      <c r="AQ31">
        <v>2787.6851430000002</v>
      </c>
      <c r="AT31">
        <v>8</v>
      </c>
      <c r="AU31">
        <v>11</v>
      </c>
      <c r="AV31">
        <v>2021</v>
      </c>
      <c r="AW31">
        <v>2438447</v>
      </c>
      <c r="AX31">
        <v>2438447</v>
      </c>
      <c r="AY31" t="s">
        <v>106</v>
      </c>
      <c r="AZ31" t="s">
        <v>92</v>
      </c>
      <c r="BA31" t="s">
        <v>107</v>
      </c>
      <c r="BB31" t="s">
        <v>3802</v>
      </c>
      <c r="BC31" t="s">
        <v>1186</v>
      </c>
      <c r="BE31" t="s">
        <v>96</v>
      </c>
      <c r="BG31" t="s">
        <v>1186</v>
      </c>
      <c r="BI31" t="s">
        <v>98</v>
      </c>
      <c r="BJ31" t="s">
        <v>2541</v>
      </c>
      <c r="BL31" t="s">
        <v>110</v>
      </c>
    </row>
    <row r="32" spans="1:64" hidden="1" x14ac:dyDescent="0.2">
      <c r="A32">
        <v>1659</v>
      </c>
      <c r="B32">
        <v>3744741474</v>
      </c>
      <c r="C32" t="s">
        <v>101</v>
      </c>
      <c r="D32" t="s">
        <v>237</v>
      </c>
      <c r="E32" t="s">
        <v>65</v>
      </c>
      <c r="F32" t="s">
        <v>66</v>
      </c>
      <c r="G32" t="s">
        <v>67</v>
      </c>
      <c r="H32" t="s">
        <v>68</v>
      </c>
      <c r="I32" t="s">
        <v>176</v>
      </c>
      <c r="J32" t="s">
        <v>177</v>
      </c>
      <c r="K32" t="s">
        <v>178</v>
      </c>
      <c r="M32" t="s">
        <v>72</v>
      </c>
      <c r="N32" t="s">
        <v>179</v>
      </c>
      <c r="O32" t="s">
        <v>178</v>
      </c>
      <c r="P32" t="s">
        <v>180</v>
      </c>
      <c r="Q32" t="s">
        <v>75</v>
      </c>
      <c r="R32" t="s">
        <v>76</v>
      </c>
      <c r="S32" t="s">
        <v>211</v>
      </c>
      <c r="T32" t="s">
        <v>78</v>
      </c>
      <c r="U32" t="s">
        <v>79</v>
      </c>
      <c r="V32" t="s">
        <v>80</v>
      </c>
      <c r="W32" s="1">
        <v>44520</v>
      </c>
      <c r="X32" t="s">
        <v>81</v>
      </c>
      <c r="Y32" t="s">
        <v>212</v>
      </c>
      <c r="Z32" t="s">
        <v>83</v>
      </c>
      <c r="AA32">
        <v>1</v>
      </c>
      <c r="AB32" t="s">
        <v>133</v>
      </c>
      <c r="AD32" t="s">
        <v>134</v>
      </c>
      <c r="AE32" t="s">
        <v>145</v>
      </c>
      <c r="AF32" t="s">
        <v>146</v>
      </c>
      <c r="AG32" t="s">
        <v>218</v>
      </c>
      <c r="AH32" t="s">
        <v>238</v>
      </c>
      <c r="AI32" t="s">
        <v>90</v>
      </c>
      <c r="AJ32">
        <v>32.500371999999999</v>
      </c>
      <c r="AK32">
        <v>-110.681731</v>
      </c>
      <c r="AL32">
        <v>3</v>
      </c>
      <c r="AN32">
        <v>1311</v>
      </c>
      <c r="AP32">
        <v>1311</v>
      </c>
      <c r="AQ32">
        <v>1326.16976</v>
      </c>
      <c r="AT32">
        <v>20</v>
      </c>
      <c r="AU32">
        <v>11</v>
      </c>
      <c r="AV32">
        <v>2021</v>
      </c>
      <c r="AW32">
        <v>2438038</v>
      </c>
      <c r="AX32">
        <v>2438038</v>
      </c>
      <c r="AY32" t="s">
        <v>106</v>
      </c>
      <c r="AZ32" t="s">
        <v>92</v>
      </c>
      <c r="BA32" t="s">
        <v>107</v>
      </c>
      <c r="BB32" t="s">
        <v>239</v>
      </c>
      <c r="BC32" t="s">
        <v>97</v>
      </c>
      <c r="BE32" t="s">
        <v>96</v>
      </c>
      <c r="BG32" t="s">
        <v>97</v>
      </c>
      <c r="BI32" t="s">
        <v>98</v>
      </c>
      <c r="BJ32" t="s">
        <v>240</v>
      </c>
      <c r="BL32" t="s">
        <v>110</v>
      </c>
    </row>
    <row r="33" spans="1:64" hidden="1" x14ac:dyDescent="0.2">
      <c r="A33">
        <v>1657</v>
      </c>
      <c r="B33">
        <v>3744741476</v>
      </c>
      <c r="C33" t="s">
        <v>101</v>
      </c>
      <c r="D33" t="s">
        <v>241</v>
      </c>
      <c r="E33" t="s">
        <v>65</v>
      </c>
      <c r="F33" t="s">
        <v>66</v>
      </c>
      <c r="G33" t="s">
        <v>67</v>
      </c>
      <c r="H33" t="s">
        <v>68</v>
      </c>
      <c r="I33" t="s">
        <v>176</v>
      </c>
      <c r="J33" t="s">
        <v>177</v>
      </c>
      <c r="K33" t="s">
        <v>178</v>
      </c>
      <c r="M33" t="s">
        <v>72</v>
      </c>
      <c r="N33" t="s">
        <v>179</v>
      </c>
      <c r="O33" t="s">
        <v>178</v>
      </c>
      <c r="P33" t="s">
        <v>180</v>
      </c>
      <c r="Q33" t="s">
        <v>75</v>
      </c>
      <c r="R33" t="s">
        <v>76</v>
      </c>
      <c r="S33" t="s">
        <v>211</v>
      </c>
      <c r="T33" t="s">
        <v>78</v>
      </c>
      <c r="U33" t="s">
        <v>79</v>
      </c>
      <c r="V33" t="s">
        <v>80</v>
      </c>
      <c r="W33" s="1">
        <v>44520</v>
      </c>
      <c r="X33" t="s">
        <v>81</v>
      </c>
      <c r="Y33" t="s">
        <v>212</v>
      </c>
      <c r="Z33" t="s">
        <v>83</v>
      </c>
      <c r="AA33">
        <v>1</v>
      </c>
      <c r="AB33" t="s">
        <v>103</v>
      </c>
      <c r="AD33" t="s">
        <v>139</v>
      </c>
      <c r="AE33" t="s">
        <v>145</v>
      </c>
      <c r="AF33" t="s">
        <v>146</v>
      </c>
      <c r="AG33" t="s">
        <v>218</v>
      </c>
      <c r="AH33" t="s">
        <v>219</v>
      </c>
      <c r="AI33" t="s">
        <v>90</v>
      </c>
      <c r="AJ33">
        <v>32.500371999999999</v>
      </c>
      <c r="AK33">
        <v>-110.681731</v>
      </c>
      <c r="AL33">
        <v>3</v>
      </c>
      <c r="AN33">
        <v>1311</v>
      </c>
      <c r="AP33">
        <v>1311</v>
      </c>
      <c r="AQ33">
        <v>1326.16976</v>
      </c>
      <c r="AT33">
        <v>20</v>
      </c>
      <c r="AU33">
        <v>11</v>
      </c>
      <c r="AV33">
        <v>2021</v>
      </c>
      <c r="AW33">
        <v>2438038</v>
      </c>
      <c r="AX33">
        <v>2438038</v>
      </c>
      <c r="AY33" t="s">
        <v>106</v>
      </c>
      <c r="AZ33" t="s">
        <v>92</v>
      </c>
      <c r="BA33" t="s">
        <v>107</v>
      </c>
      <c r="BB33" t="s">
        <v>242</v>
      </c>
      <c r="BC33" t="s">
        <v>97</v>
      </c>
      <c r="BE33" t="s">
        <v>96</v>
      </c>
      <c r="BG33" t="s">
        <v>97</v>
      </c>
      <c r="BI33" t="s">
        <v>98</v>
      </c>
      <c r="BJ33" t="s">
        <v>243</v>
      </c>
      <c r="BL33" t="s">
        <v>110</v>
      </c>
    </row>
    <row r="34" spans="1:64" hidden="1" x14ac:dyDescent="0.2">
      <c r="A34">
        <v>1663</v>
      </c>
      <c r="B34">
        <v>3744741470</v>
      </c>
      <c r="C34" t="s">
        <v>101</v>
      </c>
      <c r="D34" t="s">
        <v>252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M34" t="s">
        <v>72</v>
      </c>
      <c r="N34" t="s">
        <v>73</v>
      </c>
      <c r="O34" t="s">
        <v>71</v>
      </c>
      <c r="P34" t="s">
        <v>74</v>
      </c>
      <c r="Q34" t="s">
        <v>75</v>
      </c>
      <c r="R34" t="s">
        <v>76</v>
      </c>
      <c r="S34" t="s">
        <v>245</v>
      </c>
      <c r="T34" t="s">
        <v>78</v>
      </c>
      <c r="U34" t="s">
        <v>79</v>
      </c>
      <c r="V34" t="s">
        <v>80</v>
      </c>
      <c r="W34" s="1">
        <v>44521</v>
      </c>
      <c r="X34" t="s">
        <v>81</v>
      </c>
      <c r="Y34" t="s">
        <v>246</v>
      </c>
      <c r="Z34" t="s">
        <v>83</v>
      </c>
      <c r="AA34">
        <v>1</v>
      </c>
      <c r="AB34" t="s">
        <v>103</v>
      </c>
      <c r="AD34" t="s">
        <v>116</v>
      </c>
      <c r="AE34" t="s">
        <v>145</v>
      </c>
      <c r="AF34" t="s">
        <v>87</v>
      </c>
      <c r="AG34" t="s">
        <v>253</v>
      </c>
      <c r="AH34" t="s">
        <v>254</v>
      </c>
      <c r="AI34" t="s">
        <v>90</v>
      </c>
      <c r="AJ34">
        <v>32.500216999999999</v>
      </c>
      <c r="AK34">
        <v>-110.68151</v>
      </c>
      <c r="AL34">
        <v>3</v>
      </c>
      <c r="AN34">
        <v>1281</v>
      </c>
      <c r="AP34">
        <v>1281</v>
      </c>
      <c r="AQ34">
        <v>1326.348197</v>
      </c>
      <c r="AT34">
        <v>21</v>
      </c>
      <c r="AU34">
        <v>11</v>
      </c>
      <c r="AV34">
        <v>2021</v>
      </c>
      <c r="AW34">
        <v>2439581</v>
      </c>
      <c r="AX34">
        <v>2439581</v>
      </c>
      <c r="AY34" t="s">
        <v>106</v>
      </c>
      <c r="AZ34" t="s">
        <v>92</v>
      </c>
      <c r="BA34" t="s">
        <v>107</v>
      </c>
      <c r="BB34" t="s">
        <v>255</v>
      </c>
      <c r="BC34" t="s">
        <v>97</v>
      </c>
      <c r="BE34" t="s">
        <v>96</v>
      </c>
      <c r="BG34" t="s">
        <v>97</v>
      </c>
      <c r="BI34" t="s">
        <v>98</v>
      </c>
      <c r="BJ34" t="s">
        <v>233</v>
      </c>
      <c r="BL34" t="s">
        <v>110</v>
      </c>
    </row>
    <row r="35" spans="1:64" hidden="1" x14ac:dyDescent="0.2">
      <c r="A35">
        <v>1661</v>
      </c>
      <c r="B35">
        <v>3744741472</v>
      </c>
      <c r="C35" t="s">
        <v>101</v>
      </c>
      <c r="D35" t="s">
        <v>256</v>
      </c>
      <c r="E35" t="s">
        <v>65</v>
      </c>
      <c r="F35" t="s">
        <v>66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M35" t="s">
        <v>72</v>
      </c>
      <c r="N35" t="s">
        <v>73</v>
      </c>
      <c r="O35" t="s">
        <v>71</v>
      </c>
      <c r="P35" t="s">
        <v>74</v>
      </c>
      <c r="Q35" t="s">
        <v>75</v>
      </c>
      <c r="R35" t="s">
        <v>76</v>
      </c>
      <c r="S35" t="s">
        <v>245</v>
      </c>
      <c r="T35" t="s">
        <v>78</v>
      </c>
      <c r="U35" t="s">
        <v>79</v>
      </c>
      <c r="V35" t="s">
        <v>80</v>
      </c>
      <c r="W35" s="1">
        <v>44521</v>
      </c>
      <c r="X35" t="s">
        <v>81</v>
      </c>
      <c r="Y35" t="s">
        <v>246</v>
      </c>
      <c r="Z35" t="s">
        <v>83</v>
      </c>
      <c r="AA35">
        <v>1</v>
      </c>
      <c r="AB35" t="s">
        <v>103</v>
      </c>
      <c r="AD35" t="s">
        <v>104</v>
      </c>
      <c r="AE35" t="s">
        <v>145</v>
      </c>
      <c r="AF35" t="s">
        <v>87</v>
      </c>
      <c r="AG35" t="s">
        <v>253</v>
      </c>
      <c r="AH35" t="s">
        <v>254</v>
      </c>
      <c r="AI35" t="s">
        <v>90</v>
      </c>
      <c r="AJ35">
        <v>32.500216999999999</v>
      </c>
      <c r="AK35">
        <v>-110.68151</v>
      </c>
      <c r="AL35">
        <v>3</v>
      </c>
      <c r="AN35">
        <v>1281</v>
      </c>
      <c r="AP35">
        <v>1281</v>
      </c>
      <c r="AQ35">
        <v>1326.348197</v>
      </c>
      <c r="AT35">
        <v>21</v>
      </c>
      <c r="AU35">
        <v>11</v>
      </c>
      <c r="AV35">
        <v>2021</v>
      </c>
      <c r="AW35">
        <v>2439581</v>
      </c>
      <c r="AX35">
        <v>2439581</v>
      </c>
      <c r="AY35" t="s">
        <v>106</v>
      </c>
      <c r="AZ35" t="s">
        <v>92</v>
      </c>
      <c r="BA35" t="s">
        <v>107</v>
      </c>
      <c r="BB35" t="s">
        <v>257</v>
      </c>
      <c r="BC35" t="s">
        <v>97</v>
      </c>
      <c r="BE35" t="s">
        <v>96</v>
      </c>
      <c r="BG35" t="s">
        <v>97</v>
      </c>
      <c r="BI35" t="s">
        <v>98</v>
      </c>
      <c r="BJ35" t="s">
        <v>243</v>
      </c>
      <c r="BL35" t="s">
        <v>110</v>
      </c>
    </row>
    <row r="36" spans="1:64" hidden="1" x14ac:dyDescent="0.2">
      <c r="A36">
        <v>1666</v>
      </c>
      <c r="B36">
        <v>3744741467</v>
      </c>
      <c r="C36" t="s">
        <v>101</v>
      </c>
      <c r="D36" t="s">
        <v>258</v>
      </c>
      <c r="E36" t="s">
        <v>65</v>
      </c>
      <c r="F36" t="s">
        <v>66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  <c r="M36" t="s">
        <v>72</v>
      </c>
      <c r="N36" t="s">
        <v>73</v>
      </c>
      <c r="O36" t="s">
        <v>71</v>
      </c>
      <c r="P36" t="s">
        <v>74</v>
      </c>
      <c r="Q36" t="s">
        <v>75</v>
      </c>
      <c r="R36" t="s">
        <v>76</v>
      </c>
      <c r="S36" t="s">
        <v>245</v>
      </c>
      <c r="T36" t="s">
        <v>78</v>
      </c>
      <c r="U36" t="s">
        <v>79</v>
      </c>
      <c r="V36" t="s">
        <v>80</v>
      </c>
      <c r="W36" s="1">
        <v>44521</v>
      </c>
      <c r="X36" t="s">
        <v>81</v>
      </c>
      <c r="Y36" t="s">
        <v>246</v>
      </c>
      <c r="Z36" t="s">
        <v>83</v>
      </c>
      <c r="AA36">
        <v>1</v>
      </c>
      <c r="AB36" t="s">
        <v>103</v>
      </c>
      <c r="AD36" t="s">
        <v>112</v>
      </c>
      <c r="AE36" t="s">
        <v>145</v>
      </c>
      <c r="AF36" t="s">
        <v>87</v>
      </c>
      <c r="AG36" t="s">
        <v>253</v>
      </c>
      <c r="AH36" t="s">
        <v>254</v>
      </c>
      <c r="AI36" t="s">
        <v>90</v>
      </c>
      <c r="AJ36">
        <v>32.500216999999999</v>
      </c>
      <c r="AK36">
        <v>-110.68151</v>
      </c>
      <c r="AL36">
        <v>3</v>
      </c>
      <c r="AN36">
        <v>1281</v>
      </c>
      <c r="AP36">
        <v>1281</v>
      </c>
      <c r="AQ36">
        <v>1326.348197</v>
      </c>
      <c r="AT36">
        <v>21</v>
      </c>
      <c r="AU36">
        <v>11</v>
      </c>
      <c r="AV36">
        <v>2021</v>
      </c>
      <c r="AW36">
        <v>2439581</v>
      </c>
      <c r="AX36">
        <v>2439581</v>
      </c>
      <c r="AY36" t="s">
        <v>106</v>
      </c>
      <c r="AZ36" t="s">
        <v>92</v>
      </c>
      <c r="BA36" t="s">
        <v>107</v>
      </c>
      <c r="BB36" t="s">
        <v>259</v>
      </c>
      <c r="BC36" t="s">
        <v>97</v>
      </c>
      <c r="BE36" t="s">
        <v>96</v>
      </c>
      <c r="BG36" t="s">
        <v>97</v>
      </c>
      <c r="BI36" t="s">
        <v>98</v>
      </c>
      <c r="BJ36" t="s">
        <v>260</v>
      </c>
      <c r="BL36" t="s">
        <v>110</v>
      </c>
    </row>
    <row r="37" spans="1:64" hidden="1" x14ac:dyDescent="0.2">
      <c r="A37">
        <v>1565</v>
      </c>
      <c r="B37">
        <v>3744741568</v>
      </c>
      <c r="C37" t="s">
        <v>101</v>
      </c>
      <c r="D37" t="s">
        <v>1828</v>
      </c>
      <c r="E37" t="s">
        <v>65</v>
      </c>
      <c r="F37" t="s">
        <v>66</v>
      </c>
      <c r="G37" t="s">
        <v>67</v>
      </c>
      <c r="H37" t="s">
        <v>68</v>
      </c>
      <c r="I37" t="s">
        <v>176</v>
      </c>
      <c r="J37" t="s">
        <v>177</v>
      </c>
      <c r="K37" t="s">
        <v>1817</v>
      </c>
      <c r="M37" t="s">
        <v>72</v>
      </c>
      <c r="N37" t="s">
        <v>1818</v>
      </c>
      <c r="O37" t="s">
        <v>1817</v>
      </c>
      <c r="P37" t="s">
        <v>1819</v>
      </c>
      <c r="Q37" t="s">
        <v>75</v>
      </c>
      <c r="R37" t="s">
        <v>1820</v>
      </c>
      <c r="S37" t="s">
        <v>1829</v>
      </c>
      <c r="T37" t="s">
        <v>78</v>
      </c>
      <c r="U37" t="s">
        <v>1822</v>
      </c>
      <c r="V37" t="s">
        <v>1179</v>
      </c>
      <c r="W37" s="1">
        <v>44508</v>
      </c>
      <c r="X37" t="s">
        <v>1823</v>
      </c>
      <c r="Y37" t="s">
        <v>1830</v>
      </c>
      <c r="Z37" t="s">
        <v>83</v>
      </c>
      <c r="AA37">
        <v>1</v>
      </c>
      <c r="AB37" t="s">
        <v>127</v>
      </c>
      <c r="AC37">
        <v>0</v>
      </c>
      <c r="AD37" t="s">
        <v>128</v>
      </c>
      <c r="AE37" t="s">
        <v>145</v>
      </c>
      <c r="AF37" t="s">
        <v>87</v>
      </c>
      <c r="AG37" t="s">
        <v>1526</v>
      </c>
      <c r="AH37" t="s">
        <v>1831</v>
      </c>
      <c r="AI37" t="s">
        <v>90</v>
      </c>
      <c r="AJ37">
        <v>32.439894000000002</v>
      </c>
      <c r="AK37">
        <v>-110.788067</v>
      </c>
      <c r="AL37">
        <v>3</v>
      </c>
      <c r="AN37">
        <v>2764</v>
      </c>
      <c r="AP37">
        <v>2764</v>
      </c>
      <c r="AQ37">
        <v>2772.7770770000002</v>
      </c>
      <c r="AT37">
        <v>8</v>
      </c>
      <c r="AU37">
        <v>11</v>
      </c>
      <c r="AV37">
        <v>2021</v>
      </c>
      <c r="AW37">
        <v>2437967</v>
      </c>
      <c r="AX37">
        <v>2437967</v>
      </c>
      <c r="AY37" t="s">
        <v>106</v>
      </c>
      <c r="AZ37" t="s">
        <v>92</v>
      </c>
      <c r="BA37" t="s">
        <v>107</v>
      </c>
      <c r="BB37" t="s">
        <v>1832</v>
      </c>
      <c r="BC37" t="s">
        <v>1186</v>
      </c>
      <c r="BE37" t="s">
        <v>96</v>
      </c>
      <c r="BG37" t="s">
        <v>1186</v>
      </c>
      <c r="BI37" t="s">
        <v>98</v>
      </c>
      <c r="BJ37" t="s">
        <v>1833</v>
      </c>
      <c r="BL37" t="s">
        <v>110</v>
      </c>
    </row>
    <row r="38" spans="1:64" x14ac:dyDescent="0.2">
      <c r="A38">
        <v>961</v>
      </c>
      <c r="B38">
        <v>4027015469</v>
      </c>
      <c r="C38" t="s">
        <v>101</v>
      </c>
      <c r="D38" t="s">
        <v>1153</v>
      </c>
      <c r="E38" t="s">
        <v>65</v>
      </c>
      <c r="F38" t="s">
        <v>66</v>
      </c>
      <c r="G38" t="s">
        <v>67</v>
      </c>
      <c r="H38" t="s">
        <v>68</v>
      </c>
      <c r="I38" t="s">
        <v>176</v>
      </c>
      <c r="J38" t="s">
        <v>177</v>
      </c>
      <c r="K38" t="s">
        <v>178</v>
      </c>
      <c r="M38" t="s">
        <v>72</v>
      </c>
      <c r="N38" t="s">
        <v>179</v>
      </c>
      <c r="O38" t="s">
        <v>178</v>
      </c>
      <c r="P38" t="s">
        <v>180</v>
      </c>
      <c r="Q38" t="s">
        <v>75</v>
      </c>
      <c r="R38" t="s">
        <v>977</v>
      </c>
      <c r="S38" t="s">
        <v>1150</v>
      </c>
      <c r="T38" t="s">
        <v>78</v>
      </c>
      <c r="U38" t="s">
        <v>646</v>
      </c>
      <c r="V38" t="s">
        <v>80</v>
      </c>
      <c r="W38" s="1">
        <v>44695</v>
      </c>
      <c r="X38" t="s">
        <v>647</v>
      </c>
      <c r="Y38" t="s">
        <v>1151</v>
      </c>
      <c r="Z38" t="s">
        <v>83</v>
      </c>
      <c r="AA38">
        <v>1</v>
      </c>
      <c r="AB38" t="s">
        <v>657</v>
      </c>
      <c r="AC38">
        <v>0</v>
      </c>
      <c r="AD38" t="s">
        <v>119</v>
      </c>
      <c r="AE38" t="s">
        <v>145</v>
      </c>
      <c r="AF38" t="s">
        <v>146</v>
      </c>
      <c r="AG38" t="s">
        <v>765</v>
      </c>
      <c r="AI38" t="s">
        <v>90</v>
      </c>
      <c r="AJ38">
        <v>32.389400000000002</v>
      </c>
      <c r="AK38">
        <v>-110.708213</v>
      </c>
      <c r="AN38">
        <v>2102</v>
      </c>
      <c r="AP38">
        <v>2102</v>
      </c>
      <c r="AQ38">
        <v>2145.8576670000002</v>
      </c>
      <c r="AT38">
        <v>14</v>
      </c>
      <c r="AU38">
        <v>5</v>
      </c>
      <c r="AV38">
        <v>2022</v>
      </c>
      <c r="AW38">
        <v>2438038</v>
      </c>
      <c r="AX38">
        <v>2438038</v>
      </c>
      <c r="AY38" t="s">
        <v>106</v>
      </c>
      <c r="AZ38" t="s">
        <v>92</v>
      </c>
      <c r="BA38" t="s">
        <v>107</v>
      </c>
      <c r="BB38" t="s">
        <v>1154</v>
      </c>
      <c r="BC38" t="s">
        <v>97</v>
      </c>
      <c r="BE38" t="s">
        <v>96</v>
      </c>
      <c r="BG38" t="s">
        <v>1081</v>
      </c>
      <c r="BI38" t="s">
        <v>98</v>
      </c>
      <c r="BJ38" t="s">
        <v>966</v>
      </c>
      <c r="BL38" t="s">
        <v>110</v>
      </c>
    </row>
    <row r="39" spans="1:64" hidden="1" x14ac:dyDescent="0.2">
      <c r="A39">
        <v>1673</v>
      </c>
      <c r="B39">
        <v>3744741460</v>
      </c>
      <c r="C39" t="s">
        <v>101</v>
      </c>
      <c r="D39" t="s">
        <v>267</v>
      </c>
      <c r="E39" t="s">
        <v>65</v>
      </c>
      <c r="F39" t="s">
        <v>66</v>
      </c>
      <c r="G39" t="s">
        <v>67</v>
      </c>
      <c r="H39" t="s">
        <v>68</v>
      </c>
      <c r="I39" t="s">
        <v>69</v>
      </c>
      <c r="J39" t="s">
        <v>70</v>
      </c>
      <c r="K39" t="s">
        <v>71</v>
      </c>
      <c r="M39" t="s">
        <v>72</v>
      </c>
      <c r="N39" t="s">
        <v>73</v>
      </c>
      <c r="O39" t="s">
        <v>71</v>
      </c>
      <c r="P39" t="s">
        <v>74</v>
      </c>
      <c r="Q39" t="s">
        <v>75</v>
      </c>
      <c r="R39" t="s">
        <v>76</v>
      </c>
      <c r="S39" t="s">
        <v>245</v>
      </c>
      <c r="T39" t="s">
        <v>78</v>
      </c>
      <c r="U39" t="s">
        <v>79</v>
      </c>
      <c r="V39" t="s">
        <v>80</v>
      </c>
      <c r="W39" s="1">
        <v>44521</v>
      </c>
      <c r="X39" t="s">
        <v>81</v>
      </c>
      <c r="Y39" t="s">
        <v>246</v>
      </c>
      <c r="Z39" t="s">
        <v>83</v>
      </c>
      <c r="AA39">
        <v>1</v>
      </c>
      <c r="AB39" t="s">
        <v>103</v>
      </c>
      <c r="AD39" t="s">
        <v>139</v>
      </c>
      <c r="AE39" t="s">
        <v>145</v>
      </c>
      <c r="AF39" t="s">
        <v>87</v>
      </c>
      <c r="AG39" t="s">
        <v>253</v>
      </c>
      <c r="AH39" t="s">
        <v>254</v>
      </c>
      <c r="AI39" t="s">
        <v>90</v>
      </c>
      <c r="AJ39">
        <v>32.500216999999999</v>
      </c>
      <c r="AK39">
        <v>-110.68151</v>
      </c>
      <c r="AL39">
        <v>3</v>
      </c>
      <c r="AN39">
        <v>1281</v>
      </c>
      <c r="AP39">
        <v>1281</v>
      </c>
      <c r="AQ39">
        <v>1326.348197</v>
      </c>
      <c r="AT39">
        <v>21</v>
      </c>
      <c r="AU39">
        <v>11</v>
      </c>
      <c r="AV39">
        <v>2021</v>
      </c>
      <c r="AW39">
        <v>2439581</v>
      </c>
      <c r="AX39">
        <v>2439581</v>
      </c>
      <c r="AY39" t="s">
        <v>106</v>
      </c>
      <c r="AZ39" t="s">
        <v>92</v>
      </c>
      <c r="BA39" t="s">
        <v>107</v>
      </c>
      <c r="BB39" t="s">
        <v>268</v>
      </c>
      <c r="BC39" t="s">
        <v>97</v>
      </c>
      <c r="BE39" t="s">
        <v>96</v>
      </c>
      <c r="BG39" t="s">
        <v>97</v>
      </c>
      <c r="BI39" t="s">
        <v>98</v>
      </c>
      <c r="BJ39" t="s">
        <v>269</v>
      </c>
      <c r="BL39" t="s">
        <v>110</v>
      </c>
    </row>
    <row r="40" spans="1:64" hidden="1" x14ac:dyDescent="0.2">
      <c r="A40">
        <v>1671</v>
      </c>
      <c r="B40">
        <v>3744741462</v>
      </c>
      <c r="C40" t="s">
        <v>101</v>
      </c>
      <c r="D40" t="s">
        <v>270</v>
      </c>
      <c r="E40" t="s">
        <v>65</v>
      </c>
      <c r="F40" t="s">
        <v>66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M40" t="s">
        <v>72</v>
      </c>
      <c r="N40" t="s">
        <v>73</v>
      </c>
      <c r="O40" t="s">
        <v>71</v>
      </c>
      <c r="P40" t="s">
        <v>74</v>
      </c>
      <c r="Q40" t="s">
        <v>75</v>
      </c>
      <c r="R40" t="s">
        <v>76</v>
      </c>
      <c r="S40" t="s">
        <v>245</v>
      </c>
      <c r="T40" t="s">
        <v>78</v>
      </c>
      <c r="U40" t="s">
        <v>79</v>
      </c>
      <c r="V40" t="s">
        <v>80</v>
      </c>
      <c r="W40" s="1">
        <v>44521</v>
      </c>
      <c r="X40" t="s">
        <v>81</v>
      </c>
      <c r="Y40" t="s">
        <v>246</v>
      </c>
      <c r="Z40" t="s">
        <v>83</v>
      </c>
      <c r="AA40">
        <v>1</v>
      </c>
      <c r="AB40" t="s">
        <v>103</v>
      </c>
      <c r="AD40" t="s">
        <v>123</v>
      </c>
      <c r="AE40" t="s">
        <v>145</v>
      </c>
      <c r="AF40" t="s">
        <v>87</v>
      </c>
      <c r="AG40" t="s">
        <v>253</v>
      </c>
      <c r="AH40" t="s">
        <v>254</v>
      </c>
      <c r="AI40" t="s">
        <v>90</v>
      </c>
      <c r="AJ40">
        <v>32.500216999999999</v>
      </c>
      <c r="AK40">
        <v>-110.68151</v>
      </c>
      <c r="AL40">
        <v>3</v>
      </c>
      <c r="AN40">
        <v>1281</v>
      </c>
      <c r="AP40">
        <v>1281</v>
      </c>
      <c r="AQ40">
        <v>1326.348197</v>
      </c>
      <c r="AT40">
        <v>21</v>
      </c>
      <c r="AU40">
        <v>11</v>
      </c>
      <c r="AV40">
        <v>2021</v>
      </c>
      <c r="AW40">
        <v>2439581</v>
      </c>
      <c r="AX40">
        <v>2439581</v>
      </c>
      <c r="AY40" t="s">
        <v>106</v>
      </c>
      <c r="AZ40" t="s">
        <v>92</v>
      </c>
      <c r="BA40" t="s">
        <v>107</v>
      </c>
      <c r="BB40" t="s">
        <v>271</v>
      </c>
      <c r="BC40" t="s">
        <v>97</v>
      </c>
      <c r="BE40" t="s">
        <v>96</v>
      </c>
      <c r="BG40" t="s">
        <v>97</v>
      </c>
      <c r="BI40" t="s">
        <v>98</v>
      </c>
      <c r="BJ40" t="s">
        <v>272</v>
      </c>
      <c r="BL40" t="s">
        <v>110</v>
      </c>
    </row>
    <row r="41" spans="1:64" hidden="1" x14ac:dyDescent="0.2">
      <c r="A41">
        <v>1678</v>
      </c>
      <c r="B41">
        <v>3744741455</v>
      </c>
      <c r="C41" t="s">
        <v>101</v>
      </c>
      <c r="D41" t="s">
        <v>273</v>
      </c>
      <c r="E41" t="s">
        <v>65</v>
      </c>
      <c r="F41" t="s">
        <v>66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M41" t="s">
        <v>72</v>
      </c>
      <c r="N41" t="s">
        <v>73</v>
      </c>
      <c r="O41" t="s">
        <v>71</v>
      </c>
      <c r="P41" t="s">
        <v>74</v>
      </c>
      <c r="Q41" t="s">
        <v>75</v>
      </c>
      <c r="R41" t="s">
        <v>76</v>
      </c>
      <c r="S41" t="s">
        <v>245</v>
      </c>
      <c r="T41" t="s">
        <v>78</v>
      </c>
      <c r="U41" t="s">
        <v>79</v>
      </c>
      <c r="V41" t="s">
        <v>80</v>
      </c>
      <c r="W41" s="1">
        <v>44521</v>
      </c>
      <c r="X41" t="s">
        <v>81</v>
      </c>
      <c r="Y41" t="s">
        <v>246</v>
      </c>
      <c r="Z41" t="s">
        <v>83</v>
      </c>
      <c r="AA41">
        <v>1</v>
      </c>
      <c r="AB41" t="s">
        <v>133</v>
      </c>
      <c r="AD41" t="s">
        <v>134</v>
      </c>
      <c r="AE41" t="s">
        <v>145</v>
      </c>
      <c r="AF41" t="s">
        <v>87</v>
      </c>
      <c r="AG41" t="s">
        <v>253</v>
      </c>
      <c r="AH41" t="s">
        <v>274</v>
      </c>
      <c r="AI41" t="s">
        <v>90</v>
      </c>
      <c r="AJ41">
        <v>32.500216999999999</v>
      </c>
      <c r="AK41">
        <v>-110.68151</v>
      </c>
      <c r="AL41">
        <v>3</v>
      </c>
      <c r="AN41">
        <v>1281</v>
      </c>
      <c r="AP41">
        <v>1281</v>
      </c>
      <c r="AQ41">
        <v>1326.348197</v>
      </c>
      <c r="AT41">
        <v>21</v>
      </c>
      <c r="AU41">
        <v>11</v>
      </c>
      <c r="AV41">
        <v>2021</v>
      </c>
      <c r="AW41">
        <v>2439581</v>
      </c>
      <c r="AX41">
        <v>2439581</v>
      </c>
      <c r="AY41" t="s">
        <v>106</v>
      </c>
      <c r="AZ41" t="s">
        <v>92</v>
      </c>
      <c r="BA41" t="s">
        <v>107</v>
      </c>
      <c r="BB41" t="s">
        <v>275</v>
      </c>
      <c r="BC41" t="s">
        <v>97</v>
      </c>
      <c r="BE41" t="s">
        <v>96</v>
      </c>
      <c r="BG41" t="s">
        <v>97</v>
      </c>
      <c r="BI41" t="s">
        <v>98</v>
      </c>
      <c r="BJ41" t="s">
        <v>266</v>
      </c>
      <c r="BL41" t="s">
        <v>110</v>
      </c>
    </row>
    <row r="42" spans="1:64" hidden="1" x14ac:dyDescent="0.2">
      <c r="A42">
        <v>1675</v>
      </c>
      <c r="B42">
        <v>3744741458</v>
      </c>
      <c r="C42" t="s">
        <v>101</v>
      </c>
      <c r="D42" t="s">
        <v>286</v>
      </c>
      <c r="E42" t="s">
        <v>65</v>
      </c>
      <c r="F42" t="s">
        <v>66</v>
      </c>
      <c r="G42" t="s">
        <v>67</v>
      </c>
      <c r="H42" t="s">
        <v>68</v>
      </c>
      <c r="I42" t="s">
        <v>176</v>
      </c>
      <c r="J42" t="s">
        <v>177</v>
      </c>
      <c r="K42" t="s">
        <v>178</v>
      </c>
      <c r="M42" t="s">
        <v>72</v>
      </c>
      <c r="N42" t="s">
        <v>179</v>
      </c>
      <c r="O42" t="s">
        <v>178</v>
      </c>
      <c r="P42" t="s">
        <v>180</v>
      </c>
      <c r="Q42" t="s">
        <v>75</v>
      </c>
      <c r="R42" t="s">
        <v>287</v>
      </c>
      <c r="S42" t="s">
        <v>278</v>
      </c>
      <c r="T42" t="s">
        <v>78</v>
      </c>
      <c r="U42" t="s">
        <v>79</v>
      </c>
      <c r="V42" t="s">
        <v>80</v>
      </c>
      <c r="W42" s="1">
        <v>44521</v>
      </c>
      <c r="X42" t="s">
        <v>81</v>
      </c>
      <c r="Y42" t="s">
        <v>279</v>
      </c>
      <c r="Z42" t="s">
        <v>83</v>
      </c>
      <c r="AA42">
        <v>1</v>
      </c>
      <c r="AB42" t="s">
        <v>103</v>
      </c>
      <c r="AD42" t="s">
        <v>104</v>
      </c>
      <c r="AE42" t="s">
        <v>86</v>
      </c>
      <c r="AF42" t="s">
        <v>281</v>
      </c>
      <c r="AG42" t="s">
        <v>282</v>
      </c>
      <c r="AH42" t="s">
        <v>288</v>
      </c>
      <c r="AI42" t="s">
        <v>90</v>
      </c>
      <c r="AJ42">
        <v>32.501477999999999</v>
      </c>
      <c r="AK42">
        <v>-110.682596</v>
      </c>
      <c r="AL42">
        <v>3</v>
      </c>
      <c r="AN42">
        <v>1318</v>
      </c>
      <c r="AP42">
        <v>1318</v>
      </c>
      <c r="AQ42">
        <v>1332.8139309999999</v>
      </c>
      <c r="AT42">
        <v>21</v>
      </c>
      <c r="AU42">
        <v>11</v>
      </c>
      <c r="AV42">
        <v>2021</v>
      </c>
      <c r="AW42">
        <v>2438038</v>
      </c>
      <c r="AX42">
        <v>2438038</v>
      </c>
      <c r="AY42" t="s">
        <v>106</v>
      </c>
      <c r="AZ42" t="s">
        <v>92</v>
      </c>
      <c r="BA42" t="s">
        <v>107</v>
      </c>
      <c r="BB42" t="s">
        <v>289</v>
      </c>
      <c r="BC42" t="s">
        <v>95</v>
      </c>
      <c r="BD42" s="1">
        <v>45126</v>
      </c>
      <c r="BE42" t="s">
        <v>96</v>
      </c>
      <c r="BG42" t="s">
        <v>97</v>
      </c>
      <c r="BI42" t="s">
        <v>98</v>
      </c>
      <c r="BJ42" t="s">
        <v>233</v>
      </c>
      <c r="BL42" t="s">
        <v>110</v>
      </c>
    </row>
    <row r="43" spans="1:64" hidden="1" x14ac:dyDescent="0.2">
      <c r="A43">
        <v>1683</v>
      </c>
      <c r="B43">
        <v>3744741450</v>
      </c>
      <c r="C43" t="s">
        <v>101</v>
      </c>
      <c r="D43" t="s">
        <v>290</v>
      </c>
      <c r="E43" t="s">
        <v>65</v>
      </c>
      <c r="F43" t="s">
        <v>66</v>
      </c>
      <c r="G43" t="s">
        <v>67</v>
      </c>
      <c r="H43" t="s">
        <v>68</v>
      </c>
      <c r="I43" t="s">
        <v>176</v>
      </c>
      <c r="J43" t="s">
        <v>177</v>
      </c>
      <c r="K43" t="s">
        <v>178</v>
      </c>
      <c r="M43" t="s">
        <v>72</v>
      </c>
      <c r="N43" t="s">
        <v>179</v>
      </c>
      <c r="O43" t="s">
        <v>178</v>
      </c>
      <c r="P43" t="s">
        <v>180</v>
      </c>
      <c r="Q43" t="s">
        <v>75</v>
      </c>
      <c r="R43" t="s">
        <v>287</v>
      </c>
      <c r="S43" t="s">
        <v>278</v>
      </c>
      <c r="T43" t="s">
        <v>78</v>
      </c>
      <c r="U43" t="s">
        <v>79</v>
      </c>
      <c r="V43" t="s">
        <v>80</v>
      </c>
      <c r="W43" s="1">
        <v>44521</v>
      </c>
      <c r="X43" t="s">
        <v>81</v>
      </c>
      <c r="Y43" t="s">
        <v>279</v>
      </c>
      <c r="Z43" t="s">
        <v>83</v>
      </c>
      <c r="AA43">
        <v>1</v>
      </c>
      <c r="AB43" t="s">
        <v>103</v>
      </c>
      <c r="AD43" t="s">
        <v>112</v>
      </c>
      <c r="AE43" t="s">
        <v>86</v>
      </c>
      <c r="AF43" t="s">
        <v>281</v>
      </c>
      <c r="AG43" t="s">
        <v>282</v>
      </c>
      <c r="AH43" t="s">
        <v>288</v>
      </c>
      <c r="AI43" t="s">
        <v>90</v>
      </c>
      <c r="AJ43">
        <v>32.501477999999999</v>
      </c>
      <c r="AK43">
        <v>-110.682596</v>
      </c>
      <c r="AL43">
        <v>3</v>
      </c>
      <c r="AN43">
        <v>1318</v>
      </c>
      <c r="AP43">
        <v>1318</v>
      </c>
      <c r="AQ43">
        <v>1332.8139309999999</v>
      </c>
      <c r="AT43">
        <v>21</v>
      </c>
      <c r="AU43">
        <v>11</v>
      </c>
      <c r="AV43">
        <v>2021</v>
      </c>
      <c r="AW43">
        <v>2438038</v>
      </c>
      <c r="AX43">
        <v>2438038</v>
      </c>
      <c r="AY43" t="s">
        <v>106</v>
      </c>
      <c r="AZ43" t="s">
        <v>92</v>
      </c>
      <c r="BA43" t="s">
        <v>107</v>
      </c>
      <c r="BB43" t="s">
        <v>291</v>
      </c>
      <c r="BC43" t="s">
        <v>95</v>
      </c>
      <c r="BD43" s="1">
        <v>45126</v>
      </c>
      <c r="BE43" t="s">
        <v>96</v>
      </c>
      <c r="BG43" t="s">
        <v>97</v>
      </c>
      <c r="BI43" t="s">
        <v>98</v>
      </c>
      <c r="BJ43" t="s">
        <v>292</v>
      </c>
      <c r="BL43" t="s">
        <v>110</v>
      </c>
    </row>
    <row r="44" spans="1:64" hidden="1" x14ac:dyDescent="0.2">
      <c r="A44">
        <v>1680</v>
      </c>
      <c r="B44">
        <v>3744741453</v>
      </c>
      <c r="C44" t="s">
        <v>101</v>
      </c>
      <c r="D44" t="s">
        <v>293</v>
      </c>
      <c r="E44" t="s">
        <v>65</v>
      </c>
      <c r="F44" t="s">
        <v>66</v>
      </c>
      <c r="G44" t="s">
        <v>67</v>
      </c>
      <c r="H44" t="s">
        <v>68</v>
      </c>
      <c r="I44" t="s">
        <v>176</v>
      </c>
      <c r="J44" t="s">
        <v>177</v>
      </c>
      <c r="K44" t="s">
        <v>178</v>
      </c>
      <c r="M44" t="s">
        <v>72</v>
      </c>
      <c r="N44" t="s">
        <v>179</v>
      </c>
      <c r="O44" t="s">
        <v>178</v>
      </c>
      <c r="P44" t="s">
        <v>180</v>
      </c>
      <c r="Q44" t="s">
        <v>75</v>
      </c>
      <c r="R44" t="s">
        <v>287</v>
      </c>
      <c r="S44" t="s">
        <v>278</v>
      </c>
      <c r="T44" t="s">
        <v>78</v>
      </c>
      <c r="U44" t="s">
        <v>79</v>
      </c>
      <c r="V44" t="s">
        <v>80</v>
      </c>
      <c r="W44" s="1">
        <v>44521</v>
      </c>
      <c r="X44" t="s">
        <v>81</v>
      </c>
      <c r="Y44" t="s">
        <v>279</v>
      </c>
      <c r="Z44" t="s">
        <v>83</v>
      </c>
      <c r="AA44">
        <v>1</v>
      </c>
      <c r="AB44" t="s">
        <v>103</v>
      </c>
      <c r="AD44" t="s">
        <v>116</v>
      </c>
      <c r="AE44" t="s">
        <v>86</v>
      </c>
      <c r="AF44" t="s">
        <v>281</v>
      </c>
      <c r="AG44" t="s">
        <v>282</v>
      </c>
      <c r="AH44" t="s">
        <v>288</v>
      </c>
      <c r="AI44" t="s">
        <v>90</v>
      </c>
      <c r="AJ44">
        <v>32.501477999999999</v>
      </c>
      <c r="AK44">
        <v>-110.682596</v>
      </c>
      <c r="AL44">
        <v>3</v>
      </c>
      <c r="AN44">
        <v>1318</v>
      </c>
      <c r="AP44">
        <v>1318</v>
      </c>
      <c r="AQ44">
        <v>1332.8139309999999</v>
      </c>
      <c r="AT44">
        <v>21</v>
      </c>
      <c r="AU44">
        <v>11</v>
      </c>
      <c r="AV44">
        <v>2021</v>
      </c>
      <c r="AW44">
        <v>2438038</v>
      </c>
      <c r="AX44">
        <v>2438038</v>
      </c>
      <c r="AY44" t="s">
        <v>106</v>
      </c>
      <c r="AZ44" t="s">
        <v>92</v>
      </c>
      <c r="BA44" t="s">
        <v>107</v>
      </c>
      <c r="BB44" t="s">
        <v>294</v>
      </c>
      <c r="BC44" t="s">
        <v>95</v>
      </c>
      <c r="BD44" s="1">
        <v>45126</v>
      </c>
      <c r="BE44" t="s">
        <v>96</v>
      </c>
      <c r="BG44" t="s">
        <v>97</v>
      </c>
      <c r="BI44" t="s">
        <v>98</v>
      </c>
      <c r="BJ44" t="s">
        <v>295</v>
      </c>
      <c r="BL44" t="s">
        <v>110</v>
      </c>
    </row>
    <row r="45" spans="1:64" x14ac:dyDescent="0.2">
      <c r="A45">
        <v>1035</v>
      </c>
      <c r="B45">
        <v>4027015395</v>
      </c>
      <c r="C45" t="s">
        <v>101</v>
      </c>
      <c r="D45" t="s">
        <v>2078</v>
      </c>
      <c r="E45" t="s">
        <v>65</v>
      </c>
      <c r="F45" t="s">
        <v>66</v>
      </c>
      <c r="G45" t="s">
        <v>67</v>
      </c>
      <c r="H45" t="s">
        <v>68</v>
      </c>
      <c r="I45" t="s">
        <v>176</v>
      </c>
      <c r="J45" t="s">
        <v>177</v>
      </c>
      <c r="K45" t="s">
        <v>1817</v>
      </c>
      <c r="M45" t="s">
        <v>72</v>
      </c>
      <c r="N45" t="s">
        <v>1818</v>
      </c>
      <c r="O45" t="s">
        <v>1817</v>
      </c>
      <c r="P45" t="s">
        <v>1819</v>
      </c>
      <c r="Q45" t="s">
        <v>75</v>
      </c>
      <c r="R45" t="s">
        <v>1858</v>
      </c>
      <c r="S45" t="s">
        <v>830</v>
      </c>
      <c r="T45" t="s">
        <v>78</v>
      </c>
      <c r="U45" t="s">
        <v>1822</v>
      </c>
      <c r="V45" t="s">
        <v>80</v>
      </c>
      <c r="W45" s="1">
        <v>44696</v>
      </c>
      <c r="X45" t="s">
        <v>1859</v>
      </c>
      <c r="Y45" t="s">
        <v>2079</v>
      </c>
      <c r="Z45" t="s">
        <v>83</v>
      </c>
      <c r="AA45">
        <v>1</v>
      </c>
      <c r="AB45" t="s">
        <v>657</v>
      </c>
      <c r="AC45">
        <v>0</v>
      </c>
      <c r="AD45" t="s">
        <v>119</v>
      </c>
      <c r="AE45" t="s">
        <v>86</v>
      </c>
      <c r="AF45" t="s">
        <v>146</v>
      </c>
      <c r="AG45" t="s">
        <v>875</v>
      </c>
      <c r="AI45" t="s">
        <v>90</v>
      </c>
      <c r="AJ45">
        <v>32.425418000000001</v>
      </c>
      <c r="AK45">
        <v>-110.74032800000001</v>
      </c>
      <c r="AL45">
        <v>4</v>
      </c>
      <c r="AN45">
        <v>2374</v>
      </c>
      <c r="AP45">
        <v>2374</v>
      </c>
      <c r="AQ45">
        <v>2398.6185329999998</v>
      </c>
      <c r="AT45">
        <v>15</v>
      </c>
      <c r="AU45">
        <v>5</v>
      </c>
      <c r="AV45">
        <v>2022</v>
      </c>
      <c r="AW45">
        <v>2437967</v>
      </c>
      <c r="AX45">
        <v>2437967</v>
      </c>
      <c r="AY45" t="s">
        <v>106</v>
      </c>
      <c r="AZ45" t="s">
        <v>92</v>
      </c>
      <c r="BA45" t="s">
        <v>107</v>
      </c>
      <c r="BB45" t="s">
        <v>2080</v>
      </c>
      <c r="BC45" t="s">
        <v>97</v>
      </c>
      <c r="BE45" t="s">
        <v>96</v>
      </c>
      <c r="BG45" t="s">
        <v>1865</v>
      </c>
      <c r="BI45" t="s">
        <v>98</v>
      </c>
      <c r="BJ45" t="s">
        <v>2071</v>
      </c>
      <c r="BL45" t="s">
        <v>110</v>
      </c>
    </row>
    <row r="46" spans="1:64" hidden="1" x14ac:dyDescent="0.2">
      <c r="A46">
        <v>1694</v>
      </c>
      <c r="B46">
        <v>3744741439</v>
      </c>
      <c r="C46" t="s">
        <v>101</v>
      </c>
      <c r="D46" t="s">
        <v>299</v>
      </c>
      <c r="E46" t="s">
        <v>65</v>
      </c>
      <c r="F46" t="s">
        <v>66</v>
      </c>
      <c r="G46" t="s">
        <v>67</v>
      </c>
      <c r="H46" t="s">
        <v>68</v>
      </c>
      <c r="I46" t="s">
        <v>176</v>
      </c>
      <c r="J46" t="s">
        <v>177</v>
      </c>
      <c r="K46" t="s">
        <v>178</v>
      </c>
      <c r="M46" t="s">
        <v>72</v>
      </c>
      <c r="N46" t="s">
        <v>179</v>
      </c>
      <c r="O46" t="s">
        <v>178</v>
      </c>
      <c r="P46" t="s">
        <v>180</v>
      </c>
      <c r="Q46" t="s">
        <v>75</v>
      </c>
      <c r="R46" t="s">
        <v>287</v>
      </c>
      <c r="S46" t="s">
        <v>278</v>
      </c>
      <c r="T46" t="s">
        <v>78</v>
      </c>
      <c r="U46" t="s">
        <v>79</v>
      </c>
      <c r="V46" t="s">
        <v>80</v>
      </c>
      <c r="W46" s="1">
        <v>44521</v>
      </c>
      <c r="X46" t="s">
        <v>81</v>
      </c>
      <c r="Y46" t="s">
        <v>279</v>
      </c>
      <c r="Z46" t="s">
        <v>83</v>
      </c>
      <c r="AA46">
        <v>1</v>
      </c>
      <c r="AB46" t="s">
        <v>103</v>
      </c>
      <c r="AD46" t="s">
        <v>300</v>
      </c>
      <c r="AE46" t="s">
        <v>86</v>
      </c>
      <c r="AF46" t="s">
        <v>281</v>
      </c>
      <c r="AG46" t="s">
        <v>282</v>
      </c>
      <c r="AH46" t="s">
        <v>288</v>
      </c>
      <c r="AI46" t="s">
        <v>90</v>
      </c>
      <c r="AJ46">
        <v>32.501477999999999</v>
      </c>
      <c r="AK46">
        <v>-110.682596</v>
      </c>
      <c r="AL46">
        <v>3</v>
      </c>
      <c r="AN46">
        <v>1318</v>
      </c>
      <c r="AP46">
        <v>1318</v>
      </c>
      <c r="AQ46">
        <v>1332.8139309999999</v>
      </c>
      <c r="AT46">
        <v>21</v>
      </c>
      <c r="AU46">
        <v>11</v>
      </c>
      <c r="AV46">
        <v>2021</v>
      </c>
      <c r="AW46">
        <v>2438038</v>
      </c>
      <c r="AX46">
        <v>2438038</v>
      </c>
      <c r="AY46" t="s">
        <v>106</v>
      </c>
      <c r="AZ46" t="s">
        <v>92</v>
      </c>
      <c r="BA46" t="s">
        <v>107</v>
      </c>
      <c r="BB46" t="s">
        <v>301</v>
      </c>
      <c r="BC46" t="s">
        <v>95</v>
      </c>
      <c r="BD46" s="1">
        <v>45126</v>
      </c>
      <c r="BE46" t="s">
        <v>96</v>
      </c>
      <c r="BG46" t="s">
        <v>97</v>
      </c>
      <c r="BI46" t="s">
        <v>98</v>
      </c>
      <c r="BJ46" t="s">
        <v>302</v>
      </c>
      <c r="BL46" t="s">
        <v>110</v>
      </c>
    </row>
    <row r="47" spans="1:64" hidden="1" x14ac:dyDescent="0.2">
      <c r="A47">
        <v>1569</v>
      </c>
      <c r="B47">
        <v>3744741564</v>
      </c>
      <c r="C47" t="s">
        <v>101</v>
      </c>
      <c r="D47" s="2" t="s">
        <v>1838</v>
      </c>
      <c r="E47" t="s">
        <v>65</v>
      </c>
      <c r="F47" t="s">
        <v>66</v>
      </c>
      <c r="G47" t="s">
        <v>67</v>
      </c>
      <c r="H47" t="s">
        <v>68</v>
      </c>
      <c r="I47" t="s">
        <v>176</v>
      </c>
      <c r="J47" t="s">
        <v>177</v>
      </c>
      <c r="K47" t="s">
        <v>1817</v>
      </c>
      <c r="M47" t="s">
        <v>72</v>
      </c>
      <c r="N47" t="s">
        <v>1818</v>
      </c>
      <c r="O47" t="s">
        <v>1817</v>
      </c>
      <c r="P47" t="s">
        <v>1819</v>
      </c>
      <c r="Q47" t="s">
        <v>75</v>
      </c>
      <c r="R47" t="s">
        <v>1820</v>
      </c>
      <c r="S47" t="s">
        <v>1839</v>
      </c>
      <c r="T47" t="s">
        <v>78</v>
      </c>
      <c r="U47" t="s">
        <v>1822</v>
      </c>
      <c r="V47" t="s">
        <v>1179</v>
      </c>
      <c r="W47" s="1">
        <v>44508</v>
      </c>
      <c r="X47" t="s">
        <v>1823</v>
      </c>
      <c r="Y47" t="s">
        <v>1840</v>
      </c>
      <c r="Z47" t="s">
        <v>83</v>
      </c>
      <c r="AA47">
        <v>1</v>
      </c>
      <c r="AB47" t="s">
        <v>127</v>
      </c>
      <c r="AC47">
        <v>0</v>
      </c>
      <c r="AD47" t="s">
        <v>128</v>
      </c>
      <c r="AE47" t="s">
        <v>145</v>
      </c>
      <c r="AF47" t="s">
        <v>146</v>
      </c>
      <c r="AG47" t="s">
        <v>1526</v>
      </c>
      <c r="AH47" t="s">
        <v>1841</v>
      </c>
      <c r="AI47" t="s">
        <v>90</v>
      </c>
      <c r="AJ47">
        <v>32.439695</v>
      </c>
      <c r="AK47">
        <v>-110.78814199999999</v>
      </c>
      <c r="AL47">
        <v>3</v>
      </c>
      <c r="AN47">
        <v>2775</v>
      </c>
      <c r="AP47">
        <v>2775</v>
      </c>
      <c r="AQ47">
        <v>2769.2197070000002</v>
      </c>
      <c r="AT47">
        <v>8</v>
      </c>
      <c r="AU47">
        <v>11</v>
      </c>
      <c r="AV47">
        <v>2021</v>
      </c>
      <c r="AW47">
        <v>2437967</v>
      </c>
      <c r="AX47">
        <v>2437967</v>
      </c>
      <c r="AY47" t="s">
        <v>106</v>
      </c>
      <c r="AZ47" t="s">
        <v>92</v>
      </c>
      <c r="BA47" t="s">
        <v>107</v>
      </c>
      <c r="BB47" t="s">
        <v>1842</v>
      </c>
      <c r="BC47" t="s">
        <v>1186</v>
      </c>
      <c r="BE47" t="s">
        <v>96</v>
      </c>
      <c r="BG47" t="s">
        <v>1186</v>
      </c>
      <c r="BI47" t="s">
        <v>98</v>
      </c>
      <c r="BJ47" t="s">
        <v>1833</v>
      </c>
      <c r="BL47" t="s">
        <v>110</v>
      </c>
    </row>
    <row r="48" spans="1:64" hidden="1" x14ac:dyDescent="0.2">
      <c r="A48">
        <v>1698</v>
      </c>
      <c r="B48">
        <v>3744741435</v>
      </c>
      <c r="C48" t="s">
        <v>101</v>
      </c>
      <c r="D48" t="s">
        <v>307</v>
      </c>
      <c r="E48" t="s">
        <v>65</v>
      </c>
      <c r="F48" t="s">
        <v>66</v>
      </c>
      <c r="G48" t="s">
        <v>67</v>
      </c>
      <c r="H48" t="s">
        <v>68</v>
      </c>
      <c r="I48" t="s">
        <v>176</v>
      </c>
      <c r="J48" t="s">
        <v>177</v>
      </c>
      <c r="K48" t="s">
        <v>178</v>
      </c>
      <c r="M48" t="s">
        <v>72</v>
      </c>
      <c r="N48" t="s">
        <v>179</v>
      </c>
      <c r="O48" t="s">
        <v>178</v>
      </c>
      <c r="P48" t="s">
        <v>180</v>
      </c>
      <c r="Q48" t="s">
        <v>75</v>
      </c>
      <c r="R48" t="s">
        <v>287</v>
      </c>
      <c r="S48" t="s">
        <v>278</v>
      </c>
      <c r="T48" t="s">
        <v>78</v>
      </c>
      <c r="U48" t="s">
        <v>79</v>
      </c>
      <c r="V48" t="s">
        <v>80</v>
      </c>
      <c r="W48" s="1">
        <v>44521</v>
      </c>
      <c r="X48" t="s">
        <v>81</v>
      </c>
      <c r="Y48" t="s">
        <v>279</v>
      </c>
      <c r="Z48" t="s">
        <v>83</v>
      </c>
      <c r="AA48">
        <v>1</v>
      </c>
      <c r="AB48" t="s">
        <v>133</v>
      </c>
      <c r="AD48" t="s">
        <v>134</v>
      </c>
      <c r="AE48" t="s">
        <v>86</v>
      </c>
      <c r="AF48" t="s">
        <v>281</v>
      </c>
      <c r="AG48" t="s">
        <v>282</v>
      </c>
      <c r="AH48" t="s">
        <v>308</v>
      </c>
      <c r="AI48" t="s">
        <v>90</v>
      </c>
      <c r="AJ48">
        <v>32.501477999999999</v>
      </c>
      <c r="AK48">
        <v>-110.682596</v>
      </c>
      <c r="AL48">
        <v>3</v>
      </c>
      <c r="AN48">
        <v>1318</v>
      </c>
      <c r="AP48">
        <v>1318</v>
      </c>
      <c r="AQ48">
        <v>1332.8139309999999</v>
      </c>
      <c r="AT48">
        <v>21</v>
      </c>
      <c r="AU48">
        <v>11</v>
      </c>
      <c r="AV48">
        <v>2021</v>
      </c>
      <c r="AW48">
        <v>2438038</v>
      </c>
      <c r="AX48">
        <v>2438038</v>
      </c>
      <c r="AY48" t="s">
        <v>106</v>
      </c>
      <c r="AZ48" t="s">
        <v>92</v>
      </c>
      <c r="BA48" t="s">
        <v>107</v>
      </c>
      <c r="BB48" t="s">
        <v>309</v>
      </c>
      <c r="BC48" t="s">
        <v>95</v>
      </c>
      <c r="BD48" s="1">
        <v>45126</v>
      </c>
      <c r="BE48" t="s">
        <v>96</v>
      </c>
      <c r="BG48" t="s">
        <v>97</v>
      </c>
      <c r="BI48" t="s">
        <v>98</v>
      </c>
      <c r="BJ48" t="s">
        <v>292</v>
      </c>
      <c r="BL48" t="s">
        <v>110</v>
      </c>
    </row>
    <row r="49" spans="1:64" hidden="1" x14ac:dyDescent="0.2">
      <c r="A49">
        <v>1789</v>
      </c>
      <c r="B49">
        <v>3744741313</v>
      </c>
      <c r="C49" t="s">
        <v>101</v>
      </c>
      <c r="D49" t="s">
        <v>318</v>
      </c>
      <c r="E49" t="s">
        <v>65</v>
      </c>
      <c r="F49" t="s">
        <v>66</v>
      </c>
      <c r="G49" t="s">
        <v>67</v>
      </c>
      <c r="H49" t="s">
        <v>68</v>
      </c>
      <c r="I49" t="s">
        <v>176</v>
      </c>
      <c r="J49" t="s">
        <v>177</v>
      </c>
      <c r="K49" t="s">
        <v>178</v>
      </c>
      <c r="M49" t="s">
        <v>72</v>
      </c>
      <c r="N49" t="s">
        <v>179</v>
      </c>
      <c r="O49" t="s">
        <v>178</v>
      </c>
      <c r="P49" t="s">
        <v>180</v>
      </c>
      <c r="Q49" t="s">
        <v>75</v>
      </c>
      <c r="R49" t="s">
        <v>311</v>
      </c>
      <c r="S49" t="s">
        <v>312</v>
      </c>
      <c r="T49" t="s">
        <v>78</v>
      </c>
      <c r="U49" t="s">
        <v>79</v>
      </c>
      <c r="V49" t="s">
        <v>80</v>
      </c>
      <c r="W49" s="1">
        <v>44521</v>
      </c>
      <c r="X49" t="s">
        <v>81</v>
      </c>
      <c r="Y49" t="s">
        <v>313</v>
      </c>
      <c r="Z49" t="s">
        <v>83</v>
      </c>
      <c r="AA49">
        <v>1</v>
      </c>
      <c r="AB49" t="s">
        <v>103</v>
      </c>
      <c r="AD49" t="s">
        <v>116</v>
      </c>
      <c r="AE49" t="s">
        <v>86</v>
      </c>
      <c r="AF49" t="s">
        <v>146</v>
      </c>
      <c r="AG49" t="s">
        <v>315</v>
      </c>
      <c r="AH49" t="s">
        <v>319</v>
      </c>
      <c r="AI49" t="s">
        <v>90</v>
      </c>
      <c r="AJ49">
        <v>32.501846999999998</v>
      </c>
      <c r="AK49">
        <v>-110.68313999999999</v>
      </c>
      <c r="AL49">
        <v>3</v>
      </c>
      <c r="AN49">
        <v>1326</v>
      </c>
      <c r="AP49">
        <v>1326</v>
      </c>
      <c r="AQ49">
        <v>1337.383513</v>
      </c>
      <c r="AT49">
        <v>21</v>
      </c>
      <c r="AU49">
        <v>11</v>
      </c>
      <c r="AV49">
        <v>2021</v>
      </c>
      <c r="AW49">
        <v>2438038</v>
      </c>
      <c r="AX49">
        <v>2438038</v>
      </c>
      <c r="AY49" t="s">
        <v>106</v>
      </c>
      <c r="AZ49" t="s">
        <v>92</v>
      </c>
      <c r="BA49" t="s">
        <v>107</v>
      </c>
      <c r="BB49" t="s">
        <v>320</v>
      </c>
      <c r="BC49" t="s">
        <v>97</v>
      </c>
      <c r="BE49" t="s">
        <v>96</v>
      </c>
      <c r="BG49" t="s">
        <v>97</v>
      </c>
      <c r="BI49" t="s">
        <v>98</v>
      </c>
      <c r="BJ49" t="s">
        <v>321</v>
      </c>
      <c r="BL49" t="s">
        <v>110</v>
      </c>
    </row>
    <row r="50" spans="1:64" hidden="1" x14ac:dyDescent="0.2">
      <c r="A50">
        <v>1788</v>
      </c>
      <c r="B50">
        <v>3744741314</v>
      </c>
      <c r="C50" t="s">
        <v>101</v>
      </c>
      <c r="D50" t="s">
        <v>322</v>
      </c>
      <c r="E50" t="s">
        <v>65</v>
      </c>
      <c r="F50" t="s">
        <v>66</v>
      </c>
      <c r="G50" t="s">
        <v>67</v>
      </c>
      <c r="H50" t="s">
        <v>68</v>
      </c>
      <c r="I50" t="s">
        <v>176</v>
      </c>
      <c r="J50" t="s">
        <v>177</v>
      </c>
      <c r="K50" t="s">
        <v>178</v>
      </c>
      <c r="M50" t="s">
        <v>72</v>
      </c>
      <c r="N50" t="s">
        <v>179</v>
      </c>
      <c r="O50" t="s">
        <v>178</v>
      </c>
      <c r="P50" t="s">
        <v>180</v>
      </c>
      <c r="Q50" t="s">
        <v>75</v>
      </c>
      <c r="R50" t="s">
        <v>311</v>
      </c>
      <c r="S50" t="s">
        <v>312</v>
      </c>
      <c r="T50" t="s">
        <v>78</v>
      </c>
      <c r="U50" t="s">
        <v>79</v>
      </c>
      <c r="V50" t="s">
        <v>80</v>
      </c>
      <c r="W50" s="1">
        <v>44521</v>
      </c>
      <c r="X50" t="s">
        <v>81</v>
      </c>
      <c r="Y50" t="s">
        <v>313</v>
      </c>
      <c r="Z50" t="s">
        <v>83</v>
      </c>
      <c r="AA50">
        <v>1</v>
      </c>
      <c r="AB50" t="s">
        <v>103</v>
      </c>
      <c r="AD50" t="s">
        <v>104</v>
      </c>
      <c r="AE50" t="s">
        <v>86</v>
      </c>
      <c r="AF50" t="s">
        <v>146</v>
      </c>
      <c r="AG50" t="s">
        <v>315</v>
      </c>
      <c r="AH50" t="s">
        <v>319</v>
      </c>
      <c r="AI50" t="s">
        <v>90</v>
      </c>
      <c r="AJ50">
        <v>32.501846999999998</v>
      </c>
      <c r="AK50">
        <v>-110.68313999999999</v>
      </c>
      <c r="AL50">
        <v>3</v>
      </c>
      <c r="AN50">
        <v>1326</v>
      </c>
      <c r="AP50">
        <v>1326</v>
      </c>
      <c r="AQ50">
        <v>1337.383513</v>
      </c>
      <c r="AT50">
        <v>21</v>
      </c>
      <c r="AU50">
        <v>11</v>
      </c>
      <c r="AV50">
        <v>2021</v>
      </c>
      <c r="AW50">
        <v>2438038</v>
      </c>
      <c r="AX50">
        <v>2438038</v>
      </c>
      <c r="AY50" t="s">
        <v>106</v>
      </c>
      <c r="AZ50" t="s">
        <v>92</v>
      </c>
      <c r="BA50" t="s">
        <v>107</v>
      </c>
      <c r="BB50" t="s">
        <v>323</v>
      </c>
      <c r="BC50" t="s">
        <v>97</v>
      </c>
      <c r="BE50" t="s">
        <v>96</v>
      </c>
      <c r="BG50" t="s">
        <v>97</v>
      </c>
      <c r="BI50" t="s">
        <v>98</v>
      </c>
      <c r="BJ50" t="s">
        <v>324</v>
      </c>
      <c r="BL50" t="s">
        <v>110</v>
      </c>
    </row>
    <row r="51" spans="1:64" x14ac:dyDescent="0.2">
      <c r="A51">
        <v>1080</v>
      </c>
      <c r="B51">
        <v>4027015350</v>
      </c>
      <c r="C51" t="s">
        <v>101</v>
      </c>
      <c r="D51" t="s">
        <v>2126</v>
      </c>
      <c r="E51" t="s">
        <v>65</v>
      </c>
      <c r="F51" t="s">
        <v>66</v>
      </c>
      <c r="G51" t="s">
        <v>67</v>
      </c>
      <c r="H51" t="s">
        <v>68</v>
      </c>
      <c r="I51" t="s">
        <v>176</v>
      </c>
      <c r="J51" t="s">
        <v>177</v>
      </c>
      <c r="K51" t="s">
        <v>1817</v>
      </c>
      <c r="M51" t="s">
        <v>72</v>
      </c>
      <c r="N51" t="s">
        <v>1818</v>
      </c>
      <c r="O51" t="s">
        <v>1817</v>
      </c>
      <c r="P51" t="s">
        <v>1819</v>
      </c>
      <c r="Q51" t="s">
        <v>75</v>
      </c>
      <c r="R51" t="s">
        <v>1858</v>
      </c>
      <c r="S51" t="s">
        <v>2119</v>
      </c>
      <c r="T51" t="s">
        <v>78</v>
      </c>
      <c r="U51" t="s">
        <v>1822</v>
      </c>
      <c r="V51" t="s">
        <v>80</v>
      </c>
      <c r="W51" s="1">
        <v>44696</v>
      </c>
      <c r="X51" t="s">
        <v>1859</v>
      </c>
      <c r="Y51" t="s">
        <v>2120</v>
      </c>
      <c r="Z51" t="s">
        <v>83</v>
      </c>
      <c r="AA51">
        <v>1</v>
      </c>
      <c r="AB51" t="s">
        <v>657</v>
      </c>
      <c r="AC51">
        <v>0</v>
      </c>
      <c r="AD51" t="s">
        <v>119</v>
      </c>
      <c r="AE51" t="s">
        <v>86</v>
      </c>
      <c r="AF51" t="s">
        <v>146</v>
      </c>
      <c r="AG51" t="s">
        <v>2121</v>
      </c>
      <c r="AI51" t="s">
        <v>90</v>
      </c>
      <c r="AJ51">
        <v>32.424996999999998</v>
      </c>
      <c r="AK51">
        <v>-110.740269</v>
      </c>
      <c r="AL51">
        <v>3</v>
      </c>
      <c r="AN51">
        <v>2406</v>
      </c>
      <c r="AP51">
        <v>2406</v>
      </c>
      <c r="AQ51">
        <v>2411.738339</v>
      </c>
      <c r="AT51">
        <v>15</v>
      </c>
      <c r="AU51">
        <v>5</v>
      </c>
      <c r="AV51">
        <v>2022</v>
      </c>
      <c r="AW51">
        <v>2437967</v>
      </c>
      <c r="AX51">
        <v>2437967</v>
      </c>
      <c r="AY51" t="s">
        <v>106</v>
      </c>
      <c r="AZ51" t="s">
        <v>92</v>
      </c>
      <c r="BA51" t="s">
        <v>107</v>
      </c>
      <c r="BB51" t="s">
        <v>2127</v>
      </c>
      <c r="BC51" t="s">
        <v>97</v>
      </c>
      <c r="BE51" t="s">
        <v>96</v>
      </c>
      <c r="BG51" t="s">
        <v>1865</v>
      </c>
      <c r="BI51" t="s">
        <v>98</v>
      </c>
      <c r="BJ51" t="s">
        <v>1882</v>
      </c>
      <c r="BL51" t="s">
        <v>110</v>
      </c>
    </row>
    <row r="52" spans="1:64" hidden="1" x14ac:dyDescent="0.2">
      <c r="A52">
        <v>1790</v>
      </c>
      <c r="B52">
        <v>3744741312</v>
      </c>
      <c r="C52" t="s">
        <v>101</v>
      </c>
      <c r="D52" t="s">
        <v>328</v>
      </c>
      <c r="E52" t="s">
        <v>65</v>
      </c>
      <c r="F52" t="s">
        <v>66</v>
      </c>
      <c r="G52" t="s">
        <v>67</v>
      </c>
      <c r="H52" t="s">
        <v>68</v>
      </c>
      <c r="I52" t="s">
        <v>176</v>
      </c>
      <c r="J52" t="s">
        <v>177</v>
      </c>
      <c r="K52" t="s">
        <v>178</v>
      </c>
      <c r="M52" t="s">
        <v>72</v>
      </c>
      <c r="N52" t="s">
        <v>179</v>
      </c>
      <c r="O52" t="s">
        <v>178</v>
      </c>
      <c r="P52" t="s">
        <v>180</v>
      </c>
      <c r="Q52" t="s">
        <v>75</v>
      </c>
      <c r="R52" t="s">
        <v>311</v>
      </c>
      <c r="S52" t="s">
        <v>312</v>
      </c>
      <c r="T52" t="s">
        <v>78</v>
      </c>
      <c r="U52" t="s">
        <v>79</v>
      </c>
      <c r="V52" t="s">
        <v>80</v>
      </c>
      <c r="W52" s="1">
        <v>44521</v>
      </c>
      <c r="X52" t="s">
        <v>81</v>
      </c>
      <c r="Y52" t="s">
        <v>313</v>
      </c>
      <c r="Z52" t="s">
        <v>83</v>
      </c>
      <c r="AA52">
        <v>1</v>
      </c>
      <c r="AB52" t="s">
        <v>103</v>
      </c>
      <c r="AD52" t="s">
        <v>112</v>
      </c>
      <c r="AE52" t="s">
        <v>86</v>
      </c>
      <c r="AF52" t="s">
        <v>146</v>
      </c>
      <c r="AG52" t="s">
        <v>315</v>
      </c>
      <c r="AH52" t="s">
        <v>319</v>
      </c>
      <c r="AI52" t="s">
        <v>90</v>
      </c>
      <c r="AJ52">
        <v>32.501846999999998</v>
      </c>
      <c r="AK52">
        <v>-110.68313999999999</v>
      </c>
      <c r="AL52">
        <v>3</v>
      </c>
      <c r="AN52">
        <v>1326</v>
      </c>
      <c r="AP52">
        <v>1326</v>
      </c>
      <c r="AQ52">
        <v>1337.383513</v>
      </c>
      <c r="AT52">
        <v>21</v>
      </c>
      <c r="AU52">
        <v>11</v>
      </c>
      <c r="AV52">
        <v>2021</v>
      </c>
      <c r="AW52">
        <v>2438038</v>
      </c>
      <c r="AX52">
        <v>2438038</v>
      </c>
      <c r="AY52" t="s">
        <v>106</v>
      </c>
      <c r="AZ52" t="s">
        <v>92</v>
      </c>
      <c r="BA52" t="s">
        <v>107</v>
      </c>
      <c r="BB52" t="s">
        <v>329</v>
      </c>
      <c r="BC52" t="s">
        <v>97</v>
      </c>
      <c r="BE52" t="s">
        <v>96</v>
      </c>
      <c r="BG52" t="s">
        <v>97</v>
      </c>
      <c r="BI52" t="s">
        <v>98</v>
      </c>
      <c r="BJ52" t="s">
        <v>330</v>
      </c>
      <c r="BL52" t="s">
        <v>110</v>
      </c>
    </row>
    <row r="53" spans="1:64" hidden="1" x14ac:dyDescent="0.2">
      <c r="A53">
        <v>1496</v>
      </c>
      <c r="B53">
        <v>3744741637</v>
      </c>
      <c r="C53" t="s">
        <v>101</v>
      </c>
      <c r="D53" t="s">
        <v>4422</v>
      </c>
      <c r="E53" t="s">
        <v>65</v>
      </c>
      <c r="F53" t="s">
        <v>66</v>
      </c>
      <c r="G53" t="s">
        <v>67</v>
      </c>
      <c r="H53" t="s">
        <v>68</v>
      </c>
      <c r="I53" t="s">
        <v>69</v>
      </c>
      <c r="J53" t="s">
        <v>70</v>
      </c>
      <c r="K53" t="s">
        <v>4195</v>
      </c>
      <c r="M53" t="s">
        <v>72</v>
      </c>
      <c r="N53" t="s">
        <v>4196</v>
      </c>
      <c r="O53" t="s">
        <v>4195</v>
      </c>
      <c r="P53" t="s">
        <v>4197</v>
      </c>
      <c r="Q53" t="s">
        <v>75</v>
      </c>
      <c r="R53" t="s">
        <v>4297</v>
      </c>
      <c r="S53" t="s">
        <v>4423</v>
      </c>
      <c r="T53" t="s">
        <v>78</v>
      </c>
      <c r="U53" t="s">
        <v>79</v>
      </c>
      <c r="V53" t="s">
        <v>80</v>
      </c>
      <c r="W53" s="1">
        <v>44521</v>
      </c>
      <c r="X53" t="s">
        <v>81</v>
      </c>
      <c r="Y53" t="s">
        <v>4424</v>
      </c>
      <c r="Z53" t="s">
        <v>83</v>
      </c>
      <c r="AA53">
        <v>1</v>
      </c>
      <c r="AB53" t="s">
        <v>127</v>
      </c>
      <c r="AC53">
        <v>0</v>
      </c>
      <c r="AD53" t="s">
        <v>128</v>
      </c>
      <c r="AE53" t="s">
        <v>86</v>
      </c>
      <c r="AF53" t="s">
        <v>146</v>
      </c>
      <c r="AG53" t="s">
        <v>4425</v>
      </c>
      <c r="AI53" t="s">
        <v>90</v>
      </c>
      <c r="AJ53">
        <v>32.499245000000002</v>
      </c>
      <c r="AK53">
        <v>-110.68250999999999</v>
      </c>
      <c r="AL53">
        <v>3</v>
      </c>
      <c r="AN53">
        <v>1318</v>
      </c>
      <c r="AP53">
        <v>1318</v>
      </c>
      <c r="AQ53">
        <v>1321.19139</v>
      </c>
      <c r="AT53">
        <v>21</v>
      </c>
      <c r="AU53">
        <v>11</v>
      </c>
      <c r="AV53">
        <v>2021</v>
      </c>
      <c r="AW53">
        <v>2439589</v>
      </c>
      <c r="AX53">
        <v>2439589</v>
      </c>
      <c r="AY53" t="s">
        <v>106</v>
      </c>
      <c r="AZ53" t="s">
        <v>92</v>
      </c>
      <c r="BA53" t="s">
        <v>107</v>
      </c>
      <c r="BB53" t="s">
        <v>4426</v>
      </c>
      <c r="BC53" t="s">
        <v>97</v>
      </c>
      <c r="BE53" t="s">
        <v>96</v>
      </c>
      <c r="BG53" t="s">
        <v>97</v>
      </c>
      <c r="BI53" t="s">
        <v>98</v>
      </c>
      <c r="BJ53" t="s">
        <v>4427</v>
      </c>
      <c r="BL53" t="s">
        <v>110</v>
      </c>
    </row>
    <row r="54" spans="1:64" hidden="1" x14ac:dyDescent="0.2">
      <c r="A54">
        <v>1794</v>
      </c>
      <c r="B54">
        <v>3744741308</v>
      </c>
      <c r="C54" t="s">
        <v>101</v>
      </c>
      <c r="D54" t="s">
        <v>334</v>
      </c>
      <c r="E54" t="s">
        <v>65</v>
      </c>
      <c r="F54" t="s">
        <v>66</v>
      </c>
      <c r="G54" t="s">
        <v>67</v>
      </c>
      <c r="H54" t="s">
        <v>68</v>
      </c>
      <c r="I54" t="s">
        <v>176</v>
      </c>
      <c r="J54" t="s">
        <v>177</v>
      </c>
      <c r="K54" t="s">
        <v>178</v>
      </c>
      <c r="M54" t="s">
        <v>72</v>
      </c>
      <c r="N54" t="s">
        <v>179</v>
      </c>
      <c r="O54" t="s">
        <v>178</v>
      </c>
      <c r="P54" t="s">
        <v>180</v>
      </c>
      <c r="Q54" t="s">
        <v>75</v>
      </c>
      <c r="R54" t="s">
        <v>311</v>
      </c>
      <c r="S54" t="s">
        <v>312</v>
      </c>
      <c r="T54" t="s">
        <v>78</v>
      </c>
      <c r="U54" t="s">
        <v>79</v>
      </c>
      <c r="V54" t="s">
        <v>80</v>
      </c>
      <c r="W54" s="1">
        <v>44521</v>
      </c>
      <c r="X54" t="s">
        <v>81</v>
      </c>
      <c r="Y54" t="s">
        <v>313</v>
      </c>
      <c r="Z54" t="s">
        <v>83</v>
      </c>
      <c r="AA54">
        <v>1</v>
      </c>
      <c r="AB54" t="s">
        <v>103</v>
      </c>
      <c r="AD54" t="s">
        <v>139</v>
      </c>
      <c r="AE54" t="s">
        <v>86</v>
      </c>
      <c r="AF54" t="s">
        <v>146</v>
      </c>
      <c r="AG54" t="s">
        <v>315</v>
      </c>
      <c r="AH54" t="s">
        <v>319</v>
      </c>
      <c r="AI54" t="s">
        <v>90</v>
      </c>
      <c r="AJ54">
        <v>32.501846999999998</v>
      </c>
      <c r="AK54">
        <v>-110.68313999999999</v>
      </c>
      <c r="AL54">
        <v>3</v>
      </c>
      <c r="AN54">
        <v>1326</v>
      </c>
      <c r="AP54">
        <v>1326</v>
      </c>
      <c r="AQ54">
        <v>1337.383513</v>
      </c>
      <c r="AT54">
        <v>21</v>
      </c>
      <c r="AU54">
        <v>11</v>
      </c>
      <c r="AV54">
        <v>2021</v>
      </c>
      <c r="AW54">
        <v>2438038</v>
      </c>
      <c r="AX54">
        <v>2438038</v>
      </c>
      <c r="AY54" t="s">
        <v>106</v>
      </c>
      <c r="AZ54" t="s">
        <v>92</v>
      </c>
      <c r="BA54" t="s">
        <v>107</v>
      </c>
      <c r="BB54" t="s">
        <v>335</v>
      </c>
      <c r="BC54" t="s">
        <v>97</v>
      </c>
      <c r="BE54" t="s">
        <v>96</v>
      </c>
      <c r="BG54" t="s">
        <v>97</v>
      </c>
      <c r="BI54" t="s">
        <v>98</v>
      </c>
      <c r="BJ54" t="s">
        <v>330</v>
      </c>
      <c r="BL54" t="s">
        <v>110</v>
      </c>
    </row>
    <row r="55" spans="1:64" hidden="1" x14ac:dyDescent="0.2">
      <c r="A55">
        <v>1793</v>
      </c>
      <c r="B55">
        <v>3744741309</v>
      </c>
      <c r="C55" t="s">
        <v>101</v>
      </c>
      <c r="D55" t="s">
        <v>336</v>
      </c>
      <c r="E55" t="s">
        <v>65</v>
      </c>
      <c r="F55" t="s">
        <v>66</v>
      </c>
      <c r="G55" t="s">
        <v>67</v>
      </c>
      <c r="H55" t="s">
        <v>68</v>
      </c>
      <c r="I55" t="s">
        <v>176</v>
      </c>
      <c r="J55" t="s">
        <v>177</v>
      </c>
      <c r="K55" t="s">
        <v>178</v>
      </c>
      <c r="M55" t="s">
        <v>72</v>
      </c>
      <c r="N55" t="s">
        <v>179</v>
      </c>
      <c r="O55" t="s">
        <v>178</v>
      </c>
      <c r="P55" t="s">
        <v>180</v>
      </c>
      <c r="Q55" t="s">
        <v>75</v>
      </c>
      <c r="R55" t="s">
        <v>311</v>
      </c>
      <c r="S55" t="s">
        <v>312</v>
      </c>
      <c r="T55" t="s">
        <v>78</v>
      </c>
      <c r="U55" t="s">
        <v>79</v>
      </c>
      <c r="V55" t="s">
        <v>80</v>
      </c>
      <c r="W55" s="1">
        <v>44521</v>
      </c>
      <c r="X55" t="s">
        <v>81</v>
      </c>
      <c r="Y55" t="s">
        <v>313</v>
      </c>
      <c r="Z55" t="s">
        <v>83</v>
      </c>
      <c r="AA55">
        <v>1</v>
      </c>
      <c r="AB55" t="s">
        <v>103</v>
      </c>
      <c r="AD55" t="s">
        <v>123</v>
      </c>
      <c r="AE55" t="s">
        <v>86</v>
      </c>
      <c r="AF55" t="s">
        <v>146</v>
      </c>
      <c r="AG55" t="s">
        <v>315</v>
      </c>
      <c r="AH55" t="s">
        <v>319</v>
      </c>
      <c r="AI55" t="s">
        <v>90</v>
      </c>
      <c r="AJ55">
        <v>32.501846999999998</v>
      </c>
      <c r="AK55">
        <v>-110.68313999999999</v>
      </c>
      <c r="AL55">
        <v>3</v>
      </c>
      <c r="AN55">
        <v>1326</v>
      </c>
      <c r="AP55">
        <v>1326</v>
      </c>
      <c r="AQ55">
        <v>1337.383513</v>
      </c>
      <c r="AT55">
        <v>21</v>
      </c>
      <c r="AU55">
        <v>11</v>
      </c>
      <c r="AV55">
        <v>2021</v>
      </c>
      <c r="AW55">
        <v>2438038</v>
      </c>
      <c r="AX55">
        <v>2438038</v>
      </c>
      <c r="AY55" t="s">
        <v>106</v>
      </c>
      <c r="AZ55" t="s">
        <v>92</v>
      </c>
      <c r="BA55" t="s">
        <v>107</v>
      </c>
      <c r="BB55" t="s">
        <v>337</v>
      </c>
      <c r="BC55" t="s">
        <v>97</v>
      </c>
      <c r="BE55" t="s">
        <v>96</v>
      </c>
      <c r="BG55" t="s">
        <v>97</v>
      </c>
      <c r="BI55" t="s">
        <v>98</v>
      </c>
      <c r="BJ55" t="s">
        <v>321</v>
      </c>
      <c r="BL55" t="s">
        <v>110</v>
      </c>
    </row>
    <row r="56" spans="1:64" hidden="1" x14ac:dyDescent="0.2">
      <c r="A56">
        <v>1796</v>
      </c>
      <c r="B56">
        <v>3744741306</v>
      </c>
      <c r="C56" t="s">
        <v>101</v>
      </c>
      <c r="D56" t="s">
        <v>338</v>
      </c>
      <c r="E56" t="s">
        <v>65</v>
      </c>
      <c r="F56" t="s">
        <v>66</v>
      </c>
      <c r="G56" t="s">
        <v>67</v>
      </c>
      <c r="H56" t="s">
        <v>68</v>
      </c>
      <c r="I56" t="s">
        <v>176</v>
      </c>
      <c r="J56" t="s">
        <v>177</v>
      </c>
      <c r="K56" t="s">
        <v>178</v>
      </c>
      <c r="M56" t="s">
        <v>72</v>
      </c>
      <c r="N56" t="s">
        <v>179</v>
      </c>
      <c r="O56" t="s">
        <v>178</v>
      </c>
      <c r="P56" t="s">
        <v>180</v>
      </c>
      <c r="Q56" t="s">
        <v>75</v>
      </c>
      <c r="R56" t="s">
        <v>311</v>
      </c>
      <c r="S56" t="s">
        <v>312</v>
      </c>
      <c r="T56" t="s">
        <v>78</v>
      </c>
      <c r="U56" t="s">
        <v>79</v>
      </c>
      <c r="V56" t="s">
        <v>80</v>
      </c>
      <c r="W56" s="1">
        <v>44521</v>
      </c>
      <c r="X56" t="s">
        <v>81</v>
      </c>
      <c r="Y56" t="s">
        <v>313</v>
      </c>
      <c r="Z56" t="s">
        <v>83</v>
      </c>
      <c r="AA56">
        <v>1</v>
      </c>
      <c r="AB56" t="s">
        <v>133</v>
      </c>
      <c r="AD56" t="s">
        <v>134</v>
      </c>
      <c r="AE56" t="s">
        <v>86</v>
      </c>
      <c r="AF56" t="s">
        <v>146</v>
      </c>
      <c r="AG56" t="s">
        <v>315</v>
      </c>
      <c r="AH56" t="s">
        <v>339</v>
      </c>
      <c r="AI56" t="s">
        <v>90</v>
      </c>
      <c r="AJ56">
        <v>32.501846999999998</v>
      </c>
      <c r="AK56">
        <v>-110.68313999999999</v>
      </c>
      <c r="AL56">
        <v>3</v>
      </c>
      <c r="AN56">
        <v>1326</v>
      </c>
      <c r="AP56">
        <v>1326</v>
      </c>
      <c r="AQ56">
        <v>1337.383513</v>
      </c>
      <c r="AT56">
        <v>21</v>
      </c>
      <c r="AU56">
        <v>11</v>
      </c>
      <c r="AV56">
        <v>2021</v>
      </c>
      <c r="AW56">
        <v>2438038</v>
      </c>
      <c r="AX56">
        <v>2438038</v>
      </c>
      <c r="AY56" t="s">
        <v>106</v>
      </c>
      <c r="AZ56" t="s">
        <v>92</v>
      </c>
      <c r="BA56" t="s">
        <v>107</v>
      </c>
      <c r="BB56" t="s">
        <v>340</v>
      </c>
      <c r="BC56" t="s">
        <v>97</v>
      </c>
      <c r="BE56" t="s">
        <v>96</v>
      </c>
      <c r="BG56" t="s">
        <v>97</v>
      </c>
      <c r="BI56" t="s">
        <v>98</v>
      </c>
      <c r="BJ56" t="s">
        <v>330</v>
      </c>
      <c r="BL56" t="s">
        <v>110</v>
      </c>
    </row>
    <row r="57" spans="1:64" hidden="1" x14ac:dyDescent="0.2">
      <c r="A57">
        <v>1795</v>
      </c>
      <c r="B57">
        <v>3744741307</v>
      </c>
      <c r="C57" t="s">
        <v>101</v>
      </c>
      <c r="D57" t="s">
        <v>341</v>
      </c>
      <c r="E57" t="s">
        <v>65</v>
      </c>
      <c r="F57" t="s">
        <v>66</v>
      </c>
      <c r="G57" t="s">
        <v>67</v>
      </c>
      <c r="H57" t="s">
        <v>68</v>
      </c>
      <c r="I57" t="s">
        <v>176</v>
      </c>
      <c r="J57" t="s">
        <v>177</v>
      </c>
      <c r="K57" t="s">
        <v>178</v>
      </c>
      <c r="M57" t="s">
        <v>72</v>
      </c>
      <c r="N57" t="s">
        <v>179</v>
      </c>
      <c r="O57" t="s">
        <v>178</v>
      </c>
      <c r="P57" t="s">
        <v>180</v>
      </c>
      <c r="Q57" t="s">
        <v>75</v>
      </c>
      <c r="R57" t="s">
        <v>311</v>
      </c>
      <c r="S57" t="s">
        <v>312</v>
      </c>
      <c r="T57" t="s">
        <v>78</v>
      </c>
      <c r="U57" t="s">
        <v>79</v>
      </c>
      <c r="V57" t="s">
        <v>80</v>
      </c>
      <c r="W57" s="1">
        <v>44521</v>
      </c>
      <c r="X57" t="s">
        <v>81</v>
      </c>
      <c r="Y57" t="s">
        <v>342</v>
      </c>
      <c r="Z57" t="s">
        <v>83</v>
      </c>
      <c r="AA57">
        <v>1</v>
      </c>
      <c r="AB57" t="s">
        <v>103</v>
      </c>
      <c r="AD57" t="s">
        <v>343</v>
      </c>
      <c r="AE57" t="s">
        <v>145</v>
      </c>
      <c r="AF57" t="s">
        <v>146</v>
      </c>
      <c r="AG57" t="s">
        <v>344</v>
      </c>
      <c r="AI57" t="s">
        <v>90</v>
      </c>
      <c r="AJ57">
        <v>32.502170999999997</v>
      </c>
      <c r="AK57">
        <v>-110.683396</v>
      </c>
      <c r="AL57">
        <v>3</v>
      </c>
      <c r="AN57">
        <v>1331</v>
      </c>
      <c r="AP57">
        <v>1331</v>
      </c>
      <c r="AQ57">
        <v>1341.1795990000001</v>
      </c>
      <c r="AT57">
        <v>21</v>
      </c>
      <c r="AU57">
        <v>11</v>
      </c>
      <c r="AV57">
        <v>2021</v>
      </c>
      <c r="AW57">
        <v>2438038</v>
      </c>
      <c r="AX57">
        <v>2438038</v>
      </c>
      <c r="AY57" t="s">
        <v>106</v>
      </c>
      <c r="AZ57" t="s">
        <v>92</v>
      </c>
      <c r="BA57" t="s">
        <v>107</v>
      </c>
      <c r="BB57" t="s">
        <v>345</v>
      </c>
      <c r="BC57" t="s">
        <v>97</v>
      </c>
      <c r="BE57" t="s">
        <v>96</v>
      </c>
      <c r="BG57" t="s">
        <v>97</v>
      </c>
      <c r="BI57" t="s">
        <v>98</v>
      </c>
      <c r="BJ57" t="s">
        <v>330</v>
      </c>
      <c r="BL57" t="s">
        <v>110</v>
      </c>
    </row>
    <row r="58" spans="1:64" hidden="1" x14ac:dyDescent="0.2">
      <c r="A58">
        <v>1787</v>
      </c>
      <c r="B58">
        <v>3744741315</v>
      </c>
      <c r="C58" t="s">
        <v>101</v>
      </c>
      <c r="D58" t="s">
        <v>4496</v>
      </c>
      <c r="E58" t="s">
        <v>65</v>
      </c>
      <c r="F58" t="s">
        <v>66</v>
      </c>
      <c r="G58" t="s">
        <v>67</v>
      </c>
      <c r="H58" t="s">
        <v>68</v>
      </c>
      <c r="I58" t="s">
        <v>69</v>
      </c>
      <c r="J58" t="s">
        <v>70</v>
      </c>
      <c r="K58" t="s">
        <v>4195</v>
      </c>
      <c r="M58" t="s">
        <v>72</v>
      </c>
      <c r="N58" t="s">
        <v>4196</v>
      </c>
      <c r="O58" t="s">
        <v>4195</v>
      </c>
      <c r="P58" t="s">
        <v>4197</v>
      </c>
      <c r="Q58" t="s">
        <v>75</v>
      </c>
      <c r="R58" t="s">
        <v>4297</v>
      </c>
      <c r="S58" t="s">
        <v>4492</v>
      </c>
      <c r="T58" t="s">
        <v>78</v>
      </c>
      <c r="U58" t="s">
        <v>79</v>
      </c>
      <c r="V58" t="s">
        <v>80</v>
      </c>
      <c r="W58" s="1">
        <v>44521</v>
      </c>
      <c r="X58" t="s">
        <v>81</v>
      </c>
      <c r="Y58" t="s">
        <v>4493</v>
      </c>
      <c r="Z58" t="s">
        <v>83</v>
      </c>
      <c r="AA58">
        <v>1</v>
      </c>
      <c r="AB58" t="s">
        <v>127</v>
      </c>
      <c r="AC58">
        <v>0</v>
      </c>
      <c r="AD58" t="s">
        <v>128</v>
      </c>
      <c r="AE58" t="s">
        <v>86</v>
      </c>
      <c r="AF58" t="s">
        <v>146</v>
      </c>
      <c r="AG58" t="s">
        <v>4494</v>
      </c>
      <c r="AI58" t="s">
        <v>90</v>
      </c>
      <c r="AJ58">
        <v>32.500373000000003</v>
      </c>
      <c r="AK58">
        <v>-110.683768</v>
      </c>
      <c r="AL58">
        <v>3</v>
      </c>
      <c r="AN58">
        <v>1331</v>
      </c>
      <c r="AP58">
        <v>1331</v>
      </c>
      <c r="AQ58">
        <v>1334.118825</v>
      </c>
      <c r="AT58">
        <v>21</v>
      </c>
      <c r="AU58">
        <v>11</v>
      </c>
      <c r="AV58">
        <v>2021</v>
      </c>
      <c r="AW58">
        <v>2439589</v>
      </c>
      <c r="AX58">
        <v>2439589</v>
      </c>
      <c r="AY58" t="s">
        <v>106</v>
      </c>
      <c r="AZ58" t="s">
        <v>92</v>
      </c>
      <c r="BA58" t="s">
        <v>107</v>
      </c>
      <c r="BB58" t="s">
        <v>4497</v>
      </c>
      <c r="BC58" t="s">
        <v>97</v>
      </c>
      <c r="BE58" t="s">
        <v>96</v>
      </c>
      <c r="BG58" t="s">
        <v>97</v>
      </c>
      <c r="BI58" t="s">
        <v>98</v>
      </c>
      <c r="BJ58" t="s">
        <v>321</v>
      </c>
      <c r="BL58" t="s">
        <v>110</v>
      </c>
    </row>
    <row r="59" spans="1:64" hidden="1" x14ac:dyDescent="0.2">
      <c r="A59">
        <v>241</v>
      </c>
      <c r="B59">
        <v>4403382397</v>
      </c>
      <c r="C59" t="s">
        <v>101</v>
      </c>
      <c r="D59" t="s">
        <v>366</v>
      </c>
      <c r="E59" t="s">
        <v>65</v>
      </c>
      <c r="F59" t="s">
        <v>66</v>
      </c>
      <c r="G59" t="s">
        <v>67</v>
      </c>
      <c r="H59" t="s">
        <v>68</v>
      </c>
      <c r="I59" t="s">
        <v>350</v>
      </c>
      <c r="J59" t="s">
        <v>351</v>
      </c>
      <c r="K59" t="s">
        <v>352</v>
      </c>
      <c r="M59" t="s">
        <v>72</v>
      </c>
      <c r="N59" t="s">
        <v>353</v>
      </c>
      <c r="O59" t="s">
        <v>352</v>
      </c>
      <c r="P59" t="s">
        <v>180</v>
      </c>
      <c r="Q59" t="s">
        <v>75</v>
      </c>
      <c r="R59" t="s">
        <v>354</v>
      </c>
      <c r="S59" t="s">
        <v>355</v>
      </c>
      <c r="T59" t="s">
        <v>78</v>
      </c>
      <c r="U59" t="s">
        <v>79</v>
      </c>
      <c r="V59" t="s">
        <v>80</v>
      </c>
      <c r="W59" s="1">
        <v>45115</v>
      </c>
      <c r="X59" t="s">
        <v>356</v>
      </c>
      <c r="Y59" t="s">
        <v>357</v>
      </c>
      <c r="Z59" t="s">
        <v>83</v>
      </c>
      <c r="AA59">
        <v>1</v>
      </c>
      <c r="AB59" t="s">
        <v>367</v>
      </c>
      <c r="AD59" t="s">
        <v>139</v>
      </c>
      <c r="AE59" t="s">
        <v>145</v>
      </c>
      <c r="AF59" t="s">
        <v>359</v>
      </c>
      <c r="AG59" t="s">
        <v>360</v>
      </c>
      <c r="AH59" t="s">
        <v>368</v>
      </c>
      <c r="AI59" t="s">
        <v>90</v>
      </c>
      <c r="AJ59">
        <v>32.372172999999997</v>
      </c>
      <c r="AK59">
        <v>-110.70312199999999</v>
      </c>
      <c r="AL59">
        <v>3</v>
      </c>
      <c r="AN59">
        <v>1891</v>
      </c>
      <c r="AP59">
        <v>1891</v>
      </c>
      <c r="AQ59">
        <v>1902.1531339999999</v>
      </c>
      <c r="AT59">
        <v>8</v>
      </c>
      <c r="AU59">
        <v>7</v>
      </c>
      <c r="AV59">
        <v>2023</v>
      </c>
      <c r="AW59">
        <v>4972385</v>
      </c>
      <c r="AX59">
        <v>2437431</v>
      </c>
      <c r="AY59" t="s">
        <v>106</v>
      </c>
      <c r="AZ59" t="s">
        <v>92</v>
      </c>
      <c r="BA59" t="s">
        <v>107</v>
      </c>
      <c r="BB59" t="s">
        <v>369</v>
      </c>
      <c r="BC59" t="s">
        <v>95</v>
      </c>
      <c r="BD59" s="1">
        <v>45115</v>
      </c>
      <c r="BE59" t="s">
        <v>96</v>
      </c>
      <c r="BG59" t="s">
        <v>363</v>
      </c>
      <c r="BI59" t="s">
        <v>98</v>
      </c>
      <c r="BJ59" t="s">
        <v>370</v>
      </c>
      <c r="BL59" t="s">
        <v>110</v>
      </c>
    </row>
    <row r="60" spans="1:64" hidden="1" x14ac:dyDescent="0.2">
      <c r="A60">
        <v>244</v>
      </c>
      <c r="B60">
        <v>4403382394</v>
      </c>
      <c r="C60" t="s">
        <v>101</v>
      </c>
      <c r="D60" t="s">
        <v>371</v>
      </c>
      <c r="E60" t="s">
        <v>65</v>
      </c>
      <c r="F60" t="s">
        <v>66</v>
      </c>
      <c r="G60" t="s">
        <v>67</v>
      </c>
      <c r="H60" t="s">
        <v>68</v>
      </c>
      <c r="I60" t="s">
        <v>350</v>
      </c>
      <c r="J60" t="s">
        <v>351</v>
      </c>
      <c r="K60" t="s">
        <v>352</v>
      </c>
      <c r="M60" t="s">
        <v>72</v>
      </c>
      <c r="N60" t="s">
        <v>353</v>
      </c>
      <c r="O60" t="s">
        <v>352</v>
      </c>
      <c r="P60" t="s">
        <v>180</v>
      </c>
      <c r="Q60" t="s">
        <v>75</v>
      </c>
      <c r="R60" t="s">
        <v>354</v>
      </c>
      <c r="S60" t="s">
        <v>355</v>
      </c>
      <c r="T60" t="s">
        <v>78</v>
      </c>
      <c r="U60" t="s">
        <v>79</v>
      </c>
      <c r="V60" t="s">
        <v>80</v>
      </c>
      <c r="W60" s="1">
        <v>45115</v>
      </c>
      <c r="X60" t="s">
        <v>356</v>
      </c>
      <c r="Y60" t="s">
        <v>357</v>
      </c>
      <c r="Z60" t="s">
        <v>83</v>
      </c>
      <c r="AA60">
        <v>1</v>
      </c>
      <c r="AB60" t="s">
        <v>372</v>
      </c>
      <c r="AD60" t="s">
        <v>134</v>
      </c>
      <c r="AE60" t="s">
        <v>145</v>
      </c>
      <c r="AF60" t="s">
        <v>359</v>
      </c>
      <c r="AG60" t="s">
        <v>360</v>
      </c>
      <c r="AH60" t="s">
        <v>373</v>
      </c>
      <c r="AI60" t="s">
        <v>90</v>
      </c>
      <c r="AJ60">
        <v>32.372172999999997</v>
      </c>
      <c r="AK60">
        <v>-110.70312199999999</v>
      </c>
      <c r="AL60">
        <v>3</v>
      </c>
      <c r="AN60">
        <v>1891</v>
      </c>
      <c r="AP60">
        <v>1891</v>
      </c>
      <c r="AQ60">
        <v>1902.1531339999999</v>
      </c>
      <c r="AT60">
        <v>8</v>
      </c>
      <c r="AU60">
        <v>7</v>
      </c>
      <c r="AV60">
        <v>2023</v>
      </c>
      <c r="AW60">
        <v>4972385</v>
      </c>
      <c r="AX60">
        <v>2437431</v>
      </c>
      <c r="AY60" t="s">
        <v>106</v>
      </c>
      <c r="AZ60" t="s">
        <v>92</v>
      </c>
      <c r="BA60" t="s">
        <v>107</v>
      </c>
      <c r="BB60" t="s">
        <v>374</v>
      </c>
      <c r="BC60" t="s">
        <v>95</v>
      </c>
      <c r="BD60" s="1">
        <v>45115</v>
      </c>
      <c r="BE60" t="s">
        <v>96</v>
      </c>
      <c r="BG60" t="s">
        <v>363</v>
      </c>
      <c r="BI60" t="s">
        <v>98</v>
      </c>
      <c r="BJ60" t="s">
        <v>375</v>
      </c>
      <c r="BL60" t="s">
        <v>110</v>
      </c>
    </row>
    <row r="61" spans="1:64" hidden="1" x14ac:dyDescent="0.2">
      <c r="A61">
        <v>247</v>
      </c>
      <c r="B61">
        <v>4403382391</v>
      </c>
      <c r="C61" t="s">
        <v>101</v>
      </c>
      <c r="D61" t="s">
        <v>376</v>
      </c>
      <c r="E61" t="s">
        <v>65</v>
      </c>
      <c r="F61" t="s">
        <v>66</v>
      </c>
      <c r="G61" t="s">
        <v>67</v>
      </c>
      <c r="H61" t="s">
        <v>68</v>
      </c>
      <c r="I61" t="s">
        <v>350</v>
      </c>
      <c r="J61" t="s">
        <v>351</v>
      </c>
      <c r="K61" t="s">
        <v>352</v>
      </c>
      <c r="M61" t="s">
        <v>72</v>
      </c>
      <c r="N61" t="s">
        <v>353</v>
      </c>
      <c r="O61" t="s">
        <v>352</v>
      </c>
      <c r="P61" t="s">
        <v>180</v>
      </c>
      <c r="Q61" t="s">
        <v>75</v>
      </c>
      <c r="R61" t="s">
        <v>354</v>
      </c>
      <c r="S61" t="s">
        <v>355</v>
      </c>
      <c r="T61" t="s">
        <v>78</v>
      </c>
      <c r="U61" t="s">
        <v>79</v>
      </c>
      <c r="V61" t="s">
        <v>80</v>
      </c>
      <c r="W61" s="1">
        <v>45115</v>
      </c>
      <c r="X61" t="s">
        <v>356</v>
      </c>
      <c r="Y61" t="s">
        <v>357</v>
      </c>
      <c r="Z61" t="s">
        <v>83</v>
      </c>
      <c r="AA61">
        <v>1</v>
      </c>
      <c r="AB61" t="s">
        <v>377</v>
      </c>
      <c r="AD61" t="s">
        <v>378</v>
      </c>
      <c r="AE61" t="s">
        <v>145</v>
      </c>
      <c r="AF61" t="s">
        <v>359</v>
      </c>
      <c r="AG61" t="s">
        <v>360</v>
      </c>
      <c r="AH61" t="s">
        <v>368</v>
      </c>
      <c r="AI61" t="s">
        <v>90</v>
      </c>
      <c r="AJ61">
        <v>32.372172999999997</v>
      </c>
      <c r="AK61">
        <v>-110.70312199999999</v>
      </c>
      <c r="AL61">
        <v>3</v>
      </c>
      <c r="AN61">
        <v>1891</v>
      </c>
      <c r="AP61">
        <v>1891</v>
      </c>
      <c r="AQ61">
        <v>1902.1531339999999</v>
      </c>
      <c r="AT61">
        <v>8</v>
      </c>
      <c r="AU61">
        <v>7</v>
      </c>
      <c r="AV61">
        <v>2023</v>
      </c>
      <c r="AW61">
        <v>4972385</v>
      </c>
      <c r="AX61">
        <v>2437431</v>
      </c>
      <c r="AY61" t="s">
        <v>106</v>
      </c>
      <c r="AZ61" t="s">
        <v>92</v>
      </c>
      <c r="BA61" t="s">
        <v>107</v>
      </c>
      <c r="BB61" t="s">
        <v>379</v>
      </c>
      <c r="BC61" t="s">
        <v>95</v>
      </c>
      <c r="BD61" s="1">
        <v>45115</v>
      </c>
      <c r="BE61" t="s">
        <v>96</v>
      </c>
      <c r="BG61" t="s">
        <v>363</v>
      </c>
      <c r="BI61" t="s">
        <v>98</v>
      </c>
      <c r="BJ61" t="s">
        <v>380</v>
      </c>
      <c r="BL61" t="s">
        <v>110</v>
      </c>
    </row>
    <row r="62" spans="1:64" hidden="1" x14ac:dyDescent="0.2">
      <c r="A62">
        <v>1798</v>
      </c>
      <c r="B62">
        <v>3744741304</v>
      </c>
      <c r="C62" t="s">
        <v>101</v>
      </c>
      <c r="D62" t="s">
        <v>346</v>
      </c>
      <c r="E62" t="s">
        <v>65</v>
      </c>
      <c r="F62" t="s">
        <v>66</v>
      </c>
      <c r="G62" t="s">
        <v>67</v>
      </c>
      <c r="H62" t="s">
        <v>68</v>
      </c>
      <c r="I62" t="s">
        <v>176</v>
      </c>
      <c r="J62" t="s">
        <v>177</v>
      </c>
      <c r="K62" t="s">
        <v>178</v>
      </c>
      <c r="M62" t="s">
        <v>72</v>
      </c>
      <c r="N62" t="s">
        <v>179</v>
      </c>
      <c r="O62" t="s">
        <v>178</v>
      </c>
      <c r="P62" t="s">
        <v>180</v>
      </c>
      <c r="Q62" t="s">
        <v>75</v>
      </c>
      <c r="R62" t="s">
        <v>311</v>
      </c>
      <c r="S62" t="s">
        <v>312</v>
      </c>
      <c r="T62" t="s">
        <v>78</v>
      </c>
      <c r="U62" t="s">
        <v>79</v>
      </c>
      <c r="V62" t="s">
        <v>80</v>
      </c>
      <c r="W62" s="1">
        <v>44521</v>
      </c>
      <c r="X62" t="s">
        <v>81</v>
      </c>
      <c r="Y62" t="s">
        <v>342</v>
      </c>
      <c r="Z62" t="s">
        <v>83</v>
      </c>
      <c r="AA62">
        <v>1</v>
      </c>
      <c r="AB62" t="s">
        <v>127</v>
      </c>
      <c r="AC62">
        <v>0</v>
      </c>
      <c r="AD62" t="s">
        <v>128</v>
      </c>
      <c r="AE62" t="s">
        <v>145</v>
      </c>
      <c r="AF62" t="s">
        <v>146</v>
      </c>
      <c r="AG62" t="s">
        <v>344</v>
      </c>
      <c r="AI62" t="s">
        <v>90</v>
      </c>
      <c r="AJ62">
        <v>32.502170999999997</v>
      </c>
      <c r="AK62">
        <v>-110.683396</v>
      </c>
      <c r="AL62">
        <v>3</v>
      </c>
      <c r="AN62">
        <v>1331</v>
      </c>
      <c r="AP62">
        <v>1331</v>
      </c>
      <c r="AQ62">
        <v>1341.1795990000001</v>
      </c>
      <c r="AT62">
        <v>21</v>
      </c>
      <c r="AU62">
        <v>11</v>
      </c>
      <c r="AV62">
        <v>2021</v>
      </c>
      <c r="AW62">
        <v>2438038</v>
      </c>
      <c r="AX62">
        <v>2438038</v>
      </c>
      <c r="AY62" t="s">
        <v>106</v>
      </c>
      <c r="AZ62" t="s">
        <v>92</v>
      </c>
      <c r="BA62" t="s">
        <v>107</v>
      </c>
      <c r="BB62" t="s">
        <v>347</v>
      </c>
      <c r="BC62" t="s">
        <v>97</v>
      </c>
      <c r="BE62" t="s">
        <v>96</v>
      </c>
      <c r="BG62" t="s">
        <v>97</v>
      </c>
      <c r="BI62" t="s">
        <v>98</v>
      </c>
      <c r="BJ62" t="s">
        <v>348</v>
      </c>
      <c r="BL62" t="s">
        <v>110</v>
      </c>
    </row>
    <row r="63" spans="1:64" x14ac:dyDescent="0.2">
      <c r="A63">
        <v>1050</v>
      </c>
      <c r="B63">
        <v>4027015380</v>
      </c>
      <c r="C63" t="s">
        <v>101</v>
      </c>
      <c r="D63" t="s">
        <v>2221</v>
      </c>
      <c r="E63" t="s">
        <v>65</v>
      </c>
      <c r="F63" t="s">
        <v>66</v>
      </c>
      <c r="G63" t="s">
        <v>67</v>
      </c>
      <c r="H63" t="s">
        <v>68</v>
      </c>
      <c r="I63" t="s">
        <v>176</v>
      </c>
      <c r="J63" t="s">
        <v>177</v>
      </c>
      <c r="K63" t="s">
        <v>178</v>
      </c>
      <c r="M63" t="s">
        <v>72</v>
      </c>
      <c r="N63" t="s">
        <v>179</v>
      </c>
      <c r="O63" t="s">
        <v>178</v>
      </c>
      <c r="P63" t="s">
        <v>180</v>
      </c>
      <c r="Q63" t="s">
        <v>75</v>
      </c>
      <c r="R63" t="s">
        <v>2168</v>
      </c>
      <c r="S63" t="s">
        <v>978</v>
      </c>
      <c r="T63" t="s">
        <v>78</v>
      </c>
      <c r="U63" t="s">
        <v>1822</v>
      </c>
      <c r="V63" t="s">
        <v>80</v>
      </c>
      <c r="W63" s="1">
        <v>44696</v>
      </c>
      <c r="X63" t="s">
        <v>1859</v>
      </c>
      <c r="Y63" t="s">
        <v>2217</v>
      </c>
      <c r="Z63" t="s">
        <v>83</v>
      </c>
      <c r="AA63">
        <v>1</v>
      </c>
      <c r="AB63" t="s">
        <v>657</v>
      </c>
      <c r="AC63">
        <v>0</v>
      </c>
      <c r="AD63" t="s">
        <v>119</v>
      </c>
      <c r="AE63" t="s">
        <v>86</v>
      </c>
      <c r="AF63" t="s">
        <v>146</v>
      </c>
      <c r="AG63" t="s">
        <v>2218</v>
      </c>
      <c r="AI63" t="s">
        <v>90</v>
      </c>
      <c r="AJ63">
        <v>32.42268</v>
      </c>
      <c r="AK63">
        <v>-110.733845</v>
      </c>
      <c r="AN63">
        <v>2423</v>
      </c>
      <c r="AP63">
        <v>2423</v>
      </c>
      <c r="AQ63">
        <v>2422.149152</v>
      </c>
      <c r="AT63">
        <v>15</v>
      </c>
      <c r="AU63">
        <v>5</v>
      </c>
      <c r="AV63">
        <v>2022</v>
      </c>
      <c r="AW63">
        <v>2438038</v>
      </c>
      <c r="AX63">
        <v>2438038</v>
      </c>
      <c r="AY63" t="s">
        <v>106</v>
      </c>
      <c r="AZ63" t="s">
        <v>92</v>
      </c>
      <c r="BA63" t="s">
        <v>107</v>
      </c>
      <c r="BB63" t="s">
        <v>2222</v>
      </c>
      <c r="BC63" t="s">
        <v>97</v>
      </c>
      <c r="BE63" t="s">
        <v>96</v>
      </c>
      <c r="BG63" t="s">
        <v>1865</v>
      </c>
      <c r="BI63" t="s">
        <v>98</v>
      </c>
      <c r="BJ63" t="s">
        <v>2220</v>
      </c>
      <c r="BL63" t="s">
        <v>412</v>
      </c>
    </row>
    <row r="64" spans="1:64" hidden="1" x14ac:dyDescent="0.2">
      <c r="A64">
        <v>281</v>
      </c>
      <c r="B64">
        <v>4403382357</v>
      </c>
      <c r="C64" t="s">
        <v>101</v>
      </c>
      <c r="D64" t="s">
        <v>388</v>
      </c>
      <c r="E64" t="s">
        <v>65</v>
      </c>
      <c r="F64" t="s">
        <v>66</v>
      </c>
      <c r="G64" t="s">
        <v>67</v>
      </c>
      <c r="H64" t="s">
        <v>68</v>
      </c>
      <c r="I64" t="s">
        <v>350</v>
      </c>
      <c r="J64" t="s">
        <v>351</v>
      </c>
      <c r="K64" t="s">
        <v>352</v>
      </c>
      <c r="M64" t="s">
        <v>72</v>
      </c>
      <c r="N64" t="s">
        <v>353</v>
      </c>
      <c r="O64" t="s">
        <v>352</v>
      </c>
      <c r="P64" t="s">
        <v>180</v>
      </c>
      <c r="Q64" t="s">
        <v>75</v>
      </c>
      <c r="R64" t="s">
        <v>354</v>
      </c>
      <c r="S64" t="s">
        <v>355</v>
      </c>
      <c r="T64" t="s">
        <v>78</v>
      </c>
      <c r="U64" t="s">
        <v>79</v>
      </c>
      <c r="V64" t="s">
        <v>80</v>
      </c>
      <c r="W64" s="1">
        <v>45115</v>
      </c>
      <c r="X64" t="s">
        <v>356</v>
      </c>
      <c r="Y64" t="s">
        <v>357</v>
      </c>
      <c r="Z64" t="s">
        <v>83</v>
      </c>
      <c r="AA64">
        <v>1</v>
      </c>
      <c r="AB64" t="s">
        <v>367</v>
      </c>
      <c r="AD64" t="s">
        <v>116</v>
      </c>
      <c r="AE64" t="s">
        <v>145</v>
      </c>
      <c r="AF64" t="s">
        <v>359</v>
      </c>
      <c r="AG64" t="s">
        <v>360</v>
      </c>
      <c r="AH64" t="s">
        <v>368</v>
      </c>
      <c r="AI64" t="s">
        <v>90</v>
      </c>
      <c r="AJ64">
        <v>32.372172999999997</v>
      </c>
      <c r="AK64">
        <v>-110.70312199999999</v>
      </c>
      <c r="AL64">
        <v>3</v>
      </c>
      <c r="AN64">
        <v>1891</v>
      </c>
      <c r="AP64">
        <v>1891</v>
      </c>
      <c r="AQ64">
        <v>1902.1531339999999</v>
      </c>
      <c r="AT64">
        <v>8</v>
      </c>
      <c r="AU64">
        <v>7</v>
      </c>
      <c r="AV64">
        <v>2023</v>
      </c>
      <c r="AW64">
        <v>4972385</v>
      </c>
      <c r="AX64">
        <v>2437431</v>
      </c>
      <c r="AY64" t="s">
        <v>106</v>
      </c>
      <c r="AZ64" t="s">
        <v>92</v>
      </c>
      <c r="BA64" t="s">
        <v>107</v>
      </c>
      <c r="BB64" t="s">
        <v>389</v>
      </c>
      <c r="BC64" t="s">
        <v>95</v>
      </c>
      <c r="BD64" s="1">
        <v>45115</v>
      </c>
      <c r="BE64" t="s">
        <v>96</v>
      </c>
      <c r="BG64" t="s">
        <v>363</v>
      </c>
      <c r="BI64" t="s">
        <v>98</v>
      </c>
      <c r="BJ64" t="s">
        <v>390</v>
      </c>
      <c r="BL64" t="s">
        <v>110</v>
      </c>
    </row>
    <row r="65" spans="1:64" hidden="1" x14ac:dyDescent="0.2">
      <c r="A65">
        <v>284</v>
      </c>
      <c r="B65">
        <v>4403382354</v>
      </c>
      <c r="C65" t="s">
        <v>101</v>
      </c>
      <c r="D65" t="s">
        <v>391</v>
      </c>
      <c r="E65" t="s">
        <v>65</v>
      </c>
      <c r="F65" t="s">
        <v>66</v>
      </c>
      <c r="G65" t="s">
        <v>67</v>
      </c>
      <c r="H65" t="s">
        <v>68</v>
      </c>
      <c r="I65" t="s">
        <v>350</v>
      </c>
      <c r="J65" t="s">
        <v>351</v>
      </c>
      <c r="K65" t="s">
        <v>352</v>
      </c>
      <c r="M65" t="s">
        <v>72</v>
      </c>
      <c r="N65" t="s">
        <v>353</v>
      </c>
      <c r="O65" t="s">
        <v>352</v>
      </c>
      <c r="P65" t="s">
        <v>180</v>
      </c>
      <c r="Q65" t="s">
        <v>75</v>
      </c>
      <c r="R65" t="s">
        <v>354</v>
      </c>
      <c r="S65" t="s">
        <v>355</v>
      </c>
      <c r="T65" t="s">
        <v>78</v>
      </c>
      <c r="U65" t="s">
        <v>79</v>
      </c>
      <c r="V65" t="s">
        <v>80</v>
      </c>
      <c r="W65" s="1">
        <v>45115</v>
      </c>
      <c r="X65" t="s">
        <v>356</v>
      </c>
      <c r="Y65" t="s">
        <v>357</v>
      </c>
      <c r="Z65" t="s">
        <v>83</v>
      </c>
      <c r="AA65">
        <v>1</v>
      </c>
      <c r="AB65" t="s">
        <v>367</v>
      </c>
      <c r="AD65" t="s">
        <v>112</v>
      </c>
      <c r="AE65" t="s">
        <v>145</v>
      </c>
      <c r="AF65" t="s">
        <v>359</v>
      </c>
      <c r="AG65" t="s">
        <v>360</v>
      </c>
      <c r="AH65" t="s">
        <v>368</v>
      </c>
      <c r="AI65" t="s">
        <v>90</v>
      </c>
      <c r="AJ65">
        <v>32.372172999999997</v>
      </c>
      <c r="AK65">
        <v>-110.70312199999999</v>
      </c>
      <c r="AL65">
        <v>3</v>
      </c>
      <c r="AN65">
        <v>1891</v>
      </c>
      <c r="AP65">
        <v>1891</v>
      </c>
      <c r="AQ65">
        <v>1902.1531339999999</v>
      </c>
      <c r="AT65">
        <v>8</v>
      </c>
      <c r="AU65">
        <v>7</v>
      </c>
      <c r="AV65">
        <v>2023</v>
      </c>
      <c r="AW65">
        <v>4972385</v>
      </c>
      <c r="AX65">
        <v>2437431</v>
      </c>
      <c r="AY65" t="s">
        <v>106</v>
      </c>
      <c r="AZ65" t="s">
        <v>92</v>
      </c>
      <c r="BA65" t="s">
        <v>107</v>
      </c>
      <c r="BB65" t="s">
        <v>392</v>
      </c>
      <c r="BC65" t="s">
        <v>95</v>
      </c>
      <c r="BD65" s="1">
        <v>45115</v>
      </c>
      <c r="BE65" t="s">
        <v>96</v>
      </c>
      <c r="BG65" t="s">
        <v>363</v>
      </c>
      <c r="BI65" t="s">
        <v>98</v>
      </c>
      <c r="BJ65" t="s">
        <v>390</v>
      </c>
      <c r="BL65" t="s">
        <v>110</v>
      </c>
    </row>
    <row r="66" spans="1:64" hidden="1" x14ac:dyDescent="0.2">
      <c r="A66">
        <v>287</v>
      </c>
      <c r="B66">
        <v>4403382351</v>
      </c>
      <c r="C66" t="s">
        <v>101</v>
      </c>
      <c r="D66" t="s">
        <v>393</v>
      </c>
      <c r="E66" t="s">
        <v>65</v>
      </c>
      <c r="F66" t="s">
        <v>66</v>
      </c>
      <c r="G66" t="s">
        <v>67</v>
      </c>
      <c r="H66" t="s">
        <v>68</v>
      </c>
      <c r="I66" t="s">
        <v>350</v>
      </c>
      <c r="J66" t="s">
        <v>351</v>
      </c>
      <c r="K66" t="s">
        <v>352</v>
      </c>
      <c r="M66" t="s">
        <v>72</v>
      </c>
      <c r="N66" t="s">
        <v>353</v>
      </c>
      <c r="O66" t="s">
        <v>352</v>
      </c>
      <c r="P66" t="s">
        <v>180</v>
      </c>
      <c r="Q66" t="s">
        <v>75</v>
      </c>
      <c r="R66" t="s">
        <v>354</v>
      </c>
      <c r="S66" t="s">
        <v>355</v>
      </c>
      <c r="T66" t="s">
        <v>78</v>
      </c>
      <c r="U66" t="s">
        <v>79</v>
      </c>
      <c r="V66" t="s">
        <v>80</v>
      </c>
      <c r="W66" s="1">
        <v>45115</v>
      </c>
      <c r="X66" t="s">
        <v>356</v>
      </c>
      <c r="Y66" t="s">
        <v>357</v>
      </c>
      <c r="Z66" t="s">
        <v>83</v>
      </c>
      <c r="AA66">
        <v>1</v>
      </c>
      <c r="AB66" t="s">
        <v>367</v>
      </c>
      <c r="AD66" t="s">
        <v>123</v>
      </c>
      <c r="AE66" t="s">
        <v>145</v>
      </c>
      <c r="AF66" t="s">
        <v>359</v>
      </c>
      <c r="AG66" t="s">
        <v>360</v>
      </c>
      <c r="AH66" t="s">
        <v>368</v>
      </c>
      <c r="AI66" t="s">
        <v>90</v>
      </c>
      <c r="AJ66">
        <v>32.372172999999997</v>
      </c>
      <c r="AK66">
        <v>-110.70312199999999</v>
      </c>
      <c r="AL66">
        <v>3</v>
      </c>
      <c r="AN66">
        <v>1891</v>
      </c>
      <c r="AP66">
        <v>1891</v>
      </c>
      <c r="AQ66">
        <v>1902.1531339999999</v>
      </c>
      <c r="AT66">
        <v>8</v>
      </c>
      <c r="AU66">
        <v>7</v>
      </c>
      <c r="AV66">
        <v>2023</v>
      </c>
      <c r="AW66">
        <v>4972385</v>
      </c>
      <c r="AX66">
        <v>2437431</v>
      </c>
      <c r="AY66" t="s">
        <v>106</v>
      </c>
      <c r="AZ66" t="s">
        <v>92</v>
      </c>
      <c r="BA66" t="s">
        <v>107</v>
      </c>
      <c r="BB66" t="s">
        <v>394</v>
      </c>
      <c r="BC66" t="s">
        <v>95</v>
      </c>
      <c r="BD66" s="1">
        <v>45115</v>
      </c>
      <c r="BE66" t="s">
        <v>96</v>
      </c>
      <c r="BG66" t="s">
        <v>363</v>
      </c>
      <c r="BI66" t="s">
        <v>98</v>
      </c>
      <c r="BJ66" t="s">
        <v>395</v>
      </c>
      <c r="BL66" t="s">
        <v>110</v>
      </c>
    </row>
    <row r="67" spans="1:64" hidden="1" x14ac:dyDescent="0.2">
      <c r="A67">
        <v>260</v>
      </c>
      <c r="B67">
        <v>4403382378</v>
      </c>
      <c r="C67" t="s">
        <v>101</v>
      </c>
      <c r="D67" t="s">
        <v>396</v>
      </c>
      <c r="E67" t="s">
        <v>65</v>
      </c>
      <c r="F67" t="s">
        <v>66</v>
      </c>
      <c r="G67" t="s">
        <v>67</v>
      </c>
      <c r="H67" t="s">
        <v>68</v>
      </c>
      <c r="I67" t="s">
        <v>350</v>
      </c>
      <c r="J67" t="s">
        <v>351</v>
      </c>
      <c r="K67" t="s">
        <v>352</v>
      </c>
      <c r="M67" t="s">
        <v>72</v>
      </c>
      <c r="N67" t="s">
        <v>353</v>
      </c>
      <c r="O67" t="s">
        <v>352</v>
      </c>
      <c r="P67" t="s">
        <v>180</v>
      </c>
      <c r="Q67" t="s">
        <v>75</v>
      </c>
      <c r="R67" t="s">
        <v>354</v>
      </c>
      <c r="S67" t="s">
        <v>355</v>
      </c>
      <c r="T67" t="s">
        <v>78</v>
      </c>
      <c r="U67" t="s">
        <v>79</v>
      </c>
      <c r="V67" t="s">
        <v>80</v>
      </c>
      <c r="W67" s="1">
        <v>45115</v>
      </c>
      <c r="X67" t="s">
        <v>356</v>
      </c>
      <c r="Y67" t="s">
        <v>357</v>
      </c>
      <c r="Z67" t="s">
        <v>83</v>
      </c>
      <c r="AA67">
        <v>1</v>
      </c>
      <c r="AB67" t="s">
        <v>367</v>
      </c>
      <c r="AD67" t="s">
        <v>104</v>
      </c>
      <c r="AE67" t="s">
        <v>145</v>
      </c>
      <c r="AF67" t="s">
        <v>359</v>
      </c>
      <c r="AG67" t="s">
        <v>360</v>
      </c>
      <c r="AH67" t="s">
        <v>368</v>
      </c>
      <c r="AI67" t="s">
        <v>90</v>
      </c>
      <c r="AJ67">
        <v>32.372172999999997</v>
      </c>
      <c r="AK67">
        <v>-110.70312199999999</v>
      </c>
      <c r="AL67">
        <v>3</v>
      </c>
      <c r="AN67">
        <v>1891</v>
      </c>
      <c r="AP67">
        <v>1891</v>
      </c>
      <c r="AQ67">
        <v>1902.1531339999999</v>
      </c>
      <c r="AT67">
        <v>8</v>
      </c>
      <c r="AU67">
        <v>7</v>
      </c>
      <c r="AV67">
        <v>2023</v>
      </c>
      <c r="AW67">
        <v>4972385</v>
      </c>
      <c r="AX67">
        <v>2437431</v>
      </c>
      <c r="AY67" t="s">
        <v>106</v>
      </c>
      <c r="AZ67" t="s">
        <v>92</v>
      </c>
      <c r="BA67" t="s">
        <v>107</v>
      </c>
      <c r="BB67" t="s">
        <v>397</v>
      </c>
      <c r="BC67" t="s">
        <v>95</v>
      </c>
      <c r="BD67" s="1">
        <v>45115</v>
      </c>
      <c r="BE67" t="s">
        <v>96</v>
      </c>
      <c r="BG67" t="s">
        <v>363</v>
      </c>
      <c r="BI67" t="s">
        <v>98</v>
      </c>
      <c r="BJ67" t="s">
        <v>380</v>
      </c>
      <c r="BL67" t="s">
        <v>110</v>
      </c>
    </row>
    <row r="68" spans="1:64" hidden="1" x14ac:dyDescent="0.2">
      <c r="A68">
        <v>1382</v>
      </c>
      <c r="B68">
        <v>4022923331</v>
      </c>
      <c r="C68" t="s">
        <v>101</v>
      </c>
      <c r="D68" t="s">
        <v>4661</v>
      </c>
      <c r="E68" t="s">
        <v>65</v>
      </c>
      <c r="F68" t="s">
        <v>66</v>
      </c>
      <c r="G68" t="s">
        <v>67</v>
      </c>
      <c r="H68" t="s">
        <v>68</v>
      </c>
      <c r="I68" t="s">
        <v>176</v>
      </c>
      <c r="J68" t="s">
        <v>177</v>
      </c>
      <c r="K68" t="s">
        <v>178</v>
      </c>
      <c r="M68" t="s">
        <v>72</v>
      </c>
      <c r="N68" t="s">
        <v>179</v>
      </c>
      <c r="O68" t="s">
        <v>178</v>
      </c>
      <c r="P68" t="s">
        <v>180</v>
      </c>
      <c r="Q68" t="s">
        <v>75</v>
      </c>
      <c r="R68" t="s">
        <v>4501</v>
      </c>
      <c r="S68" t="s">
        <v>3767</v>
      </c>
      <c r="T68" t="s">
        <v>78</v>
      </c>
      <c r="U68" t="s">
        <v>3817</v>
      </c>
      <c r="V68" t="s">
        <v>80</v>
      </c>
      <c r="W68" s="1">
        <v>44534</v>
      </c>
      <c r="X68" t="s">
        <v>4502</v>
      </c>
      <c r="Y68" t="s">
        <v>4658</v>
      </c>
      <c r="Z68" t="s">
        <v>83</v>
      </c>
      <c r="AA68">
        <v>1</v>
      </c>
      <c r="AB68" t="s">
        <v>4511</v>
      </c>
      <c r="AC68">
        <v>0</v>
      </c>
      <c r="AD68" t="s">
        <v>128</v>
      </c>
      <c r="AE68" t="s">
        <v>145</v>
      </c>
      <c r="AF68" t="s">
        <v>146</v>
      </c>
      <c r="AG68" t="s">
        <v>980</v>
      </c>
      <c r="AI68" t="s">
        <v>90</v>
      </c>
      <c r="AJ68">
        <v>32.337204999999997</v>
      </c>
      <c r="AK68">
        <v>-110.720883</v>
      </c>
      <c r="AL68">
        <v>3</v>
      </c>
      <c r="AN68">
        <v>1466</v>
      </c>
      <c r="AP68">
        <v>1466</v>
      </c>
      <c r="AQ68">
        <v>1470.5477719999999</v>
      </c>
      <c r="AT68">
        <v>4</v>
      </c>
      <c r="AU68">
        <v>12</v>
      </c>
      <c r="AV68">
        <v>2021</v>
      </c>
      <c r="AW68">
        <v>2438038</v>
      </c>
      <c r="AX68">
        <v>2438038</v>
      </c>
      <c r="AY68" t="s">
        <v>106</v>
      </c>
      <c r="AZ68" t="s">
        <v>92</v>
      </c>
      <c r="BA68" t="s">
        <v>107</v>
      </c>
      <c r="BB68" t="s">
        <v>4662</v>
      </c>
      <c r="BC68" t="s">
        <v>1186</v>
      </c>
      <c r="BE68" t="s">
        <v>96</v>
      </c>
      <c r="BG68" t="s">
        <v>4507</v>
      </c>
      <c r="BI68" t="s">
        <v>98</v>
      </c>
      <c r="BJ68" t="s">
        <v>390</v>
      </c>
      <c r="BL68" t="s">
        <v>412</v>
      </c>
    </row>
    <row r="69" spans="1:64" x14ac:dyDescent="0.2">
      <c r="A69">
        <v>466</v>
      </c>
      <c r="B69">
        <v>4136459493</v>
      </c>
      <c r="C69" t="s">
        <v>101</v>
      </c>
      <c r="D69" t="s">
        <v>5361</v>
      </c>
      <c r="E69" t="s">
        <v>65</v>
      </c>
      <c r="F69" t="s">
        <v>66</v>
      </c>
      <c r="G69" t="s">
        <v>67</v>
      </c>
      <c r="H69" t="s">
        <v>68</v>
      </c>
      <c r="I69" t="s">
        <v>69</v>
      </c>
      <c r="J69" t="s">
        <v>70</v>
      </c>
      <c r="K69" t="s">
        <v>4195</v>
      </c>
      <c r="M69" t="s">
        <v>72</v>
      </c>
      <c r="N69" t="s">
        <v>4196</v>
      </c>
      <c r="O69" t="s">
        <v>4195</v>
      </c>
      <c r="P69" t="s">
        <v>4197</v>
      </c>
      <c r="Q69" t="s">
        <v>75</v>
      </c>
      <c r="R69" t="s">
        <v>5008</v>
      </c>
      <c r="S69" t="s">
        <v>1557</v>
      </c>
      <c r="T69" t="s">
        <v>78</v>
      </c>
      <c r="U69" t="s">
        <v>5009</v>
      </c>
      <c r="V69" t="s">
        <v>80</v>
      </c>
      <c r="W69" s="1">
        <v>44905</v>
      </c>
      <c r="X69" t="s">
        <v>5010</v>
      </c>
      <c r="Y69" t="s">
        <v>5362</v>
      </c>
      <c r="Z69" t="s">
        <v>83</v>
      </c>
      <c r="AA69">
        <v>1</v>
      </c>
      <c r="AB69" t="s">
        <v>657</v>
      </c>
      <c r="AC69">
        <v>0</v>
      </c>
      <c r="AD69" t="s">
        <v>119</v>
      </c>
      <c r="AE69" t="s">
        <v>145</v>
      </c>
      <c r="AF69" t="s">
        <v>281</v>
      </c>
      <c r="AG69" t="s">
        <v>980</v>
      </c>
      <c r="AI69" t="s">
        <v>90</v>
      </c>
      <c r="AJ69">
        <v>32.314273</v>
      </c>
      <c r="AK69">
        <v>-110.712406</v>
      </c>
      <c r="AL69">
        <v>3</v>
      </c>
      <c r="AN69">
        <v>1165</v>
      </c>
      <c r="AP69">
        <v>1165</v>
      </c>
      <c r="AQ69">
        <v>1182.031997</v>
      </c>
      <c r="AT69">
        <v>10</v>
      </c>
      <c r="AU69">
        <v>12</v>
      </c>
      <c r="AV69">
        <v>2022</v>
      </c>
      <c r="AW69">
        <v>2439589</v>
      </c>
      <c r="AX69">
        <v>2439589</v>
      </c>
      <c r="AY69" t="s">
        <v>106</v>
      </c>
      <c r="AZ69" t="s">
        <v>92</v>
      </c>
      <c r="BA69" t="s">
        <v>107</v>
      </c>
      <c r="BB69" t="s">
        <v>5363</v>
      </c>
      <c r="BC69" t="s">
        <v>5313</v>
      </c>
      <c r="BD69" s="1">
        <v>44905</v>
      </c>
      <c r="BE69" t="s">
        <v>96</v>
      </c>
      <c r="BG69" t="s">
        <v>5314</v>
      </c>
      <c r="BI69" t="s">
        <v>98</v>
      </c>
      <c r="BJ69" t="s">
        <v>4000</v>
      </c>
      <c r="BL69" t="s">
        <v>412</v>
      </c>
    </row>
    <row r="70" spans="1:64" hidden="1" x14ac:dyDescent="0.2">
      <c r="A70">
        <v>269</v>
      </c>
      <c r="B70">
        <v>4403382369</v>
      </c>
      <c r="C70" t="s">
        <v>101</v>
      </c>
      <c r="D70" t="s">
        <v>416</v>
      </c>
      <c r="E70" t="s">
        <v>65</v>
      </c>
      <c r="F70" t="s">
        <v>66</v>
      </c>
      <c r="G70" t="s">
        <v>67</v>
      </c>
      <c r="H70" t="s">
        <v>68</v>
      </c>
      <c r="I70" t="s">
        <v>176</v>
      </c>
      <c r="J70" t="s">
        <v>177</v>
      </c>
      <c r="K70" t="s">
        <v>178</v>
      </c>
      <c r="M70" t="s">
        <v>72</v>
      </c>
      <c r="N70" t="s">
        <v>179</v>
      </c>
      <c r="O70" t="s">
        <v>178</v>
      </c>
      <c r="P70" t="s">
        <v>180</v>
      </c>
      <c r="Q70" t="s">
        <v>75</v>
      </c>
      <c r="R70" t="s">
        <v>354</v>
      </c>
      <c r="S70" t="s">
        <v>399</v>
      </c>
      <c r="T70" t="s">
        <v>78</v>
      </c>
      <c r="U70" t="s">
        <v>79</v>
      </c>
      <c r="V70" t="s">
        <v>80</v>
      </c>
      <c r="W70" s="1">
        <v>45115</v>
      </c>
      <c r="X70" t="s">
        <v>356</v>
      </c>
      <c r="Y70" t="s">
        <v>400</v>
      </c>
      <c r="Z70" t="s">
        <v>83</v>
      </c>
      <c r="AA70">
        <v>1</v>
      </c>
      <c r="AB70" t="s">
        <v>367</v>
      </c>
      <c r="AD70" t="s">
        <v>104</v>
      </c>
      <c r="AE70" t="s">
        <v>145</v>
      </c>
      <c r="AF70" t="s">
        <v>402</v>
      </c>
      <c r="AG70" t="s">
        <v>403</v>
      </c>
      <c r="AH70" t="s">
        <v>417</v>
      </c>
      <c r="AI70" t="s">
        <v>90</v>
      </c>
      <c r="AJ70">
        <v>32.372850999999997</v>
      </c>
      <c r="AK70">
        <v>-110.701184</v>
      </c>
      <c r="AL70">
        <v>3</v>
      </c>
      <c r="AN70">
        <v>1896</v>
      </c>
      <c r="AP70">
        <v>1896</v>
      </c>
      <c r="AQ70">
        <v>1911.013565</v>
      </c>
      <c r="AT70">
        <v>8</v>
      </c>
      <c r="AU70">
        <v>7</v>
      </c>
      <c r="AV70">
        <v>2023</v>
      </c>
      <c r="AW70">
        <v>2438038</v>
      </c>
      <c r="AX70">
        <v>2438038</v>
      </c>
      <c r="AY70" t="s">
        <v>106</v>
      </c>
      <c r="AZ70" t="s">
        <v>92</v>
      </c>
      <c r="BA70" t="s">
        <v>107</v>
      </c>
      <c r="BB70" t="s">
        <v>418</v>
      </c>
      <c r="BC70" t="s">
        <v>95</v>
      </c>
      <c r="BD70" s="1">
        <v>45115</v>
      </c>
      <c r="BE70" t="s">
        <v>96</v>
      </c>
      <c r="BG70" t="s">
        <v>363</v>
      </c>
      <c r="BI70" t="s">
        <v>98</v>
      </c>
      <c r="BJ70" t="s">
        <v>419</v>
      </c>
      <c r="BL70" t="s">
        <v>412</v>
      </c>
    </row>
    <row r="71" spans="1:64" hidden="1" x14ac:dyDescent="0.2">
      <c r="A71">
        <v>272</v>
      </c>
      <c r="B71">
        <v>4403382366</v>
      </c>
      <c r="C71" t="s">
        <v>101</v>
      </c>
      <c r="D71" t="s">
        <v>420</v>
      </c>
      <c r="E71" t="s">
        <v>65</v>
      </c>
      <c r="F71" t="s">
        <v>66</v>
      </c>
      <c r="G71" t="s">
        <v>67</v>
      </c>
      <c r="H71" t="s">
        <v>68</v>
      </c>
      <c r="I71" t="s">
        <v>176</v>
      </c>
      <c r="J71" t="s">
        <v>177</v>
      </c>
      <c r="K71" t="s">
        <v>178</v>
      </c>
      <c r="M71" t="s">
        <v>72</v>
      </c>
      <c r="N71" t="s">
        <v>179</v>
      </c>
      <c r="O71" t="s">
        <v>178</v>
      </c>
      <c r="P71" t="s">
        <v>180</v>
      </c>
      <c r="Q71" t="s">
        <v>75</v>
      </c>
      <c r="R71" t="s">
        <v>354</v>
      </c>
      <c r="S71" t="s">
        <v>399</v>
      </c>
      <c r="T71" t="s">
        <v>78</v>
      </c>
      <c r="U71" t="s">
        <v>79</v>
      </c>
      <c r="V71" t="s">
        <v>80</v>
      </c>
      <c r="W71" s="1">
        <v>45115</v>
      </c>
      <c r="X71" t="s">
        <v>356</v>
      </c>
      <c r="Y71" t="s">
        <v>400</v>
      </c>
      <c r="Z71" t="s">
        <v>83</v>
      </c>
      <c r="AA71">
        <v>1</v>
      </c>
      <c r="AB71" t="s">
        <v>367</v>
      </c>
      <c r="AD71" t="s">
        <v>116</v>
      </c>
      <c r="AE71" t="s">
        <v>145</v>
      </c>
      <c r="AF71" t="s">
        <v>402</v>
      </c>
      <c r="AG71" t="s">
        <v>403</v>
      </c>
      <c r="AH71" t="s">
        <v>417</v>
      </c>
      <c r="AI71" t="s">
        <v>90</v>
      </c>
      <c r="AJ71">
        <v>32.372850999999997</v>
      </c>
      <c r="AK71">
        <v>-110.701184</v>
      </c>
      <c r="AL71">
        <v>3</v>
      </c>
      <c r="AN71">
        <v>1896</v>
      </c>
      <c r="AP71">
        <v>1896</v>
      </c>
      <c r="AQ71">
        <v>1911.013565</v>
      </c>
      <c r="AT71">
        <v>8</v>
      </c>
      <c r="AU71">
        <v>7</v>
      </c>
      <c r="AV71">
        <v>2023</v>
      </c>
      <c r="AW71">
        <v>2438038</v>
      </c>
      <c r="AX71">
        <v>2438038</v>
      </c>
      <c r="AY71" t="s">
        <v>106</v>
      </c>
      <c r="AZ71" t="s">
        <v>92</v>
      </c>
      <c r="BA71" t="s">
        <v>107</v>
      </c>
      <c r="BB71" t="s">
        <v>421</v>
      </c>
      <c r="BC71" t="s">
        <v>95</v>
      </c>
      <c r="BD71" s="1">
        <v>45115</v>
      </c>
      <c r="BE71" t="s">
        <v>96</v>
      </c>
      <c r="BG71" t="s">
        <v>363</v>
      </c>
      <c r="BI71" t="s">
        <v>98</v>
      </c>
      <c r="BJ71" t="s">
        <v>395</v>
      </c>
      <c r="BL71" t="s">
        <v>412</v>
      </c>
    </row>
    <row r="72" spans="1:64" hidden="1" x14ac:dyDescent="0.2">
      <c r="A72">
        <v>274</v>
      </c>
      <c r="B72">
        <v>4403382364</v>
      </c>
      <c r="C72" t="s">
        <v>101</v>
      </c>
      <c r="D72" t="s">
        <v>422</v>
      </c>
      <c r="E72" t="s">
        <v>65</v>
      </c>
      <c r="F72" t="s">
        <v>66</v>
      </c>
      <c r="G72" t="s">
        <v>67</v>
      </c>
      <c r="H72" t="s">
        <v>68</v>
      </c>
      <c r="I72" t="s">
        <v>176</v>
      </c>
      <c r="J72" t="s">
        <v>177</v>
      </c>
      <c r="K72" t="s">
        <v>178</v>
      </c>
      <c r="M72" t="s">
        <v>72</v>
      </c>
      <c r="N72" t="s">
        <v>179</v>
      </c>
      <c r="O72" t="s">
        <v>178</v>
      </c>
      <c r="P72" t="s">
        <v>180</v>
      </c>
      <c r="Q72" t="s">
        <v>75</v>
      </c>
      <c r="R72" t="s">
        <v>354</v>
      </c>
      <c r="S72" t="s">
        <v>399</v>
      </c>
      <c r="T72" t="s">
        <v>78</v>
      </c>
      <c r="U72" t="s">
        <v>79</v>
      </c>
      <c r="V72" t="s">
        <v>80</v>
      </c>
      <c r="W72" s="1">
        <v>45115</v>
      </c>
      <c r="X72" t="s">
        <v>356</v>
      </c>
      <c r="Y72" t="s">
        <v>400</v>
      </c>
      <c r="Z72" t="s">
        <v>83</v>
      </c>
      <c r="AA72">
        <v>1</v>
      </c>
      <c r="AB72" t="s">
        <v>367</v>
      </c>
      <c r="AD72" t="s">
        <v>112</v>
      </c>
      <c r="AE72" t="s">
        <v>145</v>
      </c>
      <c r="AF72" t="s">
        <v>402</v>
      </c>
      <c r="AG72" t="s">
        <v>403</v>
      </c>
      <c r="AH72" t="s">
        <v>417</v>
      </c>
      <c r="AI72" t="s">
        <v>90</v>
      </c>
      <c r="AJ72">
        <v>32.372850999999997</v>
      </c>
      <c r="AK72">
        <v>-110.701184</v>
      </c>
      <c r="AL72">
        <v>3</v>
      </c>
      <c r="AN72">
        <v>1896</v>
      </c>
      <c r="AP72">
        <v>1896</v>
      </c>
      <c r="AQ72">
        <v>1911.013565</v>
      </c>
      <c r="AT72">
        <v>8</v>
      </c>
      <c r="AU72">
        <v>7</v>
      </c>
      <c r="AV72">
        <v>2023</v>
      </c>
      <c r="AW72">
        <v>2438038</v>
      </c>
      <c r="AX72">
        <v>2438038</v>
      </c>
      <c r="AY72" t="s">
        <v>106</v>
      </c>
      <c r="AZ72" t="s">
        <v>92</v>
      </c>
      <c r="BA72" t="s">
        <v>107</v>
      </c>
      <c r="BB72" t="s">
        <v>423</v>
      </c>
      <c r="BC72" t="s">
        <v>95</v>
      </c>
      <c r="BD72" s="1">
        <v>45115</v>
      </c>
      <c r="BE72" t="s">
        <v>96</v>
      </c>
      <c r="BG72" t="s">
        <v>363</v>
      </c>
      <c r="BI72" t="s">
        <v>98</v>
      </c>
      <c r="BJ72" t="s">
        <v>395</v>
      </c>
      <c r="BL72" t="s">
        <v>412</v>
      </c>
    </row>
    <row r="73" spans="1:64" hidden="1" x14ac:dyDescent="0.2">
      <c r="A73">
        <v>275</v>
      </c>
      <c r="B73">
        <v>4403382363</v>
      </c>
      <c r="C73" t="s">
        <v>101</v>
      </c>
      <c r="D73" t="s">
        <v>424</v>
      </c>
      <c r="E73" t="s">
        <v>65</v>
      </c>
      <c r="F73" t="s">
        <v>66</v>
      </c>
      <c r="G73" t="s">
        <v>67</v>
      </c>
      <c r="H73" t="s">
        <v>68</v>
      </c>
      <c r="I73" t="s">
        <v>176</v>
      </c>
      <c r="J73" t="s">
        <v>177</v>
      </c>
      <c r="K73" t="s">
        <v>178</v>
      </c>
      <c r="M73" t="s">
        <v>72</v>
      </c>
      <c r="N73" t="s">
        <v>179</v>
      </c>
      <c r="O73" t="s">
        <v>178</v>
      </c>
      <c r="P73" t="s">
        <v>180</v>
      </c>
      <c r="Q73" t="s">
        <v>75</v>
      </c>
      <c r="R73" t="s">
        <v>354</v>
      </c>
      <c r="S73" t="s">
        <v>399</v>
      </c>
      <c r="T73" t="s">
        <v>78</v>
      </c>
      <c r="U73" t="s">
        <v>79</v>
      </c>
      <c r="V73" t="s">
        <v>80</v>
      </c>
      <c r="W73" s="1">
        <v>45115</v>
      </c>
      <c r="X73" t="s">
        <v>356</v>
      </c>
      <c r="Y73" t="s">
        <v>400</v>
      </c>
      <c r="Z73" t="s">
        <v>83</v>
      </c>
      <c r="AA73">
        <v>1</v>
      </c>
      <c r="AB73" t="s">
        <v>367</v>
      </c>
      <c r="AD73" t="s">
        <v>123</v>
      </c>
      <c r="AE73" t="s">
        <v>145</v>
      </c>
      <c r="AF73" t="s">
        <v>402</v>
      </c>
      <c r="AG73" t="s">
        <v>403</v>
      </c>
      <c r="AH73" t="s">
        <v>417</v>
      </c>
      <c r="AI73" t="s">
        <v>90</v>
      </c>
      <c r="AJ73">
        <v>32.372850999999997</v>
      </c>
      <c r="AK73">
        <v>-110.701184</v>
      </c>
      <c r="AL73">
        <v>3</v>
      </c>
      <c r="AN73">
        <v>1896</v>
      </c>
      <c r="AP73">
        <v>1896</v>
      </c>
      <c r="AQ73">
        <v>1911.013565</v>
      </c>
      <c r="AT73">
        <v>8</v>
      </c>
      <c r="AU73">
        <v>7</v>
      </c>
      <c r="AV73">
        <v>2023</v>
      </c>
      <c r="AW73">
        <v>2438038</v>
      </c>
      <c r="AX73">
        <v>2438038</v>
      </c>
      <c r="AY73" t="s">
        <v>106</v>
      </c>
      <c r="AZ73" t="s">
        <v>92</v>
      </c>
      <c r="BA73" t="s">
        <v>107</v>
      </c>
      <c r="BB73" t="s">
        <v>425</v>
      </c>
      <c r="BC73" t="s">
        <v>95</v>
      </c>
      <c r="BD73" s="1">
        <v>45115</v>
      </c>
      <c r="BE73" t="s">
        <v>96</v>
      </c>
      <c r="BG73" t="s">
        <v>363</v>
      </c>
      <c r="BI73" t="s">
        <v>98</v>
      </c>
      <c r="BJ73" t="s">
        <v>380</v>
      </c>
      <c r="BL73" t="s">
        <v>412</v>
      </c>
    </row>
    <row r="74" spans="1:64" hidden="1" x14ac:dyDescent="0.2">
      <c r="A74">
        <v>308</v>
      </c>
      <c r="B74">
        <v>4403382330</v>
      </c>
      <c r="C74" t="s">
        <v>101</v>
      </c>
      <c r="D74" t="s">
        <v>426</v>
      </c>
      <c r="E74" t="s">
        <v>65</v>
      </c>
      <c r="F74" t="s">
        <v>66</v>
      </c>
      <c r="G74" t="s">
        <v>67</v>
      </c>
      <c r="H74" t="s">
        <v>68</v>
      </c>
      <c r="I74" t="s">
        <v>176</v>
      </c>
      <c r="J74" t="s">
        <v>177</v>
      </c>
      <c r="K74" t="s">
        <v>178</v>
      </c>
      <c r="M74" t="s">
        <v>72</v>
      </c>
      <c r="N74" t="s">
        <v>179</v>
      </c>
      <c r="O74" t="s">
        <v>178</v>
      </c>
      <c r="P74" t="s">
        <v>180</v>
      </c>
      <c r="Q74" t="s">
        <v>75</v>
      </c>
      <c r="R74" t="s">
        <v>354</v>
      </c>
      <c r="S74" t="s">
        <v>399</v>
      </c>
      <c r="T74" t="s">
        <v>78</v>
      </c>
      <c r="U74" t="s">
        <v>79</v>
      </c>
      <c r="V74" t="s">
        <v>80</v>
      </c>
      <c r="W74" s="1">
        <v>45115</v>
      </c>
      <c r="X74" t="s">
        <v>356</v>
      </c>
      <c r="Y74" t="s">
        <v>400</v>
      </c>
      <c r="Z74" t="s">
        <v>83</v>
      </c>
      <c r="AA74">
        <v>1</v>
      </c>
      <c r="AB74" t="s">
        <v>367</v>
      </c>
      <c r="AD74" t="s">
        <v>139</v>
      </c>
      <c r="AE74" t="s">
        <v>145</v>
      </c>
      <c r="AF74" t="s">
        <v>402</v>
      </c>
      <c r="AG74" t="s">
        <v>403</v>
      </c>
      <c r="AH74" t="s">
        <v>417</v>
      </c>
      <c r="AI74" t="s">
        <v>90</v>
      </c>
      <c r="AJ74">
        <v>32.372850999999997</v>
      </c>
      <c r="AK74">
        <v>-110.701184</v>
      </c>
      <c r="AL74">
        <v>3</v>
      </c>
      <c r="AN74">
        <v>1896</v>
      </c>
      <c r="AP74">
        <v>1896</v>
      </c>
      <c r="AQ74">
        <v>1911.013565</v>
      </c>
      <c r="AT74">
        <v>8</v>
      </c>
      <c r="AU74">
        <v>7</v>
      </c>
      <c r="AV74">
        <v>2023</v>
      </c>
      <c r="AW74">
        <v>2438038</v>
      </c>
      <c r="AX74">
        <v>2438038</v>
      </c>
      <c r="AY74" t="s">
        <v>106</v>
      </c>
      <c r="AZ74" t="s">
        <v>92</v>
      </c>
      <c r="BA74" t="s">
        <v>107</v>
      </c>
      <c r="BB74" t="s">
        <v>427</v>
      </c>
      <c r="BC74" t="s">
        <v>95</v>
      </c>
      <c r="BD74" s="1">
        <v>45115</v>
      </c>
      <c r="BE74" t="s">
        <v>96</v>
      </c>
      <c r="BG74" t="s">
        <v>363</v>
      </c>
      <c r="BI74" t="s">
        <v>98</v>
      </c>
      <c r="BJ74" t="s">
        <v>428</v>
      </c>
      <c r="BL74" t="s">
        <v>412</v>
      </c>
    </row>
    <row r="75" spans="1:64" hidden="1" x14ac:dyDescent="0.2">
      <c r="A75">
        <v>311</v>
      </c>
      <c r="B75">
        <v>4403382327</v>
      </c>
      <c r="C75" t="s">
        <v>101</v>
      </c>
      <c r="D75" t="s">
        <v>429</v>
      </c>
      <c r="E75" t="s">
        <v>65</v>
      </c>
      <c r="F75" t="s">
        <v>66</v>
      </c>
      <c r="G75" t="s">
        <v>67</v>
      </c>
      <c r="H75" t="s">
        <v>68</v>
      </c>
      <c r="I75" t="s">
        <v>176</v>
      </c>
      <c r="J75" t="s">
        <v>177</v>
      </c>
      <c r="K75" t="s">
        <v>178</v>
      </c>
      <c r="M75" t="s">
        <v>72</v>
      </c>
      <c r="N75" t="s">
        <v>179</v>
      </c>
      <c r="O75" t="s">
        <v>178</v>
      </c>
      <c r="P75" t="s">
        <v>180</v>
      </c>
      <c r="Q75" t="s">
        <v>75</v>
      </c>
      <c r="R75" t="s">
        <v>354</v>
      </c>
      <c r="S75" t="s">
        <v>399</v>
      </c>
      <c r="T75" t="s">
        <v>78</v>
      </c>
      <c r="U75" t="s">
        <v>79</v>
      </c>
      <c r="V75" t="s">
        <v>80</v>
      </c>
      <c r="W75" s="1">
        <v>45115</v>
      </c>
      <c r="X75" t="s">
        <v>356</v>
      </c>
      <c r="Y75" t="s">
        <v>400</v>
      </c>
      <c r="Z75" t="s">
        <v>83</v>
      </c>
      <c r="AA75">
        <v>1</v>
      </c>
      <c r="AB75" t="s">
        <v>372</v>
      </c>
      <c r="AD75" t="s">
        <v>134</v>
      </c>
      <c r="AE75" t="s">
        <v>145</v>
      </c>
      <c r="AF75" t="s">
        <v>402</v>
      </c>
      <c r="AG75" t="s">
        <v>403</v>
      </c>
      <c r="AH75" t="s">
        <v>430</v>
      </c>
      <c r="AI75" t="s">
        <v>90</v>
      </c>
      <c r="AJ75">
        <v>32.372850999999997</v>
      </c>
      <c r="AK75">
        <v>-110.701184</v>
      </c>
      <c r="AL75">
        <v>3</v>
      </c>
      <c r="AN75">
        <v>1896</v>
      </c>
      <c r="AP75">
        <v>1896</v>
      </c>
      <c r="AQ75">
        <v>1911.013565</v>
      </c>
      <c r="AT75">
        <v>8</v>
      </c>
      <c r="AU75">
        <v>7</v>
      </c>
      <c r="AV75">
        <v>2023</v>
      </c>
      <c r="AW75">
        <v>2438038</v>
      </c>
      <c r="AX75">
        <v>2438038</v>
      </c>
      <c r="AY75" t="s">
        <v>106</v>
      </c>
      <c r="AZ75" t="s">
        <v>92</v>
      </c>
      <c r="BA75" t="s">
        <v>107</v>
      </c>
      <c r="BB75" t="s">
        <v>431</v>
      </c>
      <c r="BC75" t="s">
        <v>95</v>
      </c>
      <c r="BD75" s="1">
        <v>45115</v>
      </c>
      <c r="BE75" t="s">
        <v>96</v>
      </c>
      <c r="BG75" t="s">
        <v>363</v>
      </c>
      <c r="BI75" t="s">
        <v>98</v>
      </c>
      <c r="BJ75" t="s">
        <v>432</v>
      </c>
      <c r="BL75" t="s">
        <v>412</v>
      </c>
    </row>
    <row r="76" spans="1:64" hidden="1" x14ac:dyDescent="0.2">
      <c r="A76">
        <v>314</v>
      </c>
      <c r="B76">
        <v>4403382324</v>
      </c>
      <c r="C76" t="s">
        <v>101</v>
      </c>
      <c r="D76" t="s">
        <v>433</v>
      </c>
      <c r="E76" t="s">
        <v>65</v>
      </c>
      <c r="F76" t="s">
        <v>66</v>
      </c>
      <c r="G76" t="s">
        <v>67</v>
      </c>
      <c r="H76" t="s">
        <v>68</v>
      </c>
      <c r="I76" t="s">
        <v>350</v>
      </c>
      <c r="J76" t="s">
        <v>351</v>
      </c>
      <c r="K76" t="s">
        <v>352</v>
      </c>
      <c r="M76" t="s">
        <v>72</v>
      </c>
      <c r="N76" t="s">
        <v>353</v>
      </c>
      <c r="O76" t="s">
        <v>352</v>
      </c>
      <c r="P76" t="s">
        <v>180</v>
      </c>
      <c r="Q76" t="s">
        <v>75</v>
      </c>
      <c r="R76" t="s">
        <v>354</v>
      </c>
      <c r="S76" t="s">
        <v>399</v>
      </c>
      <c r="T76" t="s">
        <v>78</v>
      </c>
      <c r="U76" t="s">
        <v>79</v>
      </c>
      <c r="V76" t="s">
        <v>80</v>
      </c>
      <c r="W76" s="1">
        <v>45115</v>
      </c>
      <c r="X76" t="s">
        <v>356</v>
      </c>
      <c r="Y76" t="s">
        <v>400</v>
      </c>
      <c r="Z76" t="s">
        <v>83</v>
      </c>
      <c r="AA76">
        <v>1</v>
      </c>
      <c r="AB76" t="s">
        <v>434</v>
      </c>
      <c r="AD76" t="s">
        <v>378</v>
      </c>
      <c r="AE76" t="s">
        <v>145</v>
      </c>
      <c r="AF76" t="s">
        <v>402</v>
      </c>
      <c r="AG76" t="s">
        <v>403</v>
      </c>
      <c r="AH76" t="s">
        <v>417</v>
      </c>
      <c r="AI76" t="s">
        <v>90</v>
      </c>
      <c r="AJ76">
        <v>32.372850999999997</v>
      </c>
      <c r="AK76">
        <v>-110.701184</v>
      </c>
      <c r="AL76">
        <v>3</v>
      </c>
      <c r="AN76">
        <v>1896</v>
      </c>
      <c r="AP76">
        <v>1896</v>
      </c>
      <c r="AQ76">
        <v>1911.013565</v>
      </c>
      <c r="AT76">
        <v>8</v>
      </c>
      <c r="AU76">
        <v>7</v>
      </c>
      <c r="AV76">
        <v>2023</v>
      </c>
      <c r="AW76">
        <v>4972385</v>
      </c>
      <c r="AX76">
        <v>2437431</v>
      </c>
      <c r="AY76" t="s">
        <v>106</v>
      </c>
      <c r="AZ76" t="s">
        <v>92</v>
      </c>
      <c r="BA76" t="s">
        <v>107</v>
      </c>
      <c r="BB76" t="s">
        <v>435</v>
      </c>
      <c r="BC76" t="s">
        <v>95</v>
      </c>
      <c r="BD76" s="1">
        <v>45115</v>
      </c>
      <c r="BE76" t="s">
        <v>96</v>
      </c>
      <c r="BG76" t="s">
        <v>363</v>
      </c>
      <c r="BI76" t="s">
        <v>98</v>
      </c>
      <c r="BJ76" t="s">
        <v>432</v>
      </c>
      <c r="BL76" t="s">
        <v>412</v>
      </c>
    </row>
    <row r="77" spans="1:64" x14ac:dyDescent="0.2">
      <c r="A77">
        <v>459</v>
      </c>
      <c r="B77">
        <v>4136459500</v>
      </c>
      <c r="C77" t="s">
        <v>101</v>
      </c>
      <c r="D77" t="s">
        <v>5376</v>
      </c>
      <c r="E77" t="s">
        <v>65</v>
      </c>
      <c r="F77" t="s">
        <v>66</v>
      </c>
      <c r="G77" t="s">
        <v>67</v>
      </c>
      <c r="H77" t="s">
        <v>68</v>
      </c>
      <c r="I77" t="s">
        <v>69</v>
      </c>
      <c r="J77" t="s">
        <v>70</v>
      </c>
      <c r="K77" t="s">
        <v>4195</v>
      </c>
      <c r="M77" t="s">
        <v>72</v>
      </c>
      <c r="N77" t="s">
        <v>4196</v>
      </c>
      <c r="O77" t="s">
        <v>4195</v>
      </c>
      <c r="P77" t="s">
        <v>4197</v>
      </c>
      <c r="Q77" t="s">
        <v>75</v>
      </c>
      <c r="R77" t="s">
        <v>5008</v>
      </c>
      <c r="S77" t="s">
        <v>5369</v>
      </c>
      <c r="T77" t="s">
        <v>78</v>
      </c>
      <c r="U77" t="s">
        <v>5009</v>
      </c>
      <c r="V77" t="s">
        <v>80</v>
      </c>
      <c r="W77" s="1">
        <v>44905</v>
      </c>
      <c r="X77" t="s">
        <v>5010</v>
      </c>
      <c r="Y77" t="s">
        <v>5370</v>
      </c>
      <c r="Z77" t="s">
        <v>83</v>
      </c>
      <c r="AA77">
        <v>1</v>
      </c>
      <c r="AB77" t="s">
        <v>657</v>
      </c>
      <c r="AC77">
        <v>0</v>
      </c>
      <c r="AD77" t="s">
        <v>119</v>
      </c>
      <c r="AE77" t="s">
        <v>86</v>
      </c>
      <c r="AF77" t="s">
        <v>146</v>
      </c>
      <c r="AG77" t="s">
        <v>5371</v>
      </c>
      <c r="AI77" t="s">
        <v>90</v>
      </c>
      <c r="AJ77">
        <v>32.313761</v>
      </c>
      <c r="AK77">
        <v>-110.71426200000001</v>
      </c>
      <c r="AL77">
        <v>3</v>
      </c>
      <c r="AP77">
        <v>1197.0936079999999</v>
      </c>
      <c r="AQ77">
        <v>1197.0936079999999</v>
      </c>
      <c r="AT77">
        <v>10</v>
      </c>
      <c r="AU77">
        <v>12</v>
      </c>
      <c r="AV77">
        <v>2022</v>
      </c>
      <c r="AW77">
        <v>2439589</v>
      </c>
      <c r="AX77">
        <v>2439589</v>
      </c>
      <c r="AY77" t="s">
        <v>106</v>
      </c>
      <c r="AZ77" t="s">
        <v>92</v>
      </c>
      <c r="BA77" t="s">
        <v>107</v>
      </c>
      <c r="BB77" t="s">
        <v>5377</v>
      </c>
      <c r="BC77" t="s">
        <v>5313</v>
      </c>
      <c r="BD77" s="1">
        <v>44905</v>
      </c>
      <c r="BE77" t="s">
        <v>96</v>
      </c>
      <c r="BG77" t="s">
        <v>5314</v>
      </c>
      <c r="BI77" t="s">
        <v>98</v>
      </c>
      <c r="BJ77" t="s">
        <v>1569</v>
      </c>
      <c r="BL77" t="s">
        <v>412</v>
      </c>
    </row>
    <row r="78" spans="1:64" hidden="1" x14ac:dyDescent="0.2">
      <c r="A78">
        <v>1282</v>
      </c>
      <c r="B78">
        <v>4022923431</v>
      </c>
      <c r="C78" t="s">
        <v>101</v>
      </c>
      <c r="D78" t="s">
        <v>4738</v>
      </c>
      <c r="E78" t="s">
        <v>65</v>
      </c>
      <c r="F78" t="s">
        <v>66</v>
      </c>
      <c r="G78" t="s">
        <v>67</v>
      </c>
      <c r="H78" t="s">
        <v>68</v>
      </c>
      <c r="I78" t="s">
        <v>176</v>
      </c>
      <c r="J78" t="s">
        <v>177</v>
      </c>
      <c r="K78" t="s">
        <v>178</v>
      </c>
      <c r="M78" t="s">
        <v>72</v>
      </c>
      <c r="N78" t="s">
        <v>179</v>
      </c>
      <c r="O78" t="s">
        <v>178</v>
      </c>
      <c r="P78" t="s">
        <v>180</v>
      </c>
      <c r="Q78" t="s">
        <v>75</v>
      </c>
      <c r="R78" t="s">
        <v>4501</v>
      </c>
      <c r="S78" t="s">
        <v>4732</v>
      </c>
      <c r="T78" t="s">
        <v>78</v>
      </c>
      <c r="U78" t="s">
        <v>3817</v>
      </c>
      <c r="V78" t="s">
        <v>80</v>
      </c>
      <c r="W78" s="1">
        <v>44534</v>
      </c>
      <c r="X78" t="s">
        <v>4502</v>
      </c>
      <c r="Y78" t="s">
        <v>4733</v>
      </c>
      <c r="Z78" t="s">
        <v>83</v>
      </c>
      <c r="AA78">
        <v>1</v>
      </c>
      <c r="AB78" t="s">
        <v>4739</v>
      </c>
      <c r="AC78">
        <v>0</v>
      </c>
      <c r="AD78" t="s">
        <v>128</v>
      </c>
      <c r="AE78" t="s">
        <v>86</v>
      </c>
      <c r="AF78" t="s">
        <v>610</v>
      </c>
      <c r="AG78" t="s">
        <v>875</v>
      </c>
      <c r="AI78" t="s">
        <v>90</v>
      </c>
      <c r="AJ78">
        <v>32.337369000000002</v>
      </c>
      <c r="AK78">
        <v>-110.719869</v>
      </c>
      <c r="AL78">
        <v>3</v>
      </c>
      <c r="AN78">
        <v>1468</v>
      </c>
      <c r="AP78">
        <v>1468</v>
      </c>
      <c r="AQ78">
        <v>1480.5584120000001</v>
      </c>
      <c r="AT78">
        <v>4</v>
      </c>
      <c r="AU78">
        <v>12</v>
      </c>
      <c r="AV78">
        <v>2021</v>
      </c>
      <c r="AW78">
        <v>2438038</v>
      </c>
      <c r="AX78">
        <v>2438038</v>
      </c>
      <c r="AY78" t="s">
        <v>106</v>
      </c>
      <c r="AZ78" t="s">
        <v>92</v>
      </c>
      <c r="BA78" t="s">
        <v>107</v>
      </c>
      <c r="BB78" t="s">
        <v>4740</v>
      </c>
      <c r="BC78" t="s">
        <v>1186</v>
      </c>
      <c r="BE78" t="s">
        <v>96</v>
      </c>
      <c r="BG78" t="s">
        <v>4507</v>
      </c>
      <c r="BI78" t="s">
        <v>98</v>
      </c>
      <c r="BJ78" t="s">
        <v>4724</v>
      </c>
      <c r="BL78" t="s">
        <v>412</v>
      </c>
    </row>
    <row r="79" spans="1:64" hidden="1" x14ac:dyDescent="0.2">
      <c r="A79">
        <v>293</v>
      </c>
      <c r="B79">
        <v>4403382345</v>
      </c>
      <c r="C79" t="s">
        <v>101</v>
      </c>
      <c r="D79" t="s">
        <v>451</v>
      </c>
      <c r="E79" t="s">
        <v>65</v>
      </c>
      <c r="F79" t="s">
        <v>66</v>
      </c>
      <c r="G79" t="s">
        <v>67</v>
      </c>
      <c r="H79" t="s">
        <v>68</v>
      </c>
      <c r="I79" t="s">
        <v>176</v>
      </c>
      <c r="J79" t="s">
        <v>177</v>
      </c>
      <c r="K79" t="s">
        <v>178</v>
      </c>
      <c r="M79" t="s">
        <v>72</v>
      </c>
      <c r="N79" t="s">
        <v>179</v>
      </c>
      <c r="O79" t="s">
        <v>178</v>
      </c>
      <c r="P79" t="s">
        <v>180</v>
      </c>
      <c r="Q79" t="s">
        <v>75</v>
      </c>
      <c r="R79" t="s">
        <v>354</v>
      </c>
      <c r="S79" t="s">
        <v>437</v>
      </c>
      <c r="T79" t="s">
        <v>78</v>
      </c>
      <c r="U79" t="s">
        <v>79</v>
      </c>
      <c r="V79" t="s">
        <v>80</v>
      </c>
      <c r="W79" s="1">
        <v>45115</v>
      </c>
      <c r="X79" t="s">
        <v>356</v>
      </c>
      <c r="Y79" t="s">
        <v>438</v>
      </c>
      <c r="Z79" t="s">
        <v>83</v>
      </c>
      <c r="AA79">
        <v>1</v>
      </c>
      <c r="AB79" t="s">
        <v>367</v>
      </c>
      <c r="AD79" t="s">
        <v>104</v>
      </c>
      <c r="AE79" t="s">
        <v>86</v>
      </c>
      <c r="AF79" t="s">
        <v>402</v>
      </c>
      <c r="AG79" t="s">
        <v>440</v>
      </c>
      <c r="AH79" t="s">
        <v>452</v>
      </c>
      <c r="AI79" t="s">
        <v>90</v>
      </c>
      <c r="AJ79">
        <v>32.372531000000002</v>
      </c>
      <c r="AK79">
        <v>-110.702724</v>
      </c>
      <c r="AL79">
        <v>3</v>
      </c>
      <c r="AN79">
        <v>1920</v>
      </c>
      <c r="AP79">
        <v>1920</v>
      </c>
      <c r="AQ79">
        <v>1911.5636179999999</v>
      </c>
      <c r="AT79">
        <v>8</v>
      </c>
      <c r="AU79">
        <v>7</v>
      </c>
      <c r="AV79">
        <v>2023</v>
      </c>
      <c r="AW79">
        <v>2438038</v>
      </c>
      <c r="AX79">
        <v>2438038</v>
      </c>
      <c r="AY79" t="s">
        <v>106</v>
      </c>
      <c r="AZ79" t="s">
        <v>92</v>
      </c>
      <c r="BA79" t="s">
        <v>107</v>
      </c>
      <c r="BB79" t="s">
        <v>453</v>
      </c>
      <c r="BC79" t="s">
        <v>95</v>
      </c>
      <c r="BD79" s="1">
        <v>45115</v>
      </c>
      <c r="BE79" t="s">
        <v>96</v>
      </c>
      <c r="BG79" t="s">
        <v>363</v>
      </c>
      <c r="BI79" t="s">
        <v>98</v>
      </c>
      <c r="BJ79" t="s">
        <v>390</v>
      </c>
      <c r="BL79" t="s">
        <v>110</v>
      </c>
    </row>
    <row r="80" spans="1:64" hidden="1" x14ac:dyDescent="0.2">
      <c r="A80">
        <v>296</v>
      </c>
      <c r="B80">
        <v>4403382342</v>
      </c>
      <c r="C80" t="s">
        <v>101</v>
      </c>
      <c r="D80" t="s">
        <v>454</v>
      </c>
      <c r="E80" t="s">
        <v>65</v>
      </c>
      <c r="F80" t="s">
        <v>66</v>
      </c>
      <c r="G80" t="s">
        <v>67</v>
      </c>
      <c r="H80" t="s">
        <v>68</v>
      </c>
      <c r="I80" t="s">
        <v>176</v>
      </c>
      <c r="J80" t="s">
        <v>177</v>
      </c>
      <c r="K80" t="s">
        <v>178</v>
      </c>
      <c r="M80" t="s">
        <v>72</v>
      </c>
      <c r="N80" t="s">
        <v>179</v>
      </c>
      <c r="O80" t="s">
        <v>178</v>
      </c>
      <c r="P80" t="s">
        <v>180</v>
      </c>
      <c r="Q80" t="s">
        <v>75</v>
      </c>
      <c r="R80" t="s">
        <v>354</v>
      </c>
      <c r="S80" t="s">
        <v>437</v>
      </c>
      <c r="T80" t="s">
        <v>78</v>
      </c>
      <c r="U80" t="s">
        <v>79</v>
      </c>
      <c r="V80" t="s">
        <v>80</v>
      </c>
      <c r="W80" s="1">
        <v>45115</v>
      </c>
      <c r="X80" t="s">
        <v>356</v>
      </c>
      <c r="Y80" t="s">
        <v>438</v>
      </c>
      <c r="Z80" t="s">
        <v>83</v>
      </c>
      <c r="AA80">
        <v>1</v>
      </c>
      <c r="AB80" t="s">
        <v>367</v>
      </c>
      <c r="AD80" t="s">
        <v>116</v>
      </c>
      <c r="AE80" t="s">
        <v>86</v>
      </c>
      <c r="AF80" t="s">
        <v>402</v>
      </c>
      <c r="AG80" t="s">
        <v>440</v>
      </c>
      <c r="AH80" t="s">
        <v>452</v>
      </c>
      <c r="AI80" t="s">
        <v>90</v>
      </c>
      <c r="AJ80">
        <v>32.372531000000002</v>
      </c>
      <c r="AK80">
        <v>-110.702724</v>
      </c>
      <c r="AL80">
        <v>3</v>
      </c>
      <c r="AN80">
        <v>1920</v>
      </c>
      <c r="AP80">
        <v>1920</v>
      </c>
      <c r="AQ80">
        <v>1911.5636179999999</v>
      </c>
      <c r="AT80">
        <v>8</v>
      </c>
      <c r="AU80">
        <v>7</v>
      </c>
      <c r="AV80">
        <v>2023</v>
      </c>
      <c r="AW80">
        <v>2438038</v>
      </c>
      <c r="AX80">
        <v>2438038</v>
      </c>
      <c r="AY80" t="s">
        <v>106</v>
      </c>
      <c r="AZ80" t="s">
        <v>92</v>
      </c>
      <c r="BA80" t="s">
        <v>107</v>
      </c>
      <c r="BB80" t="s">
        <v>455</v>
      </c>
      <c r="BC80" t="s">
        <v>95</v>
      </c>
      <c r="BD80" s="1">
        <v>45115</v>
      </c>
      <c r="BE80" t="s">
        <v>96</v>
      </c>
      <c r="BG80" t="s">
        <v>363</v>
      </c>
      <c r="BI80" t="s">
        <v>98</v>
      </c>
      <c r="BJ80" t="s">
        <v>456</v>
      </c>
      <c r="BL80" t="s">
        <v>110</v>
      </c>
    </row>
    <row r="81" spans="1:64" hidden="1" x14ac:dyDescent="0.2">
      <c r="A81">
        <v>299</v>
      </c>
      <c r="B81">
        <v>4403382339</v>
      </c>
      <c r="C81" t="s">
        <v>101</v>
      </c>
      <c r="D81" t="s">
        <v>457</v>
      </c>
      <c r="E81" t="s">
        <v>65</v>
      </c>
      <c r="F81" t="s">
        <v>66</v>
      </c>
      <c r="G81" t="s">
        <v>67</v>
      </c>
      <c r="H81" t="s">
        <v>68</v>
      </c>
      <c r="I81" t="s">
        <v>176</v>
      </c>
      <c r="J81" t="s">
        <v>177</v>
      </c>
      <c r="K81" t="s">
        <v>178</v>
      </c>
      <c r="M81" t="s">
        <v>72</v>
      </c>
      <c r="N81" t="s">
        <v>179</v>
      </c>
      <c r="O81" t="s">
        <v>178</v>
      </c>
      <c r="P81" t="s">
        <v>180</v>
      </c>
      <c r="Q81" t="s">
        <v>75</v>
      </c>
      <c r="R81" t="s">
        <v>354</v>
      </c>
      <c r="S81" t="s">
        <v>437</v>
      </c>
      <c r="T81" t="s">
        <v>78</v>
      </c>
      <c r="U81" t="s">
        <v>79</v>
      </c>
      <c r="V81" t="s">
        <v>80</v>
      </c>
      <c r="W81" s="1">
        <v>45115</v>
      </c>
      <c r="X81" t="s">
        <v>356</v>
      </c>
      <c r="Y81" t="s">
        <v>438</v>
      </c>
      <c r="Z81" t="s">
        <v>83</v>
      </c>
      <c r="AA81">
        <v>1</v>
      </c>
      <c r="AB81" t="s">
        <v>367</v>
      </c>
      <c r="AD81" t="s">
        <v>112</v>
      </c>
      <c r="AE81" t="s">
        <v>86</v>
      </c>
      <c r="AF81" t="s">
        <v>402</v>
      </c>
      <c r="AG81" t="s">
        <v>440</v>
      </c>
      <c r="AH81" t="s">
        <v>452</v>
      </c>
      <c r="AI81" t="s">
        <v>90</v>
      </c>
      <c r="AJ81">
        <v>32.372531000000002</v>
      </c>
      <c r="AK81">
        <v>-110.702724</v>
      </c>
      <c r="AL81">
        <v>3</v>
      </c>
      <c r="AN81">
        <v>1920</v>
      </c>
      <c r="AP81">
        <v>1920</v>
      </c>
      <c r="AQ81">
        <v>1911.5636179999999</v>
      </c>
      <c r="AT81">
        <v>8</v>
      </c>
      <c r="AU81">
        <v>7</v>
      </c>
      <c r="AV81">
        <v>2023</v>
      </c>
      <c r="AW81">
        <v>2438038</v>
      </c>
      <c r="AX81">
        <v>2438038</v>
      </c>
      <c r="AY81" t="s">
        <v>106</v>
      </c>
      <c r="AZ81" t="s">
        <v>92</v>
      </c>
      <c r="BA81" t="s">
        <v>107</v>
      </c>
      <c r="BB81" t="s">
        <v>458</v>
      </c>
      <c r="BC81" t="s">
        <v>95</v>
      </c>
      <c r="BD81" s="1">
        <v>45115</v>
      </c>
      <c r="BE81" t="s">
        <v>96</v>
      </c>
      <c r="BG81" t="s">
        <v>363</v>
      </c>
      <c r="BI81" t="s">
        <v>98</v>
      </c>
      <c r="BJ81" t="s">
        <v>428</v>
      </c>
      <c r="BL81" t="s">
        <v>110</v>
      </c>
    </row>
    <row r="82" spans="1:64" hidden="1" x14ac:dyDescent="0.2">
      <c r="A82">
        <v>301</v>
      </c>
      <c r="B82">
        <v>4403382337</v>
      </c>
      <c r="C82" t="s">
        <v>101</v>
      </c>
      <c r="D82" t="s">
        <v>459</v>
      </c>
      <c r="E82" t="s">
        <v>65</v>
      </c>
      <c r="F82" t="s">
        <v>66</v>
      </c>
      <c r="G82" t="s">
        <v>67</v>
      </c>
      <c r="H82" t="s">
        <v>68</v>
      </c>
      <c r="I82" t="s">
        <v>176</v>
      </c>
      <c r="J82" t="s">
        <v>177</v>
      </c>
      <c r="K82" t="s">
        <v>178</v>
      </c>
      <c r="M82" t="s">
        <v>72</v>
      </c>
      <c r="N82" t="s">
        <v>179</v>
      </c>
      <c r="O82" t="s">
        <v>178</v>
      </c>
      <c r="P82" t="s">
        <v>180</v>
      </c>
      <c r="Q82" t="s">
        <v>75</v>
      </c>
      <c r="R82" t="s">
        <v>354</v>
      </c>
      <c r="S82" t="s">
        <v>437</v>
      </c>
      <c r="T82" t="s">
        <v>78</v>
      </c>
      <c r="U82" t="s">
        <v>79</v>
      </c>
      <c r="V82" t="s">
        <v>80</v>
      </c>
      <c r="W82" s="1">
        <v>45115</v>
      </c>
      <c r="X82" t="s">
        <v>356</v>
      </c>
      <c r="Y82" t="s">
        <v>438</v>
      </c>
      <c r="Z82" t="s">
        <v>83</v>
      </c>
      <c r="AA82">
        <v>1</v>
      </c>
      <c r="AB82" t="s">
        <v>367</v>
      </c>
      <c r="AD82" t="s">
        <v>123</v>
      </c>
      <c r="AE82" t="s">
        <v>86</v>
      </c>
      <c r="AF82" t="s">
        <v>402</v>
      </c>
      <c r="AG82" t="s">
        <v>440</v>
      </c>
      <c r="AH82" t="s">
        <v>452</v>
      </c>
      <c r="AI82" t="s">
        <v>90</v>
      </c>
      <c r="AJ82">
        <v>32.372531000000002</v>
      </c>
      <c r="AK82">
        <v>-110.702724</v>
      </c>
      <c r="AL82">
        <v>3</v>
      </c>
      <c r="AN82">
        <v>1920</v>
      </c>
      <c r="AP82">
        <v>1920</v>
      </c>
      <c r="AQ82">
        <v>1911.5636179999999</v>
      </c>
      <c r="AT82">
        <v>8</v>
      </c>
      <c r="AU82">
        <v>7</v>
      </c>
      <c r="AV82">
        <v>2023</v>
      </c>
      <c r="AW82">
        <v>2438038</v>
      </c>
      <c r="AX82">
        <v>2438038</v>
      </c>
      <c r="AY82" t="s">
        <v>106</v>
      </c>
      <c r="AZ82" t="s">
        <v>92</v>
      </c>
      <c r="BA82" t="s">
        <v>107</v>
      </c>
      <c r="BB82" t="s">
        <v>460</v>
      </c>
      <c r="BC82" t="s">
        <v>95</v>
      </c>
      <c r="BD82" s="1">
        <v>45115</v>
      </c>
      <c r="BE82" t="s">
        <v>96</v>
      </c>
      <c r="BG82" t="s">
        <v>363</v>
      </c>
      <c r="BI82" t="s">
        <v>98</v>
      </c>
      <c r="BJ82" t="s">
        <v>375</v>
      </c>
      <c r="BL82" t="s">
        <v>110</v>
      </c>
    </row>
    <row r="83" spans="1:64" hidden="1" x14ac:dyDescent="0.2">
      <c r="A83">
        <v>302</v>
      </c>
      <c r="B83">
        <v>4403382336</v>
      </c>
      <c r="C83" t="s">
        <v>101</v>
      </c>
      <c r="D83" t="s">
        <v>461</v>
      </c>
      <c r="E83" t="s">
        <v>65</v>
      </c>
      <c r="F83" t="s">
        <v>66</v>
      </c>
      <c r="G83" t="s">
        <v>67</v>
      </c>
      <c r="H83" t="s">
        <v>68</v>
      </c>
      <c r="I83" t="s">
        <v>176</v>
      </c>
      <c r="J83" t="s">
        <v>177</v>
      </c>
      <c r="K83" t="s">
        <v>178</v>
      </c>
      <c r="M83" t="s">
        <v>72</v>
      </c>
      <c r="N83" t="s">
        <v>179</v>
      </c>
      <c r="O83" t="s">
        <v>178</v>
      </c>
      <c r="P83" t="s">
        <v>180</v>
      </c>
      <c r="Q83" t="s">
        <v>75</v>
      </c>
      <c r="R83" t="s">
        <v>354</v>
      </c>
      <c r="S83" t="s">
        <v>437</v>
      </c>
      <c r="T83" t="s">
        <v>78</v>
      </c>
      <c r="U83" t="s">
        <v>79</v>
      </c>
      <c r="V83" t="s">
        <v>80</v>
      </c>
      <c r="W83" s="1">
        <v>45115</v>
      </c>
      <c r="X83" t="s">
        <v>356</v>
      </c>
      <c r="Y83" t="s">
        <v>438</v>
      </c>
      <c r="Z83" t="s">
        <v>83</v>
      </c>
      <c r="AA83">
        <v>1</v>
      </c>
      <c r="AB83" t="s">
        <v>367</v>
      </c>
      <c r="AD83" t="s">
        <v>139</v>
      </c>
      <c r="AE83" t="s">
        <v>86</v>
      </c>
      <c r="AF83" t="s">
        <v>402</v>
      </c>
      <c r="AG83" t="s">
        <v>440</v>
      </c>
      <c r="AH83" t="s">
        <v>452</v>
      </c>
      <c r="AI83" t="s">
        <v>90</v>
      </c>
      <c r="AJ83">
        <v>32.372531000000002</v>
      </c>
      <c r="AK83">
        <v>-110.702724</v>
      </c>
      <c r="AL83">
        <v>3</v>
      </c>
      <c r="AN83">
        <v>1920</v>
      </c>
      <c r="AP83">
        <v>1920</v>
      </c>
      <c r="AQ83">
        <v>1911.5636179999999</v>
      </c>
      <c r="AT83">
        <v>8</v>
      </c>
      <c r="AU83">
        <v>7</v>
      </c>
      <c r="AV83">
        <v>2023</v>
      </c>
      <c r="AW83">
        <v>2438038</v>
      </c>
      <c r="AX83">
        <v>2438038</v>
      </c>
      <c r="AY83" t="s">
        <v>106</v>
      </c>
      <c r="AZ83" t="s">
        <v>92</v>
      </c>
      <c r="BA83" t="s">
        <v>107</v>
      </c>
      <c r="BB83" t="s">
        <v>462</v>
      </c>
      <c r="BC83" t="s">
        <v>95</v>
      </c>
      <c r="BD83" s="1">
        <v>45116</v>
      </c>
      <c r="BE83" t="s">
        <v>96</v>
      </c>
      <c r="BG83" t="s">
        <v>363</v>
      </c>
      <c r="BI83" t="s">
        <v>98</v>
      </c>
      <c r="BJ83" t="s">
        <v>428</v>
      </c>
      <c r="BL83" t="s">
        <v>110</v>
      </c>
    </row>
    <row r="84" spans="1:64" hidden="1" x14ac:dyDescent="0.2">
      <c r="A84">
        <v>329</v>
      </c>
      <c r="B84">
        <v>4403382309</v>
      </c>
      <c r="C84" t="s">
        <v>101</v>
      </c>
      <c r="D84" t="s">
        <v>463</v>
      </c>
      <c r="E84" t="s">
        <v>65</v>
      </c>
      <c r="F84" t="s">
        <v>66</v>
      </c>
      <c r="G84" t="s">
        <v>67</v>
      </c>
      <c r="H84" t="s">
        <v>68</v>
      </c>
      <c r="I84" t="s">
        <v>176</v>
      </c>
      <c r="J84" t="s">
        <v>177</v>
      </c>
      <c r="K84" t="s">
        <v>178</v>
      </c>
      <c r="M84" t="s">
        <v>72</v>
      </c>
      <c r="N84" t="s">
        <v>179</v>
      </c>
      <c r="O84" t="s">
        <v>178</v>
      </c>
      <c r="P84" t="s">
        <v>180</v>
      </c>
      <c r="Q84" t="s">
        <v>75</v>
      </c>
      <c r="R84" t="s">
        <v>354</v>
      </c>
      <c r="S84" t="s">
        <v>437</v>
      </c>
      <c r="T84" t="s">
        <v>78</v>
      </c>
      <c r="U84" t="s">
        <v>79</v>
      </c>
      <c r="V84" t="s">
        <v>80</v>
      </c>
      <c r="W84" s="1">
        <v>45115</v>
      </c>
      <c r="X84" t="s">
        <v>356</v>
      </c>
      <c r="Y84" t="s">
        <v>438</v>
      </c>
      <c r="Z84" t="s">
        <v>83</v>
      </c>
      <c r="AA84">
        <v>1</v>
      </c>
      <c r="AB84" t="s">
        <v>464</v>
      </c>
      <c r="AD84" t="s">
        <v>134</v>
      </c>
      <c r="AE84" t="s">
        <v>86</v>
      </c>
      <c r="AF84" t="s">
        <v>402</v>
      </c>
      <c r="AG84" t="s">
        <v>440</v>
      </c>
      <c r="AH84" t="s">
        <v>465</v>
      </c>
      <c r="AI84" t="s">
        <v>90</v>
      </c>
      <c r="AJ84">
        <v>32.372531000000002</v>
      </c>
      <c r="AK84">
        <v>-110.702724</v>
      </c>
      <c r="AL84">
        <v>3</v>
      </c>
      <c r="AN84">
        <v>1920</v>
      </c>
      <c r="AP84">
        <v>1920</v>
      </c>
      <c r="AQ84">
        <v>1911.5636179999999</v>
      </c>
      <c r="AT84">
        <v>8</v>
      </c>
      <c r="AU84">
        <v>7</v>
      </c>
      <c r="AV84">
        <v>2023</v>
      </c>
      <c r="AW84">
        <v>2438038</v>
      </c>
      <c r="AX84">
        <v>2438038</v>
      </c>
      <c r="AY84" t="s">
        <v>106</v>
      </c>
      <c r="AZ84" t="s">
        <v>92</v>
      </c>
      <c r="BA84" t="s">
        <v>107</v>
      </c>
      <c r="BB84" t="s">
        <v>466</v>
      </c>
      <c r="BC84" t="s">
        <v>95</v>
      </c>
      <c r="BD84" s="1">
        <v>45115</v>
      </c>
      <c r="BE84" t="s">
        <v>96</v>
      </c>
      <c r="BG84" t="s">
        <v>363</v>
      </c>
      <c r="BI84" t="s">
        <v>98</v>
      </c>
      <c r="BJ84" t="s">
        <v>467</v>
      </c>
      <c r="BL84" t="s">
        <v>110</v>
      </c>
    </row>
    <row r="85" spans="1:64" hidden="1" x14ac:dyDescent="0.2">
      <c r="A85">
        <v>331</v>
      </c>
      <c r="B85">
        <v>4403382307</v>
      </c>
      <c r="C85" t="s">
        <v>101</v>
      </c>
      <c r="D85" t="s">
        <v>475</v>
      </c>
      <c r="E85" t="s">
        <v>65</v>
      </c>
      <c r="F85" t="s">
        <v>66</v>
      </c>
      <c r="G85" t="s">
        <v>67</v>
      </c>
      <c r="H85" t="s">
        <v>68</v>
      </c>
      <c r="I85" t="s">
        <v>176</v>
      </c>
      <c r="J85" t="s">
        <v>177</v>
      </c>
      <c r="K85" t="s">
        <v>178</v>
      </c>
      <c r="M85" t="s">
        <v>72</v>
      </c>
      <c r="N85" t="s">
        <v>179</v>
      </c>
      <c r="O85" t="s">
        <v>178</v>
      </c>
      <c r="P85" t="s">
        <v>180</v>
      </c>
      <c r="Q85" t="s">
        <v>75</v>
      </c>
      <c r="R85" t="s">
        <v>354</v>
      </c>
      <c r="S85" t="s">
        <v>469</v>
      </c>
      <c r="T85" t="s">
        <v>78</v>
      </c>
      <c r="U85" t="s">
        <v>79</v>
      </c>
      <c r="V85" t="s">
        <v>80</v>
      </c>
      <c r="W85" s="1">
        <v>45115</v>
      </c>
      <c r="X85" t="s">
        <v>356</v>
      </c>
      <c r="Y85" t="s">
        <v>470</v>
      </c>
      <c r="Z85" t="s">
        <v>83</v>
      </c>
      <c r="AA85">
        <v>1</v>
      </c>
      <c r="AB85" t="s">
        <v>367</v>
      </c>
      <c r="AD85" t="s">
        <v>123</v>
      </c>
      <c r="AE85" t="s">
        <v>145</v>
      </c>
      <c r="AF85" t="s">
        <v>402</v>
      </c>
      <c r="AG85" t="s">
        <v>218</v>
      </c>
      <c r="AH85" t="s">
        <v>476</v>
      </c>
      <c r="AI85" t="s">
        <v>90</v>
      </c>
      <c r="AJ85">
        <v>32.373109999999997</v>
      </c>
      <c r="AK85">
        <v>-110.701633</v>
      </c>
      <c r="AL85">
        <v>3</v>
      </c>
      <c r="AN85">
        <v>1912</v>
      </c>
      <c r="AP85">
        <v>1912</v>
      </c>
      <c r="AQ85">
        <v>1928.124309</v>
      </c>
      <c r="AT85">
        <v>8</v>
      </c>
      <c r="AU85">
        <v>7</v>
      </c>
      <c r="AV85">
        <v>2023</v>
      </c>
      <c r="AW85">
        <v>2438038</v>
      </c>
      <c r="AX85">
        <v>2438038</v>
      </c>
      <c r="AY85" t="s">
        <v>106</v>
      </c>
      <c r="AZ85" t="s">
        <v>92</v>
      </c>
      <c r="BA85" t="s">
        <v>107</v>
      </c>
      <c r="BB85" t="s">
        <v>477</v>
      </c>
      <c r="BC85" t="s">
        <v>95</v>
      </c>
      <c r="BD85" s="1">
        <v>45115</v>
      </c>
      <c r="BE85" t="s">
        <v>96</v>
      </c>
      <c r="BG85" t="s">
        <v>363</v>
      </c>
      <c r="BI85" t="s">
        <v>98</v>
      </c>
      <c r="BJ85" t="s">
        <v>478</v>
      </c>
      <c r="BL85" t="s">
        <v>412</v>
      </c>
    </row>
    <row r="86" spans="1:64" hidden="1" x14ac:dyDescent="0.2">
      <c r="A86">
        <v>333</v>
      </c>
      <c r="B86">
        <v>4403382305</v>
      </c>
      <c r="C86" t="s">
        <v>101</v>
      </c>
      <c r="D86" t="s">
        <v>479</v>
      </c>
      <c r="E86" t="s">
        <v>65</v>
      </c>
      <c r="F86" t="s">
        <v>66</v>
      </c>
      <c r="G86" t="s">
        <v>67</v>
      </c>
      <c r="H86" t="s">
        <v>68</v>
      </c>
      <c r="I86" t="s">
        <v>176</v>
      </c>
      <c r="J86" t="s">
        <v>177</v>
      </c>
      <c r="K86" t="s">
        <v>178</v>
      </c>
      <c r="M86" t="s">
        <v>72</v>
      </c>
      <c r="N86" t="s">
        <v>179</v>
      </c>
      <c r="O86" t="s">
        <v>178</v>
      </c>
      <c r="P86" t="s">
        <v>180</v>
      </c>
      <c r="Q86" t="s">
        <v>75</v>
      </c>
      <c r="R86" t="s">
        <v>354</v>
      </c>
      <c r="S86" t="s">
        <v>469</v>
      </c>
      <c r="T86" t="s">
        <v>78</v>
      </c>
      <c r="U86" t="s">
        <v>79</v>
      </c>
      <c r="V86" t="s">
        <v>80</v>
      </c>
      <c r="W86" s="1">
        <v>45115</v>
      </c>
      <c r="X86" t="s">
        <v>356</v>
      </c>
      <c r="Y86" t="s">
        <v>470</v>
      </c>
      <c r="Z86" t="s">
        <v>83</v>
      </c>
      <c r="AA86">
        <v>1</v>
      </c>
      <c r="AB86" t="s">
        <v>367</v>
      </c>
      <c r="AD86" t="s">
        <v>139</v>
      </c>
      <c r="AE86" t="s">
        <v>145</v>
      </c>
      <c r="AF86" t="s">
        <v>402</v>
      </c>
      <c r="AG86" t="s">
        <v>218</v>
      </c>
      <c r="AH86" t="s">
        <v>476</v>
      </c>
      <c r="AI86" t="s">
        <v>90</v>
      </c>
      <c r="AJ86">
        <v>32.373109999999997</v>
      </c>
      <c r="AK86">
        <v>-110.701633</v>
      </c>
      <c r="AL86">
        <v>3</v>
      </c>
      <c r="AN86">
        <v>1912</v>
      </c>
      <c r="AP86">
        <v>1912</v>
      </c>
      <c r="AQ86">
        <v>1928.124309</v>
      </c>
      <c r="AT86">
        <v>8</v>
      </c>
      <c r="AU86">
        <v>7</v>
      </c>
      <c r="AV86">
        <v>2023</v>
      </c>
      <c r="AW86">
        <v>2438038</v>
      </c>
      <c r="AX86">
        <v>2438038</v>
      </c>
      <c r="AY86" t="s">
        <v>106</v>
      </c>
      <c r="AZ86" t="s">
        <v>92</v>
      </c>
      <c r="BA86" t="s">
        <v>107</v>
      </c>
      <c r="BB86" t="s">
        <v>480</v>
      </c>
      <c r="BC86" t="s">
        <v>95</v>
      </c>
      <c r="BD86" s="1">
        <v>45115</v>
      </c>
      <c r="BE86" t="s">
        <v>96</v>
      </c>
      <c r="BG86" t="s">
        <v>363</v>
      </c>
      <c r="BI86" t="s">
        <v>98</v>
      </c>
      <c r="BJ86" t="s">
        <v>467</v>
      </c>
      <c r="BL86" t="s">
        <v>412</v>
      </c>
    </row>
    <row r="87" spans="1:64" hidden="1" x14ac:dyDescent="0.2">
      <c r="A87">
        <v>1333</v>
      </c>
      <c r="B87">
        <v>4022923380</v>
      </c>
      <c r="C87" t="s">
        <v>101</v>
      </c>
      <c r="D87" t="s">
        <v>4770</v>
      </c>
      <c r="E87" t="s">
        <v>65</v>
      </c>
      <c r="F87" t="s">
        <v>66</v>
      </c>
      <c r="G87" t="s">
        <v>67</v>
      </c>
      <c r="H87" t="s">
        <v>68</v>
      </c>
      <c r="I87" t="s">
        <v>69</v>
      </c>
      <c r="J87" t="s">
        <v>70</v>
      </c>
      <c r="K87" t="s">
        <v>4195</v>
      </c>
      <c r="M87" t="s">
        <v>72</v>
      </c>
      <c r="N87" t="s">
        <v>4196</v>
      </c>
      <c r="O87" t="s">
        <v>4195</v>
      </c>
      <c r="P87" t="s">
        <v>4197</v>
      </c>
      <c r="Q87" t="s">
        <v>75</v>
      </c>
      <c r="R87" t="s">
        <v>4501</v>
      </c>
      <c r="S87" t="s">
        <v>4766</v>
      </c>
      <c r="T87" t="s">
        <v>78</v>
      </c>
      <c r="U87" t="s">
        <v>3817</v>
      </c>
      <c r="V87" t="s">
        <v>80</v>
      </c>
      <c r="W87" s="1">
        <v>44534</v>
      </c>
      <c r="X87" t="s">
        <v>4502</v>
      </c>
      <c r="Y87" t="s">
        <v>4767</v>
      </c>
      <c r="Z87" t="s">
        <v>83</v>
      </c>
      <c r="AA87">
        <v>1</v>
      </c>
      <c r="AB87" t="s">
        <v>4511</v>
      </c>
      <c r="AC87">
        <v>0</v>
      </c>
      <c r="AD87" t="s">
        <v>128</v>
      </c>
      <c r="AE87" t="s">
        <v>86</v>
      </c>
      <c r="AF87" t="s">
        <v>146</v>
      </c>
      <c r="AG87" t="s">
        <v>875</v>
      </c>
      <c r="AI87" t="s">
        <v>90</v>
      </c>
      <c r="AJ87">
        <v>32.337893000000001</v>
      </c>
      <c r="AK87">
        <v>-110.72021599999999</v>
      </c>
      <c r="AL87">
        <v>3</v>
      </c>
      <c r="AN87">
        <v>1483</v>
      </c>
      <c r="AP87">
        <v>1483</v>
      </c>
      <c r="AQ87">
        <v>1490.58745</v>
      </c>
      <c r="AT87">
        <v>4</v>
      </c>
      <c r="AU87">
        <v>12</v>
      </c>
      <c r="AV87">
        <v>2021</v>
      </c>
      <c r="AW87">
        <v>2439589</v>
      </c>
      <c r="AX87">
        <v>2439589</v>
      </c>
      <c r="AY87" t="s">
        <v>106</v>
      </c>
      <c r="AZ87" t="s">
        <v>92</v>
      </c>
      <c r="BA87" t="s">
        <v>107</v>
      </c>
      <c r="BB87" t="s">
        <v>4771</v>
      </c>
      <c r="BC87" t="s">
        <v>1186</v>
      </c>
      <c r="BE87" t="s">
        <v>96</v>
      </c>
      <c r="BG87" t="s">
        <v>4507</v>
      </c>
      <c r="BI87" t="s">
        <v>98</v>
      </c>
      <c r="BJ87" t="s">
        <v>2640</v>
      </c>
      <c r="BL87" t="s">
        <v>412</v>
      </c>
    </row>
    <row r="88" spans="1:64" hidden="1" x14ac:dyDescent="0.2">
      <c r="A88">
        <v>337</v>
      </c>
      <c r="B88">
        <v>4403382301</v>
      </c>
      <c r="C88" t="s">
        <v>101</v>
      </c>
      <c r="D88" t="s">
        <v>484</v>
      </c>
      <c r="E88" t="s">
        <v>65</v>
      </c>
      <c r="F88" t="s">
        <v>66</v>
      </c>
      <c r="G88" t="s">
        <v>67</v>
      </c>
      <c r="H88" t="s">
        <v>68</v>
      </c>
      <c r="I88" t="s">
        <v>176</v>
      </c>
      <c r="J88" t="s">
        <v>177</v>
      </c>
      <c r="K88" t="s">
        <v>178</v>
      </c>
      <c r="M88" t="s">
        <v>72</v>
      </c>
      <c r="N88" t="s">
        <v>179</v>
      </c>
      <c r="O88" t="s">
        <v>178</v>
      </c>
      <c r="P88" t="s">
        <v>180</v>
      </c>
      <c r="Q88" t="s">
        <v>75</v>
      </c>
      <c r="R88" t="s">
        <v>354</v>
      </c>
      <c r="S88" t="s">
        <v>469</v>
      </c>
      <c r="T88" t="s">
        <v>78</v>
      </c>
      <c r="U88" t="s">
        <v>79</v>
      </c>
      <c r="V88" t="s">
        <v>80</v>
      </c>
      <c r="W88" s="1">
        <v>45115</v>
      </c>
      <c r="X88" t="s">
        <v>356</v>
      </c>
      <c r="Y88" t="s">
        <v>470</v>
      </c>
      <c r="Z88" t="s">
        <v>83</v>
      </c>
      <c r="AA88">
        <v>1</v>
      </c>
      <c r="AB88" t="s">
        <v>372</v>
      </c>
      <c r="AD88" t="s">
        <v>134</v>
      </c>
      <c r="AE88" t="s">
        <v>145</v>
      </c>
      <c r="AF88" t="s">
        <v>402</v>
      </c>
      <c r="AG88" t="s">
        <v>218</v>
      </c>
      <c r="AH88" t="s">
        <v>485</v>
      </c>
      <c r="AI88" t="s">
        <v>90</v>
      </c>
      <c r="AJ88">
        <v>32.373109999999997</v>
      </c>
      <c r="AK88">
        <v>-110.701633</v>
      </c>
      <c r="AL88">
        <v>3</v>
      </c>
      <c r="AN88">
        <v>1912</v>
      </c>
      <c r="AP88">
        <v>1912</v>
      </c>
      <c r="AQ88">
        <v>1928.124309</v>
      </c>
      <c r="AT88">
        <v>8</v>
      </c>
      <c r="AU88">
        <v>7</v>
      </c>
      <c r="AV88">
        <v>2023</v>
      </c>
      <c r="AW88">
        <v>2438038</v>
      </c>
      <c r="AX88">
        <v>2438038</v>
      </c>
      <c r="AY88" t="s">
        <v>106</v>
      </c>
      <c r="AZ88" t="s">
        <v>92</v>
      </c>
      <c r="BA88" t="s">
        <v>107</v>
      </c>
      <c r="BB88" t="s">
        <v>486</v>
      </c>
      <c r="BC88" t="s">
        <v>95</v>
      </c>
      <c r="BD88" s="1">
        <v>45115</v>
      </c>
      <c r="BE88" t="s">
        <v>96</v>
      </c>
      <c r="BG88" t="s">
        <v>363</v>
      </c>
      <c r="BI88" t="s">
        <v>98</v>
      </c>
      <c r="BJ88" t="s">
        <v>467</v>
      </c>
      <c r="BL88" t="s">
        <v>412</v>
      </c>
    </row>
    <row r="89" spans="1:64" hidden="1" x14ac:dyDescent="0.2">
      <c r="A89">
        <v>319</v>
      </c>
      <c r="B89">
        <v>4403382319</v>
      </c>
      <c r="C89" t="s">
        <v>101</v>
      </c>
      <c r="D89" t="s">
        <v>487</v>
      </c>
      <c r="E89" t="s">
        <v>65</v>
      </c>
      <c r="F89" t="s">
        <v>66</v>
      </c>
      <c r="G89" t="s">
        <v>67</v>
      </c>
      <c r="H89" t="s">
        <v>68</v>
      </c>
      <c r="I89" t="s">
        <v>176</v>
      </c>
      <c r="J89" t="s">
        <v>177</v>
      </c>
      <c r="K89" t="s">
        <v>178</v>
      </c>
      <c r="M89" t="s">
        <v>72</v>
      </c>
      <c r="N89" t="s">
        <v>179</v>
      </c>
      <c r="O89" t="s">
        <v>178</v>
      </c>
      <c r="P89" t="s">
        <v>180</v>
      </c>
      <c r="Q89" t="s">
        <v>75</v>
      </c>
      <c r="R89" t="s">
        <v>354</v>
      </c>
      <c r="S89" t="s">
        <v>469</v>
      </c>
      <c r="T89" t="s">
        <v>78</v>
      </c>
      <c r="U89" t="s">
        <v>79</v>
      </c>
      <c r="V89" t="s">
        <v>80</v>
      </c>
      <c r="W89" s="1">
        <v>45115</v>
      </c>
      <c r="X89" t="s">
        <v>356</v>
      </c>
      <c r="Y89" t="s">
        <v>470</v>
      </c>
      <c r="Z89" t="s">
        <v>83</v>
      </c>
      <c r="AA89">
        <v>1</v>
      </c>
      <c r="AB89" t="s">
        <v>367</v>
      </c>
      <c r="AD89" t="s">
        <v>104</v>
      </c>
      <c r="AE89" t="s">
        <v>145</v>
      </c>
      <c r="AF89" t="s">
        <v>402</v>
      </c>
      <c r="AG89" t="s">
        <v>218</v>
      </c>
      <c r="AH89" t="s">
        <v>476</v>
      </c>
      <c r="AI89" t="s">
        <v>90</v>
      </c>
      <c r="AJ89">
        <v>32.373109999999997</v>
      </c>
      <c r="AK89">
        <v>-110.701633</v>
      </c>
      <c r="AL89">
        <v>3</v>
      </c>
      <c r="AN89">
        <v>1912</v>
      </c>
      <c r="AP89">
        <v>1912</v>
      </c>
      <c r="AQ89">
        <v>1928.124309</v>
      </c>
      <c r="AT89">
        <v>8</v>
      </c>
      <c r="AU89">
        <v>7</v>
      </c>
      <c r="AV89">
        <v>2023</v>
      </c>
      <c r="AW89">
        <v>2438038</v>
      </c>
      <c r="AX89">
        <v>2438038</v>
      </c>
      <c r="AY89" t="s">
        <v>106</v>
      </c>
      <c r="AZ89" t="s">
        <v>92</v>
      </c>
      <c r="BA89" t="s">
        <v>107</v>
      </c>
      <c r="BB89" t="s">
        <v>488</v>
      </c>
      <c r="BC89" t="s">
        <v>95</v>
      </c>
      <c r="BD89" s="1">
        <v>45115</v>
      </c>
      <c r="BE89" t="s">
        <v>96</v>
      </c>
      <c r="BG89" t="s">
        <v>363</v>
      </c>
      <c r="BI89" t="s">
        <v>98</v>
      </c>
      <c r="BJ89" t="s">
        <v>432</v>
      </c>
      <c r="BL89" t="s">
        <v>412</v>
      </c>
    </row>
    <row r="90" spans="1:64" hidden="1" x14ac:dyDescent="0.2">
      <c r="A90">
        <v>321</v>
      </c>
      <c r="B90">
        <v>4403382317</v>
      </c>
      <c r="C90" t="s">
        <v>101</v>
      </c>
      <c r="D90" t="s">
        <v>489</v>
      </c>
      <c r="E90" t="s">
        <v>65</v>
      </c>
      <c r="F90" t="s">
        <v>66</v>
      </c>
      <c r="G90" t="s">
        <v>67</v>
      </c>
      <c r="H90" t="s">
        <v>68</v>
      </c>
      <c r="I90" t="s">
        <v>176</v>
      </c>
      <c r="J90" t="s">
        <v>177</v>
      </c>
      <c r="K90" t="s">
        <v>178</v>
      </c>
      <c r="M90" t="s">
        <v>72</v>
      </c>
      <c r="N90" t="s">
        <v>179</v>
      </c>
      <c r="O90" t="s">
        <v>178</v>
      </c>
      <c r="P90" t="s">
        <v>180</v>
      </c>
      <c r="Q90" t="s">
        <v>75</v>
      </c>
      <c r="R90" t="s">
        <v>354</v>
      </c>
      <c r="S90" t="s">
        <v>469</v>
      </c>
      <c r="T90" t="s">
        <v>78</v>
      </c>
      <c r="U90" t="s">
        <v>79</v>
      </c>
      <c r="V90" t="s">
        <v>80</v>
      </c>
      <c r="W90" s="1">
        <v>45115</v>
      </c>
      <c r="X90" t="s">
        <v>356</v>
      </c>
      <c r="Y90" t="s">
        <v>470</v>
      </c>
      <c r="Z90" t="s">
        <v>83</v>
      </c>
      <c r="AA90">
        <v>1</v>
      </c>
      <c r="AB90" t="s">
        <v>367</v>
      </c>
      <c r="AD90" t="s">
        <v>116</v>
      </c>
      <c r="AE90" t="s">
        <v>145</v>
      </c>
      <c r="AF90" t="s">
        <v>402</v>
      </c>
      <c r="AG90" t="s">
        <v>218</v>
      </c>
      <c r="AH90" t="s">
        <v>476</v>
      </c>
      <c r="AI90" t="s">
        <v>90</v>
      </c>
      <c r="AJ90">
        <v>32.373109999999997</v>
      </c>
      <c r="AK90">
        <v>-110.701633</v>
      </c>
      <c r="AL90">
        <v>3</v>
      </c>
      <c r="AN90">
        <v>1912</v>
      </c>
      <c r="AP90">
        <v>1912</v>
      </c>
      <c r="AQ90">
        <v>1928.124309</v>
      </c>
      <c r="AT90">
        <v>8</v>
      </c>
      <c r="AU90">
        <v>7</v>
      </c>
      <c r="AV90">
        <v>2023</v>
      </c>
      <c r="AW90">
        <v>2438038</v>
      </c>
      <c r="AX90">
        <v>2438038</v>
      </c>
      <c r="AY90" t="s">
        <v>106</v>
      </c>
      <c r="AZ90" t="s">
        <v>92</v>
      </c>
      <c r="BA90" t="s">
        <v>107</v>
      </c>
      <c r="BB90" t="s">
        <v>490</v>
      </c>
      <c r="BC90" t="s">
        <v>95</v>
      </c>
      <c r="BD90" s="1">
        <v>45115</v>
      </c>
      <c r="BE90" t="s">
        <v>96</v>
      </c>
      <c r="BG90" t="s">
        <v>363</v>
      </c>
      <c r="BI90" t="s">
        <v>98</v>
      </c>
      <c r="BJ90" t="s">
        <v>450</v>
      </c>
      <c r="BL90" t="s">
        <v>412</v>
      </c>
    </row>
    <row r="91" spans="1:64" hidden="1" x14ac:dyDescent="0.2">
      <c r="A91">
        <v>323</v>
      </c>
      <c r="B91">
        <v>4403382315</v>
      </c>
      <c r="C91" t="s">
        <v>101</v>
      </c>
      <c r="D91" t="s">
        <v>491</v>
      </c>
      <c r="E91" t="s">
        <v>65</v>
      </c>
      <c r="F91" t="s">
        <v>66</v>
      </c>
      <c r="G91" t="s">
        <v>67</v>
      </c>
      <c r="H91" t="s">
        <v>68</v>
      </c>
      <c r="I91" t="s">
        <v>176</v>
      </c>
      <c r="J91" t="s">
        <v>177</v>
      </c>
      <c r="K91" t="s">
        <v>178</v>
      </c>
      <c r="M91" t="s">
        <v>72</v>
      </c>
      <c r="N91" t="s">
        <v>179</v>
      </c>
      <c r="O91" t="s">
        <v>178</v>
      </c>
      <c r="P91" t="s">
        <v>180</v>
      </c>
      <c r="Q91" t="s">
        <v>75</v>
      </c>
      <c r="R91" t="s">
        <v>354</v>
      </c>
      <c r="S91" t="s">
        <v>469</v>
      </c>
      <c r="T91" t="s">
        <v>78</v>
      </c>
      <c r="U91" t="s">
        <v>79</v>
      </c>
      <c r="V91" t="s">
        <v>80</v>
      </c>
      <c r="W91" s="1">
        <v>45115</v>
      </c>
      <c r="X91" t="s">
        <v>356</v>
      </c>
      <c r="Y91" t="s">
        <v>470</v>
      </c>
      <c r="Z91" t="s">
        <v>83</v>
      </c>
      <c r="AA91">
        <v>1</v>
      </c>
      <c r="AB91" t="s">
        <v>367</v>
      </c>
      <c r="AD91" t="s">
        <v>112</v>
      </c>
      <c r="AE91" t="s">
        <v>145</v>
      </c>
      <c r="AF91" t="s">
        <v>402</v>
      </c>
      <c r="AG91" t="s">
        <v>218</v>
      </c>
      <c r="AH91" t="s">
        <v>476</v>
      </c>
      <c r="AI91" t="s">
        <v>90</v>
      </c>
      <c r="AJ91">
        <v>32.373109999999997</v>
      </c>
      <c r="AK91">
        <v>-110.701633</v>
      </c>
      <c r="AL91">
        <v>3</v>
      </c>
      <c r="AN91">
        <v>1912</v>
      </c>
      <c r="AP91">
        <v>1912</v>
      </c>
      <c r="AQ91">
        <v>1928.124309</v>
      </c>
      <c r="AT91">
        <v>8</v>
      </c>
      <c r="AU91">
        <v>7</v>
      </c>
      <c r="AV91">
        <v>2023</v>
      </c>
      <c r="AW91">
        <v>2438038</v>
      </c>
      <c r="AX91">
        <v>2438038</v>
      </c>
      <c r="AY91" t="s">
        <v>106</v>
      </c>
      <c r="AZ91" t="s">
        <v>92</v>
      </c>
      <c r="BA91" t="s">
        <v>107</v>
      </c>
      <c r="BB91" t="s">
        <v>492</v>
      </c>
      <c r="BC91" t="s">
        <v>95</v>
      </c>
      <c r="BD91" s="1">
        <v>45115</v>
      </c>
      <c r="BE91" t="s">
        <v>96</v>
      </c>
      <c r="BG91" t="s">
        <v>363</v>
      </c>
      <c r="BI91" t="s">
        <v>98</v>
      </c>
      <c r="BJ91" t="s">
        <v>432</v>
      </c>
      <c r="BL91" t="s">
        <v>412</v>
      </c>
    </row>
    <row r="92" spans="1:64" hidden="1" x14ac:dyDescent="0.2">
      <c r="A92">
        <v>325</v>
      </c>
      <c r="B92">
        <v>4403382313</v>
      </c>
      <c r="C92" t="s">
        <v>101</v>
      </c>
      <c r="D92" t="s">
        <v>493</v>
      </c>
      <c r="E92" t="s">
        <v>65</v>
      </c>
      <c r="F92" t="s">
        <v>66</v>
      </c>
      <c r="G92" t="s">
        <v>67</v>
      </c>
      <c r="H92" t="s">
        <v>68</v>
      </c>
      <c r="I92" t="s">
        <v>176</v>
      </c>
      <c r="J92" t="s">
        <v>177</v>
      </c>
      <c r="K92" t="s">
        <v>178</v>
      </c>
      <c r="M92" t="s">
        <v>72</v>
      </c>
      <c r="N92" t="s">
        <v>179</v>
      </c>
      <c r="O92" t="s">
        <v>178</v>
      </c>
      <c r="P92" t="s">
        <v>180</v>
      </c>
      <c r="Q92" t="s">
        <v>75</v>
      </c>
      <c r="R92" t="s">
        <v>354</v>
      </c>
      <c r="S92" t="s">
        <v>494</v>
      </c>
      <c r="T92" t="s">
        <v>78</v>
      </c>
      <c r="U92" t="s">
        <v>79</v>
      </c>
      <c r="V92" t="s">
        <v>80</v>
      </c>
      <c r="W92" s="1">
        <v>45115</v>
      </c>
      <c r="X92" t="s">
        <v>356</v>
      </c>
      <c r="Y92" t="s">
        <v>495</v>
      </c>
      <c r="Z92" t="s">
        <v>83</v>
      </c>
      <c r="AA92">
        <v>1</v>
      </c>
      <c r="AB92" t="s">
        <v>496</v>
      </c>
      <c r="AD92" t="s">
        <v>343</v>
      </c>
      <c r="AE92" t="s">
        <v>86</v>
      </c>
      <c r="AF92" t="s">
        <v>146</v>
      </c>
      <c r="AG92" t="s">
        <v>497</v>
      </c>
      <c r="AI92" t="s">
        <v>90</v>
      </c>
      <c r="AJ92">
        <v>32.372689999999999</v>
      </c>
      <c r="AK92">
        <v>-110.702358</v>
      </c>
      <c r="AL92">
        <v>3</v>
      </c>
      <c r="AN92">
        <v>1924</v>
      </c>
      <c r="AP92">
        <v>1924</v>
      </c>
      <c r="AQ92">
        <v>1917.833965</v>
      </c>
      <c r="AT92">
        <v>8</v>
      </c>
      <c r="AU92">
        <v>7</v>
      </c>
      <c r="AV92">
        <v>2023</v>
      </c>
      <c r="AW92">
        <v>2438038</v>
      </c>
      <c r="AX92">
        <v>2438038</v>
      </c>
      <c r="AY92" t="s">
        <v>106</v>
      </c>
      <c r="AZ92" t="s">
        <v>92</v>
      </c>
      <c r="BA92" t="s">
        <v>107</v>
      </c>
      <c r="BB92" t="s">
        <v>498</v>
      </c>
      <c r="BC92" t="s">
        <v>95</v>
      </c>
      <c r="BD92" s="1">
        <v>45115</v>
      </c>
      <c r="BE92" t="s">
        <v>96</v>
      </c>
      <c r="BG92" t="s">
        <v>363</v>
      </c>
      <c r="BI92" t="s">
        <v>98</v>
      </c>
      <c r="BJ92" t="s">
        <v>499</v>
      </c>
      <c r="BK92" t="s">
        <v>365</v>
      </c>
      <c r="BL92" t="s">
        <v>110</v>
      </c>
    </row>
    <row r="93" spans="1:64" hidden="1" x14ac:dyDescent="0.2">
      <c r="A93">
        <v>1305</v>
      </c>
      <c r="B93">
        <v>4022923408</v>
      </c>
      <c r="C93" t="s">
        <v>101</v>
      </c>
      <c r="D93" t="s">
        <v>4776</v>
      </c>
      <c r="E93" t="s">
        <v>65</v>
      </c>
      <c r="F93" t="s">
        <v>66</v>
      </c>
      <c r="G93" t="s">
        <v>67</v>
      </c>
      <c r="H93" t="s">
        <v>68</v>
      </c>
      <c r="I93" t="s">
        <v>69</v>
      </c>
      <c r="J93" t="s">
        <v>70</v>
      </c>
      <c r="K93" t="s">
        <v>4195</v>
      </c>
      <c r="M93" t="s">
        <v>72</v>
      </c>
      <c r="N93" t="s">
        <v>4196</v>
      </c>
      <c r="O93" t="s">
        <v>4195</v>
      </c>
      <c r="P93" t="s">
        <v>4197</v>
      </c>
      <c r="Q93" t="s">
        <v>75</v>
      </c>
      <c r="R93" t="s">
        <v>4501</v>
      </c>
      <c r="S93" t="s">
        <v>4773</v>
      </c>
      <c r="T93" t="s">
        <v>78</v>
      </c>
      <c r="U93" t="s">
        <v>3817</v>
      </c>
      <c r="V93" t="s">
        <v>80</v>
      </c>
      <c r="W93" s="1">
        <v>44534</v>
      </c>
      <c r="X93" t="s">
        <v>4502</v>
      </c>
      <c r="Y93" t="s">
        <v>4774</v>
      </c>
      <c r="Z93" t="s">
        <v>83</v>
      </c>
      <c r="AA93">
        <v>1</v>
      </c>
      <c r="AB93" t="s">
        <v>4511</v>
      </c>
      <c r="AC93">
        <v>0</v>
      </c>
      <c r="AD93" t="s">
        <v>128</v>
      </c>
      <c r="AE93" t="s">
        <v>86</v>
      </c>
      <c r="AF93" t="s">
        <v>146</v>
      </c>
      <c r="AG93" t="s">
        <v>875</v>
      </c>
      <c r="AI93" t="s">
        <v>90</v>
      </c>
      <c r="AJ93">
        <v>32.338448999999997</v>
      </c>
      <c r="AK93">
        <v>-110.720089</v>
      </c>
      <c r="AL93">
        <v>3</v>
      </c>
      <c r="AN93">
        <v>1497</v>
      </c>
      <c r="AP93">
        <v>1497</v>
      </c>
      <c r="AQ93">
        <v>1496.3657539999999</v>
      </c>
      <c r="AT93">
        <v>4</v>
      </c>
      <c r="AU93">
        <v>12</v>
      </c>
      <c r="AV93">
        <v>2021</v>
      </c>
      <c r="AW93">
        <v>2439589</v>
      </c>
      <c r="AX93">
        <v>2439589</v>
      </c>
      <c r="AY93" t="s">
        <v>106</v>
      </c>
      <c r="AZ93" t="s">
        <v>92</v>
      </c>
      <c r="BA93" t="s">
        <v>107</v>
      </c>
      <c r="BB93" t="s">
        <v>4777</v>
      </c>
      <c r="BC93" t="s">
        <v>1186</v>
      </c>
      <c r="BE93" t="s">
        <v>96</v>
      </c>
      <c r="BG93" t="s">
        <v>4507</v>
      </c>
      <c r="BI93" t="s">
        <v>98</v>
      </c>
      <c r="BJ93" t="s">
        <v>4724</v>
      </c>
      <c r="BL93" t="s">
        <v>412</v>
      </c>
    </row>
    <row r="94" spans="1:64" hidden="1" x14ac:dyDescent="0.2">
      <c r="A94">
        <v>192</v>
      </c>
      <c r="B94">
        <v>4403382448</v>
      </c>
      <c r="C94" t="s">
        <v>101</v>
      </c>
      <c r="D94" t="s">
        <v>503</v>
      </c>
      <c r="E94" t="s">
        <v>65</v>
      </c>
      <c r="F94" t="s">
        <v>66</v>
      </c>
      <c r="G94" t="s">
        <v>67</v>
      </c>
      <c r="H94" t="s">
        <v>68</v>
      </c>
      <c r="I94" t="s">
        <v>176</v>
      </c>
      <c r="J94" t="s">
        <v>177</v>
      </c>
      <c r="K94" t="s">
        <v>178</v>
      </c>
      <c r="M94" t="s">
        <v>72</v>
      </c>
      <c r="N94" t="s">
        <v>179</v>
      </c>
      <c r="O94" t="s">
        <v>178</v>
      </c>
      <c r="P94" t="s">
        <v>180</v>
      </c>
      <c r="Q94" t="s">
        <v>75</v>
      </c>
      <c r="R94" t="s">
        <v>354</v>
      </c>
      <c r="S94" t="s">
        <v>504</v>
      </c>
      <c r="T94" t="s">
        <v>78</v>
      </c>
      <c r="U94" t="s">
        <v>79</v>
      </c>
      <c r="V94" t="s">
        <v>80</v>
      </c>
      <c r="W94" s="1">
        <v>45115</v>
      </c>
      <c r="X94" t="s">
        <v>356</v>
      </c>
      <c r="Y94" t="s">
        <v>505</v>
      </c>
      <c r="Z94" t="s">
        <v>83</v>
      </c>
      <c r="AA94">
        <v>1</v>
      </c>
      <c r="AB94" t="s">
        <v>506</v>
      </c>
      <c r="AD94" t="s">
        <v>343</v>
      </c>
      <c r="AE94" t="s">
        <v>86</v>
      </c>
      <c r="AF94" t="s">
        <v>402</v>
      </c>
      <c r="AG94" t="s">
        <v>507</v>
      </c>
      <c r="AI94" t="s">
        <v>90</v>
      </c>
      <c r="AJ94">
        <v>32.373111999999999</v>
      </c>
      <c r="AK94">
        <v>-110.701581</v>
      </c>
      <c r="AL94">
        <v>3</v>
      </c>
      <c r="AN94">
        <v>1909</v>
      </c>
      <c r="AP94">
        <v>1909</v>
      </c>
      <c r="AQ94">
        <v>1927.0717320000001</v>
      </c>
      <c r="AT94">
        <v>8</v>
      </c>
      <c r="AU94">
        <v>7</v>
      </c>
      <c r="AV94">
        <v>2023</v>
      </c>
      <c r="AW94">
        <v>2438038</v>
      </c>
      <c r="AX94">
        <v>2438038</v>
      </c>
      <c r="AY94" t="s">
        <v>106</v>
      </c>
      <c r="AZ94" t="s">
        <v>92</v>
      </c>
      <c r="BA94" t="s">
        <v>107</v>
      </c>
      <c r="BB94" t="s">
        <v>508</v>
      </c>
      <c r="BC94" t="s">
        <v>95</v>
      </c>
      <c r="BD94" s="1">
        <v>45115</v>
      </c>
      <c r="BE94" t="s">
        <v>96</v>
      </c>
      <c r="BG94" t="s">
        <v>363</v>
      </c>
      <c r="BI94" t="s">
        <v>98</v>
      </c>
      <c r="BJ94" t="s">
        <v>509</v>
      </c>
      <c r="BK94" t="s">
        <v>365</v>
      </c>
      <c r="BL94" t="s">
        <v>412</v>
      </c>
    </row>
    <row r="95" spans="1:64" hidden="1" x14ac:dyDescent="0.2">
      <c r="A95">
        <v>1309</v>
      </c>
      <c r="B95">
        <v>4022923404</v>
      </c>
      <c r="C95" t="s">
        <v>101</v>
      </c>
      <c r="D95" t="s">
        <v>4782</v>
      </c>
      <c r="E95" t="s">
        <v>65</v>
      </c>
      <c r="F95" t="s">
        <v>66</v>
      </c>
      <c r="G95" t="s">
        <v>67</v>
      </c>
      <c r="H95" t="s">
        <v>68</v>
      </c>
      <c r="I95" t="s">
        <v>176</v>
      </c>
      <c r="J95" t="s">
        <v>177</v>
      </c>
      <c r="K95" t="s">
        <v>178</v>
      </c>
      <c r="M95" t="s">
        <v>72</v>
      </c>
      <c r="N95" t="s">
        <v>179</v>
      </c>
      <c r="O95" t="s">
        <v>178</v>
      </c>
      <c r="P95" t="s">
        <v>180</v>
      </c>
      <c r="Q95" t="s">
        <v>75</v>
      </c>
      <c r="R95" t="s">
        <v>4501</v>
      </c>
      <c r="S95" t="s">
        <v>4779</v>
      </c>
      <c r="T95" t="s">
        <v>78</v>
      </c>
      <c r="U95" t="s">
        <v>3817</v>
      </c>
      <c r="V95" t="s">
        <v>80</v>
      </c>
      <c r="W95" s="1">
        <v>44534</v>
      </c>
      <c r="X95" t="s">
        <v>4502</v>
      </c>
      <c r="Y95" t="s">
        <v>4780</v>
      </c>
      <c r="Z95" t="s">
        <v>83</v>
      </c>
      <c r="AA95">
        <v>1</v>
      </c>
      <c r="AB95" t="s">
        <v>4511</v>
      </c>
      <c r="AC95">
        <v>0</v>
      </c>
      <c r="AD95" t="s">
        <v>128</v>
      </c>
      <c r="AE95" t="s">
        <v>2400</v>
      </c>
      <c r="AF95" t="s">
        <v>402</v>
      </c>
      <c r="AG95" t="s">
        <v>875</v>
      </c>
      <c r="AI95" t="s">
        <v>90</v>
      </c>
      <c r="AJ95">
        <v>32.338557999999999</v>
      </c>
      <c r="AK95">
        <v>-110.72013200000001</v>
      </c>
      <c r="AL95">
        <v>3</v>
      </c>
      <c r="AN95">
        <v>1502</v>
      </c>
      <c r="AP95">
        <v>1502</v>
      </c>
      <c r="AQ95">
        <v>1500.3109730000001</v>
      </c>
      <c r="AT95">
        <v>4</v>
      </c>
      <c r="AU95">
        <v>12</v>
      </c>
      <c r="AV95">
        <v>2021</v>
      </c>
      <c r="AW95">
        <v>2438038</v>
      </c>
      <c r="AX95">
        <v>2438038</v>
      </c>
      <c r="AY95" t="s">
        <v>106</v>
      </c>
      <c r="AZ95" t="s">
        <v>92</v>
      </c>
      <c r="BA95" t="s">
        <v>107</v>
      </c>
      <c r="BB95" t="s">
        <v>4783</v>
      </c>
      <c r="BC95" t="s">
        <v>1186</v>
      </c>
      <c r="BE95" t="s">
        <v>96</v>
      </c>
      <c r="BG95" t="s">
        <v>4507</v>
      </c>
      <c r="BI95" t="s">
        <v>98</v>
      </c>
      <c r="BJ95" t="s">
        <v>4784</v>
      </c>
      <c r="BL95" t="s">
        <v>412</v>
      </c>
    </row>
    <row r="96" spans="1:64" hidden="1" x14ac:dyDescent="0.2">
      <c r="A96">
        <v>196</v>
      </c>
      <c r="B96">
        <v>4403382444</v>
      </c>
      <c r="C96" t="s">
        <v>101</v>
      </c>
      <c r="D96" t="s">
        <v>512</v>
      </c>
      <c r="E96" t="s">
        <v>65</v>
      </c>
      <c r="F96" t="s">
        <v>66</v>
      </c>
      <c r="G96" t="s">
        <v>67</v>
      </c>
      <c r="H96" t="s">
        <v>68</v>
      </c>
      <c r="I96" t="s">
        <v>176</v>
      </c>
      <c r="J96" t="s">
        <v>177</v>
      </c>
      <c r="K96" t="s">
        <v>178</v>
      </c>
      <c r="M96" t="s">
        <v>72</v>
      </c>
      <c r="N96" t="s">
        <v>179</v>
      </c>
      <c r="O96" t="s">
        <v>178</v>
      </c>
      <c r="P96" t="s">
        <v>180</v>
      </c>
      <c r="Q96" t="s">
        <v>75</v>
      </c>
      <c r="R96" t="s">
        <v>354</v>
      </c>
      <c r="S96" t="s">
        <v>513</v>
      </c>
      <c r="T96" t="s">
        <v>78</v>
      </c>
      <c r="U96" t="s">
        <v>79</v>
      </c>
      <c r="V96" t="s">
        <v>80</v>
      </c>
      <c r="W96" s="1">
        <v>45115</v>
      </c>
      <c r="X96" t="s">
        <v>356</v>
      </c>
      <c r="Y96" t="s">
        <v>514</v>
      </c>
      <c r="Z96" t="s">
        <v>83</v>
      </c>
      <c r="AA96">
        <v>1</v>
      </c>
      <c r="AB96" t="s">
        <v>515</v>
      </c>
      <c r="AD96" t="s">
        <v>343</v>
      </c>
      <c r="AE96" t="s">
        <v>86</v>
      </c>
      <c r="AF96" t="s">
        <v>359</v>
      </c>
      <c r="AG96" t="s">
        <v>516</v>
      </c>
      <c r="AI96" t="s">
        <v>90</v>
      </c>
      <c r="AJ96">
        <v>32.372056999999998</v>
      </c>
      <c r="AK96">
        <v>-110.70291</v>
      </c>
      <c r="AL96">
        <v>3</v>
      </c>
      <c r="AN96">
        <v>1894</v>
      </c>
      <c r="AP96">
        <v>1894</v>
      </c>
      <c r="AQ96">
        <v>1901.9162260000001</v>
      </c>
      <c r="AT96">
        <v>8</v>
      </c>
      <c r="AU96">
        <v>7</v>
      </c>
      <c r="AV96">
        <v>2023</v>
      </c>
      <c r="AW96">
        <v>2438038</v>
      </c>
      <c r="AX96">
        <v>2438038</v>
      </c>
      <c r="AY96" t="s">
        <v>106</v>
      </c>
      <c r="AZ96" t="s">
        <v>92</v>
      </c>
      <c r="BA96" t="s">
        <v>107</v>
      </c>
      <c r="BB96" t="s">
        <v>517</v>
      </c>
      <c r="BC96" t="s">
        <v>95</v>
      </c>
      <c r="BD96" s="1">
        <v>45115</v>
      </c>
      <c r="BE96" t="s">
        <v>96</v>
      </c>
      <c r="BG96" t="s">
        <v>363</v>
      </c>
      <c r="BI96" t="s">
        <v>98</v>
      </c>
      <c r="BJ96" t="s">
        <v>509</v>
      </c>
      <c r="BK96" t="s">
        <v>365</v>
      </c>
      <c r="BL96" t="s">
        <v>110</v>
      </c>
    </row>
    <row r="97" spans="1:64" hidden="1" x14ac:dyDescent="0.2">
      <c r="A97">
        <v>1313</v>
      </c>
      <c r="B97">
        <v>4022923400</v>
      </c>
      <c r="C97" t="s">
        <v>101</v>
      </c>
      <c r="D97" t="s">
        <v>4790</v>
      </c>
      <c r="E97" t="s">
        <v>65</v>
      </c>
      <c r="F97" t="s">
        <v>66</v>
      </c>
      <c r="G97" t="s">
        <v>67</v>
      </c>
      <c r="H97" t="s">
        <v>68</v>
      </c>
      <c r="I97" t="s">
        <v>176</v>
      </c>
      <c r="J97" t="s">
        <v>177</v>
      </c>
      <c r="K97" t="s">
        <v>178</v>
      </c>
      <c r="M97" t="s">
        <v>72</v>
      </c>
      <c r="N97" t="s">
        <v>179</v>
      </c>
      <c r="O97" t="s">
        <v>178</v>
      </c>
      <c r="P97" t="s">
        <v>180</v>
      </c>
      <c r="Q97" t="s">
        <v>75</v>
      </c>
      <c r="R97" t="s">
        <v>4501</v>
      </c>
      <c r="S97" t="s">
        <v>4786</v>
      </c>
      <c r="T97" t="s">
        <v>78</v>
      </c>
      <c r="U97" t="s">
        <v>3817</v>
      </c>
      <c r="V97" t="s">
        <v>80</v>
      </c>
      <c r="W97" s="1">
        <v>44534</v>
      </c>
      <c r="X97" t="s">
        <v>4502</v>
      </c>
      <c r="Y97" t="s">
        <v>4787</v>
      </c>
      <c r="Z97" t="s">
        <v>83</v>
      </c>
      <c r="AA97">
        <v>1</v>
      </c>
      <c r="AB97" t="s">
        <v>4511</v>
      </c>
      <c r="AC97">
        <v>0</v>
      </c>
      <c r="AD97" t="s">
        <v>128</v>
      </c>
      <c r="AE97" t="s">
        <v>145</v>
      </c>
      <c r="AF97" t="s">
        <v>402</v>
      </c>
      <c r="AG97" t="s">
        <v>980</v>
      </c>
      <c r="AI97" t="s">
        <v>90</v>
      </c>
      <c r="AJ97">
        <v>32.338628</v>
      </c>
      <c r="AK97">
        <v>-110.72014299999999</v>
      </c>
      <c r="AL97">
        <v>3</v>
      </c>
      <c r="AN97">
        <v>1504</v>
      </c>
      <c r="AP97">
        <v>1504</v>
      </c>
      <c r="AQ97">
        <v>1502.912098</v>
      </c>
      <c r="AT97">
        <v>4</v>
      </c>
      <c r="AU97">
        <v>12</v>
      </c>
      <c r="AV97">
        <v>2021</v>
      </c>
      <c r="AW97">
        <v>2438038</v>
      </c>
      <c r="AX97">
        <v>2438038</v>
      </c>
      <c r="AY97" t="s">
        <v>106</v>
      </c>
      <c r="AZ97" t="s">
        <v>92</v>
      </c>
      <c r="BA97" t="s">
        <v>107</v>
      </c>
      <c r="BB97" t="s">
        <v>4791</v>
      </c>
      <c r="BC97" t="s">
        <v>1186</v>
      </c>
      <c r="BE97" t="s">
        <v>96</v>
      </c>
      <c r="BG97" t="s">
        <v>4507</v>
      </c>
      <c r="BI97" t="s">
        <v>98</v>
      </c>
      <c r="BJ97" t="s">
        <v>2640</v>
      </c>
      <c r="BL97" t="s">
        <v>412</v>
      </c>
    </row>
    <row r="98" spans="1:64" hidden="1" x14ac:dyDescent="0.2">
      <c r="A98">
        <v>200</v>
      </c>
      <c r="B98">
        <v>4403382440</v>
      </c>
      <c r="C98" t="s">
        <v>101</v>
      </c>
      <c r="D98" t="s">
        <v>521</v>
      </c>
      <c r="E98" t="s">
        <v>65</v>
      </c>
      <c r="F98" t="s">
        <v>66</v>
      </c>
      <c r="G98" t="s">
        <v>67</v>
      </c>
      <c r="H98" t="s">
        <v>68</v>
      </c>
      <c r="I98" t="s">
        <v>176</v>
      </c>
      <c r="J98" t="s">
        <v>177</v>
      </c>
      <c r="K98" t="s">
        <v>178</v>
      </c>
      <c r="M98" t="s">
        <v>72</v>
      </c>
      <c r="N98" t="s">
        <v>179</v>
      </c>
      <c r="O98" t="s">
        <v>178</v>
      </c>
      <c r="P98" t="s">
        <v>180</v>
      </c>
      <c r="Q98" t="s">
        <v>75</v>
      </c>
      <c r="R98" t="s">
        <v>354</v>
      </c>
      <c r="S98" t="s">
        <v>522</v>
      </c>
      <c r="T98" t="s">
        <v>78</v>
      </c>
      <c r="U98" t="s">
        <v>79</v>
      </c>
      <c r="V98" t="s">
        <v>80</v>
      </c>
      <c r="W98" s="1">
        <v>45115</v>
      </c>
      <c r="X98" t="s">
        <v>356</v>
      </c>
      <c r="Y98" t="s">
        <v>523</v>
      </c>
      <c r="Z98" t="s">
        <v>83</v>
      </c>
      <c r="AA98">
        <v>1</v>
      </c>
      <c r="AB98" t="s">
        <v>524</v>
      </c>
      <c r="AD98" t="s">
        <v>343</v>
      </c>
      <c r="AE98" t="s">
        <v>145</v>
      </c>
      <c r="AF98" t="s">
        <v>402</v>
      </c>
      <c r="AG98" t="s">
        <v>344</v>
      </c>
      <c r="AI98" t="s">
        <v>90</v>
      </c>
      <c r="AJ98">
        <v>32.373119000000003</v>
      </c>
      <c r="AK98">
        <v>-110.701679</v>
      </c>
      <c r="AL98">
        <v>3</v>
      </c>
      <c r="AN98">
        <v>1915</v>
      </c>
      <c r="AP98">
        <v>1915</v>
      </c>
      <c r="AQ98">
        <v>1928.7614590000001</v>
      </c>
      <c r="AT98">
        <v>8</v>
      </c>
      <c r="AU98">
        <v>7</v>
      </c>
      <c r="AV98">
        <v>2023</v>
      </c>
      <c r="AW98">
        <v>2438038</v>
      </c>
      <c r="AX98">
        <v>2438038</v>
      </c>
      <c r="AY98" t="s">
        <v>106</v>
      </c>
      <c r="AZ98" t="s">
        <v>92</v>
      </c>
      <c r="BA98" t="s">
        <v>107</v>
      </c>
      <c r="BB98" t="s">
        <v>525</v>
      </c>
      <c r="BC98" t="s">
        <v>95</v>
      </c>
      <c r="BD98" s="1">
        <v>45115</v>
      </c>
      <c r="BE98" t="s">
        <v>96</v>
      </c>
      <c r="BG98" t="s">
        <v>363</v>
      </c>
      <c r="BI98" t="s">
        <v>98</v>
      </c>
      <c r="BJ98" t="s">
        <v>520</v>
      </c>
      <c r="BK98" t="s">
        <v>365</v>
      </c>
      <c r="BL98" t="s">
        <v>412</v>
      </c>
    </row>
    <row r="99" spans="1:64" hidden="1" x14ac:dyDescent="0.2">
      <c r="A99">
        <v>1317</v>
      </c>
      <c r="B99">
        <v>4022923396</v>
      </c>
      <c r="C99" t="s">
        <v>101</v>
      </c>
      <c r="D99" t="s">
        <v>4797</v>
      </c>
      <c r="E99" t="s">
        <v>65</v>
      </c>
      <c r="F99" t="s">
        <v>66</v>
      </c>
      <c r="G99" t="s">
        <v>67</v>
      </c>
      <c r="H99" t="s">
        <v>68</v>
      </c>
      <c r="I99" t="s">
        <v>69</v>
      </c>
      <c r="J99" t="s">
        <v>70</v>
      </c>
      <c r="K99" t="s">
        <v>4195</v>
      </c>
      <c r="M99" t="s">
        <v>72</v>
      </c>
      <c r="N99" t="s">
        <v>4196</v>
      </c>
      <c r="O99" t="s">
        <v>4195</v>
      </c>
      <c r="P99" t="s">
        <v>4197</v>
      </c>
      <c r="Q99" t="s">
        <v>75</v>
      </c>
      <c r="R99" t="s">
        <v>4501</v>
      </c>
      <c r="S99" t="s">
        <v>4793</v>
      </c>
      <c r="T99" t="s">
        <v>78</v>
      </c>
      <c r="U99" t="s">
        <v>3817</v>
      </c>
      <c r="V99" t="s">
        <v>80</v>
      </c>
      <c r="W99" s="1">
        <v>44534</v>
      </c>
      <c r="X99" t="s">
        <v>4502</v>
      </c>
      <c r="Y99" t="s">
        <v>4794</v>
      </c>
      <c r="Z99" t="s">
        <v>83</v>
      </c>
      <c r="AA99">
        <v>1</v>
      </c>
      <c r="AB99" t="s">
        <v>4511</v>
      </c>
      <c r="AC99">
        <v>0</v>
      </c>
      <c r="AD99" t="s">
        <v>128</v>
      </c>
      <c r="AE99" t="s">
        <v>86</v>
      </c>
      <c r="AF99" t="s">
        <v>146</v>
      </c>
      <c r="AG99" t="s">
        <v>4795</v>
      </c>
      <c r="AI99" t="s">
        <v>90</v>
      </c>
      <c r="AJ99">
        <v>32.338814999999997</v>
      </c>
      <c r="AK99">
        <v>-110.720236</v>
      </c>
      <c r="AL99">
        <v>3</v>
      </c>
      <c r="AN99">
        <v>1512</v>
      </c>
      <c r="AP99">
        <v>1512</v>
      </c>
      <c r="AQ99">
        <v>1513.598804</v>
      </c>
      <c r="AT99">
        <v>4</v>
      </c>
      <c r="AU99">
        <v>12</v>
      </c>
      <c r="AV99">
        <v>2021</v>
      </c>
      <c r="AW99">
        <v>2439589</v>
      </c>
      <c r="AX99">
        <v>2439589</v>
      </c>
      <c r="AY99" t="s">
        <v>106</v>
      </c>
      <c r="AZ99" t="s">
        <v>92</v>
      </c>
      <c r="BA99" t="s">
        <v>107</v>
      </c>
      <c r="BB99" t="s">
        <v>4798</v>
      </c>
      <c r="BC99" t="s">
        <v>1186</v>
      </c>
      <c r="BE99" t="s">
        <v>96</v>
      </c>
      <c r="BG99" t="s">
        <v>4507</v>
      </c>
      <c r="BI99" t="s">
        <v>98</v>
      </c>
      <c r="BJ99" t="s">
        <v>2640</v>
      </c>
      <c r="BL99" t="s">
        <v>412</v>
      </c>
    </row>
    <row r="100" spans="1:64" hidden="1" x14ac:dyDescent="0.2">
      <c r="A100">
        <v>184</v>
      </c>
      <c r="B100">
        <v>4403382456</v>
      </c>
      <c r="C100" t="s">
        <v>101</v>
      </c>
      <c r="D100" t="s">
        <v>528</v>
      </c>
      <c r="E100" t="s">
        <v>65</v>
      </c>
      <c r="F100" t="s">
        <v>66</v>
      </c>
      <c r="G100" t="s">
        <v>67</v>
      </c>
      <c r="H100" t="s">
        <v>68</v>
      </c>
      <c r="I100" t="s">
        <v>176</v>
      </c>
      <c r="J100" t="s">
        <v>177</v>
      </c>
      <c r="K100" t="s">
        <v>178</v>
      </c>
      <c r="M100" t="s">
        <v>72</v>
      </c>
      <c r="N100" t="s">
        <v>179</v>
      </c>
      <c r="O100" t="s">
        <v>178</v>
      </c>
      <c r="P100" t="s">
        <v>180</v>
      </c>
      <c r="Q100" t="s">
        <v>75</v>
      </c>
      <c r="R100" t="s">
        <v>354</v>
      </c>
      <c r="S100" t="s">
        <v>529</v>
      </c>
      <c r="T100" t="s">
        <v>78</v>
      </c>
      <c r="U100" t="s">
        <v>79</v>
      </c>
      <c r="V100" t="s">
        <v>80</v>
      </c>
      <c r="W100" s="1">
        <v>45115</v>
      </c>
      <c r="X100" t="s">
        <v>356</v>
      </c>
      <c r="Y100" t="s">
        <v>530</v>
      </c>
      <c r="Z100" t="s">
        <v>83</v>
      </c>
      <c r="AA100">
        <v>1</v>
      </c>
      <c r="AB100" t="s">
        <v>531</v>
      </c>
      <c r="AD100" t="s">
        <v>343</v>
      </c>
      <c r="AE100" t="s">
        <v>86</v>
      </c>
      <c r="AF100" t="s">
        <v>402</v>
      </c>
      <c r="AG100" t="s">
        <v>532</v>
      </c>
      <c r="AI100" t="s">
        <v>90</v>
      </c>
      <c r="AJ100">
        <v>32.372791999999997</v>
      </c>
      <c r="AK100">
        <v>-110.701615</v>
      </c>
      <c r="AL100">
        <v>3</v>
      </c>
      <c r="AN100">
        <v>1909</v>
      </c>
      <c r="AP100">
        <v>1909</v>
      </c>
      <c r="AQ100">
        <v>1919.5212739999999</v>
      </c>
      <c r="AT100">
        <v>8</v>
      </c>
      <c r="AU100">
        <v>7</v>
      </c>
      <c r="AV100">
        <v>2023</v>
      </c>
      <c r="AW100">
        <v>2438038</v>
      </c>
      <c r="AX100">
        <v>2438038</v>
      </c>
      <c r="AY100" t="s">
        <v>106</v>
      </c>
      <c r="AZ100" t="s">
        <v>92</v>
      </c>
      <c r="BA100" t="s">
        <v>107</v>
      </c>
      <c r="BB100" t="s">
        <v>533</v>
      </c>
      <c r="BC100" t="s">
        <v>95</v>
      </c>
      <c r="BD100" s="1">
        <v>45115</v>
      </c>
      <c r="BE100" t="s">
        <v>96</v>
      </c>
      <c r="BG100" t="s">
        <v>363</v>
      </c>
      <c r="BI100" t="s">
        <v>98</v>
      </c>
      <c r="BJ100" t="s">
        <v>534</v>
      </c>
      <c r="BK100" t="s">
        <v>365</v>
      </c>
      <c r="BL100" t="s">
        <v>412</v>
      </c>
    </row>
    <row r="101" spans="1:64" hidden="1" x14ac:dyDescent="0.2">
      <c r="A101">
        <v>1273</v>
      </c>
      <c r="B101">
        <v>4022923440</v>
      </c>
      <c r="C101" t="s">
        <v>101</v>
      </c>
      <c r="D101" t="s">
        <v>4864</v>
      </c>
      <c r="E101" t="s">
        <v>65</v>
      </c>
      <c r="F101" t="s">
        <v>66</v>
      </c>
      <c r="G101" t="s">
        <v>67</v>
      </c>
      <c r="H101" t="s">
        <v>68</v>
      </c>
      <c r="I101" t="s">
        <v>69</v>
      </c>
      <c r="J101" t="s">
        <v>70</v>
      </c>
      <c r="K101" t="s">
        <v>4195</v>
      </c>
      <c r="M101" t="s">
        <v>72</v>
      </c>
      <c r="N101" t="s">
        <v>4196</v>
      </c>
      <c r="O101" t="s">
        <v>4195</v>
      </c>
      <c r="P101" t="s">
        <v>4197</v>
      </c>
      <c r="Q101" t="s">
        <v>75</v>
      </c>
      <c r="R101" t="s">
        <v>4501</v>
      </c>
      <c r="S101" t="s">
        <v>4861</v>
      </c>
      <c r="T101" t="s">
        <v>78</v>
      </c>
      <c r="U101" t="s">
        <v>3817</v>
      </c>
      <c r="V101" t="s">
        <v>80</v>
      </c>
      <c r="W101" s="1">
        <v>44534</v>
      </c>
      <c r="X101" t="s">
        <v>4502</v>
      </c>
      <c r="Y101" t="s">
        <v>4862</v>
      </c>
      <c r="Z101" t="s">
        <v>83</v>
      </c>
      <c r="AA101">
        <v>1</v>
      </c>
      <c r="AB101" t="s">
        <v>4511</v>
      </c>
      <c r="AC101">
        <v>0</v>
      </c>
      <c r="AD101" t="s">
        <v>128</v>
      </c>
      <c r="AE101" t="s">
        <v>145</v>
      </c>
      <c r="AF101" t="s">
        <v>146</v>
      </c>
      <c r="AG101" t="s">
        <v>980</v>
      </c>
      <c r="AI101" t="s">
        <v>90</v>
      </c>
      <c r="AJ101">
        <v>32.339331999999999</v>
      </c>
      <c r="AK101">
        <v>-110.720327</v>
      </c>
      <c r="AL101">
        <v>3</v>
      </c>
      <c r="AN101">
        <v>1531</v>
      </c>
      <c r="AP101">
        <v>1531</v>
      </c>
      <c r="AQ101">
        <v>1537.9255989999999</v>
      </c>
      <c r="AT101">
        <v>4</v>
      </c>
      <c r="AU101">
        <v>12</v>
      </c>
      <c r="AV101">
        <v>2021</v>
      </c>
      <c r="AW101">
        <v>2439589</v>
      </c>
      <c r="AX101">
        <v>2439589</v>
      </c>
      <c r="AY101" t="s">
        <v>106</v>
      </c>
      <c r="AZ101" t="s">
        <v>92</v>
      </c>
      <c r="BA101" t="s">
        <v>107</v>
      </c>
      <c r="BB101" t="s">
        <v>4865</v>
      </c>
      <c r="BC101" t="s">
        <v>1186</v>
      </c>
      <c r="BE101" t="s">
        <v>96</v>
      </c>
      <c r="BG101" t="s">
        <v>4507</v>
      </c>
      <c r="BI101" t="s">
        <v>98</v>
      </c>
      <c r="BJ101" t="s">
        <v>4737</v>
      </c>
      <c r="BL101" t="s">
        <v>412</v>
      </c>
    </row>
    <row r="102" spans="1:64" hidden="1" x14ac:dyDescent="0.2">
      <c r="A102">
        <v>189</v>
      </c>
      <c r="B102">
        <v>4403382451</v>
      </c>
      <c r="C102" t="s">
        <v>101</v>
      </c>
      <c r="D102" t="s">
        <v>537</v>
      </c>
      <c r="E102" t="s">
        <v>65</v>
      </c>
      <c r="F102" t="s">
        <v>66</v>
      </c>
      <c r="G102" t="s">
        <v>67</v>
      </c>
      <c r="H102" t="s">
        <v>68</v>
      </c>
      <c r="I102" t="s">
        <v>176</v>
      </c>
      <c r="J102" t="s">
        <v>177</v>
      </c>
      <c r="K102" t="s">
        <v>178</v>
      </c>
      <c r="M102" t="s">
        <v>72</v>
      </c>
      <c r="N102" t="s">
        <v>179</v>
      </c>
      <c r="O102" t="s">
        <v>178</v>
      </c>
      <c r="P102" t="s">
        <v>180</v>
      </c>
      <c r="Q102" t="s">
        <v>75</v>
      </c>
      <c r="R102" t="s">
        <v>354</v>
      </c>
      <c r="S102" t="s">
        <v>538</v>
      </c>
      <c r="T102" t="s">
        <v>78</v>
      </c>
      <c r="U102" t="s">
        <v>79</v>
      </c>
      <c r="V102" t="s">
        <v>80</v>
      </c>
      <c r="W102" s="1">
        <v>45115</v>
      </c>
      <c r="X102" t="s">
        <v>356</v>
      </c>
      <c r="Y102" t="s">
        <v>539</v>
      </c>
      <c r="Z102" t="s">
        <v>83</v>
      </c>
      <c r="AA102">
        <v>1</v>
      </c>
      <c r="AB102" t="s">
        <v>540</v>
      </c>
      <c r="AD102" t="s">
        <v>343</v>
      </c>
      <c r="AE102" t="s">
        <v>145</v>
      </c>
      <c r="AF102" t="s">
        <v>402</v>
      </c>
      <c r="AG102" t="s">
        <v>344</v>
      </c>
      <c r="AI102" t="s">
        <v>90</v>
      </c>
      <c r="AJ102">
        <v>32.373109999999997</v>
      </c>
      <c r="AK102">
        <v>-110.70141099999999</v>
      </c>
      <c r="AL102">
        <v>3</v>
      </c>
      <c r="AN102">
        <v>1912</v>
      </c>
      <c r="AP102">
        <v>1912</v>
      </c>
      <c r="AQ102">
        <v>1923.6423950000001</v>
      </c>
      <c r="AT102">
        <v>8</v>
      </c>
      <c r="AU102">
        <v>7</v>
      </c>
      <c r="AV102">
        <v>2023</v>
      </c>
      <c r="AW102">
        <v>2438038</v>
      </c>
      <c r="AX102">
        <v>2438038</v>
      </c>
      <c r="AY102" t="s">
        <v>106</v>
      </c>
      <c r="AZ102" t="s">
        <v>92</v>
      </c>
      <c r="BA102" t="s">
        <v>107</v>
      </c>
      <c r="BB102" t="s">
        <v>541</v>
      </c>
      <c r="BC102" t="s">
        <v>95</v>
      </c>
      <c r="BD102" s="1">
        <v>45115</v>
      </c>
      <c r="BE102" t="s">
        <v>96</v>
      </c>
      <c r="BG102" t="s">
        <v>363</v>
      </c>
      <c r="BI102" t="s">
        <v>98</v>
      </c>
      <c r="BJ102" t="s">
        <v>542</v>
      </c>
      <c r="BK102" t="s">
        <v>365</v>
      </c>
      <c r="BL102" t="s">
        <v>412</v>
      </c>
    </row>
    <row r="103" spans="1:64" hidden="1" x14ac:dyDescent="0.2">
      <c r="A103">
        <v>1271</v>
      </c>
      <c r="B103">
        <v>4022923442</v>
      </c>
      <c r="C103" t="s">
        <v>101</v>
      </c>
      <c r="D103" t="s">
        <v>4870</v>
      </c>
      <c r="E103" t="s">
        <v>65</v>
      </c>
      <c r="F103" t="s">
        <v>66</v>
      </c>
      <c r="G103" t="s">
        <v>67</v>
      </c>
      <c r="H103" t="s">
        <v>68</v>
      </c>
      <c r="I103" t="s">
        <v>176</v>
      </c>
      <c r="J103" t="s">
        <v>177</v>
      </c>
      <c r="K103" t="s">
        <v>178</v>
      </c>
      <c r="M103" t="s">
        <v>72</v>
      </c>
      <c r="N103" t="s">
        <v>179</v>
      </c>
      <c r="O103" t="s">
        <v>178</v>
      </c>
      <c r="P103" t="s">
        <v>180</v>
      </c>
      <c r="Q103" t="s">
        <v>75</v>
      </c>
      <c r="R103" t="s">
        <v>4501</v>
      </c>
      <c r="S103" t="s">
        <v>3956</v>
      </c>
      <c r="T103" t="s">
        <v>78</v>
      </c>
      <c r="U103" t="s">
        <v>3817</v>
      </c>
      <c r="V103" t="s">
        <v>80</v>
      </c>
      <c r="W103" s="1">
        <v>44534</v>
      </c>
      <c r="X103" t="s">
        <v>4502</v>
      </c>
      <c r="Y103" t="s">
        <v>4867</v>
      </c>
      <c r="Z103" t="s">
        <v>83</v>
      </c>
      <c r="AA103">
        <v>1</v>
      </c>
      <c r="AB103" t="s">
        <v>4511</v>
      </c>
      <c r="AC103">
        <v>0</v>
      </c>
      <c r="AD103" t="s">
        <v>128</v>
      </c>
      <c r="AE103" t="s">
        <v>86</v>
      </c>
      <c r="AF103" t="s">
        <v>146</v>
      </c>
      <c r="AG103" t="s">
        <v>4868</v>
      </c>
      <c r="AI103" t="s">
        <v>90</v>
      </c>
      <c r="AJ103">
        <v>32.337069999999997</v>
      </c>
      <c r="AK103">
        <v>-110.72148900000001</v>
      </c>
      <c r="AL103">
        <v>3</v>
      </c>
      <c r="AN103">
        <v>1462</v>
      </c>
      <c r="AP103">
        <v>1462</v>
      </c>
      <c r="AQ103">
        <v>1467.4465009999999</v>
      </c>
      <c r="AT103">
        <v>4</v>
      </c>
      <c r="AU103">
        <v>12</v>
      </c>
      <c r="AV103">
        <v>2021</v>
      </c>
      <c r="AW103">
        <v>2438038</v>
      </c>
      <c r="AX103">
        <v>2438038</v>
      </c>
      <c r="AY103" t="s">
        <v>106</v>
      </c>
      <c r="AZ103" t="s">
        <v>92</v>
      </c>
      <c r="BA103" t="s">
        <v>107</v>
      </c>
      <c r="BB103" t="s">
        <v>4871</v>
      </c>
      <c r="BC103" t="s">
        <v>1186</v>
      </c>
      <c r="BE103" t="s">
        <v>96</v>
      </c>
      <c r="BG103" t="s">
        <v>4507</v>
      </c>
      <c r="BI103" t="s">
        <v>98</v>
      </c>
      <c r="BJ103" t="s">
        <v>4753</v>
      </c>
      <c r="BL103" t="s">
        <v>412</v>
      </c>
    </row>
    <row r="104" spans="1:64" hidden="1" x14ac:dyDescent="0.2">
      <c r="A104">
        <v>208</v>
      </c>
      <c r="B104">
        <v>4403382432</v>
      </c>
      <c r="C104" t="s">
        <v>101</v>
      </c>
      <c r="D104" s="2" t="s">
        <v>546</v>
      </c>
      <c r="E104" t="s">
        <v>65</v>
      </c>
      <c r="F104" t="s">
        <v>66</v>
      </c>
      <c r="G104" t="s">
        <v>67</v>
      </c>
      <c r="H104" t="s">
        <v>68</v>
      </c>
      <c r="I104" t="s">
        <v>176</v>
      </c>
      <c r="J104" t="s">
        <v>177</v>
      </c>
      <c r="K104" t="s">
        <v>178</v>
      </c>
      <c r="M104" t="s">
        <v>72</v>
      </c>
      <c r="N104" t="s">
        <v>179</v>
      </c>
      <c r="O104" t="s">
        <v>178</v>
      </c>
      <c r="P104" t="s">
        <v>180</v>
      </c>
      <c r="Q104" t="s">
        <v>75</v>
      </c>
      <c r="R104" t="s">
        <v>354</v>
      </c>
      <c r="S104" t="s">
        <v>547</v>
      </c>
      <c r="T104" t="s">
        <v>78</v>
      </c>
      <c r="U104" t="s">
        <v>79</v>
      </c>
      <c r="V104" t="s">
        <v>80</v>
      </c>
      <c r="W104" s="1">
        <v>45115</v>
      </c>
      <c r="X104" t="s">
        <v>356</v>
      </c>
      <c r="Y104" t="s">
        <v>548</v>
      </c>
      <c r="Z104" t="s">
        <v>83</v>
      </c>
      <c r="AA104">
        <v>1</v>
      </c>
      <c r="AB104" t="s">
        <v>549</v>
      </c>
      <c r="AD104" t="s">
        <v>343</v>
      </c>
      <c r="AE104" t="s">
        <v>86</v>
      </c>
      <c r="AF104" t="s">
        <v>402</v>
      </c>
      <c r="AG104" t="s">
        <v>550</v>
      </c>
      <c r="AI104" t="s">
        <v>90</v>
      </c>
      <c r="AJ104">
        <v>32.372242</v>
      </c>
      <c r="AK104">
        <v>-110.703131</v>
      </c>
      <c r="AL104">
        <v>3</v>
      </c>
      <c r="AN104">
        <v>1902</v>
      </c>
      <c r="AP104">
        <v>1902</v>
      </c>
      <c r="AQ104">
        <v>1903.442832</v>
      </c>
      <c r="AT104">
        <v>8</v>
      </c>
      <c r="AU104">
        <v>7</v>
      </c>
      <c r="AV104">
        <v>2023</v>
      </c>
      <c r="AW104">
        <v>2438038</v>
      </c>
      <c r="AX104">
        <v>2438038</v>
      </c>
      <c r="AY104" t="s">
        <v>106</v>
      </c>
      <c r="AZ104" t="s">
        <v>92</v>
      </c>
      <c r="BA104" t="s">
        <v>107</v>
      </c>
      <c r="BB104" t="s">
        <v>551</v>
      </c>
      <c r="BC104" t="s">
        <v>95</v>
      </c>
      <c r="BD104" s="1">
        <v>45115</v>
      </c>
      <c r="BE104" t="s">
        <v>96</v>
      </c>
      <c r="BG104" t="s">
        <v>363</v>
      </c>
      <c r="BI104" t="s">
        <v>98</v>
      </c>
      <c r="BJ104" t="s">
        <v>552</v>
      </c>
      <c r="BK104" t="s">
        <v>365</v>
      </c>
      <c r="BL104" t="s">
        <v>110</v>
      </c>
    </row>
    <row r="105" spans="1:64" x14ac:dyDescent="0.2">
      <c r="A105">
        <v>453</v>
      </c>
      <c r="B105">
        <v>4136459506</v>
      </c>
      <c r="C105" t="s">
        <v>101</v>
      </c>
      <c r="D105" t="s">
        <v>5378</v>
      </c>
      <c r="E105" t="s">
        <v>65</v>
      </c>
      <c r="F105" t="s">
        <v>66</v>
      </c>
      <c r="G105" t="s">
        <v>67</v>
      </c>
      <c r="H105" t="s">
        <v>68</v>
      </c>
      <c r="I105" t="s">
        <v>69</v>
      </c>
      <c r="J105" t="s">
        <v>70</v>
      </c>
      <c r="K105" t="s">
        <v>4195</v>
      </c>
      <c r="M105" t="s">
        <v>72</v>
      </c>
      <c r="N105" t="s">
        <v>4196</v>
      </c>
      <c r="O105" t="s">
        <v>4195</v>
      </c>
      <c r="P105" t="s">
        <v>4197</v>
      </c>
      <c r="Q105" t="s">
        <v>75</v>
      </c>
      <c r="R105" t="s">
        <v>5008</v>
      </c>
      <c r="S105" t="s">
        <v>5379</v>
      </c>
      <c r="T105" t="s">
        <v>78</v>
      </c>
      <c r="U105" t="s">
        <v>5009</v>
      </c>
      <c r="V105" t="s">
        <v>80</v>
      </c>
      <c r="W105" s="1">
        <v>44905</v>
      </c>
      <c r="X105" t="s">
        <v>5010</v>
      </c>
      <c r="Y105" t="s">
        <v>5380</v>
      </c>
      <c r="Z105" t="s">
        <v>83</v>
      </c>
      <c r="AA105">
        <v>1</v>
      </c>
      <c r="AB105" t="s">
        <v>657</v>
      </c>
      <c r="AC105">
        <v>0</v>
      </c>
      <c r="AD105" t="s">
        <v>119</v>
      </c>
      <c r="AE105" t="s">
        <v>145</v>
      </c>
      <c r="AF105" t="s">
        <v>281</v>
      </c>
      <c r="AG105" t="s">
        <v>980</v>
      </c>
      <c r="AI105" t="s">
        <v>90</v>
      </c>
      <c r="AJ105">
        <v>32.313980000000001</v>
      </c>
      <c r="AK105">
        <v>-110.714242</v>
      </c>
      <c r="AL105">
        <v>3</v>
      </c>
      <c r="AP105">
        <v>1204.6239989999999</v>
      </c>
      <c r="AQ105">
        <v>1204.6239989999999</v>
      </c>
      <c r="AT105">
        <v>10</v>
      </c>
      <c r="AU105">
        <v>12</v>
      </c>
      <c r="AV105">
        <v>2022</v>
      </c>
      <c r="AW105">
        <v>2439589</v>
      </c>
      <c r="AX105">
        <v>2439589</v>
      </c>
      <c r="AY105" t="s">
        <v>106</v>
      </c>
      <c r="AZ105" t="s">
        <v>92</v>
      </c>
      <c r="BA105" t="s">
        <v>107</v>
      </c>
      <c r="BB105" t="s">
        <v>5381</v>
      </c>
      <c r="BC105" t="s">
        <v>5313</v>
      </c>
      <c r="BD105" s="1">
        <v>44905</v>
      </c>
      <c r="BE105" t="s">
        <v>96</v>
      </c>
      <c r="BG105" t="s">
        <v>5314</v>
      </c>
      <c r="BI105" t="s">
        <v>98</v>
      </c>
      <c r="BJ105" t="s">
        <v>3988</v>
      </c>
      <c r="BL105" t="s">
        <v>412</v>
      </c>
    </row>
    <row r="106" spans="1:64" hidden="1" x14ac:dyDescent="0.2">
      <c r="A106">
        <v>1255</v>
      </c>
      <c r="B106">
        <v>4022923458</v>
      </c>
      <c r="C106" t="s">
        <v>101</v>
      </c>
      <c r="D106" t="s">
        <v>4875</v>
      </c>
      <c r="E106" t="s">
        <v>65</v>
      </c>
      <c r="F106" t="s">
        <v>66</v>
      </c>
      <c r="G106" t="s">
        <v>67</v>
      </c>
      <c r="H106" t="s">
        <v>68</v>
      </c>
      <c r="I106" t="s">
        <v>69</v>
      </c>
      <c r="J106" t="s">
        <v>70</v>
      </c>
      <c r="K106" t="s">
        <v>4195</v>
      </c>
      <c r="M106" t="s">
        <v>72</v>
      </c>
      <c r="N106" t="s">
        <v>4196</v>
      </c>
      <c r="O106" t="s">
        <v>4195</v>
      </c>
      <c r="P106" t="s">
        <v>4197</v>
      </c>
      <c r="Q106" t="s">
        <v>75</v>
      </c>
      <c r="R106" t="s">
        <v>4501</v>
      </c>
      <c r="S106" t="s">
        <v>4016</v>
      </c>
      <c r="T106" t="s">
        <v>78</v>
      </c>
      <c r="U106" t="s">
        <v>3817</v>
      </c>
      <c r="V106" t="s">
        <v>80</v>
      </c>
      <c r="W106" s="1">
        <v>44534</v>
      </c>
      <c r="X106" t="s">
        <v>4502</v>
      </c>
      <c r="Y106" t="s">
        <v>4873</v>
      </c>
      <c r="Z106" t="s">
        <v>83</v>
      </c>
      <c r="AA106">
        <v>1</v>
      </c>
      <c r="AB106" t="s">
        <v>4511</v>
      </c>
      <c r="AC106">
        <v>0</v>
      </c>
      <c r="AD106" t="s">
        <v>128</v>
      </c>
      <c r="AE106" t="s">
        <v>86</v>
      </c>
      <c r="AF106" t="s">
        <v>146</v>
      </c>
      <c r="AG106" t="s">
        <v>875</v>
      </c>
      <c r="AI106" t="s">
        <v>90</v>
      </c>
      <c r="AJ106">
        <v>32.337032000000001</v>
      </c>
      <c r="AK106">
        <v>-110.721782</v>
      </c>
      <c r="AL106">
        <v>3</v>
      </c>
      <c r="AN106">
        <v>1460</v>
      </c>
      <c r="AP106">
        <v>1460</v>
      </c>
      <c r="AQ106">
        <v>1467.3470130000001</v>
      </c>
      <c r="AT106">
        <v>4</v>
      </c>
      <c r="AU106">
        <v>12</v>
      </c>
      <c r="AV106">
        <v>2021</v>
      </c>
      <c r="AW106">
        <v>2439589</v>
      </c>
      <c r="AX106">
        <v>2439589</v>
      </c>
      <c r="AY106" t="s">
        <v>106</v>
      </c>
      <c r="AZ106" t="s">
        <v>92</v>
      </c>
      <c r="BA106" t="s">
        <v>107</v>
      </c>
      <c r="BB106" t="s">
        <v>4876</v>
      </c>
      <c r="BC106" t="s">
        <v>1186</v>
      </c>
      <c r="BE106" t="s">
        <v>96</v>
      </c>
      <c r="BG106" t="s">
        <v>4507</v>
      </c>
      <c r="BI106" t="s">
        <v>98</v>
      </c>
      <c r="BJ106" t="s">
        <v>4753</v>
      </c>
      <c r="BL106" t="s">
        <v>412</v>
      </c>
    </row>
    <row r="107" spans="1:64" x14ac:dyDescent="0.2">
      <c r="A107">
        <v>398</v>
      </c>
      <c r="B107">
        <v>4136459571</v>
      </c>
      <c r="C107" t="s">
        <v>101</v>
      </c>
      <c r="D107" t="s">
        <v>5386</v>
      </c>
      <c r="E107" t="s">
        <v>65</v>
      </c>
      <c r="F107" t="s">
        <v>66</v>
      </c>
      <c r="G107" t="s">
        <v>67</v>
      </c>
      <c r="H107" t="s">
        <v>68</v>
      </c>
      <c r="I107" t="s">
        <v>69</v>
      </c>
      <c r="J107" t="s">
        <v>70</v>
      </c>
      <c r="K107" t="s">
        <v>4195</v>
      </c>
      <c r="M107" t="s">
        <v>72</v>
      </c>
      <c r="N107" t="s">
        <v>4196</v>
      </c>
      <c r="O107" t="s">
        <v>4195</v>
      </c>
      <c r="P107" t="s">
        <v>4197</v>
      </c>
      <c r="Q107" t="s">
        <v>75</v>
      </c>
      <c r="R107" t="s">
        <v>5008</v>
      </c>
      <c r="S107" t="s">
        <v>1533</v>
      </c>
      <c r="T107" t="s">
        <v>78</v>
      </c>
      <c r="U107" t="s">
        <v>5009</v>
      </c>
      <c r="V107" t="s">
        <v>80</v>
      </c>
      <c r="W107" s="1">
        <v>44905</v>
      </c>
      <c r="X107" t="s">
        <v>5010</v>
      </c>
      <c r="Y107" t="s">
        <v>5387</v>
      </c>
      <c r="Z107" t="s">
        <v>83</v>
      </c>
      <c r="AA107">
        <v>1</v>
      </c>
      <c r="AB107" t="s">
        <v>657</v>
      </c>
      <c r="AC107">
        <v>0</v>
      </c>
      <c r="AD107" t="s">
        <v>119</v>
      </c>
      <c r="AE107" t="s">
        <v>145</v>
      </c>
      <c r="AF107" t="s">
        <v>146</v>
      </c>
      <c r="AG107" t="s">
        <v>765</v>
      </c>
      <c r="AI107" t="s">
        <v>90</v>
      </c>
      <c r="AJ107">
        <v>32.314273999999997</v>
      </c>
      <c r="AK107">
        <v>-110.712423</v>
      </c>
      <c r="AL107">
        <v>3</v>
      </c>
      <c r="AN107">
        <v>1165</v>
      </c>
      <c r="AP107">
        <v>1165</v>
      </c>
      <c r="AQ107">
        <v>1182.427997</v>
      </c>
      <c r="AT107">
        <v>10</v>
      </c>
      <c r="AU107">
        <v>12</v>
      </c>
      <c r="AV107">
        <v>2022</v>
      </c>
      <c r="AW107">
        <v>2439589</v>
      </c>
      <c r="AX107">
        <v>2439589</v>
      </c>
      <c r="AY107" t="s">
        <v>106</v>
      </c>
      <c r="AZ107" t="s">
        <v>92</v>
      </c>
      <c r="BA107" t="s">
        <v>107</v>
      </c>
      <c r="BB107" t="s">
        <v>5388</v>
      </c>
      <c r="BC107" t="s">
        <v>5313</v>
      </c>
      <c r="BD107" s="1">
        <v>44905</v>
      </c>
      <c r="BE107" t="s">
        <v>96</v>
      </c>
      <c r="BG107" t="s">
        <v>5314</v>
      </c>
      <c r="BI107" t="s">
        <v>98</v>
      </c>
      <c r="BJ107" t="s">
        <v>3913</v>
      </c>
      <c r="BL107" t="s">
        <v>412</v>
      </c>
    </row>
    <row r="108" spans="1:64" hidden="1" x14ac:dyDescent="0.2">
      <c r="A108">
        <v>1259</v>
      </c>
      <c r="B108">
        <v>4022923454</v>
      </c>
      <c r="C108" t="s">
        <v>101</v>
      </c>
      <c r="D108" t="s">
        <v>4881</v>
      </c>
      <c r="E108" t="s">
        <v>65</v>
      </c>
      <c r="F108" t="s">
        <v>66</v>
      </c>
      <c r="G108" t="s">
        <v>67</v>
      </c>
      <c r="H108" t="s">
        <v>68</v>
      </c>
      <c r="I108" t="s">
        <v>69</v>
      </c>
      <c r="J108" t="s">
        <v>70</v>
      </c>
      <c r="K108" t="s">
        <v>4195</v>
      </c>
      <c r="M108" t="s">
        <v>72</v>
      </c>
      <c r="N108" t="s">
        <v>4196</v>
      </c>
      <c r="O108" t="s">
        <v>4195</v>
      </c>
      <c r="P108" t="s">
        <v>4197</v>
      </c>
      <c r="Q108" t="s">
        <v>75</v>
      </c>
      <c r="R108" t="s">
        <v>4501</v>
      </c>
      <c r="S108" t="s">
        <v>4164</v>
      </c>
      <c r="T108" t="s">
        <v>78</v>
      </c>
      <c r="U108" t="s">
        <v>3817</v>
      </c>
      <c r="V108" t="s">
        <v>80</v>
      </c>
      <c r="W108" s="1">
        <v>44534</v>
      </c>
      <c r="X108" t="s">
        <v>4502</v>
      </c>
      <c r="Y108" t="s">
        <v>4878</v>
      </c>
      <c r="Z108" t="s">
        <v>83</v>
      </c>
      <c r="AA108">
        <v>1</v>
      </c>
      <c r="AB108" t="s">
        <v>4511</v>
      </c>
      <c r="AC108">
        <v>0</v>
      </c>
      <c r="AD108" t="s">
        <v>128</v>
      </c>
      <c r="AE108" t="s">
        <v>86</v>
      </c>
      <c r="AF108" t="s">
        <v>610</v>
      </c>
      <c r="AG108" t="s">
        <v>4879</v>
      </c>
      <c r="AI108" t="s">
        <v>90</v>
      </c>
      <c r="AJ108">
        <v>32.336615999999999</v>
      </c>
      <c r="AK108">
        <v>-110.72205599999999</v>
      </c>
      <c r="AL108">
        <v>3</v>
      </c>
      <c r="AN108">
        <v>1459</v>
      </c>
      <c r="AP108">
        <v>1459</v>
      </c>
      <c r="AQ108">
        <v>1472.1456009999999</v>
      </c>
      <c r="AT108">
        <v>4</v>
      </c>
      <c r="AU108">
        <v>12</v>
      </c>
      <c r="AV108">
        <v>2021</v>
      </c>
      <c r="AW108">
        <v>2439589</v>
      </c>
      <c r="AX108">
        <v>2439589</v>
      </c>
      <c r="AY108" t="s">
        <v>106</v>
      </c>
      <c r="AZ108" t="s">
        <v>92</v>
      </c>
      <c r="BA108" t="s">
        <v>107</v>
      </c>
      <c r="BB108" t="s">
        <v>4882</v>
      </c>
      <c r="BC108" t="s">
        <v>1186</v>
      </c>
      <c r="BE108" t="s">
        <v>96</v>
      </c>
      <c r="BG108" t="s">
        <v>4507</v>
      </c>
      <c r="BI108" t="s">
        <v>98</v>
      </c>
      <c r="BJ108" t="s">
        <v>4753</v>
      </c>
      <c r="BL108" t="s">
        <v>110</v>
      </c>
    </row>
    <row r="109" spans="1:64" hidden="1" x14ac:dyDescent="0.2">
      <c r="A109">
        <v>203</v>
      </c>
      <c r="B109">
        <v>4403382437</v>
      </c>
      <c r="C109" t="s">
        <v>101</v>
      </c>
      <c r="D109" t="s">
        <v>565</v>
      </c>
      <c r="E109" t="s">
        <v>65</v>
      </c>
      <c r="F109" t="s">
        <v>66</v>
      </c>
      <c r="G109" t="s">
        <v>67</v>
      </c>
      <c r="H109" t="s">
        <v>68</v>
      </c>
      <c r="I109" t="s">
        <v>176</v>
      </c>
      <c r="J109" t="s">
        <v>177</v>
      </c>
      <c r="K109" t="s">
        <v>178</v>
      </c>
      <c r="M109" t="s">
        <v>72</v>
      </c>
      <c r="N109" t="s">
        <v>179</v>
      </c>
      <c r="O109" t="s">
        <v>178</v>
      </c>
      <c r="P109" t="s">
        <v>180</v>
      </c>
      <c r="Q109" t="s">
        <v>75</v>
      </c>
      <c r="R109" t="s">
        <v>354</v>
      </c>
      <c r="S109" t="s">
        <v>558</v>
      </c>
      <c r="T109" t="s">
        <v>78</v>
      </c>
      <c r="U109" t="s">
        <v>79</v>
      </c>
      <c r="V109" t="s">
        <v>80</v>
      </c>
      <c r="W109" s="1">
        <v>45115</v>
      </c>
      <c r="X109" t="s">
        <v>356</v>
      </c>
      <c r="Y109" t="s">
        <v>559</v>
      </c>
      <c r="Z109" t="s">
        <v>83</v>
      </c>
      <c r="AA109">
        <v>1</v>
      </c>
      <c r="AB109" t="s">
        <v>566</v>
      </c>
      <c r="AD109" t="s">
        <v>343</v>
      </c>
      <c r="AE109" t="s">
        <v>86</v>
      </c>
      <c r="AF109" t="s">
        <v>402</v>
      </c>
      <c r="AG109" t="s">
        <v>560</v>
      </c>
      <c r="AI109" t="s">
        <v>90</v>
      </c>
      <c r="AJ109">
        <v>32.372844999999998</v>
      </c>
      <c r="AK109">
        <v>-110.702072</v>
      </c>
      <c r="AL109">
        <v>3</v>
      </c>
      <c r="AN109">
        <v>1928</v>
      </c>
      <c r="AP109">
        <v>1928</v>
      </c>
      <c r="AQ109">
        <v>1924.195168</v>
      </c>
      <c r="AT109">
        <v>8</v>
      </c>
      <c r="AU109">
        <v>7</v>
      </c>
      <c r="AV109">
        <v>2023</v>
      </c>
      <c r="AW109">
        <v>2438038</v>
      </c>
      <c r="AX109">
        <v>2438038</v>
      </c>
      <c r="AY109" t="s">
        <v>106</v>
      </c>
      <c r="AZ109" t="s">
        <v>92</v>
      </c>
      <c r="BA109" t="s">
        <v>107</v>
      </c>
      <c r="BB109" t="s">
        <v>567</v>
      </c>
      <c r="BC109" t="s">
        <v>95</v>
      </c>
      <c r="BD109" s="1">
        <v>45115</v>
      </c>
      <c r="BE109" t="s">
        <v>96</v>
      </c>
      <c r="BG109" t="s">
        <v>363</v>
      </c>
      <c r="BI109" t="s">
        <v>98</v>
      </c>
      <c r="BJ109" t="s">
        <v>552</v>
      </c>
      <c r="BL109" t="s">
        <v>110</v>
      </c>
    </row>
    <row r="110" spans="1:64" hidden="1" x14ac:dyDescent="0.2">
      <c r="A110">
        <v>204</v>
      </c>
      <c r="B110">
        <v>4403382436</v>
      </c>
      <c r="C110" t="s">
        <v>101</v>
      </c>
      <c r="D110" t="s">
        <v>568</v>
      </c>
      <c r="E110" t="s">
        <v>65</v>
      </c>
      <c r="F110" t="s">
        <v>66</v>
      </c>
      <c r="G110" t="s">
        <v>67</v>
      </c>
      <c r="H110" t="s">
        <v>68</v>
      </c>
      <c r="I110" t="s">
        <v>176</v>
      </c>
      <c r="J110" t="s">
        <v>177</v>
      </c>
      <c r="K110" t="s">
        <v>178</v>
      </c>
      <c r="M110" t="s">
        <v>72</v>
      </c>
      <c r="N110" t="s">
        <v>179</v>
      </c>
      <c r="O110" t="s">
        <v>178</v>
      </c>
      <c r="P110" t="s">
        <v>180</v>
      </c>
      <c r="Q110" t="s">
        <v>75</v>
      </c>
      <c r="R110" t="s">
        <v>354</v>
      </c>
      <c r="S110" t="s">
        <v>569</v>
      </c>
      <c r="T110" t="s">
        <v>78</v>
      </c>
      <c r="U110" t="s">
        <v>79</v>
      </c>
      <c r="V110" t="s">
        <v>80</v>
      </c>
      <c r="W110" s="1">
        <v>45115</v>
      </c>
      <c r="X110" t="s">
        <v>356</v>
      </c>
      <c r="Y110" t="s">
        <v>570</v>
      </c>
      <c r="Z110" t="s">
        <v>83</v>
      </c>
      <c r="AA110">
        <v>1</v>
      </c>
      <c r="AB110" t="s">
        <v>571</v>
      </c>
      <c r="AD110" t="s">
        <v>343</v>
      </c>
      <c r="AE110" t="s">
        <v>145</v>
      </c>
      <c r="AF110" t="s">
        <v>402</v>
      </c>
      <c r="AG110" t="s">
        <v>344</v>
      </c>
      <c r="AI110" t="s">
        <v>90</v>
      </c>
      <c r="AJ110">
        <v>32.372613999999999</v>
      </c>
      <c r="AK110">
        <v>-110.702428</v>
      </c>
      <c r="AL110">
        <v>3</v>
      </c>
      <c r="AN110">
        <v>1925</v>
      </c>
      <c r="AP110">
        <v>1925</v>
      </c>
      <c r="AQ110">
        <v>1915.2798539999999</v>
      </c>
      <c r="AT110">
        <v>8</v>
      </c>
      <c r="AU110">
        <v>7</v>
      </c>
      <c r="AV110">
        <v>2023</v>
      </c>
      <c r="AW110">
        <v>2438038</v>
      </c>
      <c r="AX110">
        <v>2438038</v>
      </c>
      <c r="AY110" t="s">
        <v>106</v>
      </c>
      <c r="AZ110" t="s">
        <v>92</v>
      </c>
      <c r="BA110" t="s">
        <v>107</v>
      </c>
      <c r="BB110" t="s">
        <v>572</v>
      </c>
      <c r="BC110" t="s">
        <v>95</v>
      </c>
      <c r="BD110" s="1">
        <v>45115</v>
      </c>
      <c r="BE110" t="s">
        <v>96</v>
      </c>
      <c r="BG110" t="s">
        <v>363</v>
      </c>
      <c r="BI110" t="s">
        <v>98</v>
      </c>
      <c r="BJ110" t="s">
        <v>545</v>
      </c>
      <c r="BK110" t="s">
        <v>365</v>
      </c>
      <c r="BL110" t="s">
        <v>110</v>
      </c>
    </row>
    <row r="111" spans="1:64" hidden="1" x14ac:dyDescent="0.2">
      <c r="A111">
        <v>1223</v>
      </c>
      <c r="B111">
        <v>4022923490</v>
      </c>
      <c r="C111" t="s">
        <v>101</v>
      </c>
      <c r="D111" t="s">
        <v>5120</v>
      </c>
      <c r="E111" t="s">
        <v>65</v>
      </c>
      <c r="F111" t="s">
        <v>66</v>
      </c>
      <c r="G111" t="s">
        <v>67</v>
      </c>
      <c r="H111" t="s">
        <v>68</v>
      </c>
      <c r="I111" t="s">
        <v>69</v>
      </c>
      <c r="J111" t="s">
        <v>70</v>
      </c>
      <c r="K111" t="s">
        <v>4195</v>
      </c>
      <c r="M111" t="s">
        <v>72</v>
      </c>
      <c r="N111" t="s">
        <v>4196</v>
      </c>
      <c r="O111" t="s">
        <v>4195</v>
      </c>
      <c r="P111" t="s">
        <v>4197</v>
      </c>
      <c r="Q111" t="s">
        <v>75</v>
      </c>
      <c r="R111" t="s">
        <v>5008</v>
      </c>
      <c r="S111" t="s">
        <v>5115</v>
      </c>
      <c r="T111" t="s">
        <v>78</v>
      </c>
      <c r="U111" t="s">
        <v>5009</v>
      </c>
      <c r="V111" t="s">
        <v>80</v>
      </c>
      <c r="W111" s="1">
        <v>44534</v>
      </c>
      <c r="X111" t="s">
        <v>5010</v>
      </c>
      <c r="Y111" t="s">
        <v>5116</v>
      </c>
      <c r="Z111" t="s">
        <v>83</v>
      </c>
      <c r="AA111">
        <v>1</v>
      </c>
      <c r="AB111" t="s">
        <v>4511</v>
      </c>
      <c r="AC111">
        <v>0</v>
      </c>
      <c r="AD111" t="s">
        <v>128</v>
      </c>
      <c r="AE111" t="s">
        <v>145</v>
      </c>
      <c r="AF111" t="s">
        <v>146</v>
      </c>
      <c r="AG111" t="s">
        <v>3082</v>
      </c>
      <c r="AI111" t="s">
        <v>90</v>
      </c>
      <c r="AJ111">
        <v>32.313161000000001</v>
      </c>
      <c r="AK111">
        <v>-110.71195899999999</v>
      </c>
      <c r="AL111">
        <v>3</v>
      </c>
      <c r="AN111">
        <v>1153</v>
      </c>
      <c r="AP111">
        <v>1153</v>
      </c>
      <c r="AQ111">
        <v>1153.9245430000001</v>
      </c>
      <c r="AT111">
        <v>4</v>
      </c>
      <c r="AU111">
        <v>12</v>
      </c>
      <c r="AV111">
        <v>2021</v>
      </c>
      <c r="AW111">
        <v>2439589</v>
      </c>
      <c r="AX111">
        <v>2439589</v>
      </c>
      <c r="AY111" t="s">
        <v>106</v>
      </c>
      <c r="AZ111" t="s">
        <v>92</v>
      </c>
      <c r="BA111" t="s">
        <v>107</v>
      </c>
      <c r="BB111" t="s">
        <v>5121</v>
      </c>
      <c r="BC111" t="s">
        <v>1186</v>
      </c>
      <c r="BE111" t="s">
        <v>96</v>
      </c>
      <c r="BG111" t="s">
        <v>4507</v>
      </c>
      <c r="BI111" t="s">
        <v>98</v>
      </c>
      <c r="BJ111" t="s">
        <v>4812</v>
      </c>
      <c r="BL111" t="s">
        <v>110</v>
      </c>
    </row>
    <row r="112" spans="1:64" hidden="1" x14ac:dyDescent="0.2">
      <c r="A112">
        <v>215</v>
      </c>
      <c r="B112">
        <v>4403382425</v>
      </c>
      <c r="C112" t="s">
        <v>101</v>
      </c>
      <c r="D112" t="s">
        <v>575</v>
      </c>
      <c r="E112" t="s">
        <v>65</v>
      </c>
      <c r="F112" t="s">
        <v>66</v>
      </c>
      <c r="G112" t="s">
        <v>67</v>
      </c>
      <c r="H112" t="s">
        <v>68</v>
      </c>
      <c r="I112" t="s">
        <v>176</v>
      </c>
      <c r="J112" t="s">
        <v>177</v>
      </c>
      <c r="K112" t="s">
        <v>178</v>
      </c>
      <c r="M112" t="s">
        <v>72</v>
      </c>
      <c r="N112" t="s">
        <v>179</v>
      </c>
      <c r="O112" t="s">
        <v>178</v>
      </c>
      <c r="P112" t="s">
        <v>180</v>
      </c>
      <c r="Q112" t="s">
        <v>75</v>
      </c>
      <c r="R112" t="s">
        <v>354</v>
      </c>
      <c r="S112" t="s">
        <v>576</v>
      </c>
      <c r="T112" t="s">
        <v>78</v>
      </c>
      <c r="U112" t="s">
        <v>79</v>
      </c>
      <c r="V112" t="s">
        <v>80</v>
      </c>
      <c r="W112" s="1">
        <v>45115</v>
      </c>
      <c r="X112" t="s">
        <v>356</v>
      </c>
      <c r="Y112" t="s">
        <v>577</v>
      </c>
      <c r="Z112" t="s">
        <v>83</v>
      </c>
      <c r="AA112">
        <v>1</v>
      </c>
      <c r="AB112" t="s">
        <v>578</v>
      </c>
      <c r="AD112" t="s">
        <v>343</v>
      </c>
      <c r="AE112" t="s">
        <v>86</v>
      </c>
      <c r="AF112" t="s">
        <v>402</v>
      </c>
      <c r="AG112" t="s">
        <v>579</v>
      </c>
      <c r="AI112" t="s">
        <v>90</v>
      </c>
      <c r="AJ112">
        <v>32.372861</v>
      </c>
      <c r="AK112">
        <v>-110.701123</v>
      </c>
      <c r="AL112">
        <v>3</v>
      </c>
      <c r="AN112">
        <v>1896</v>
      </c>
      <c r="AP112">
        <v>1896</v>
      </c>
      <c r="AQ112">
        <v>1909.4524200000001</v>
      </c>
      <c r="AT112">
        <v>8</v>
      </c>
      <c r="AU112">
        <v>7</v>
      </c>
      <c r="AV112">
        <v>2023</v>
      </c>
      <c r="AW112">
        <v>2438038</v>
      </c>
      <c r="AX112">
        <v>2438038</v>
      </c>
      <c r="AY112" t="s">
        <v>106</v>
      </c>
      <c r="AZ112" t="s">
        <v>92</v>
      </c>
      <c r="BA112" t="s">
        <v>107</v>
      </c>
      <c r="BB112" t="s">
        <v>580</v>
      </c>
      <c r="BC112" t="s">
        <v>95</v>
      </c>
      <c r="BD112" s="1">
        <v>45115</v>
      </c>
      <c r="BE112" t="s">
        <v>96</v>
      </c>
      <c r="BG112" t="s">
        <v>363</v>
      </c>
      <c r="BI112" t="s">
        <v>98</v>
      </c>
      <c r="BJ112" t="s">
        <v>562</v>
      </c>
      <c r="BK112" t="s">
        <v>365</v>
      </c>
      <c r="BL112" t="s">
        <v>412</v>
      </c>
    </row>
    <row r="113" spans="1:64" hidden="1" x14ac:dyDescent="0.2">
      <c r="A113">
        <v>1171</v>
      </c>
      <c r="B113">
        <v>4022923542</v>
      </c>
      <c r="C113" t="s">
        <v>101</v>
      </c>
      <c r="D113" t="s">
        <v>4923</v>
      </c>
      <c r="E113" t="s">
        <v>65</v>
      </c>
      <c r="F113" t="s">
        <v>66</v>
      </c>
      <c r="G113" t="s">
        <v>67</v>
      </c>
      <c r="H113" t="s">
        <v>68</v>
      </c>
      <c r="I113" t="s">
        <v>69</v>
      </c>
      <c r="J113" t="s">
        <v>70</v>
      </c>
      <c r="K113" t="s">
        <v>4130</v>
      </c>
      <c r="M113" t="s">
        <v>72</v>
      </c>
      <c r="N113" t="s">
        <v>4131</v>
      </c>
      <c r="O113" t="s">
        <v>4130</v>
      </c>
      <c r="P113" t="s">
        <v>4132</v>
      </c>
      <c r="Q113" t="s">
        <v>75</v>
      </c>
      <c r="R113" t="s">
        <v>4501</v>
      </c>
      <c r="S113" t="s">
        <v>142</v>
      </c>
      <c r="T113" t="s">
        <v>78</v>
      </c>
      <c r="U113" t="s">
        <v>3817</v>
      </c>
      <c r="V113" t="s">
        <v>80</v>
      </c>
      <c r="W113" s="1">
        <v>44535</v>
      </c>
      <c r="X113" t="s">
        <v>4502</v>
      </c>
      <c r="Y113" t="s">
        <v>4921</v>
      </c>
      <c r="Z113" t="s">
        <v>83</v>
      </c>
      <c r="AA113">
        <v>1</v>
      </c>
      <c r="AB113" t="s">
        <v>4739</v>
      </c>
      <c r="AC113">
        <v>0</v>
      </c>
      <c r="AD113" t="s">
        <v>128</v>
      </c>
      <c r="AE113" t="s">
        <v>86</v>
      </c>
      <c r="AF113" t="s">
        <v>146</v>
      </c>
      <c r="AG113" t="s">
        <v>1091</v>
      </c>
      <c r="AI113" t="s">
        <v>90</v>
      </c>
      <c r="AJ113">
        <v>32.336717</v>
      </c>
      <c r="AK113">
        <v>-110.72070100000001</v>
      </c>
      <c r="AL113">
        <v>3</v>
      </c>
      <c r="AN113">
        <v>1477</v>
      </c>
      <c r="AP113">
        <v>1477</v>
      </c>
      <c r="AQ113">
        <v>1476.3143250000001</v>
      </c>
      <c r="AT113">
        <v>5</v>
      </c>
      <c r="AU113">
        <v>12</v>
      </c>
      <c r="AV113">
        <v>2021</v>
      </c>
      <c r="AW113">
        <v>2439591</v>
      </c>
      <c r="AX113">
        <v>2439591</v>
      </c>
      <c r="AY113" t="s">
        <v>106</v>
      </c>
      <c r="AZ113" t="s">
        <v>92</v>
      </c>
      <c r="BA113" t="s">
        <v>107</v>
      </c>
      <c r="BB113" t="s">
        <v>4924</v>
      </c>
      <c r="BC113" t="s">
        <v>1186</v>
      </c>
      <c r="BE113" t="s">
        <v>96</v>
      </c>
      <c r="BG113" t="s">
        <v>4507</v>
      </c>
      <c r="BI113" t="s">
        <v>98</v>
      </c>
      <c r="BJ113" t="s">
        <v>4769</v>
      </c>
      <c r="BL113" t="s">
        <v>110</v>
      </c>
    </row>
    <row r="114" spans="1:64" x14ac:dyDescent="0.2">
      <c r="A114">
        <v>388</v>
      </c>
      <c r="B114">
        <v>4136459581</v>
      </c>
      <c r="C114" t="s">
        <v>101</v>
      </c>
      <c r="D114" t="s">
        <v>5405</v>
      </c>
      <c r="E114" t="s">
        <v>65</v>
      </c>
      <c r="F114" t="s">
        <v>66</v>
      </c>
      <c r="G114" t="s">
        <v>67</v>
      </c>
      <c r="H114" t="s">
        <v>68</v>
      </c>
      <c r="I114" t="s">
        <v>69</v>
      </c>
      <c r="J114" t="s">
        <v>70</v>
      </c>
      <c r="K114" t="s">
        <v>4195</v>
      </c>
      <c r="M114" t="s">
        <v>72</v>
      </c>
      <c r="N114" t="s">
        <v>4196</v>
      </c>
      <c r="O114" t="s">
        <v>4195</v>
      </c>
      <c r="P114" t="s">
        <v>4197</v>
      </c>
      <c r="Q114" t="s">
        <v>75</v>
      </c>
      <c r="R114" t="s">
        <v>5008</v>
      </c>
      <c r="S114" t="s">
        <v>1592</v>
      </c>
      <c r="T114" t="s">
        <v>78</v>
      </c>
      <c r="U114" t="s">
        <v>5009</v>
      </c>
      <c r="V114" t="s">
        <v>80</v>
      </c>
      <c r="W114" s="1">
        <v>44905</v>
      </c>
      <c r="X114" t="s">
        <v>5010</v>
      </c>
      <c r="Y114" t="s">
        <v>5401</v>
      </c>
      <c r="Z114" t="s">
        <v>83</v>
      </c>
      <c r="AA114">
        <v>1</v>
      </c>
      <c r="AB114" t="s">
        <v>657</v>
      </c>
      <c r="AC114">
        <v>0</v>
      </c>
      <c r="AD114" t="s">
        <v>119</v>
      </c>
      <c r="AE114" t="s">
        <v>145</v>
      </c>
      <c r="AF114" t="s">
        <v>281</v>
      </c>
      <c r="AG114" t="s">
        <v>980</v>
      </c>
      <c r="AI114" t="s">
        <v>90</v>
      </c>
      <c r="AJ114">
        <v>32.313636000000002</v>
      </c>
      <c r="AK114">
        <v>-110.71335500000001</v>
      </c>
      <c r="AL114">
        <v>3</v>
      </c>
      <c r="AN114">
        <v>1153</v>
      </c>
      <c r="AP114">
        <v>1153</v>
      </c>
      <c r="AQ114">
        <v>1183.792565</v>
      </c>
      <c r="AT114">
        <v>10</v>
      </c>
      <c r="AU114">
        <v>12</v>
      </c>
      <c r="AV114">
        <v>2022</v>
      </c>
      <c r="AW114">
        <v>2439589</v>
      </c>
      <c r="AX114">
        <v>2439589</v>
      </c>
      <c r="AY114" t="s">
        <v>106</v>
      </c>
      <c r="AZ114" t="s">
        <v>92</v>
      </c>
      <c r="BA114" t="s">
        <v>107</v>
      </c>
      <c r="BB114" t="s">
        <v>5406</v>
      </c>
      <c r="BC114" t="s">
        <v>5313</v>
      </c>
      <c r="BD114" s="1">
        <v>44905</v>
      </c>
      <c r="BE114" t="s">
        <v>96</v>
      </c>
      <c r="BG114" t="s">
        <v>5314</v>
      </c>
      <c r="BI114" t="s">
        <v>98</v>
      </c>
      <c r="BJ114" t="s">
        <v>1732</v>
      </c>
      <c r="BL114" t="s">
        <v>110</v>
      </c>
    </row>
    <row r="115" spans="1:64" x14ac:dyDescent="0.2">
      <c r="A115">
        <v>414</v>
      </c>
      <c r="B115">
        <v>4136459555</v>
      </c>
      <c r="C115" t="s">
        <v>101</v>
      </c>
      <c r="D115" t="s">
        <v>5426</v>
      </c>
      <c r="E115" t="s">
        <v>65</v>
      </c>
      <c r="F115" t="s">
        <v>66</v>
      </c>
      <c r="G115" t="s">
        <v>67</v>
      </c>
      <c r="H115" t="s">
        <v>68</v>
      </c>
      <c r="I115" t="s">
        <v>176</v>
      </c>
      <c r="J115" t="s">
        <v>177</v>
      </c>
      <c r="K115" t="s">
        <v>3925</v>
      </c>
      <c r="M115" t="s">
        <v>72</v>
      </c>
      <c r="N115" t="s">
        <v>3926</v>
      </c>
      <c r="O115" t="s">
        <v>3925</v>
      </c>
      <c r="P115" t="s">
        <v>1176</v>
      </c>
      <c r="Q115" t="s">
        <v>75</v>
      </c>
      <c r="R115" t="s">
        <v>5008</v>
      </c>
      <c r="S115" t="s">
        <v>1354</v>
      </c>
      <c r="T115" t="s">
        <v>78</v>
      </c>
      <c r="U115" t="s">
        <v>5009</v>
      </c>
      <c r="V115" t="s">
        <v>80</v>
      </c>
      <c r="W115" s="1">
        <v>44905</v>
      </c>
      <c r="X115" t="s">
        <v>5010</v>
      </c>
      <c r="Y115" t="s">
        <v>5422</v>
      </c>
      <c r="Z115" t="s">
        <v>83</v>
      </c>
      <c r="AA115">
        <v>1</v>
      </c>
      <c r="AB115" t="s">
        <v>657</v>
      </c>
      <c r="AC115">
        <v>0</v>
      </c>
      <c r="AD115" t="s">
        <v>119</v>
      </c>
      <c r="AE115" t="s">
        <v>86</v>
      </c>
      <c r="AF115" t="s">
        <v>146</v>
      </c>
      <c r="AI115" t="s">
        <v>90</v>
      </c>
      <c r="AJ115">
        <v>32.314185999999999</v>
      </c>
      <c r="AK115">
        <v>-110.712461</v>
      </c>
      <c r="AL115">
        <v>3</v>
      </c>
      <c r="AN115">
        <v>1161</v>
      </c>
      <c r="AP115">
        <v>1161</v>
      </c>
      <c r="AQ115">
        <v>1180.714397</v>
      </c>
      <c r="AT115">
        <v>10</v>
      </c>
      <c r="AU115">
        <v>12</v>
      </c>
      <c r="AV115">
        <v>2022</v>
      </c>
      <c r="AW115">
        <v>2437981</v>
      </c>
      <c r="AX115">
        <v>2437981</v>
      </c>
      <c r="AY115" t="s">
        <v>106</v>
      </c>
      <c r="AZ115" t="s">
        <v>92</v>
      </c>
      <c r="BA115" t="s">
        <v>107</v>
      </c>
      <c r="BB115" t="s">
        <v>5427</v>
      </c>
      <c r="BC115" t="s">
        <v>5313</v>
      </c>
      <c r="BD115" s="1">
        <v>44905</v>
      </c>
      <c r="BE115" t="s">
        <v>96</v>
      </c>
      <c r="BG115" t="s">
        <v>5314</v>
      </c>
      <c r="BI115" t="s">
        <v>98</v>
      </c>
      <c r="BJ115" t="s">
        <v>2774</v>
      </c>
      <c r="BL115" t="s">
        <v>412</v>
      </c>
    </row>
    <row r="116" spans="1:64" hidden="1" x14ac:dyDescent="0.2">
      <c r="A116">
        <v>217</v>
      </c>
      <c r="B116">
        <v>4403382423</v>
      </c>
      <c r="C116" t="s">
        <v>101</v>
      </c>
      <c r="D116" t="s">
        <v>588</v>
      </c>
      <c r="E116" t="s">
        <v>65</v>
      </c>
      <c r="F116" t="s">
        <v>66</v>
      </c>
      <c r="G116" t="s">
        <v>67</v>
      </c>
      <c r="H116" t="s">
        <v>68</v>
      </c>
      <c r="I116" t="s">
        <v>176</v>
      </c>
      <c r="J116" t="s">
        <v>177</v>
      </c>
      <c r="K116" t="s">
        <v>178</v>
      </c>
      <c r="M116" t="s">
        <v>72</v>
      </c>
      <c r="N116" t="s">
        <v>179</v>
      </c>
      <c r="O116" t="s">
        <v>178</v>
      </c>
      <c r="P116" t="s">
        <v>180</v>
      </c>
      <c r="Q116" t="s">
        <v>75</v>
      </c>
      <c r="R116" t="s">
        <v>354</v>
      </c>
      <c r="S116" t="s">
        <v>589</v>
      </c>
      <c r="T116" t="s">
        <v>78</v>
      </c>
      <c r="U116" t="s">
        <v>79</v>
      </c>
      <c r="V116" t="s">
        <v>80</v>
      </c>
      <c r="W116" s="1">
        <v>45116</v>
      </c>
      <c r="X116" t="s">
        <v>356</v>
      </c>
      <c r="Y116" t="s">
        <v>590</v>
      </c>
      <c r="Z116" t="s">
        <v>83</v>
      </c>
      <c r="AA116">
        <v>1</v>
      </c>
      <c r="AB116" t="s">
        <v>591</v>
      </c>
      <c r="AD116" t="s">
        <v>343</v>
      </c>
      <c r="AE116" t="s">
        <v>86</v>
      </c>
      <c r="AF116" t="s">
        <v>402</v>
      </c>
      <c r="AG116" t="s">
        <v>592</v>
      </c>
      <c r="AI116" t="s">
        <v>90</v>
      </c>
      <c r="AJ116">
        <v>32.373265000000004</v>
      </c>
      <c r="AK116">
        <v>-110.70137200000001</v>
      </c>
      <c r="AL116">
        <v>3</v>
      </c>
      <c r="AN116">
        <v>1915</v>
      </c>
      <c r="AP116">
        <v>1915</v>
      </c>
      <c r="AQ116">
        <v>1923.2067970000001</v>
      </c>
      <c r="AT116">
        <v>9</v>
      </c>
      <c r="AU116">
        <v>7</v>
      </c>
      <c r="AV116">
        <v>2023</v>
      </c>
      <c r="AW116">
        <v>2438038</v>
      </c>
      <c r="AX116">
        <v>2438038</v>
      </c>
      <c r="AY116" t="s">
        <v>106</v>
      </c>
      <c r="AZ116" t="s">
        <v>92</v>
      </c>
      <c r="BA116" t="s">
        <v>107</v>
      </c>
      <c r="BB116" t="s">
        <v>593</v>
      </c>
      <c r="BC116" t="s">
        <v>95</v>
      </c>
      <c r="BD116" s="1">
        <v>45116</v>
      </c>
      <c r="BE116" t="s">
        <v>96</v>
      </c>
      <c r="BG116" t="s">
        <v>363</v>
      </c>
      <c r="BI116" t="s">
        <v>98</v>
      </c>
      <c r="BJ116" t="s">
        <v>562</v>
      </c>
      <c r="BK116" t="s">
        <v>365</v>
      </c>
      <c r="BL116" t="s">
        <v>412</v>
      </c>
    </row>
    <row r="117" spans="1:64" hidden="1" x14ac:dyDescent="0.2">
      <c r="A117">
        <v>1175</v>
      </c>
      <c r="B117">
        <v>4022923538</v>
      </c>
      <c r="C117" t="s">
        <v>101</v>
      </c>
      <c r="D117" t="s">
        <v>4930</v>
      </c>
      <c r="E117" t="s">
        <v>65</v>
      </c>
      <c r="F117" t="s">
        <v>66</v>
      </c>
      <c r="G117" t="s">
        <v>67</v>
      </c>
      <c r="H117" t="s">
        <v>68</v>
      </c>
      <c r="I117" t="s">
        <v>69</v>
      </c>
      <c r="J117" t="s">
        <v>70</v>
      </c>
      <c r="K117" t="s">
        <v>71</v>
      </c>
      <c r="M117" t="s">
        <v>72</v>
      </c>
      <c r="N117" t="s">
        <v>73</v>
      </c>
      <c r="O117" t="s">
        <v>71</v>
      </c>
      <c r="P117" t="s">
        <v>74</v>
      </c>
      <c r="Q117" t="s">
        <v>75</v>
      </c>
      <c r="R117" t="s">
        <v>4501</v>
      </c>
      <c r="S117" t="s">
        <v>4926</v>
      </c>
      <c r="T117" t="s">
        <v>78</v>
      </c>
      <c r="U117" t="s">
        <v>3817</v>
      </c>
      <c r="V117" t="s">
        <v>80</v>
      </c>
      <c r="W117" s="1">
        <v>44535</v>
      </c>
      <c r="X117" t="s">
        <v>4502</v>
      </c>
      <c r="Y117" t="s">
        <v>4927</v>
      </c>
      <c r="Z117" t="s">
        <v>83</v>
      </c>
      <c r="AA117">
        <v>1</v>
      </c>
      <c r="AB117" t="s">
        <v>4739</v>
      </c>
      <c r="AC117">
        <v>0</v>
      </c>
      <c r="AD117" t="s">
        <v>128</v>
      </c>
      <c r="AE117" t="s">
        <v>86</v>
      </c>
      <c r="AF117" t="s">
        <v>146</v>
      </c>
      <c r="AG117" t="s">
        <v>4928</v>
      </c>
      <c r="AI117" t="s">
        <v>90</v>
      </c>
      <c r="AJ117">
        <v>32.33652</v>
      </c>
      <c r="AK117">
        <v>-110.721163</v>
      </c>
      <c r="AL117">
        <v>3</v>
      </c>
      <c r="AN117">
        <v>1477</v>
      </c>
      <c r="AP117">
        <v>1477</v>
      </c>
      <c r="AQ117">
        <v>1477.650461</v>
      </c>
      <c r="AT117">
        <v>5</v>
      </c>
      <c r="AU117">
        <v>12</v>
      </c>
      <c r="AV117">
        <v>2021</v>
      </c>
      <c r="AW117">
        <v>2439581</v>
      </c>
      <c r="AX117">
        <v>2439581</v>
      </c>
      <c r="AY117" t="s">
        <v>106</v>
      </c>
      <c r="AZ117" t="s">
        <v>92</v>
      </c>
      <c r="BA117" t="s">
        <v>107</v>
      </c>
      <c r="BB117" t="s">
        <v>4931</v>
      </c>
      <c r="BC117" t="s">
        <v>1186</v>
      </c>
      <c r="BE117" t="s">
        <v>96</v>
      </c>
      <c r="BG117" t="s">
        <v>4507</v>
      </c>
      <c r="BI117" t="s">
        <v>98</v>
      </c>
      <c r="BJ117" t="s">
        <v>330</v>
      </c>
      <c r="BL117" t="s">
        <v>110</v>
      </c>
    </row>
    <row r="118" spans="1:64" hidden="1" x14ac:dyDescent="0.2">
      <c r="A118">
        <v>219</v>
      </c>
      <c r="B118">
        <v>4403382421</v>
      </c>
      <c r="C118" t="s">
        <v>101</v>
      </c>
      <c r="D118" t="s">
        <v>597</v>
      </c>
      <c r="E118" t="s">
        <v>65</v>
      </c>
      <c r="F118" t="s">
        <v>66</v>
      </c>
      <c r="G118" t="s">
        <v>67</v>
      </c>
      <c r="H118" t="s">
        <v>68</v>
      </c>
      <c r="I118" t="s">
        <v>176</v>
      </c>
      <c r="J118" t="s">
        <v>177</v>
      </c>
      <c r="K118" t="s">
        <v>178</v>
      </c>
      <c r="M118" t="s">
        <v>72</v>
      </c>
      <c r="N118" t="s">
        <v>179</v>
      </c>
      <c r="O118" t="s">
        <v>178</v>
      </c>
      <c r="P118" t="s">
        <v>180</v>
      </c>
      <c r="Q118" t="s">
        <v>75</v>
      </c>
      <c r="R118" t="s">
        <v>354</v>
      </c>
      <c r="S118" t="s">
        <v>598</v>
      </c>
      <c r="T118" t="s">
        <v>78</v>
      </c>
      <c r="U118" t="s">
        <v>79</v>
      </c>
      <c r="V118" t="s">
        <v>80</v>
      </c>
      <c r="W118" s="1">
        <v>45116</v>
      </c>
      <c r="X118" t="s">
        <v>356</v>
      </c>
      <c r="Y118" t="s">
        <v>599</v>
      </c>
      <c r="Z118" t="s">
        <v>83</v>
      </c>
      <c r="AA118">
        <v>1</v>
      </c>
      <c r="AB118" t="s">
        <v>600</v>
      </c>
      <c r="AD118" t="s">
        <v>343</v>
      </c>
      <c r="AE118" t="s">
        <v>86</v>
      </c>
      <c r="AF118" t="s">
        <v>402</v>
      </c>
      <c r="AG118" t="s">
        <v>601</v>
      </c>
      <c r="AI118" t="s">
        <v>90</v>
      </c>
      <c r="AJ118">
        <v>32.372028999999998</v>
      </c>
      <c r="AK118">
        <v>-110.703188</v>
      </c>
      <c r="AL118">
        <v>3</v>
      </c>
      <c r="AN118">
        <v>1884</v>
      </c>
      <c r="AP118">
        <v>1884</v>
      </c>
      <c r="AQ118">
        <v>1894.808313</v>
      </c>
      <c r="AT118">
        <v>9</v>
      </c>
      <c r="AU118">
        <v>7</v>
      </c>
      <c r="AV118">
        <v>2023</v>
      </c>
      <c r="AW118">
        <v>2438038</v>
      </c>
      <c r="AX118">
        <v>2438038</v>
      </c>
      <c r="AY118" t="s">
        <v>106</v>
      </c>
      <c r="AZ118" t="s">
        <v>92</v>
      </c>
      <c r="BA118" t="s">
        <v>107</v>
      </c>
      <c r="BB118" t="s">
        <v>602</v>
      </c>
      <c r="BC118" t="s">
        <v>95</v>
      </c>
      <c r="BD118" s="1">
        <v>45116</v>
      </c>
      <c r="BE118" t="s">
        <v>96</v>
      </c>
      <c r="BG118" t="s">
        <v>363</v>
      </c>
      <c r="BI118" t="s">
        <v>98</v>
      </c>
      <c r="BJ118" t="s">
        <v>596</v>
      </c>
      <c r="BK118" t="s">
        <v>365</v>
      </c>
      <c r="BL118" t="s">
        <v>110</v>
      </c>
    </row>
    <row r="119" spans="1:64" hidden="1" x14ac:dyDescent="0.2">
      <c r="A119">
        <v>1387</v>
      </c>
      <c r="B119">
        <v>4022923326</v>
      </c>
      <c r="C119" t="s">
        <v>101</v>
      </c>
      <c r="D119" s="2" t="s">
        <v>4937</v>
      </c>
      <c r="E119" t="s">
        <v>65</v>
      </c>
      <c r="F119" t="s">
        <v>66</v>
      </c>
      <c r="G119" t="s">
        <v>67</v>
      </c>
      <c r="H119" t="s">
        <v>68</v>
      </c>
      <c r="I119" t="s">
        <v>69</v>
      </c>
      <c r="J119" t="s">
        <v>70</v>
      </c>
      <c r="K119" t="s">
        <v>4130</v>
      </c>
      <c r="M119" t="s">
        <v>72</v>
      </c>
      <c r="N119" t="s">
        <v>4131</v>
      </c>
      <c r="O119" t="s">
        <v>4130</v>
      </c>
      <c r="P119" t="s">
        <v>4132</v>
      </c>
      <c r="Q119" t="s">
        <v>75</v>
      </c>
      <c r="R119" t="s">
        <v>4501</v>
      </c>
      <c r="S119" t="s">
        <v>4933</v>
      </c>
      <c r="T119" t="s">
        <v>78</v>
      </c>
      <c r="U119" t="s">
        <v>3817</v>
      </c>
      <c r="V119" t="s">
        <v>80</v>
      </c>
      <c r="W119" s="1">
        <v>44535</v>
      </c>
      <c r="X119" t="s">
        <v>4502</v>
      </c>
      <c r="Y119" t="s">
        <v>4934</v>
      </c>
      <c r="Z119" t="s">
        <v>83</v>
      </c>
      <c r="AA119">
        <v>1</v>
      </c>
      <c r="AB119" t="s">
        <v>4739</v>
      </c>
      <c r="AC119">
        <v>0</v>
      </c>
      <c r="AD119" t="s">
        <v>128</v>
      </c>
      <c r="AE119" t="s">
        <v>86</v>
      </c>
      <c r="AF119" t="s">
        <v>146</v>
      </c>
      <c r="AG119" t="s">
        <v>4935</v>
      </c>
      <c r="AI119" t="s">
        <v>90</v>
      </c>
      <c r="AJ119">
        <v>32.336530000000003</v>
      </c>
      <c r="AK119">
        <v>-110.721495</v>
      </c>
      <c r="AL119">
        <v>3</v>
      </c>
      <c r="AN119">
        <v>1472</v>
      </c>
      <c r="AP119">
        <v>1472</v>
      </c>
      <c r="AQ119">
        <v>1476.880169</v>
      </c>
      <c r="AT119">
        <v>5</v>
      </c>
      <c r="AU119">
        <v>12</v>
      </c>
      <c r="AV119">
        <v>2021</v>
      </c>
      <c r="AW119">
        <v>2439591</v>
      </c>
      <c r="AX119">
        <v>2439591</v>
      </c>
      <c r="AY119" t="s">
        <v>106</v>
      </c>
      <c r="AZ119" t="s">
        <v>92</v>
      </c>
      <c r="BA119" t="s">
        <v>107</v>
      </c>
      <c r="BB119" t="s">
        <v>4938</v>
      </c>
      <c r="BC119" t="s">
        <v>1186</v>
      </c>
      <c r="BE119" t="s">
        <v>96</v>
      </c>
      <c r="BG119" t="s">
        <v>4507</v>
      </c>
      <c r="BI119" t="s">
        <v>98</v>
      </c>
      <c r="BJ119" t="s">
        <v>4939</v>
      </c>
      <c r="BL119" t="s">
        <v>412</v>
      </c>
    </row>
    <row r="120" spans="1:64" hidden="1" x14ac:dyDescent="0.2">
      <c r="A120">
        <v>221</v>
      </c>
      <c r="B120">
        <v>4403382419</v>
      </c>
      <c r="C120" t="s">
        <v>101</v>
      </c>
      <c r="D120" t="s">
        <v>606</v>
      </c>
      <c r="E120" t="s">
        <v>65</v>
      </c>
      <c r="F120" t="s">
        <v>66</v>
      </c>
      <c r="G120" t="s">
        <v>67</v>
      </c>
      <c r="H120" t="s">
        <v>68</v>
      </c>
      <c r="I120" t="s">
        <v>176</v>
      </c>
      <c r="J120" t="s">
        <v>177</v>
      </c>
      <c r="K120" t="s">
        <v>178</v>
      </c>
      <c r="M120" t="s">
        <v>72</v>
      </c>
      <c r="N120" t="s">
        <v>179</v>
      </c>
      <c r="O120" t="s">
        <v>178</v>
      </c>
      <c r="P120" t="s">
        <v>180</v>
      </c>
      <c r="Q120" t="s">
        <v>75</v>
      </c>
      <c r="R120" t="s">
        <v>354</v>
      </c>
      <c r="S120" t="s">
        <v>607</v>
      </c>
      <c r="T120" t="s">
        <v>78</v>
      </c>
      <c r="U120" t="s">
        <v>79</v>
      </c>
      <c r="V120" t="s">
        <v>80</v>
      </c>
      <c r="W120" s="1">
        <v>45116</v>
      </c>
      <c r="X120" t="s">
        <v>356</v>
      </c>
      <c r="Y120" t="s">
        <v>608</v>
      </c>
      <c r="Z120" t="s">
        <v>83</v>
      </c>
      <c r="AA120">
        <v>1</v>
      </c>
      <c r="AB120" t="s">
        <v>609</v>
      </c>
      <c r="AD120" t="s">
        <v>343</v>
      </c>
      <c r="AE120" t="s">
        <v>86</v>
      </c>
      <c r="AF120" t="s">
        <v>610</v>
      </c>
      <c r="AG120" t="s">
        <v>579</v>
      </c>
      <c r="AI120" t="s">
        <v>90</v>
      </c>
      <c r="AJ120">
        <v>32.372855000000001</v>
      </c>
      <c r="AK120">
        <v>-110.70121</v>
      </c>
      <c r="AL120">
        <v>3</v>
      </c>
      <c r="AN120">
        <v>1897</v>
      </c>
      <c r="AP120">
        <v>1897</v>
      </c>
      <c r="AQ120">
        <v>1911.892965</v>
      </c>
      <c r="AT120">
        <v>9</v>
      </c>
      <c r="AU120">
        <v>7</v>
      </c>
      <c r="AV120">
        <v>2023</v>
      </c>
      <c r="AW120">
        <v>2438038</v>
      </c>
      <c r="AX120">
        <v>2438038</v>
      </c>
      <c r="AY120" t="s">
        <v>106</v>
      </c>
      <c r="AZ120" t="s">
        <v>92</v>
      </c>
      <c r="BA120" t="s">
        <v>107</v>
      </c>
      <c r="BB120" t="s">
        <v>611</v>
      </c>
      <c r="BC120" t="s">
        <v>95</v>
      </c>
      <c r="BD120" s="1">
        <v>45116</v>
      </c>
      <c r="BE120" t="s">
        <v>96</v>
      </c>
      <c r="BG120" t="s">
        <v>363</v>
      </c>
      <c r="BI120" t="s">
        <v>98</v>
      </c>
      <c r="BJ120" t="s">
        <v>596</v>
      </c>
      <c r="BK120" t="s">
        <v>365</v>
      </c>
      <c r="BL120" t="s">
        <v>412</v>
      </c>
    </row>
    <row r="121" spans="1:64" hidden="1" x14ac:dyDescent="0.2">
      <c r="A121">
        <v>1389</v>
      </c>
      <c r="B121">
        <v>4022923324</v>
      </c>
      <c r="C121" t="s">
        <v>101</v>
      </c>
      <c r="D121" s="2" t="s">
        <v>4944</v>
      </c>
      <c r="E121" t="s">
        <v>65</v>
      </c>
      <c r="F121" t="s">
        <v>66</v>
      </c>
      <c r="G121" t="s">
        <v>67</v>
      </c>
      <c r="H121" t="s">
        <v>68</v>
      </c>
      <c r="I121" t="s">
        <v>69</v>
      </c>
      <c r="J121" t="s">
        <v>70</v>
      </c>
      <c r="K121" t="s">
        <v>4195</v>
      </c>
      <c r="M121" t="s">
        <v>72</v>
      </c>
      <c r="N121" t="s">
        <v>4196</v>
      </c>
      <c r="O121" t="s">
        <v>4195</v>
      </c>
      <c r="P121" t="s">
        <v>4197</v>
      </c>
      <c r="Q121" t="s">
        <v>75</v>
      </c>
      <c r="R121" t="s">
        <v>4501</v>
      </c>
      <c r="S121" t="s">
        <v>3796</v>
      </c>
      <c r="T121" t="s">
        <v>78</v>
      </c>
      <c r="U121" t="s">
        <v>3817</v>
      </c>
      <c r="V121" t="s">
        <v>80</v>
      </c>
      <c r="W121" s="1">
        <v>44535</v>
      </c>
      <c r="X121" t="s">
        <v>4502</v>
      </c>
      <c r="Y121" t="s">
        <v>4941</v>
      </c>
      <c r="Z121" t="s">
        <v>83</v>
      </c>
      <c r="AA121">
        <v>1</v>
      </c>
      <c r="AB121" t="s">
        <v>4739</v>
      </c>
      <c r="AC121">
        <v>0</v>
      </c>
      <c r="AD121" t="s">
        <v>128</v>
      </c>
      <c r="AE121" t="s">
        <v>86</v>
      </c>
      <c r="AF121" t="s">
        <v>146</v>
      </c>
      <c r="AG121" t="s">
        <v>1091</v>
      </c>
      <c r="AI121" t="s">
        <v>90</v>
      </c>
      <c r="AJ121">
        <v>32.337257000000001</v>
      </c>
      <c r="AK121">
        <v>-110.720844</v>
      </c>
      <c r="AL121">
        <v>3</v>
      </c>
      <c r="AN121">
        <v>1434</v>
      </c>
      <c r="AP121">
        <v>1434</v>
      </c>
      <c r="AQ121">
        <v>1471.8815930000001</v>
      </c>
      <c r="AT121">
        <v>5</v>
      </c>
      <c r="AU121">
        <v>12</v>
      </c>
      <c r="AV121">
        <v>2021</v>
      </c>
      <c r="AW121">
        <v>2439589</v>
      </c>
      <c r="AX121">
        <v>2439589</v>
      </c>
      <c r="AY121" t="s">
        <v>106</v>
      </c>
      <c r="AZ121" t="s">
        <v>92</v>
      </c>
      <c r="BA121" t="s">
        <v>107</v>
      </c>
      <c r="BB121" t="s">
        <v>4945</v>
      </c>
      <c r="BC121" t="s">
        <v>1186</v>
      </c>
      <c r="BE121" t="s">
        <v>96</v>
      </c>
      <c r="BG121" t="s">
        <v>4507</v>
      </c>
      <c r="BI121" t="s">
        <v>98</v>
      </c>
      <c r="BJ121" t="s">
        <v>2456</v>
      </c>
      <c r="BL121" t="s">
        <v>412</v>
      </c>
    </row>
    <row r="122" spans="1:64" hidden="1" x14ac:dyDescent="0.2">
      <c r="A122">
        <v>213</v>
      </c>
      <c r="B122">
        <v>4403382427</v>
      </c>
      <c r="C122" t="s">
        <v>101</v>
      </c>
      <c r="D122" t="s">
        <v>614</v>
      </c>
      <c r="E122" t="s">
        <v>65</v>
      </c>
      <c r="F122" t="s">
        <v>66</v>
      </c>
      <c r="G122" t="s">
        <v>67</v>
      </c>
      <c r="H122" t="s">
        <v>68</v>
      </c>
      <c r="I122" t="s">
        <v>176</v>
      </c>
      <c r="J122" t="s">
        <v>177</v>
      </c>
      <c r="K122" t="s">
        <v>178</v>
      </c>
      <c r="M122" t="s">
        <v>72</v>
      </c>
      <c r="N122" t="s">
        <v>179</v>
      </c>
      <c r="O122" t="s">
        <v>178</v>
      </c>
      <c r="P122" t="s">
        <v>180</v>
      </c>
      <c r="Q122" t="s">
        <v>75</v>
      </c>
      <c r="R122" t="s">
        <v>354</v>
      </c>
      <c r="S122" t="s">
        <v>615</v>
      </c>
      <c r="T122" t="s">
        <v>78</v>
      </c>
      <c r="U122" t="s">
        <v>79</v>
      </c>
      <c r="V122" t="s">
        <v>80</v>
      </c>
      <c r="W122" s="1">
        <v>45116</v>
      </c>
      <c r="X122" t="s">
        <v>356</v>
      </c>
      <c r="Y122" t="s">
        <v>616</v>
      </c>
      <c r="Z122" t="s">
        <v>83</v>
      </c>
      <c r="AA122">
        <v>1</v>
      </c>
      <c r="AB122" t="s">
        <v>617</v>
      </c>
      <c r="AD122" t="s">
        <v>343</v>
      </c>
      <c r="AE122" t="s">
        <v>86</v>
      </c>
      <c r="AF122" t="s">
        <v>402</v>
      </c>
      <c r="AG122" t="s">
        <v>507</v>
      </c>
      <c r="AI122" t="s">
        <v>90</v>
      </c>
      <c r="AJ122">
        <v>32.372847999999998</v>
      </c>
      <c r="AK122">
        <v>-110.70134400000001</v>
      </c>
      <c r="AL122">
        <v>3</v>
      </c>
      <c r="AN122">
        <v>1904</v>
      </c>
      <c r="AP122">
        <v>1904</v>
      </c>
      <c r="AQ122">
        <v>1915.688744</v>
      </c>
      <c r="AT122">
        <v>9</v>
      </c>
      <c r="AU122">
        <v>7</v>
      </c>
      <c r="AV122">
        <v>2023</v>
      </c>
      <c r="AW122">
        <v>2438038</v>
      </c>
      <c r="AX122">
        <v>2438038</v>
      </c>
      <c r="AY122" t="s">
        <v>106</v>
      </c>
      <c r="AZ122" t="s">
        <v>92</v>
      </c>
      <c r="BA122" t="s">
        <v>107</v>
      </c>
      <c r="BB122" t="s">
        <v>618</v>
      </c>
      <c r="BC122" t="s">
        <v>95</v>
      </c>
      <c r="BD122" s="1">
        <v>45116</v>
      </c>
      <c r="BE122" t="s">
        <v>96</v>
      </c>
      <c r="BG122" t="s">
        <v>363</v>
      </c>
      <c r="BI122" t="s">
        <v>98</v>
      </c>
      <c r="BJ122" t="s">
        <v>583</v>
      </c>
      <c r="BK122" t="s">
        <v>365</v>
      </c>
      <c r="BL122" t="s">
        <v>412</v>
      </c>
    </row>
    <row r="123" spans="1:64" hidden="1" x14ac:dyDescent="0.2">
      <c r="A123">
        <v>1391</v>
      </c>
      <c r="B123">
        <v>4022923322</v>
      </c>
      <c r="C123" t="s">
        <v>101</v>
      </c>
      <c r="D123" t="s">
        <v>4949</v>
      </c>
      <c r="E123" t="s">
        <v>65</v>
      </c>
      <c r="F123" t="s">
        <v>66</v>
      </c>
      <c r="G123" t="s">
        <v>67</v>
      </c>
      <c r="H123" t="s">
        <v>68</v>
      </c>
      <c r="I123" t="s">
        <v>69</v>
      </c>
      <c r="J123" t="s">
        <v>70</v>
      </c>
      <c r="K123" t="s">
        <v>4195</v>
      </c>
      <c r="M123" t="s">
        <v>72</v>
      </c>
      <c r="N123" t="s">
        <v>4196</v>
      </c>
      <c r="O123" t="s">
        <v>4195</v>
      </c>
      <c r="P123" t="s">
        <v>4197</v>
      </c>
      <c r="Q123" t="s">
        <v>75</v>
      </c>
      <c r="R123" t="s">
        <v>4501</v>
      </c>
      <c r="S123" t="s">
        <v>3808</v>
      </c>
      <c r="T123" t="s">
        <v>78</v>
      </c>
      <c r="U123" t="s">
        <v>3817</v>
      </c>
      <c r="V123" t="s">
        <v>80</v>
      </c>
      <c r="W123" s="1">
        <v>44535</v>
      </c>
      <c r="X123" t="s">
        <v>4502</v>
      </c>
      <c r="Y123" t="s">
        <v>4947</v>
      </c>
      <c r="Z123" t="s">
        <v>83</v>
      </c>
      <c r="AA123">
        <v>1</v>
      </c>
      <c r="AB123" t="s">
        <v>4739</v>
      </c>
      <c r="AC123">
        <v>0</v>
      </c>
      <c r="AD123" t="s">
        <v>128</v>
      </c>
      <c r="AE123" t="s">
        <v>145</v>
      </c>
      <c r="AF123" t="s">
        <v>146</v>
      </c>
      <c r="AG123" t="s">
        <v>765</v>
      </c>
      <c r="AI123" t="s">
        <v>90</v>
      </c>
      <c r="AJ123">
        <v>32.337246</v>
      </c>
      <c r="AK123">
        <v>-110.720879</v>
      </c>
      <c r="AL123">
        <v>3</v>
      </c>
      <c r="AN123">
        <v>1433</v>
      </c>
      <c r="AP123">
        <v>1433</v>
      </c>
      <c r="AQ123">
        <v>1471.1775279999999</v>
      </c>
      <c r="AT123">
        <v>5</v>
      </c>
      <c r="AU123">
        <v>12</v>
      </c>
      <c r="AV123">
        <v>2021</v>
      </c>
      <c r="AW123">
        <v>2439589</v>
      </c>
      <c r="AX123">
        <v>2439589</v>
      </c>
      <c r="AY123" t="s">
        <v>106</v>
      </c>
      <c r="AZ123" t="s">
        <v>92</v>
      </c>
      <c r="BA123" t="s">
        <v>107</v>
      </c>
      <c r="BB123" t="s">
        <v>4950</v>
      </c>
      <c r="BC123" t="s">
        <v>1186</v>
      </c>
      <c r="BE123" t="s">
        <v>96</v>
      </c>
      <c r="BG123" t="s">
        <v>4507</v>
      </c>
      <c r="BI123" t="s">
        <v>98</v>
      </c>
      <c r="BJ123" t="s">
        <v>2459</v>
      </c>
      <c r="BL123" t="s">
        <v>412</v>
      </c>
    </row>
    <row r="124" spans="1:64" hidden="1" x14ac:dyDescent="0.2">
      <c r="A124">
        <v>167</v>
      </c>
      <c r="B124">
        <v>4403382473</v>
      </c>
      <c r="C124" t="s">
        <v>101</v>
      </c>
      <c r="D124" t="s">
        <v>621</v>
      </c>
      <c r="E124" t="s">
        <v>65</v>
      </c>
      <c r="F124" t="s">
        <v>66</v>
      </c>
      <c r="G124" t="s">
        <v>67</v>
      </c>
      <c r="H124" t="s">
        <v>68</v>
      </c>
      <c r="I124" t="s">
        <v>176</v>
      </c>
      <c r="J124" t="s">
        <v>177</v>
      </c>
      <c r="K124" t="s">
        <v>178</v>
      </c>
      <c r="M124" t="s">
        <v>72</v>
      </c>
      <c r="N124" t="s">
        <v>179</v>
      </c>
      <c r="O124" t="s">
        <v>178</v>
      </c>
      <c r="P124" t="s">
        <v>180</v>
      </c>
      <c r="Q124" t="s">
        <v>75</v>
      </c>
      <c r="R124" t="s">
        <v>354</v>
      </c>
      <c r="S124" t="s">
        <v>622</v>
      </c>
      <c r="T124" t="s">
        <v>78</v>
      </c>
      <c r="U124" t="s">
        <v>79</v>
      </c>
      <c r="V124" t="s">
        <v>80</v>
      </c>
      <c r="W124" s="1">
        <v>45116</v>
      </c>
      <c r="X124" t="s">
        <v>356</v>
      </c>
      <c r="Y124" t="s">
        <v>623</v>
      </c>
      <c r="Z124" t="s">
        <v>83</v>
      </c>
      <c r="AA124">
        <v>1</v>
      </c>
      <c r="AB124" t="s">
        <v>624</v>
      </c>
      <c r="AD124" t="s">
        <v>343</v>
      </c>
      <c r="AE124" t="s">
        <v>86</v>
      </c>
      <c r="AF124" t="s">
        <v>402</v>
      </c>
      <c r="AG124" t="s">
        <v>625</v>
      </c>
      <c r="AI124" t="s">
        <v>90</v>
      </c>
      <c r="AJ124">
        <v>32.373125000000002</v>
      </c>
      <c r="AK124">
        <v>-110.701713</v>
      </c>
      <c r="AL124">
        <v>3</v>
      </c>
      <c r="AN124">
        <v>1917</v>
      </c>
      <c r="AP124">
        <v>1917</v>
      </c>
      <c r="AQ124">
        <v>1928.7083</v>
      </c>
      <c r="AT124">
        <v>9</v>
      </c>
      <c r="AU124">
        <v>7</v>
      </c>
      <c r="AV124">
        <v>2023</v>
      </c>
      <c r="AW124">
        <v>2438038</v>
      </c>
      <c r="AX124">
        <v>2438038</v>
      </c>
      <c r="AY124" t="s">
        <v>106</v>
      </c>
      <c r="AZ124" t="s">
        <v>92</v>
      </c>
      <c r="BA124" t="s">
        <v>107</v>
      </c>
      <c r="BB124" t="s">
        <v>626</v>
      </c>
      <c r="BC124" t="s">
        <v>95</v>
      </c>
      <c r="BD124" s="1">
        <v>45116</v>
      </c>
      <c r="BE124" t="s">
        <v>96</v>
      </c>
      <c r="BG124" t="s">
        <v>363</v>
      </c>
      <c r="BI124" t="s">
        <v>98</v>
      </c>
      <c r="BJ124" t="s">
        <v>627</v>
      </c>
      <c r="BK124" t="s">
        <v>365</v>
      </c>
      <c r="BL124" t="s">
        <v>412</v>
      </c>
    </row>
    <row r="125" spans="1:64" hidden="1" x14ac:dyDescent="0.2">
      <c r="A125">
        <v>1392</v>
      </c>
      <c r="B125">
        <v>4022923321</v>
      </c>
      <c r="C125" t="s">
        <v>101</v>
      </c>
      <c r="D125" t="s">
        <v>4951</v>
      </c>
      <c r="E125" t="s">
        <v>65</v>
      </c>
      <c r="F125" t="s">
        <v>66</v>
      </c>
      <c r="G125" t="s">
        <v>67</v>
      </c>
      <c r="H125" t="s">
        <v>68</v>
      </c>
      <c r="I125" t="s">
        <v>176</v>
      </c>
      <c r="J125" t="s">
        <v>177</v>
      </c>
      <c r="K125" t="s">
        <v>178</v>
      </c>
      <c r="M125" t="s">
        <v>72</v>
      </c>
      <c r="N125" t="s">
        <v>179</v>
      </c>
      <c r="O125" t="s">
        <v>178</v>
      </c>
      <c r="P125" t="s">
        <v>180</v>
      </c>
      <c r="Q125" t="s">
        <v>75</v>
      </c>
      <c r="R125" t="s">
        <v>4501</v>
      </c>
      <c r="S125" t="s">
        <v>4137</v>
      </c>
      <c r="T125" t="s">
        <v>78</v>
      </c>
      <c r="U125" t="s">
        <v>3817</v>
      </c>
      <c r="V125" t="s">
        <v>80</v>
      </c>
      <c r="W125" s="1">
        <v>44535</v>
      </c>
      <c r="X125" t="s">
        <v>4502</v>
      </c>
      <c r="Y125" t="s">
        <v>4952</v>
      </c>
      <c r="Z125" t="s">
        <v>83</v>
      </c>
      <c r="AA125">
        <v>1</v>
      </c>
      <c r="AB125" t="s">
        <v>4739</v>
      </c>
      <c r="AC125">
        <v>0</v>
      </c>
      <c r="AD125" t="s">
        <v>128</v>
      </c>
      <c r="AE125" t="s">
        <v>145</v>
      </c>
      <c r="AF125" t="s">
        <v>146</v>
      </c>
      <c r="AG125" t="s">
        <v>980</v>
      </c>
      <c r="AI125" t="s">
        <v>90</v>
      </c>
      <c r="AJ125">
        <v>32.337330000000001</v>
      </c>
      <c r="AK125">
        <v>-110.721232</v>
      </c>
      <c r="AL125">
        <v>3</v>
      </c>
      <c r="AN125">
        <v>1461</v>
      </c>
      <c r="AP125">
        <v>1461</v>
      </c>
      <c r="AQ125">
        <v>1469.676743</v>
      </c>
      <c r="AT125">
        <v>5</v>
      </c>
      <c r="AU125">
        <v>12</v>
      </c>
      <c r="AV125">
        <v>2021</v>
      </c>
      <c r="AW125">
        <v>2438038</v>
      </c>
      <c r="AX125">
        <v>2438038</v>
      </c>
      <c r="AY125" t="s">
        <v>106</v>
      </c>
      <c r="AZ125" t="s">
        <v>92</v>
      </c>
      <c r="BA125" t="s">
        <v>107</v>
      </c>
      <c r="BB125" t="s">
        <v>4953</v>
      </c>
      <c r="BC125" t="s">
        <v>1186</v>
      </c>
      <c r="BE125" t="s">
        <v>96</v>
      </c>
      <c r="BG125" t="s">
        <v>4507</v>
      </c>
      <c r="BI125" t="s">
        <v>98</v>
      </c>
      <c r="BJ125" t="s">
        <v>4698</v>
      </c>
      <c r="BL125" t="s">
        <v>412</v>
      </c>
    </row>
    <row r="126" spans="1:64" hidden="1" x14ac:dyDescent="0.2">
      <c r="A126">
        <v>173</v>
      </c>
      <c r="B126">
        <v>4403382467</v>
      </c>
      <c r="C126" t="s">
        <v>101</v>
      </c>
      <c r="D126" t="s">
        <v>631</v>
      </c>
      <c r="E126" t="s">
        <v>65</v>
      </c>
      <c r="F126" t="s">
        <v>66</v>
      </c>
      <c r="G126" t="s">
        <v>67</v>
      </c>
      <c r="H126" t="s">
        <v>68</v>
      </c>
      <c r="I126" t="s">
        <v>176</v>
      </c>
      <c r="J126" t="s">
        <v>177</v>
      </c>
      <c r="K126" t="s">
        <v>178</v>
      </c>
      <c r="M126" t="s">
        <v>72</v>
      </c>
      <c r="N126" t="s">
        <v>179</v>
      </c>
      <c r="O126" t="s">
        <v>178</v>
      </c>
      <c r="P126" t="s">
        <v>180</v>
      </c>
      <c r="Q126" t="s">
        <v>75</v>
      </c>
      <c r="R126" t="s">
        <v>354</v>
      </c>
      <c r="S126" t="s">
        <v>632</v>
      </c>
      <c r="T126" t="s">
        <v>78</v>
      </c>
      <c r="U126" t="s">
        <v>79</v>
      </c>
      <c r="V126" t="s">
        <v>80</v>
      </c>
      <c r="W126" s="1">
        <v>45116</v>
      </c>
      <c r="X126" t="s">
        <v>356</v>
      </c>
      <c r="Y126" t="s">
        <v>633</v>
      </c>
      <c r="Z126" t="s">
        <v>83</v>
      </c>
      <c r="AA126">
        <v>1</v>
      </c>
      <c r="AB126" t="s">
        <v>634</v>
      </c>
      <c r="AD126" t="s">
        <v>343</v>
      </c>
      <c r="AE126" t="s">
        <v>145</v>
      </c>
      <c r="AF126" t="s">
        <v>402</v>
      </c>
      <c r="AG126" t="s">
        <v>344</v>
      </c>
      <c r="AI126" t="s">
        <v>90</v>
      </c>
      <c r="AJ126">
        <v>32.372857000000003</v>
      </c>
      <c r="AK126">
        <v>-110.70119099999999</v>
      </c>
      <c r="AL126">
        <v>3</v>
      </c>
      <c r="AN126">
        <v>1896</v>
      </c>
      <c r="AP126">
        <v>1896</v>
      </c>
      <c r="AQ126">
        <v>1911.37922</v>
      </c>
      <c r="AT126">
        <v>9</v>
      </c>
      <c r="AU126">
        <v>7</v>
      </c>
      <c r="AV126">
        <v>2023</v>
      </c>
      <c r="AW126">
        <v>2438038</v>
      </c>
      <c r="AX126">
        <v>2438038</v>
      </c>
      <c r="AY126" t="s">
        <v>106</v>
      </c>
      <c r="AZ126" t="s">
        <v>92</v>
      </c>
      <c r="BA126" t="s">
        <v>107</v>
      </c>
      <c r="BB126" t="s">
        <v>635</v>
      </c>
      <c r="BC126" t="s">
        <v>95</v>
      </c>
      <c r="BD126" s="1">
        <v>45116</v>
      </c>
      <c r="BE126" t="s">
        <v>96</v>
      </c>
      <c r="BG126" t="s">
        <v>363</v>
      </c>
      <c r="BI126" t="s">
        <v>98</v>
      </c>
      <c r="BJ126" t="s">
        <v>636</v>
      </c>
      <c r="BK126" t="s">
        <v>365</v>
      </c>
      <c r="BL126" t="s">
        <v>412</v>
      </c>
    </row>
    <row r="127" spans="1:64" x14ac:dyDescent="0.2">
      <c r="A127">
        <v>406</v>
      </c>
      <c r="B127">
        <v>4136459563</v>
      </c>
      <c r="C127" t="s">
        <v>101</v>
      </c>
      <c r="D127" t="s">
        <v>5437</v>
      </c>
      <c r="E127" t="s">
        <v>65</v>
      </c>
      <c r="F127" t="s">
        <v>66</v>
      </c>
      <c r="G127" t="s">
        <v>67</v>
      </c>
      <c r="H127" t="s">
        <v>68</v>
      </c>
      <c r="I127" t="s">
        <v>176</v>
      </c>
      <c r="J127" t="s">
        <v>773</v>
      </c>
      <c r="K127" t="s">
        <v>1347</v>
      </c>
      <c r="M127" t="s">
        <v>72</v>
      </c>
      <c r="N127" t="s">
        <v>1348</v>
      </c>
      <c r="O127" t="s">
        <v>1347</v>
      </c>
      <c r="P127" t="s">
        <v>1349</v>
      </c>
      <c r="Q127" t="s">
        <v>75</v>
      </c>
      <c r="R127" t="s">
        <v>5008</v>
      </c>
      <c r="S127" t="s">
        <v>5434</v>
      </c>
      <c r="T127" t="s">
        <v>78</v>
      </c>
      <c r="U127" t="s">
        <v>5009</v>
      </c>
      <c r="V127" t="s">
        <v>80</v>
      </c>
      <c r="W127" s="1">
        <v>44905</v>
      </c>
      <c r="X127" t="s">
        <v>5010</v>
      </c>
      <c r="Y127" t="s">
        <v>5435</v>
      </c>
      <c r="Z127" t="s">
        <v>83</v>
      </c>
      <c r="AA127">
        <v>1</v>
      </c>
      <c r="AB127" t="s">
        <v>657</v>
      </c>
      <c r="AC127">
        <v>0</v>
      </c>
      <c r="AD127" t="s">
        <v>119</v>
      </c>
      <c r="AE127" t="s">
        <v>86</v>
      </c>
      <c r="AF127" t="s">
        <v>146</v>
      </c>
      <c r="AG127" t="s">
        <v>5343</v>
      </c>
      <c r="AI127" t="s">
        <v>90</v>
      </c>
      <c r="AJ127">
        <v>32.314256999999998</v>
      </c>
      <c r="AK127">
        <v>-110.71429000000001</v>
      </c>
      <c r="AL127">
        <v>3</v>
      </c>
      <c r="AP127">
        <v>1213.10761</v>
      </c>
      <c r="AQ127">
        <v>1213.10761</v>
      </c>
      <c r="AT127">
        <v>10</v>
      </c>
      <c r="AU127">
        <v>12</v>
      </c>
      <c r="AV127">
        <v>2022</v>
      </c>
      <c r="AW127">
        <v>2438454</v>
      </c>
      <c r="AX127">
        <v>2438454</v>
      </c>
      <c r="AY127" t="s">
        <v>106</v>
      </c>
      <c r="AZ127" t="s">
        <v>92</v>
      </c>
      <c r="BA127" t="s">
        <v>107</v>
      </c>
      <c r="BB127" t="s">
        <v>5438</v>
      </c>
      <c r="BC127" t="s">
        <v>5313</v>
      </c>
      <c r="BD127" s="1">
        <v>44905</v>
      </c>
      <c r="BE127" t="s">
        <v>96</v>
      </c>
      <c r="BG127" t="s">
        <v>5314</v>
      </c>
      <c r="BI127" t="s">
        <v>98</v>
      </c>
      <c r="BJ127" t="s">
        <v>2774</v>
      </c>
      <c r="BL127" t="s">
        <v>412</v>
      </c>
    </row>
    <row r="128" spans="1:64" hidden="1" x14ac:dyDescent="0.2">
      <c r="A128">
        <v>1083</v>
      </c>
      <c r="B128">
        <v>4027015347</v>
      </c>
      <c r="C128" t="s">
        <v>101</v>
      </c>
      <c r="D128" t="s">
        <v>762</v>
      </c>
      <c r="E128" t="s">
        <v>65</v>
      </c>
      <c r="F128" t="s">
        <v>66</v>
      </c>
      <c r="G128" t="s">
        <v>67</v>
      </c>
      <c r="H128" t="s">
        <v>68</v>
      </c>
      <c r="I128" t="s">
        <v>176</v>
      </c>
      <c r="J128" t="s">
        <v>177</v>
      </c>
      <c r="K128" t="s">
        <v>178</v>
      </c>
      <c r="M128" t="s">
        <v>72</v>
      </c>
      <c r="N128" t="s">
        <v>179</v>
      </c>
      <c r="O128" t="s">
        <v>178</v>
      </c>
      <c r="P128" t="s">
        <v>180</v>
      </c>
      <c r="Q128" t="s">
        <v>75</v>
      </c>
      <c r="R128" t="s">
        <v>644</v>
      </c>
      <c r="S128" t="s">
        <v>763</v>
      </c>
      <c r="T128" t="s">
        <v>78</v>
      </c>
      <c r="U128" t="s">
        <v>646</v>
      </c>
      <c r="V128" t="s">
        <v>80</v>
      </c>
      <c r="W128" s="1">
        <v>44694</v>
      </c>
      <c r="X128" t="s">
        <v>647</v>
      </c>
      <c r="Y128" t="s">
        <v>764</v>
      </c>
      <c r="Z128" t="s">
        <v>83</v>
      </c>
      <c r="AA128">
        <v>1</v>
      </c>
      <c r="AB128" t="s">
        <v>677</v>
      </c>
      <c r="AC128">
        <v>0</v>
      </c>
      <c r="AD128" t="s">
        <v>128</v>
      </c>
      <c r="AE128" t="s">
        <v>145</v>
      </c>
      <c r="AF128" t="s">
        <v>146</v>
      </c>
      <c r="AG128" t="s">
        <v>765</v>
      </c>
      <c r="AI128" t="s">
        <v>90</v>
      </c>
      <c r="AJ128">
        <v>32.387717000000002</v>
      </c>
      <c r="AK128">
        <v>-110.712658</v>
      </c>
      <c r="AL128">
        <v>3</v>
      </c>
      <c r="AN128">
        <v>2113</v>
      </c>
      <c r="AP128">
        <v>2113</v>
      </c>
      <c r="AQ128">
        <v>2127.7027750000002</v>
      </c>
      <c r="AT128">
        <v>13</v>
      </c>
      <c r="AU128">
        <v>5</v>
      </c>
      <c r="AV128">
        <v>2022</v>
      </c>
      <c r="AW128">
        <v>2438038</v>
      </c>
      <c r="AX128">
        <v>2438038</v>
      </c>
      <c r="AY128" t="s">
        <v>106</v>
      </c>
      <c r="AZ128" t="s">
        <v>92</v>
      </c>
      <c r="BA128" t="s">
        <v>107</v>
      </c>
      <c r="BB128" t="s">
        <v>766</v>
      </c>
      <c r="BC128" t="s">
        <v>97</v>
      </c>
      <c r="BE128" t="s">
        <v>96</v>
      </c>
      <c r="BG128" t="s">
        <v>654</v>
      </c>
      <c r="BI128" t="s">
        <v>98</v>
      </c>
      <c r="BJ128" t="s">
        <v>740</v>
      </c>
      <c r="BL128" t="s">
        <v>110</v>
      </c>
    </row>
    <row r="129" spans="1:64" x14ac:dyDescent="0.2">
      <c r="A129">
        <v>612</v>
      </c>
      <c r="B129">
        <v>4136459330</v>
      </c>
      <c r="C129" t="s">
        <v>101</v>
      </c>
      <c r="D129" t="s">
        <v>5439</v>
      </c>
      <c r="E129" t="s">
        <v>65</v>
      </c>
      <c r="F129" t="s">
        <v>66</v>
      </c>
      <c r="G129" t="s">
        <v>67</v>
      </c>
      <c r="H129" t="s">
        <v>68</v>
      </c>
      <c r="I129" t="s">
        <v>176</v>
      </c>
      <c r="J129" t="s">
        <v>773</v>
      </c>
      <c r="K129" t="s">
        <v>1347</v>
      </c>
      <c r="M129" t="s">
        <v>72</v>
      </c>
      <c r="N129" t="s">
        <v>1348</v>
      </c>
      <c r="O129" t="s">
        <v>1347</v>
      </c>
      <c r="P129" t="s">
        <v>1349</v>
      </c>
      <c r="Q129" t="s">
        <v>75</v>
      </c>
      <c r="R129" t="s">
        <v>5008</v>
      </c>
      <c r="S129" t="s">
        <v>5434</v>
      </c>
      <c r="T129" t="s">
        <v>78</v>
      </c>
      <c r="U129" t="s">
        <v>5009</v>
      </c>
      <c r="V129" t="s">
        <v>80</v>
      </c>
      <c r="W129" s="1">
        <v>44905</v>
      </c>
      <c r="X129" t="s">
        <v>5010</v>
      </c>
      <c r="Y129" t="s">
        <v>5435</v>
      </c>
      <c r="Z129" t="s">
        <v>83</v>
      </c>
      <c r="AA129">
        <v>1</v>
      </c>
      <c r="AB129" t="s">
        <v>657</v>
      </c>
      <c r="AC129">
        <v>0</v>
      </c>
      <c r="AD129" t="s">
        <v>119</v>
      </c>
      <c r="AE129" t="s">
        <v>86</v>
      </c>
      <c r="AF129" t="s">
        <v>146</v>
      </c>
      <c r="AG129" t="s">
        <v>5343</v>
      </c>
      <c r="AI129" t="s">
        <v>90</v>
      </c>
      <c r="AJ129">
        <v>32.314256999999998</v>
      </c>
      <c r="AK129">
        <v>-110.71429000000001</v>
      </c>
      <c r="AL129">
        <v>3</v>
      </c>
      <c r="AP129">
        <v>1213.10761</v>
      </c>
      <c r="AQ129">
        <v>1213.10761</v>
      </c>
      <c r="AT129">
        <v>10</v>
      </c>
      <c r="AU129">
        <v>12</v>
      </c>
      <c r="AV129">
        <v>2022</v>
      </c>
      <c r="AW129">
        <v>2438454</v>
      </c>
      <c r="AX129">
        <v>2438454</v>
      </c>
      <c r="AY129" t="s">
        <v>106</v>
      </c>
      <c r="AZ129" t="s">
        <v>92</v>
      </c>
      <c r="BA129" t="s">
        <v>107</v>
      </c>
      <c r="BB129" t="s">
        <v>5440</v>
      </c>
      <c r="BC129" t="s">
        <v>5313</v>
      </c>
      <c r="BD129" s="1">
        <v>44905</v>
      </c>
      <c r="BE129" t="s">
        <v>96</v>
      </c>
      <c r="BG129" t="s">
        <v>5314</v>
      </c>
      <c r="BI129" t="s">
        <v>98</v>
      </c>
      <c r="BJ129" t="s">
        <v>2972</v>
      </c>
      <c r="BL129" t="s">
        <v>412</v>
      </c>
    </row>
    <row r="130" spans="1:64" hidden="1" x14ac:dyDescent="0.2">
      <c r="A130">
        <v>1023</v>
      </c>
      <c r="B130">
        <v>4027015407</v>
      </c>
      <c r="C130" t="s">
        <v>101</v>
      </c>
      <c r="D130" t="s">
        <v>662</v>
      </c>
      <c r="E130" t="s">
        <v>65</v>
      </c>
      <c r="F130" t="s">
        <v>66</v>
      </c>
      <c r="G130" t="s">
        <v>67</v>
      </c>
      <c r="H130" t="s">
        <v>68</v>
      </c>
      <c r="I130" t="s">
        <v>176</v>
      </c>
      <c r="J130" t="s">
        <v>177</v>
      </c>
      <c r="K130" t="s">
        <v>178</v>
      </c>
      <c r="M130" t="s">
        <v>72</v>
      </c>
      <c r="N130" t="s">
        <v>179</v>
      </c>
      <c r="O130" t="s">
        <v>178</v>
      </c>
      <c r="P130" t="s">
        <v>180</v>
      </c>
      <c r="Q130" t="s">
        <v>75</v>
      </c>
      <c r="R130" t="s">
        <v>644</v>
      </c>
      <c r="S130" t="s">
        <v>645</v>
      </c>
      <c r="T130" t="s">
        <v>78</v>
      </c>
      <c r="U130" t="s">
        <v>646</v>
      </c>
      <c r="V130" t="s">
        <v>80</v>
      </c>
      <c r="W130" s="1">
        <v>44694</v>
      </c>
      <c r="X130" t="s">
        <v>647</v>
      </c>
      <c r="Y130" t="s">
        <v>648</v>
      </c>
      <c r="Z130" t="s">
        <v>83</v>
      </c>
      <c r="AA130">
        <v>1</v>
      </c>
      <c r="AB130" t="s">
        <v>657</v>
      </c>
      <c r="AD130" t="s">
        <v>112</v>
      </c>
      <c r="AE130" t="s">
        <v>145</v>
      </c>
      <c r="AF130" t="s">
        <v>146</v>
      </c>
      <c r="AG130" t="s">
        <v>658</v>
      </c>
      <c r="AH130" t="s">
        <v>663</v>
      </c>
      <c r="AI130" t="s">
        <v>90</v>
      </c>
      <c r="AJ130">
        <v>32.387782999999999</v>
      </c>
      <c r="AK130">
        <v>-110.712097</v>
      </c>
      <c r="AL130">
        <v>3</v>
      </c>
      <c r="AN130">
        <v>2096</v>
      </c>
      <c r="AP130">
        <v>2096</v>
      </c>
      <c r="AQ130">
        <v>2121.2476489999999</v>
      </c>
      <c r="AT130">
        <v>13</v>
      </c>
      <c r="AU130">
        <v>5</v>
      </c>
      <c r="AV130">
        <v>2022</v>
      </c>
      <c r="AW130">
        <v>2438038</v>
      </c>
      <c r="AX130">
        <v>2438038</v>
      </c>
      <c r="AY130" t="s">
        <v>106</v>
      </c>
      <c r="AZ130" t="s">
        <v>92</v>
      </c>
      <c r="BA130" t="s">
        <v>107</v>
      </c>
      <c r="BB130" t="s">
        <v>664</v>
      </c>
      <c r="BC130" t="s">
        <v>97</v>
      </c>
      <c r="BE130" t="s">
        <v>96</v>
      </c>
      <c r="BG130" t="s">
        <v>654</v>
      </c>
      <c r="BI130" t="s">
        <v>98</v>
      </c>
      <c r="BJ130" t="s">
        <v>665</v>
      </c>
      <c r="BL130" t="s">
        <v>110</v>
      </c>
    </row>
    <row r="131" spans="1:64" hidden="1" x14ac:dyDescent="0.2">
      <c r="A131">
        <v>1021</v>
      </c>
      <c r="B131">
        <v>4027015409</v>
      </c>
      <c r="C131" t="s">
        <v>101</v>
      </c>
      <c r="D131" t="s">
        <v>666</v>
      </c>
      <c r="E131" t="s">
        <v>65</v>
      </c>
      <c r="F131" t="s">
        <v>66</v>
      </c>
      <c r="G131" t="s">
        <v>67</v>
      </c>
      <c r="H131" t="s">
        <v>68</v>
      </c>
      <c r="I131" t="s">
        <v>176</v>
      </c>
      <c r="J131" t="s">
        <v>177</v>
      </c>
      <c r="K131" t="s">
        <v>178</v>
      </c>
      <c r="M131" t="s">
        <v>72</v>
      </c>
      <c r="N131" t="s">
        <v>179</v>
      </c>
      <c r="O131" t="s">
        <v>178</v>
      </c>
      <c r="P131" t="s">
        <v>180</v>
      </c>
      <c r="Q131" t="s">
        <v>75</v>
      </c>
      <c r="R131" t="s">
        <v>644</v>
      </c>
      <c r="S131" t="s">
        <v>645</v>
      </c>
      <c r="T131" t="s">
        <v>78</v>
      </c>
      <c r="U131" t="s">
        <v>646</v>
      </c>
      <c r="V131" t="s">
        <v>80</v>
      </c>
      <c r="W131" s="1">
        <v>44694</v>
      </c>
      <c r="X131" t="s">
        <v>647</v>
      </c>
      <c r="Y131" t="s">
        <v>648</v>
      </c>
      <c r="Z131" t="s">
        <v>83</v>
      </c>
      <c r="AA131">
        <v>1</v>
      </c>
      <c r="AB131" t="s">
        <v>657</v>
      </c>
      <c r="AD131" t="s">
        <v>116</v>
      </c>
      <c r="AE131" t="s">
        <v>145</v>
      </c>
      <c r="AF131" t="s">
        <v>146</v>
      </c>
      <c r="AG131" t="s">
        <v>658</v>
      </c>
      <c r="AH131" t="s">
        <v>663</v>
      </c>
      <c r="AI131" t="s">
        <v>90</v>
      </c>
      <c r="AJ131">
        <v>32.387782999999999</v>
      </c>
      <c r="AK131">
        <v>-110.712097</v>
      </c>
      <c r="AL131">
        <v>3</v>
      </c>
      <c r="AN131">
        <v>2096</v>
      </c>
      <c r="AP131">
        <v>2096</v>
      </c>
      <c r="AQ131">
        <v>2121.2476489999999</v>
      </c>
      <c r="AT131">
        <v>13</v>
      </c>
      <c r="AU131">
        <v>5</v>
      </c>
      <c r="AV131">
        <v>2022</v>
      </c>
      <c r="AW131">
        <v>2438038</v>
      </c>
      <c r="AX131">
        <v>2438038</v>
      </c>
      <c r="AY131" t="s">
        <v>106</v>
      </c>
      <c r="AZ131" t="s">
        <v>92</v>
      </c>
      <c r="BA131" t="s">
        <v>107</v>
      </c>
      <c r="BB131" t="s">
        <v>667</v>
      </c>
      <c r="BC131" t="s">
        <v>97</v>
      </c>
      <c r="BE131" t="s">
        <v>96</v>
      </c>
      <c r="BG131" t="s">
        <v>654</v>
      </c>
      <c r="BI131" t="s">
        <v>98</v>
      </c>
      <c r="BJ131" t="s">
        <v>668</v>
      </c>
      <c r="BL131" t="s">
        <v>110</v>
      </c>
    </row>
    <row r="132" spans="1:64" hidden="1" x14ac:dyDescent="0.2">
      <c r="A132">
        <v>1019</v>
      </c>
      <c r="B132">
        <v>4027015411</v>
      </c>
      <c r="C132" t="s">
        <v>101</v>
      </c>
      <c r="D132" t="s">
        <v>669</v>
      </c>
      <c r="E132" t="s">
        <v>65</v>
      </c>
      <c r="F132" t="s">
        <v>66</v>
      </c>
      <c r="G132" t="s">
        <v>67</v>
      </c>
      <c r="H132" t="s">
        <v>68</v>
      </c>
      <c r="I132" t="s">
        <v>176</v>
      </c>
      <c r="J132" t="s">
        <v>177</v>
      </c>
      <c r="K132" t="s">
        <v>178</v>
      </c>
      <c r="M132" t="s">
        <v>72</v>
      </c>
      <c r="N132" t="s">
        <v>179</v>
      </c>
      <c r="O132" t="s">
        <v>178</v>
      </c>
      <c r="P132" t="s">
        <v>180</v>
      </c>
      <c r="Q132" t="s">
        <v>75</v>
      </c>
      <c r="R132" t="s">
        <v>644</v>
      </c>
      <c r="S132" t="s">
        <v>645</v>
      </c>
      <c r="T132" t="s">
        <v>78</v>
      </c>
      <c r="U132" t="s">
        <v>646</v>
      </c>
      <c r="V132" t="s">
        <v>80</v>
      </c>
      <c r="W132" s="1">
        <v>44694</v>
      </c>
      <c r="X132" t="s">
        <v>647</v>
      </c>
      <c r="Y132" t="s">
        <v>648</v>
      </c>
      <c r="Z132" t="s">
        <v>83</v>
      </c>
      <c r="AA132">
        <v>1</v>
      </c>
      <c r="AB132" t="s">
        <v>657</v>
      </c>
      <c r="AD132" t="s">
        <v>104</v>
      </c>
      <c r="AE132" t="s">
        <v>145</v>
      </c>
      <c r="AF132" t="s">
        <v>146</v>
      </c>
      <c r="AG132" t="s">
        <v>658</v>
      </c>
      <c r="AH132" t="s">
        <v>663</v>
      </c>
      <c r="AI132" t="s">
        <v>90</v>
      </c>
      <c r="AJ132">
        <v>32.387782999999999</v>
      </c>
      <c r="AK132">
        <v>-110.712097</v>
      </c>
      <c r="AL132">
        <v>3</v>
      </c>
      <c r="AN132">
        <v>2096</v>
      </c>
      <c r="AP132">
        <v>2096</v>
      </c>
      <c r="AQ132">
        <v>2121.2476489999999</v>
      </c>
      <c r="AT132">
        <v>13</v>
      </c>
      <c r="AU132">
        <v>5</v>
      </c>
      <c r="AV132">
        <v>2022</v>
      </c>
      <c r="AW132">
        <v>2438038</v>
      </c>
      <c r="AX132">
        <v>2438038</v>
      </c>
      <c r="AY132" t="s">
        <v>106</v>
      </c>
      <c r="AZ132" t="s">
        <v>92</v>
      </c>
      <c r="BA132" t="s">
        <v>107</v>
      </c>
      <c r="BB132" t="s">
        <v>670</v>
      </c>
      <c r="BC132" t="s">
        <v>97</v>
      </c>
      <c r="BE132" t="s">
        <v>96</v>
      </c>
      <c r="BG132" t="s">
        <v>654</v>
      </c>
      <c r="BI132" t="s">
        <v>98</v>
      </c>
      <c r="BJ132" t="s">
        <v>668</v>
      </c>
      <c r="BL132" t="s">
        <v>110</v>
      </c>
    </row>
    <row r="133" spans="1:64" hidden="1" x14ac:dyDescent="0.2">
      <c r="A133">
        <v>1046</v>
      </c>
      <c r="B133">
        <v>4027015384</v>
      </c>
      <c r="C133" t="s">
        <v>101</v>
      </c>
      <c r="D133" t="s">
        <v>671</v>
      </c>
      <c r="E133" t="s">
        <v>65</v>
      </c>
      <c r="F133" t="s">
        <v>66</v>
      </c>
      <c r="G133" t="s">
        <v>67</v>
      </c>
      <c r="H133" t="s">
        <v>68</v>
      </c>
      <c r="I133" t="s">
        <v>176</v>
      </c>
      <c r="J133" t="s">
        <v>177</v>
      </c>
      <c r="K133" t="s">
        <v>178</v>
      </c>
      <c r="M133" t="s">
        <v>72</v>
      </c>
      <c r="N133" t="s">
        <v>179</v>
      </c>
      <c r="O133" t="s">
        <v>178</v>
      </c>
      <c r="P133" t="s">
        <v>180</v>
      </c>
      <c r="Q133" t="s">
        <v>75</v>
      </c>
      <c r="R133" t="s">
        <v>644</v>
      </c>
      <c r="S133" t="s">
        <v>645</v>
      </c>
      <c r="T133" t="s">
        <v>78</v>
      </c>
      <c r="U133" t="s">
        <v>646</v>
      </c>
      <c r="V133" t="s">
        <v>80</v>
      </c>
      <c r="W133" s="1">
        <v>44694</v>
      </c>
      <c r="X133" t="s">
        <v>647</v>
      </c>
      <c r="Y133" t="s">
        <v>648</v>
      </c>
      <c r="Z133" t="s">
        <v>83</v>
      </c>
      <c r="AA133">
        <v>1</v>
      </c>
      <c r="AB133" t="s">
        <v>672</v>
      </c>
      <c r="AD133" t="s">
        <v>134</v>
      </c>
      <c r="AE133" t="s">
        <v>145</v>
      </c>
      <c r="AF133" t="s">
        <v>146</v>
      </c>
      <c r="AG133" t="s">
        <v>658</v>
      </c>
      <c r="AH133" t="s">
        <v>673</v>
      </c>
      <c r="AI133" t="s">
        <v>90</v>
      </c>
      <c r="AJ133">
        <v>32.387782999999999</v>
      </c>
      <c r="AK133">
        <v>-110.712097</v>
      </c>
      <c r="AL133">
        <v>3</v>
      </c>
      <c r="AN133">
        <v>2096</v>
      </c>
      <c r="AP133">
        <v>2096</v>
      </c>
      <c r="AQ133">
        <v>2121.2476489999999</v>
      </c>
      <c r="AT133">
        <v>13</v>
      </c>
      <c r="AU133">
        <v>5</v>
      </c>
      <c r="AV133">
        <v>2022</v>
      </c>
      <c r="AW133">
        <v>2438038</v>
      </c>
      <c r="AX133">
        <v>2438038</v>
      </c>
      <c r="AY133" t="s">
        <v>106</v>
      </c>
      <c r="AZ133" t="s">
        <v>92</v>
      </c>
      <c r="BA133" t="s">
        <v>107</v>
      </c>
      <c r="BB133" t="s">
        <v>674</v>
      </c>
      <c r="BC133" t="s">
        <v>97</v>
      </c>
      <c r="BE133" t="s">
        <v>96</v>
      </c>
      <c r="BG133" t="s">
        <v>654</v>
      </c>
      <c r="BI133" t="s">
        <v>98</v>
      </c>
      <c r="BJ133" t="s">
        <v>675</v>
      </c>
      <c r="BL133" t="s">
        <v>110</v>
      </c>
    </row>
    <row r="134" spans="1:64" hidden="1" x14ac:dyDescent="0.2">
      <c r="A134">
        <v>967</v>
      </c>
      <c r="B134">
        <v>4027015463</v>
      </c>
      <c r="C134" t="s">
        <v>101</v>
      </c>
      <c r="D134" t="s">
        <v>813</v>
      </c>
      <c r="E134" t="s">
        <v>65</v>
      </c>
      <c r="F134" t="s">
        <v>66</v>
      </c>
      <c r="G134" t="s">
        <v>67</v>
      </c>
      <c r="H134" t="s">
        <v>68</v>
      </c>
      <c r="I134" t="s">
        <v>176</v>
      </c>
      <c r="J134" t="s">
        <v>177</v>
      </c>
      <c r="K134" t="s">
        <v>178</v>
      </c>
      <c r="M134" t="s">
        <v>72</v>
      </c>
      <c r="N134" t="s">
        <v>179</v>
      </c>
      <c r="O134" t="s">
        <v>178</v>
      </c>
      <c r="P134" t="s">
        <v>180</v>
      </c>
      <c r="Q134" t="s">
        <v>75</v>
      </c>
      <c r="R134" t="s">
        <v>814</v>
      </c>
      <c r="S134" t="s">
        <v>815</v>
      </c>
      <c r="T134" t="s">
        <v>78</v>
      </c>
      <c r="U134" t="s">
        <v>646</v>
      </c>
      <c r="V134" t="s">
        <v>80</v>
      </c>
      <c r="W134" s="1">
        <v>44694</v>
      </c>
      <c r="X134" t="s">
        <v>647</v>
      </c>
      <c r="Y134" t="s">
        <v>816</v>
      </c>
      <c r="Z134" t="s">
        <v>83</v>
      </c>
      <c r="AA134">
        <v>1</v>
      </c>
      <c r="AB134" t="s">
        <v>677</v>
      </c>
      <c r="AC134">
        <v>0</v>
      </c>
      <c r="AD134" t="s">
        <v>128</v>
      </c>
      <c r="AE134" t="s">
        <v>145</v>
      </c>
      <c r="AF134" t="s">
        <v>146</v>
      </c>
      <c r="AG134" t="s">
        <v>765</v>
      </c>
      <c r="AI134" t="s">
        <v>90</v>
      </c>
      <c r="AJ134">
        <v>32.388863000000001</v>
      </c>
      <c r="AK134">
        <v>-110.71111399999999</v>
      </c>
      <c r="AP134">
        <v>2152.5869670000002</v>
      </c>
      <c r="AQ134">
        <v>2152.5869670000002</v>
      </c>
      <c r="AT134">
        <v>13</v>
      </c>
      <c r="AU134">
        <v>5</v>
      </c>
      <c r="AV134">
        <v>2022</v>
      </c>
      <c r="AW134">
        <v>2438038</v>
      </c>
      <c r="AX134">
        <v>2438038</v>
      </c>
      <c r="AY134" t="s">
        <v>106</v>
      </c>
      <c r="AZ134" t="s">
        <v>92</v>
      </c>
      <c r="BA134" t="s">
        <v>107</v>
      </c>
      <c r="BB134" t="s">
        <v>817</v>
      </c>
      <c r="BC134" t="s">
        <v>97</v>
      </c>
      <c r="BE134" t="s">
        <v>96</v>
      </c>
      <c r="BG134" t="s">
        <v>654</v>
      </c>
      <c r="BI134" t="s">
        <v>98</v>
      </c>
      <c r="BJ134" t="s">
        <v>818</v>
      </c>
      <c r="BL134" t="s">
        <v>412</v>
      </c>
    </row>
    <row r="135" spans="1:64" hidden="1" x14ac:dyDescent="0.2">
      <c r="A135">
        <v>1338</v>
      </c>
      <c r="B135">
        <v>4022923375</v>
      </c>
      <c r="C135" t="s">
        <v>101</v>
      </c>
      <c r="D135" s="2" t="s">
        <v>681</v>
      </c>
      <c r="E135" t="s">
        <v>65</v>
      </c>
      <c r="F135" t="s">
        <v>66</v>
      </c>
      <c r="G135" t="s">
        <v>67</v>
      </c>
      <c r="H135" t="s">
        <v>68</v>
      </c>
      <c r="I135" t="s">
        <v>176</v>
      </c>
      <c r="J135" t="s">
        <v>177</v>
      </c>
      <c r="K135" t="s">
        <v>178</v>
      </c>
      <c r="M135" t="s">
        <v>72</v>
      </c>
      <c r="N135" t="s">
        <v>179</v>
      </c>
      <c r="O135" t="s">
        <v>178</v>
      </c>
      <c r="P135" t="s">
        <v>180</v>
      </c>
      <c r="Q135" t="s">
        <v>75</v>
      </c>
      <c r="R135" t="s">
        <v>644</v>
      </c>
      <c r="S135" t="s">
        <v>645</v>
      </c>
      <c r="T135" t="s">
        <v>78</v>
      </c>
      <c r="U135" t="s">
        <v>646</v>
      </c>
      <c r="V135" t="s">
        <v>80</v>
      </c>
      <c r="W135" s="1">
        <v>44694</v>
      </c>
      <c r="X135" t="s">
        <v>647</v>
      </c>
      <c r="Y135" t="s">
        <v>648</v>
      </c>
      <c r="Z135" t="s">
        <v>83</v>
      </c>
      <c r="AA135">
        <v>1</v>
      </c>
      <c r="AB135" t="s">
        <v>677</v>
      </c>
      <c r="AD135" t="s">
        <v>123</v>
      </c>
      <c r="AE135" t="s">
        <v>145</v>
      </c>
      <c r="AF135" t="s">
        <v>146</v>
      </c>
      <c r="AG135" t="s">
        <v>658</v>
      </c>
      <c r="AH135" t="s">
        <v>663</v>
      </c>
      <c r="AI135" t="s">
        <v>90</v>
      </c>
      <c r="AJ135">
        <v>32.387782999999999</v>
      </c>
      <c r="AK135">
        <v>-110.712097</v>
      </c>
      <c r="AL135">
        <v>3</v>
      </c>
      <c r="AN135">
        <v>2096</v>
      </c>
      <c r="AP135">
        <v>2096</v>
      </c>
      <c r="AQ135">
        <v>2121.2476489999999</v>
      </c>
      <c r="AT135">
        <v>13</v>
      </c>
      <c r="AU135">
        <v>5</v>
      </c>
      <c r="AV135">
        <v>2022</v>
      </c>
      <c r="AW135">
        <v>2438038</v>
      </c>
      <c r="AX135">
        <v>2438038</v>
      </c>
      <c r="AY135" t="s">
        <v>106</v>
      </c>
      <c r="AZ135" t="s">
        <v>92</v>
      </c>
      <c r="BA135" t="s">
        <v>107</v>
      </c>
      <c r="BB135" t="s">
        <v>682</v>
      </c>
      <c r="BC135" t="s">
        <v>97</v>
      </c>
      <c r="BE135" t="s">
        <v>96</v>
      </c>
      <c r="BG135" t="s">
        <v>654</v>
      </c>
      <c r="BI135" t="s">
        <v>98</v>
      </c>
      <c r="BJ135" t="s">
        <v>683</v>
      </c>
      <c r="BL135" t="s">
        <v>684</v>
      </c>
    </row>
    <row r="136" spans="1:64" hidden="1" x14ac:dyDescent="0.2">
      <c r="A136">
        <v>1347</v>
      </c>
      <c r="B136">
        <v>4022923366</v>
      </c>
      <c r="C136" t="s">
        <v>101</v>
      </c>
      <c r="D136" t="s">
        <v>685</v>
      </c>
      <c r="E136" t="s">
        <v>65</v>
      </c>
      <c r="F136" t="s">
        <v>66</v>
      </c>
      <c r="G136" t="s">
        <v>67</v>
      </c>
      <c r="H136" t="s">
        <v>68</v>
      </c>
      <c r="I136" t="s">
        <v>176</v>
      </c>
      <c r="J136" t="s">
        <v>177</v>
      </c>
      <c r="K136" t="s">
        <v>178</v>
      </c>
      <c r="M136" t="s">
        <v>72</v>
      </c>
      <c r="N136" t="s">
        <v>179</v>
      </c>
      <c r="O136" t="s">
        <v>178</v>
      </c>
      <c r="P136" t="s">
        <v>180</v>
      </c>
      <c r="Q136" t="s">
        <v>75</v>
      </c>
      <c r="R136" t="s">
        <v>644</v>
      </c>
      <c r="T136" t="s">
        <v>78</v>
      </c>
      <c r="U136" t="s">
        <v>646</v>
      </c>
      <c r="V136" t="s">
        <v>80</v>
      </c>
      <c r="W136" s="1">
        <v>44694</v>
      </c>
      <c r="X136" t="s">
        <v>647</v>
      </c>
      <c r="Y136" t="s">
        <v>648</v>
      </c>
      <c r="Z136" t="s">
        <v>83</v>
      </c>
      <c r="AA136">
        <v>1</v>
      </c>
      <c r="AB136" t="s">
        <v>686</v>
      </c>
      <c r="AD136" t="s">
        <v>378</v>
      </c>
      <c r="AE136" t="s">
        <v>145</v>
      </c>
      <c r="AF136" t="s">
        <v>146</v>
      </c>
      <c r="AG136" t="s">
        <v>658</v>
      </c>
      <c r="AH136" t="s">
        <v>687</v>
      </c>
      <c r="AI136" t="s">
        <v>90</v>
      </c>
      <c r="AJ136">
        <v>32.387782999999999</v>
      </c>
      <c r="AK136">
        <v>-110.712097</v>
      </c>
      <c r="AL136">
        <v>3</v>
      </c>
      <c r="AN136">
        <v>2096</v>
      </c>
      <c r="AP136">
        <v>2096</v>
      </c>
      <c r="AQ136">
        <v>2121.2476489999999</v>
      </c>
      <c r="AT136">
        <v>13</v>
      </c>
      <c r="AU136">
        <v>5</v>
      </c>
      <c r="AV136">
        <v>2022</v>
      </c>
      <c r="AW136">
        <v>2438038</v>
      </c>
      <c r="AX136">
        <v>2438038</v>
      </c>
      <c r="AY136" t="s">
        <v>106</v>
      </c>
      <c r="AZ136" t="s">
        <v>92</v>
      </c>
      <c r="BA136" t="s">
        <v>107</v>
      </c>
      <c r="BB136" t="s">
        <v>688</v>
      </c>
      <c r="BC136" t="s">
        <v>97</v>
      </c>
      <c r="BE136" t="s">
        <v>96</v>
      </c>
      <c r="BG136" t="s">
        <v>654</v>
      </c>
      <c r="BI136" t="s">
        <v>98</v>
      </c>
      <c r="BJ136" t="s">
        <v>689</v>
      </c>
      <c r="BL136" t="s">
        <v>684</v>
      </c>
    </row>
    <row r="137" spans="1:64" hidden="1" x14ac:dyDescent="0.2">
      <c r="A137">
        <v>927</v>
      </c>
      <c r="B137">
        <v>4040367319</v>
      </c>
      <c r="C137" t="s">
        <v>101</v>
      </c>
      <c r="D137" t="s">
        <v>690</v>
      </c>
      <c r="E137" t="s">
        <v>65</v>
      </c>
      <c r="F137" t="s">
        <v>66</v>
      </c>
      <c r="G137" t="s">
        <v>67</v>
      </c>
      <c r="H137" t="s">
        <v>68</v>
      </c>
      <c r="I137" t="s">
        <v>176</v>
      </c>
      <c r="J137" t="s">
        <v>177</v>
      </c>
      <c r="K137" t="s">
        <v>178</v>
      </c>
      <c r="M137" t="s">
        <v>72</v>
      </c>
      <c r="N137" t="s">
        <v>179</v>
      </c>
      <c r="O137" t="s">
        <v>178</v>
      </c>
      <c r="P137" t="s">
        <v>180</v>
      </c>
      <c r="Q137" t="s">
        <v>75</v>
      </c>
      <c r="R137" t="s">
        <v>644</v>
      </c>
      <c r="S137" t="s">
        <v>645</v>
      </c>
      <c r="T137" t="s">
        <v>78</v>
      </c>
      <c r="U137" t="s">
        <v>646</v>
      </c>
      <c r="V137" t="s">
        <v>80</v>
      </c>
      <c r="W137" s="1">
        <v>44694</v>
      </c>
      <c r="X137" t="s">
        <v>647</v>
      </c>
      <c r="Y137" t="s">
        <v>648</v>
      </c>
      <c r="Z137" t="s">
        <v>83</v>
      </c>
      <c r="AA137">
        <v>1</v>
      </c>
      <c r="AB137" t="s">
        <v>677</v>
      </c>
      <c r="AD137" t="s">
        <v>139</v>
      </c>
      <c r="AE137" t="s">
        <v>145</v>
      </c>
      <c r="AF137" t="s">
        <v>146</v>
      </c>
      <c r="AG137" t="s">
        <v>658</v>
      </c>
      <c r="AH137" t="s">
        <v>663</v>
      </c>
      <c r="AI137" t="s">
        <v>90</v>
      </c>
      <c r="AJ137">
        <v>32.387782999999999</v>
      </c>
      <c r="AK137">
        <v>-110.712097</v>
      </c>
      <c r="AL137">
        <v>3</v>
      </c>
      <c r="AN137">
        <v>2096</v>
      </c>
      <c r="AP137">
        <v>2096</v>
      </c>
      <c r="AQ137">
        <v>2121.2476489999999</v>
      </c>
      <c r="AT137">
        <v>13</v>
      </c>
      <c r="AU137">
        <v>5</v>
      </c>
      <c r="AV137">
        <v>2022</v>
      </c>
      <c r="AW137">
        <v>2438038</v>
      </c>
      <c r="AX137">
        <v>2438038</v>
      </c>
      <c r="AY137" t="s">
        <v>106</v>
      </c>
      <c r="AZ137" t="s">
        <v>92</v>
      </c>
      <c r="BA137" t="s">
        <v>107</v>
      </c>
      <c r="BB137" t="s">
        <v>691</v>
      </c>
      <c r="BC137" t="s">
        <v>97</v>
      </c>
      <c r="BE137" t="s">
        <v>96</v>
      </c>
      <c r="BG137" t="s">
        <v>654</v>
      </c>
      <c r="BI137" t="s">
        <v>98</v>
      </c>
      <c r="BJ137" t="s">
        <v>692</v>
      </c>
      <c r="BL137" t="s">
        <v>110</v>
      </c>
    </row>
    <row r="138" spans="1:64" hidden="1" x14ac:dyDescent="0.2">
      <c r="A138">
        <v>1034</v>
      </c>
      <c r="B138">
        <v>4027015396</v>
      </c>
      <c r="C138" t="s">
        <v>101</v>
      </c>
      <c r="D138" t="s">
        <v>700</v>
      </c>
      <c r="E138" t="s">
        <v>65</v>
      </c>
      <c r="F138" t="s">
        <v>66</v>
      </c>
      <c r="G138" t="s">
        <v>67</v>
      </c>
      <c r="H138" t="s">
        <v>68</v>
      </c>
      <c r="I138" t="s">
        <v>176</v>
      </c>
      <c r="J138" t="s">
        <v>177</v>
      </c>
      <c r="K138" t="s">
        <v>178</v>
      </c>
      <c r="M138" t="s">
        <v>72</v>
      </c>
      <c r="N138" t="s">
        <v>179</v>
      </c>
      <c r="O138" t="s">
        <v>178</v>
      </c>
      <c r="P138" t="s">
        <v>180</v>
      </c>
      <c r="Q138" t="s">
        <v>75</v>
      </c>
      <c r="R138" t="s">
        <v>644</v>
      </c>
      <c r="S138" t="s">
        <v>694</v>
      </c>
      <c r="T138" t="s">
        <v>78</v>
      </c>
      <c r="U138" t="s">
        <v>646</v>
      </c>
      <c r="V138" t="s">
        <v>80</v>
      </c>
      <c r="W138" s="1">
        <v>44694</v>
      </c>
      <c r="X138" t="s">
        <v>647</v>
      </c>
      <c r="Y138" t="s">
        <v>695</v>
      </c>
      <c r="Z138" t="s">
        <v>83</v>
      </c>
      <c r="AA138">
        <v>1</v>
      </c>
      <c r="AB138" t="s">
        <v>657</v>
      </c>
      <c r="AD138" t="s">
        <v>112</v>
      </c>
      <c r="AE138" t="s">
        <v>86</v>
      </c>
      <c r="AF138" t="s">
        <v>146</v>
      </c>
      <c r="AG138" t="s">
        <v>697</v>
      </c>
      <c r="AH138" t="s">
        <v>701</v>
      </c>
      <c r="AI138" t="s">
        <v>90</v>
      </c>
      <c r="AJ138">
        <v>32.387836</v>
      </c>
      <c r="AK138">
        <v>-110.712315</v>
      </c>
      <c r="AL138">
        <v>4</v>
      </c>
      <c r="AN138">
        <v>2094</v>
      </c>
      <c r="AP138">
        <v>2094</v>
      </c>
      <c r="AQ138">
        <v>2123.5819609999999</v>
      </c>
      <c r="AT138">
        <v>13</v>
      </c>
      <c r="AU138">
        <v>5</v>
      </c>
      <c r="AV138">
        <v>2022</v>
      </c>
      <c r="AW138">
        <v>2438038</v>
      </c>
      <c r="AX138">
        <v>2438038</v>
      </c>
      <c r="AY138" t="s">
        <v>106</v>
      </c>
      <c r="AZ138" t="s">
        <v>92</v>
      </c>
      <c r="BA138" t="s">
        <v>107</v>
      </c>
      <c r="BB138" t="s">
        <v>702</v>
      </c>
      <c r="BC138" t="s">
        <v>97</v>
      </c>
      <c r="BE138" t="s">
        <v>96</v>
      </c>
      <c r="BG138" t="s">
        <v>654</v>
      </c>
      <c r="BI138" t="s">
        <v>98</v>
      </c>
      <c r="BJ138" t="s">
        <v>703</v>
      </c>
      <c r="BL138" t="s">
        <v>110</v>
      </c>
    </row>
    <row r="139" spans="1:64" hidden="1" x14ac:dyDescent="0.2">
      <c r="A139">
        <v>1042</v>
      </c>
      <c r="B139">
        <v>4027015388</v>
      </c>
      <c r="C139" t="s">
        <v>101</v>
      </c>
      <c r="D139" t="s">
        <v>704</v>
      </c>
      <c r="E139" t="s">
        <v>65</v>
      </c>
      <c r="F139" t="s">
        <v>66</v>
      </c>
      <c r="G139" t="s">
        <v>67</v>
      </c>
      <c r="H139" t="s">
        <v>68</v>
      </c>
      <c r="I139" t="s">
        <v>176</v>
      </c>
      <c r="J139" t="s">
        <v>177</v>
      </c>
      <c r="K139" t="s">
        <v>178</v>
      </c>
      <c r="M139" t="s">
        <v>72</v>
      </c>
      <c r="N139" t="s">
        <v>179</v>
      </c>
      <c r="O139" t="s">
        <v>178</v>
      </c>
      <c r="P139" t="s">
        <v>180</v>
      </c>
      <c r="Q139" t="s">
        <v>75</v>
      </c>
      <c r="R139" t="s">
        <v>644</v>
      </c>
      <c r="S139" t="s">
        <v>694</v>
      </c>
      <c r="T139" t="s">
        <v>78</v>
      </c>
      <c r="U139" t="s">
        <v>646</v>
      </c>
      <c r="V139" t="s">
        <v>80</v>
      </c>
      <c r="W139" s="1">
        <v>44694</v>
      </c>
      <c r="X139" t="s">
        <v>647</v>
      </c>
      <c r="Y139" t="s">
        <v>695</v>
      </c>
      <c r="Z139" t="s">
        <v>83</v>
      </c>
      <c r="AA139">
        <v>1</v>
      </c>
      <c r="AB139" t="s">
        <v>672</v>
      </c>
      <c r="AD139" t="s">
        <v>134</v>
      </c>
      <c r="AE139" t="s">
        <v>86</v>
      </c>
      <c r="AF139" t="s">
        <v>146</v>
      </c>
      <c r="AG139" t="s">
        <v>697</v>
      </c>
      <c r="AH139" t="s">
        <v>705</v>
      </c>
      <c r="AI139" t="s">
        <v>90</v>
      </c>
      <c r="AJ139">
        <v>32.387836</v>
      </c>
      <c r="AK139">
        <v>-110.712315</v>
      </c>
      <c r="AL139">
        <v>4</v>
      </c>
      <c r="AN139">
        <v>2094</v>
      </c>
      <c r="AP139">
        <v>2094</v>
      </c>
      <c r="AQ139">
        <v>2123.5819609999999</v>
      </c>
      <c r="AT139">
        <v>13</v>
      </c>
      <c r="AU139">
        <v>5</v>
      </c>
      <c r="AV139">
        <v>2022</v>
      </c>
      <c r="AW139">
        <v>2438038</v>
      </c>
      <c r="AX139">
        <v>2438038</v>
      </c>
      <c r="AY139" t="s">
        <v>106</v>
      </c>
      <c r="AZ139" t="s">
        <v>92</v>
      </c>
      <c r="BA139" t="s">
        <v>107</v>
      </c>
      <c r="BB139" t="s">
        <v>706</v>
      </c>
      <c r="BC139" t="s">
        <v>97</v>
      </c>
      <c r="BE139" t="s">
        <v>96</v>
      </c>
      <c r="BG139" t="s">
        <v>654</v>
      </c>
      <c r="BI139" t="s">
        <v>98</v>
      </c>
      <c r="BJ139" t="s">
        <v>707</v>
      </c>
      <c r="BL139" t="s">
        <v>110</v>
      </c>
    </row>
    <row r="140" spans="1:64" hidden="1" x14ac:dyDescent="0.2">
      <c r="A140">
        <v>987</v>
      </c>
      <c r="B140">
        <v>4027015443</v>
      </c>
      <c r="C140" t="s">
        <v>101</v>
      </c>
      <c r="D140" t="s">
        <v>827</v>
      </c>
      <c r="E140" t="s">
        <v>65</v>
      </c>
      <c r="F140" t="s">
        <v>66</v>
      </c>
      <c r="G140" t="s">
        <v>67</v>
      </c>
      <c r="H140" t="s">
        <v>68</v>
      </c>
      <c r="I140" t="s">
        <v>176</v>
      </c>
      <c r="J140" t="s">
        <v>177</v>
      </c>
      <c r="K140" t="s">
        <v>178</v>
      </c>
      <c r="M140" t="s">
        <v>72</v>
      </c>
      <c r="N140" t="s">
        <v>179</v>
      </c>
      <c r="O140" t="s">
        <v>178</v>
      </c>
      <c r="P140" t="s">
        <v>180</v>
      </c>
      <c r="Q140" t="s">
        <v>75</v>
      </c>
      <c r="R140" t="s">
        <v>814</v>
      </c>
      <c r="S140" t="s">
        <v>823</v>
      </c>
      <c r="T140" t="s">
        <v>78</v>
      </c>
      <c r="U140" t="s">
        <v>646</v>
      </c>
      <c r="V140" t="s">
        <v>80</v>
      </c>
      <c r="W140" s="1">
        <v>44694</v>
      </c>
      <c r="X140" t="s">
        <v>647</v>
      </c>
      <c r="Y140" t="s">
        <v>824</v>
      </c>
      <c r="Z140" t="s">
        <v>83</v>
      </c>
      <c r="AA140">
        <v>1</v>
      </c>
      <c r="AB140" t="s">
        <v>677</v>
      </c>
      <c r="AC140">
        <v>0</v>
      </c>
      <c r="AD140" t="s">
        <v>128</v>
      </c>
      <c r="AE140" t="s">
        <v>145</v>
      </c>
      <c r="AF140" t="s">
        <v>146</v>
      </c>
      <c r="AG140" t="s">
        <v>765</v>
      </c>
      <c r="AI140" t="s">
        <v>90</v>
      </c>
      <c r="AJ140">
        <v>32.388585999999997</v>
      </c>
      <c r="AK140">
        <v>-110.711294</v>
      </c>
      <c r="AN140">
        <v>2133</v>
      </c>
      <c r="AP140">
        <v>2133</v>
      </c>
      <c r="AQ140">
        <v>2150.9273579999999</v>
      </c>
      <c r="AT140">
        <v>13</v>
      </c>
      <c r="AU140">
        <v>5</v>
      </c>
      <c r="AV140">
        <v>2022</v>
      </c>
      <c r="AW140">
        <v>2438038</v>
      </c>
      <c r="AX140">
        <v>2438038</v>
      </c>
      <c r="AY140" t="s">
        <v>106</v>
      </c>
      <c r="AZ140" t="s">
        <v>92</v>
      </c>
      <c r="BA140" t="s">
        <v>107</v>
      </c>
      <c r="BB140" t="s">
        <v>828</v>
      </c>
      <c r="BC140" t="s">
        <v>97</v>
      </c>
      <c r="BE140" t="s">
        <v>96</v>
      </c>
      <c r="BG140" t="s">
        <v>654</v>
      </c>
      <c r="BI140" t="s">
        <v>98</v>
      </c>
      <c r="BJ140" t="s">
        <v>799</v>
      </c>
      <c r="BL140" t="s">
        <v>412</v>
      </c>
    </row>
    <row r="141" spans="1:64" x14ac:dyDescent="0.2">
      <c r="A141">
        <v>622</v>
      </c>
      <c r="B141">
        <v>4136459320</v>
      </c>
      <c r="C141" t="s">
        <v>101</v>
      </c>
      <c r="D141" t="s">
        <v>5469</v>
      </c>
      <c r="E141" t="s">
        <v>65</v>
      </c>
      <c r="F141" t="s">
        <v>66</v>
      </c>
      <c r="G141" t="s">
        <v>67</v>
      </c>
      <c r="H141" t="s">
        <v>68</v>
      </c>
      <c r="I141" t="s">
        <v>69</v>
      </c>
      <c r="J141" t="s">
        <v>70</v>
      </c>
      <c r="K141" t="s">
        <v>4195</v>
      </c>
      <c r="M141" t="s">
        <v>72</v>
      </c>
      <c r="N141" t="s">
        <v>4196</v>
      </c>
      <c r="O141" t="s">
        <v>4195</v>
      </c>
      <c r="P141" t="s">
        <v>4197</v>
      </c>
      <c r="Q141" t="s">
        <v>75</v>
      </c>
      <c r="R141" t="s">
        <v>5008</v>
      </c>
      <c r="S141" t="s">
        <v>5464</v>
      </c>
      <c r="T141" t="s">
        <v>78</v>
      </c>
      <c r="U141" t="s">
        <v>5009</v>
      </c>
      <c r="V141" t="s">
        <v>80</v>
      </c>
      <c r="W141" s="1">
        <v>44905</v>
      </c>
      <c r="X141" t="s">
        <v>5010</v>
      </c>
      <c r="Y141" t="s">
        <v>5465</v>
      </c>
      <c r="Z141" t="s">
        <v>83</v>
      </c>
      <c r="AA141">
        <v>1</v>
      </c>
      <c r="AB141" t="s">
        <v>657</v>
      </c>
      <c r="AC141">
        <v>0</v>
      </c>
      <c r="AD141" t="s">
        <v>119</v>
      </c>
      <c r="AE141" t="s">
        <v>145</v>
      </c>
      <c r="AF141" t="s">
        <v>146</v>
      </c>
      <c r="AG141" t="s">
        <v>765</v>
      </c>
      <c r="AI141" t="s">
        <v>90</v>
      </c>
      <c r="AJ141">
        <v>32.314413000000002</v>
      </c>
      <c r="AK141">
        <v>-110.71266799999999</v>
      </c>
      <c r="AL141">
        <v>3</v>
      </c>
      <c r="AN141">
        <v>1190</v>
      </c>
      <c r="AP141">
        <v>1190</v>
      </c>
      <c r="AQ141">
        <v>1191.0499339999999</v>
      </c>
      <c r="AT141">
        <v>10</v>
      </c>
      <c r="AU141">
        <v>12</v>
      </c>
      <c r="AV141">
        <v>2022</v>
      </c>
      <c r="AW141">
        <v>2439589</v>
      </c>
      <c r="AX141">
        <v>2439589</v>
      </c>
      <c r="AY141" t="s">
        <v>106</v>
      </c>
      <c r="AZ141" t="s">
        <v>92</v>
      </c>
      <c r="BA141" t="s">
        <v>107</v>
      </c>
      <c r="BB141" t="s">
        <v>5470</v>
      </c>
      <c r="BC141" t="s">
        <v>5313</v>
      </c>
      <c r="BD141" s="1">
        <v>44905</v>
      </c>
      <c r="BE141" t="s">
        <v>96</v>
      </c>
      <c r="BG141" t="s">
        <v>5314</v>
      </c>
      <c r="BI141" t="s">
        <v>98</v>
      </c>
      <c r="BJ141" t="s">
        <v>3206</v>
      </c>
      <c r="BL141" t="s">
        <v>110</v>
      </c>
    </row>
    <row r="142" spans="1:64" hidden="1" x14ac:dyDescent="0.2">
      <c r="A142">
        <v>1032</v>
      </c>
      <c r="B142">
        <v>4027015398</v>
      </c>
      <c r="C142" t="s">
        <v>101</v>
      </c>
      <c r="D142" t="s">
        <v>715</v>
      </c>
      <c r="E142" t="s">
        <v>65</v>
      </c>
      <c r="F142" t="s">
        <v>66</v>
      </c>
      <c r="G142" t="s">
        <v>67</v>
      </c>
      <c r="H142" t="s">
        <v>68</v>
      </c>
      <c r="I142" t="s">
        <v>176</v>
      </c>
      <c r="J142" t="s">
        <v>177</v>
      </c>
      <c r="K142" t="s">
        <v>178</v>
      </c>
      <c r="M142" t="s">
        <v>72</v>
      </c>
      <c r="N142" t="s">
        <v>179</v>
      </c>
      <c r="O142" t="s">
        <v>178</v>
      </c>
      <c r="P142" t="s">
        <v>180</v>
      </c>
      <c r="Q142" t="s">
        <v>75</v>
      </c>
      <c r="R142" t="s">
        <v>644</v>
      </c>
      <c r="S142" t="s">
        <v>694</v>
      </c>
      <c r="T142" t="s">
        <v>78</v>
      </c>
      <c r="U142" t="s">
        <v>646</v>
      </c>
      <c r="V142" t="s">
        <v>80</v>
      </c>
      <c r="W142" s="1">
        <v>44694</v>
      </c>
      <c r="X142" t="s">
        <v>647</v>
      </c>
      <c r="Y142" t="s">
        <v>695</v>
      </c>
      <c r="Z142" t="s">
        <v>83</v>
      </c>
      <c r="AA142">
        <v>1</v>
      </c>
      <c r="AB142" t="s">
        <v>657</v>
      </c>
      <c r="AD142" t="s">
        <v>116</v>
      </c>
      <c r="AE142" t="s">
        <v>86</v>
      </c>
      <c r="AF142" t="s">
        <v>146</v>
      </c>
      <c r="AG142" t="s">
        <v>697</v>
      </c>
      <c r="AH142" t="s">
        <v>701</v>
      </c>
      <c r="AI142" t="s">
        <v>90</v>
      </c>
      <c r="AJ142">
        <v>32.387836</v>
      </c>
      <c r="AK142">
        <v>-110.712315</v>
      </c>
      <c r="AL142">
        <v>4</v>
      </c>
      <c r="AN142">
        <v>2094</v>
      </c>
      <c r="AP142">
        <v>2094</v>
      </c>
      <c r="AQ142">
        <v>2123.5819609999999</v>
      </c>
      <c r="AT142">
        <v>13</v>
      </c>
      <c r="AU142">
        <v>5</v>
      </c>
      <c r="AV142">
        <v>2022</v>
      </c>
      <c r="AW142">
        <v>2438038</v>
      </c>
      <c r="AX142">
        <v>2438038</v>
      </c>
      <c r="AY142" t="s">
        <v>106</v>
      </c>
      <c r="AZ142" t="s">
        <v>92</v>
      </c>
      <c r="BA142" t="s">
        <v>107</v>
      </c>
      <c r="BB142" t="s">
        <v>716</v>
      </c>
      <c r="BC142" t="s">
        <v>97</v>
      </c>
      <c r="BE142" t="s">
        <v>96</v>
      </c>
      <c r="BG142" t="s">
        <v>654</v>
      </c>
      <c r="BI142" t="s">
        <v>98</v>
      </c>
      <c r="BJ142" t="s">
        <v>717</v>
      </c>
      <c r="BL142" t="s">
        <v>110</v>
      </c>
    </row>
    <row r="143" spans="1:64" hidden="1" x14ac:dyDescent="0.2">
      <c r="A143">
        <v>1029</v>
      </c>
      <c r="B143">
        <v>4027015401</v>
      </c>
      <c r="C143" t="s">
        <v>101</v>
      </c>
      <c r="D143" t="s">
        <v>718</v>
      </c>
      <c r="E143" t="s">
        <v>65</v>
      </c>
      <c r="F143" t="s">
        <v>66</v>
      </c>
      <c r="G143" t="s">
        <v>67</v>
      </c>
      <c r="H143" t="s">
        <v>68</v>
      </c>
      <c r="I143" t="s">
        <v>176</v>
      </c>
      <c r="J143" t="s">
        <v>177</v>
      </c>
      <c r="K143" t="s">
        <v>178</v>
      </c>
      <c r="M143" t="s">
        <v>72</v>
      </c>
      <c r="N143" t="s">
        <v>179</v>
      </c>
      <c r="O143" t="s">
        <v>178</v>
      </c>
      <c r="P143" t="s">
        <v>180</v>
      </c>
      <c r="Q143" t="s">
        <v>75</v>
      </c>
      <c r="R143" t="s">
        <v>644</v>
      </c>
      <c r="S143" t="s">
        <v>694</v>
      </c>
      <c r="T143" t="s">
        <v>78</v>
      </c>
      <c r="U143" t="s">
        <v>646</v>
      </c>
      <c r="V143" t="s">
        <v>80</v>
      </c>
      <c r="W143" s="1">
        <v>44694</v>
      </c>
      <c r="X143" t="s">
        <v>647</v>
      </c>
      <c r="Y143" t="s">
        <v>695</v>
      </c>
      <c r="Z143" t="s">
        <v>83</v>
      </c>
      <c r="AA143">
        <v>1</v>
      </c>
      <c r="AB143" t="s">
        <v>657</v>
      </c>
      <c r="AD143" t="s">
        <v>104</v>
      </c>
      <c r="AE143" t="s">
        <v>86</v>
      </c>
      <c r="AF143" t="s">
        <v>146</v>
      </c>
      <c r="AG143" t="s">
        <v>697</v>
      </c>
      <c r="AH143" t="s">
        <v>701</v>
      </c>
      <c r="AI143" t="s">
        <v>90</v>
      </c>
      <c r="AJ143">
        <v>32.387836</v>
      </c>
      <c r="AK143">
        <v>-110.712315</v>
      </c>
      <c r="AL143">
        <v>4</v>
      </c>
      <c r="AN143">
        <v>2094</v>
      </c>
      <c r="AP143">
        <v>2094</v>
      </c>
      <c r="AQ143">
        <v>2123.5819609999999</v>
      </c>
      <c r="AT143">
        <v>13</v>
      </c>
      <c r="AU143">
        <v>5</v>
      </c>
      <c r="AV143">
        <v>2022</v>
      </c>
      <c r="AW143">
        <v>2438038</v>
      </c>
      <c r="AX143">
        <v>2438038</v>
      </c>
      <c r="AY143" t="s">
        <v>106</v>
      </c>
      <c r="AZ143" t="s">
        <v>92</v>
      </c>
      <c r="BA143" t="s">
        <v>107</v>
      </c>
      <c r="BB143" t="s">
        <v>719</v>
      </c>
      <c r="BC143" t="s">
        <v>97</v>
      </c>
      <c r="BE143" t="s">
        <v>96</v>
      </c>
      <c r="BG143" t="s">
        <v>654</v>
      </c>
      <c r="BI143" t="s">
        <v>98</v>
      </c>
      <c r="BJ143" t="s">
        <v>665</v>
      </c>
      <c r="BL143" t="s">
        <v>110</v>
      </c>
    </row>
    <row r="144" spans="1:64" hidden="1" x14ac:dyDescent="0.2">
      <c r="A144">
        <v>1288</v>
      </c>
      <c r="B144">
        <v>4022923425</v>
      </c>
      <c r="C144" t="s">
        <v>101</v>
      </c>
      <c r="D144" t="s">
        <v>720</v>
      </c>
      <c r="E144" t="s">
        <v>65</v>
      </c>
      <c r="F144" t="s">
        <v>66</v>
      </c>
      <c r="G144" t="s">
        <v>67</v>
      </c>
      <c r="H144" t="s">
        <v>68</v>
      </c>
      <c r="I144" t="s">
        <v>176</v>
      </c>
      <c r="J144" t="s">
        <v>177</v>
      </c>
      <c r="K144" t="s">
        <v>178</v>
      </c>
      <c r="M144" t="s">
        <v>72</v>
      </c>
      <c r="N144" t="s">
        <v>179</v>
      </c>
      <c r="O144" t="s">
        <v>178</v>
      </c>
      <c r="P144" t="s">
        <v>180</v>
      </c>
      <c r="Q144" t="s">
        <v>75</v>
      </c>
      <c r="R144" t="s">
        <v>644</v>
      </c>
      <c r="S144" t="s">
        <v>694</v>
      </c>
      <c r="T144" t="s">
        <v>78</v>
      </c>
      <c r="U144" t="s">
        <v>646</v>
      </c>
      <c r="V144" t="s">
        <v>80</v>
      </c>
      <c r="W144" s="1">
        <v>44694</v>
      </c>
      <c r="X144" t="s">
        <v>647</v>
      </c>
      <c r="Y144" t="s">
        <v>695</v>
      </c>
      <c r="Z144" t="s">
        <v>83</v>
      </c>
      <c r="AA144">
        <v>1</v>
      </c>
      <c r="AB144" t="s">
        <v>677</v>
      </c>
      <c r="AD144" t="s">
        <v>139</v>
      </c>
      <c r="AE144" t="s">
        <v>86</v>
      </c>
      <c r="AF144" t="s">
        <v>146</v>
      </c>
      <c r="AG144" t="s">
        <v>697</v>
      </c>
      <c r="AH144" t="s">
        <v>701</v>
      </c>
      <c r="AI144" t="s">
        <v>90</v>
      </c>
      <c r="AJ144">
        <v>32.387836</v>
      </c>
      <c r="AK144">
        <v>-110.712315</v>
      </c>
      <c r="AL144">
        <v>4</v>
      </c>
      <c r="AN144">
        <v>2094</v>
      </c>
      <c r="AP144">
        <v>2094</v>
      </c>
      <c r="AQ144">
        <v>2123.5819609999999</v>
      </c>
      <c r="AT144">
        <v>13</v>
      </c>
      <c r="AU144">
        <v>5</v>
      </c>
      <c r="AV144">
        <v>2022</v>
      </c>
      <c r="AW144">
        <v>2438038</v>
      </c>
      <c r="AX144">
        <v>2438038</v>
      </c>
      <c r="AY144" t="s">
        <v>106</v>
      </c>
      <c r="AZ144" t="s">
        <v>92</v>
      </c>
      <c r="BA144" t="s">
        <v>107</v>
      </c>
      <c r="BB144" t="s">
        <v>721</v>
      </c>
      <c r="BC144" t="s">
        <v>97</v>
      </c>
      <c r="BE144" t="s">
        <v>96</v>
      </c>
      <c r="BG144" t="s">
        <v>654</v>
      </c>
      <c r="BI144" t="s">
        <v>98</v>
      </c>
      <c r="BJ144" t="s">
        <v>722</v>
      </c>
      <c r="BL144" t="s">
        <v>684</v>
      </c>
    </row>
    <row r="145" spans="1:64" hidden="1" x14ac:dyDescent="0.2">
      <c r="A145">
        <v>1285</v>
      </c>
      <c r="B145">
        <v>4022923428</v>
      </c>
      <c r="C145" t="s">
        <v>101</v>
      </c>
      <c r="D145" t="s">
        <v>723</v>
      </c>
      <c r="E145" t="s">
        <v>65</v>
      </c>
      <c r="F145" t="s">
        <v>66</v>
      </c>
      <c r="G145" t="s">
        <v>67</v>
      </c>
      <c r="H145" t="s">
        <v>68</v>
      </c>
      <c r="I145" t="s">
        <v>176</v>
      </c>
      <c r="J145" t="s">
        <v>177</v>
      </c>
      <c r="K145" t="s">
        <v>178</v>
      </c>
      <c r="M145" t="s">
        <v>72</v>
      </c>
      <c r="N145" t="s">
        <v>179</v>
      </c>
      <c r="O145" t="s">
        <v>178</v>
      </c>
      <c r="P145" t="s">
        <v>180</v>
      </c>
      <c r="Q145" t="s">
        <v>75</v>
      </c>
      <c r="R145" t="s">
        <v>644</v>
      </c>
      <c r="S145" t="s">
        <v>694</v>
      </c>
      <c r="T145" t="s">
        <v>78</v>
      </c>
      <c r="U145" t="s">
        <v>646</v>
      </c>
      <c r="V145" t="s">
        <v>80</v>
      </c>
      <c r="W145" s="1">
        <v>44694</v>
      </c>
      <c r="X145" t="s">
        <v>647</v>
      </c>
      <c r="Y145" t="s">
        <v>695</v>
      </c>
      <c r="Z145" t="s">
        <v>83</v>
      </c>
      <c r="AA145">
        <v>1</v>
      </c>
      <c r="AB145" t="s">
        <v>677</v>
      </c>
      <c r="AD145" t="s">
        <v>123</v>
      </c>
      <c r="AE145" t="s">
        <v>86</v>
      </c>
      <c r="AF145" t="s">
        <v>146</v>
      </c>
      <c r="AG145" t="s">
        <v>697</v>
      </c>
      <c r="AH145" t="s">
        <v>701</v>
      </c>
      <c r="AI145" t="s">
        <v>90</v>
      </c>
      <c r="AJ145">
        <v>32.387836</v>
      </c>
      <c r="AK145">
        <v>-110.712315</v>
      </c>
      <c r="AL145">
        <v>4</v>
      </c>
      <c r="AN145">
        <v>2094</v>
      </c>
      <c r="AP145">
        <v>2094</v>
      </c>
      <c r="AQ145">
        <v>2123.5819609999999</v>
      </c>
      <c r="AT145">
        <v>13</v>
      </c>
      <c r="AU145">
        <v>5</v>
      </c>
      <c r="AV145">
        <v>2022</v>
      </c>
      <c r="AW145">
        <v>2438038</v>
      </c>
      <c r="AX145">
        <v>2438038</v>
      </c>
      <c r="AY145" t="s">
        <v>106</v>
      </c>
      <c r="AZ145" t="s">
        <v>92</v>
      </c>
      <c r="BA145" t="s">
        <v>107</v>
      </c>
      <c r="BB145" t="s">
        <v>724</v>
      </c>
      <c r="BC145" t="s">
        <v>97</v>
      </c>
      <c r="BE145" t="s">
        <v>96</v>
      </c>
      <c r="BG145" t="s">
        <v>654</v>
      </c>
      <c r="BI145" t="s">
        <v>98</v>
      </c>
      <c r="BJ145" t="s">
        <v>725</v>
      </c>
      <c r="BL145" t="s">
        <v>684</v>
      </c>
    </row>
    <row r="146" spans="1:64" hidden="1" x14ac:dyDescent="0.2">
      <c r="A146">
        <v>1030</v>
      </c>
      <c r="B146">
        <v>4027015400</v>
      </c>
      <c r="C146" t="s">
        <v>101</v>
      </c>
      <c r="D146" t="s">
        <v>734</v>
      </c>
      <c r="E146" t="s">
        <v>65</v>
      </c>
      <c r="F146" t="s">
        <v>66</v>
      </c>
      <c r="G146" t="s">
        <v>67</v>
      </c>
      <c r="H146" t="s">
        <v>68</v>
      </c>
      <c r="I146" t="s">
        <v>176</v>
      </c>
      <c r="J146" t="s">
        <v>177</v>
      </c>
      <c r="K146" t="s">
        <v>178</v>
      </c>
      <c r="M146" t="s">
        <v>72</v>
      </c>
      <c r="N146" t="s">
        <v>179</v>
      </c>
      <c r="O146" t="s">
        <v>178</v>
      </c>
      <c r="P146" t="s">
        <v>180</v>
      </c>
      <c r="Q146" t="s">
        <v>75</v>
      </c>
      <c r="R146" t="s">
        <v>644</v>
      </c>
      <c r="S146" t="s">
        <v>727</v>
      </c>
      <c r="T146" t="s">
        <v>78</v>
      </c>
      <c r="U146" t="s">
        <v>646</v>
      </c>
      <c r="V146" t="s">
        <v>80</v>
      </c>
      <c r="W146" s="1">
        <v>44694</v>
      </c>
      <c r="X146" t="s">
        <v>647</v>
      </c>
      <c r="Y146" t="s">
        <v>728</v>
      </c>
      <c r="Z146" t="s">
        <v>83</v>
      </c>
      <c r="AA146">
        <v>1</v>
      </c>
      <c r="AB146" t="s">
        <v>657</v>
      </c>
      <c r="AD146" t="s">
        <v>112</v>
      </c>
      <c r="AE146" t="s">
        <v>145</v>
      </c>
      <c r="AF146" t="s">
        <v>146</v>
      </c>
      <c r="AG146" t="s">
        <v>735</v>
      </c>
      <c r="AH146" t="s">
        <v>736</v>
      </c>
      <c r="AI146" t="s">
        <v>90</v>
      </c>
      <c r="AJ146">
        <v>32.387706999999999</v>
      </c>
      <c r="AK146">
        <v>-110.712655</v>
      </c>
      <c r="AL146">
        <v>3</v>
      </c>
      <c r="AN146">
        <v>2113</v>
      </c>
      <c r="AP146">
        <v>2113</v>
      </c>
      <c r="AQ146">
        <v>2128.17245</v>
      </c>
      <c r="AT146">
        <v>13</v>
      </c>
      <c r="AU146">
        <v>5</v>
      </c>
      <c r="AV146">
        <v>2022</v>
      </c>
      <c r="AW146">
        <v>2438038</v>
      </c>
      <c r="AX146">
        <v>2438038</v>
      </c>
      <c r="AY146" t="s">
        <v>106</v>
      </c>
      <c r="AZ146" t="s">
        <v>92</v>
      </c>
      <c r="BA146" t="s">
        <v>107</v>
      </c>
      <c r="BB146" t="s">
        <v>737</v>
      </c>
      <c r="BC146" t="s">
        <v>97</v>
      </c>
      <c r="BE146" t="s">
        <v>96</v>
      </c>
      <c r="BG146" t="s">
        <v>654</v>
      </c>
      <c r="BI146" t="s">
        <v>98</v>
      </c>
      <c r="BJ146" t="s">
        <v>703</v>
      </c>
      <c r="BL146" t="s">
        <v>110</v>
      </c>
    </row>
    <row r="147" spans="1:64" hidden="1" x14ac:dyDescent="0.2">
      <c r="A147">
        <v>1060</v>
      </c>
      <c r="B147">
        <v>4027015370</v>
      </c>
      <c r="C147" t="s">
        <v>101</v>
      </c>
      <c r="D147" t="s">
        <v>738</v>
      </c>
      <c r="E147" t="s">
        <v>65</v>
      </c>
      <c r="F147" t="s">
        <v>66</v>
      </c>
      <c r="G147" t="s">
        <v>67</v>
      </c>
      <c r="H147" t="s">
        <v>68</v>
      </c>
      <c r="I147" t="s">
        <v>176</v>
      </c>
      <c r="J147" t="s">
        <v>177</v>
      </c>
      <c r="K147" t="s">
        <v>178</v>
      </c>
      <c r="M147" t="s">
        <v>72</v>
      </c>
      <c r="N147" t="s">
        <v>179</v>
      </c>
      <c r="O147" t="s">
        <v>178</v>
      </c>
      <c r="P147" t="s">
        <v>180</v>
      </c>
      <c r="Q147" t="s">
        <v>75</v>
      </c>
      <c r="R147" t="s">
        <v>644</v>
      </c>
      <c r="S147" t="s">
        <v>727</v>
      </c>
      <c r="T147" t="s">
        <v>78</v>
      </c>
      <c r="U147" t="s">
        <v>646</v>
      </c>
      <c r="V147" t="s">
        <v>80</v>
      </c>
      <c r="W147" s="1">
        <v>44694</v>
      </c>
      <c r="X147" t="s">
        <v>647</v>
      </c>
      <c r="Y147" t="s">
        <v>728</v>
      </c>
      <c r="Z147" t="s">
        <v>83</v>
      </c>
      <c r="AA147">
        <v>1</v>
      </c>
      <c r="AB147" t="s">
        <v>657</v>
      </c>
      <c r="AD147" t="s">
        <v>104</v>
      </c>
      <c r="AE147" t="s">
        <v>145</v>
      </c>
      <c r="AF147" t="s">
        <v>146</v>
      </c>
      <c r="AG147" t="s">
        <v>735</v>
      </c>
      <c r="AH147" t="s">
        <v>736</v>
      </c>
      <c r="AI147" t="s">
        <v>90</v>
      </c>
      <c r="AJ147">
        <v>32.387706999999999</v>
      </c>
      <c r="AK147">
        <v>-110.712655</v>
      </c>
      <c r="AL147">
        <v>3</v>
      </c>
      <c r="AN147">
        <v>2113</v>
      </c>
      <c r="AP147">
        <v>2113</v>
      </c>
      <c r="AQ147">
        <v>2128.17245</v>
      </c>
      <c r="AT147">
        <v>13</v>
      </c>
      <c r="AU147">
        <v>5</v>
      </c>
      <c r="AV147">
        <v>2022</v>
      </c>
      <c r="AW147">
        <v>2438038</v>
      </c>
      <c r="AX147">
        <v>2438038</v>
      </c>
      <c r="AY147" t="s">
        <v>106</v>
      </c>
      <c r="AZ147" t="s">
        <v>92</v>
      </c>
      <c r="BA147" t="s">
        <v>107</v>
      </c>
      <c r="BB147" t="s">
        <v>739</v>
      </c>
      <c r="BC147" t="s">
        <v>97</v>
      </c>
      <c r="BE147" t="s">
        <v>96</v>
      </c>
      <c r="BG147" t="s">
        <v>654</v>
      </c>
      <c r="BI147" t="s">
        <v>98</v>
      </c>
      <c r="BJ147" t="s">
        <v>740</v>
      </c>
      <c r="BL147" t="s">
        <v>110</v>
      </c>
    </row>
    <row r="148" spans="1:64" hidden="1" x14ac:dyDescent="0.2">
      <c r="A148">
        <v>1058</v>
      </c>
      <c r="B148">
        <v>4027015372</v>
      </c>
      <c r="C148" t="s">
        <v>101</v>
      </c>
      <c r="D148" t="s">
        <v>741</v>
      </c>
      <c r="E148" t="s">
        <v>65</v>
      </c>
      <c r="F148" t="s">
        <v>66</v>
      </c>
      <c r="G148" t="s">
        <v>67</v>
      </c>
      <c r="H148" t="s">
        <v>68</v>
      </c>
      <c r="I148" t="s">
        <v>176</v>
      </c>
      <c r="J148" t="s">
        <v>177</v>
      </c>
      <c r="K148" t="s">
        <v>178</v>
      </c>
      <c r="M148" t="s">
        <v>72</v>
      </c>
      <c r="N148" t="s">
        <v>179</v>
      </c>
      <c r="O148" t="s">
        <v>178</v>
      </c>
      <c r="P148" t="s">
        <v>180</v>
      </c>
      <c r="Q148" t="s">
        <v>75</v>
      </c>
      <c r="R148" t="s">
        <v>644</v>
      </c>
      <c r="S148" t="s">
        <v>727</v>
      </c>
      <c r="T148" t="s">
        <v>78</v>
      </c>
      <c r="U148" t="s">
        <v>646</v>
      </c>
      <c r="V148" t="s">
        <v>80</v>
      </c>
      <c r="W148" s="1">
        <v>44694</v>
      </c>
      <c r="X148" t="s">
        <v>647</v>
      </c>
      <c r="Y148" t="s">
        <v>728</v>
      </c>
      <c r="Z148" t="s">
        <v>83</v>
      </c>
      <c r="AA148">
        <v>1</v>
      </c>
      <c r="AB148" t="s">
        <v>672</v>
      </c>
      <c r="AD148" t="s">
        <v>134</v>
      </c>
      <c r="AE148" t="s">
        <v>145</v>
      </c>
      <c r="AF148" t="s">
        <v>146</v>
      </c>
      <c r="AG148" t="s">
        <v>735</v>
      </c>
      <c r="AH148" t="s">
        <v>742</v>
      </c>
      <c r="AI148" t="s">
        <v>90</v>
      </c>
      <c r="AJ148">
        <v>32.387706999999999</v>
      </c>
      <c r="AK148">
        <v>-110.712655</v>
      </c>
      <c r="AL148">
        <v>3</v>
      </c>
      <c r="AN148">
        <v>2113</v>
      </c>
      <c r="AP148">
        <v>2113</v>
      </c>
      <c r="AQ148">
        <v>2128.17245</v>
      </c>
      <c r="AT148">
        <v>13</v>
      </c>
      <c r="AU148">
        <v>5</v>
      </c>
      <c r="AV148">
        <v>2022</v>
      </c>
      <c r="AW148">
        <v>2438038</v>
      </c>
      <c r="AX148">
        <v>2438038</v>
      </c>
      <c r="AY148" t="s">
        <v>106</v>
      </c>
      <c r="AZ148" t="s">
        <v>92</v>
      </c>
      <c r="BA148" t="s">
        <v>107</v>
      </c>
      <c r="BB148" t="s">
        <v>743</v>
      </c>
      <c r="BC148" t="s">
        <v>97</v>
      </c>
      <c r="BE148" t="s">
        <v>96</v>
      </c>
      <c r="BG148" t="s">
        <v>654</v>
      </c>
      <c r="BI148" t="s">
        <v>98</v>
      </c>
      <c r="BJ148" t="s">
        <v>740</v>
      </c>
      <c r="BL148" t="s">
        <v>110</v>
      </c>
    </row>
    <row r="149" spans="1:64" hidden="1" x14ac:dyDescent="0.2">
      <c r="A149">
        <v>986</v>
      </c>
      <c r="B149">
        <v>4027015444</v>
      </c>
      <c r="C149" t="s">
        <v>101</v>
      </c>
      <c r="D149" t="s">
        <v>829</v>
      </c>
      <c r="E149" t="s">
        <v>65</v>
      </c>
      <c r="F149" t="s">
        <v>66</v>
      </c>
      <c r="G149" t="s">
        <v>67</v>
      </c>
      <c r="H149" t="s">
        <v>68</v>
      </c>
      <c r="I149" t="s">
        <v>176</v>
      </c>
      <c r="J149" t="s">
        <v>177</v>
      </c>
      <c r="K149" t="s">
        <v>178</v>
      </c>
      <c r="M149" t="s">
        <v>72</v>
      </c>
      <c r="N149" t="s">
        <v>179</v>
      </c>
      <c r="O149" t="s">
        <v>178</v>
      </c>
      <c r="P149" t="s">
        <v>180</v>
      </c>
      <c r="Q149" t="s">
        <v>75</v>
      </c>
      <c r="R149" t="s">
        <v>814</v>
      </c>
      <c r="S149" t="s">
        <v>830</v>
      </c>
      <c r="T149" t="s">
        <v>78</v>
      </c>
      <c r="U149" t="s">
        <v>646</v>
      </c>
      <c r="V149" t="s">
        <v>80</v>
      </c>
      <c r="W149" s="1">
        <v>44694</v>
      </c>
      <c r="X149" t="s">
        <v>647</v>
      </c>
      <c r="Y149" t="s">
        <v>831</v>
      </c>
      <c r="Z149" t="s">
        <v>83</v>
      </c>
      <c r="AA149">
        <v>1</v>
      </c>
      <c r="AB149" t="s">
        <v>677</v>
      </c>
      <c r="AC149">
        <v>0</v>
      </c>
      <c r="AD149" t="s">
        <v>128</v>
      </c>
      <c r="AE149" t="s">
        <v>86</v>
      </c>
      <c r="AF149" t="s">
        <v>281</v>
      </c>
      <c r="AG149" t="s">
        <v>832</v>
      </c>
      <c r="AI149" t="s">
        <v>90</v>
      </c>
      <c r="AJ149">
        <v>32.388517999999998</v>
      </c>
      <c r="AK149">
        <v>-110.711291</v>
      </c>
      <c r="AN149">
        <v>2133</v>
      </c>
      <c r="AP149">
        <v>2133</v>
      </c>
      <c r="AQ149">
        <v>2148.0994460000002</v>
      </c>
      <c r="AT149">
        <v>13</v>
      </c>
      <c r="AU149">
        <v>5</v>
      </c>
      <c r="AV149">
        <v>2022</v>
      </c>
      <c r="AW149">
        <v>2438038</v>
      </c>
      <c r="AX149">
        <v>2438038</v>
      </c>
      <c r="AY149" t="s">
        <v>106</v>
      </c>
      <c r="AZ149" t="s">
        <v>92</v>
      </c>
      <c r="BA149" t="s">
        <v>107</v>
      </c>
      <c r="BB149" t="s">
        <v>833</v>
      </c>
      <c r="BC149" t="s">
        <v>97</v>
      </c>
      <c r="BE149" t="s">
        <v>96</v>
      </c>
      <c r="BG149" t="s">
        <v>654</v>
      </c>
      <c r="BI149" t="s">
        <v>98</v>
      </c>
      <c r="BJ149" t="s">
        <v>717</v>
      </c>
      <c r="BL149" t="s">
        <v>412</v>
      </c>
    </row>
    <row r="150" spans="1:64" x14ac:dyDescent="0.2">
      <c r="A150">
        <v>630</v>
      </c>
      <c r="B150">
        <v>4136459312</v>
      </c>
      <c r="C150" t="s">
        <v>101</v>
      </c>
      <c r="D150" t="s">
        <v>5475</v>
      </c>
      <c r="E150" t="s">
        <v>65</v>
      </c>
      <c r="F150" t="s">
        <v>66</v>
      </c>
      <c r="G150" t="s">
        <v>67</v>
      </c>
      <c r="H150" t="s">
        <v>68</v>
      </c>
      <c r="I150" t="s">
        <v>69</v>
      </c>
      <c r="J150" t="s">
        <v>70</v>
      </c>
      <c r="K150" t="s">
        <v>4195</v>
      </c>
      <c r="M150" t="s">
        <v>72</v>
      </c>
      <c r="N150" t="s">
        <v>4196</v>
      </c>
      <c r="O150" t="s">
        <v>4195</v>
      </c>
      <c r="P150" t="s">
        <v>4197</v>
      </c>
      <c r="Q150" t="s">
        <v>75</v>
      </c>
      <c r="R150" t="s">
        <v>5008</v>
      </c>
      <c r="S150" t="s">
        <v>5472</v>
      </c>
      <c r="T150" t="s">
        <v>78</v>
      </c>
      <c r="U150" t="s">
        <v>5009</v>
      </c>
      <c r="V150" t="s">
        <v>80</v>
      </c>
      <c r="W150" s="1">
        <v>44905</v>
      </c>
      <c r="X150" t="s">
        <v>5010</v>
      </c>
      <c r="Y150" t="s">
        <v>5473</v>
      </c>
      <c r="Z150" t="s">
        <v>83</v>
      </c>
      <c r="AA150">
        <v>1</v>
      </c>
      <c r="AB150" t="s">
        <v>657</v>
      </c>
      <c r="AC150">
        <v>0</v>
      </c>
      <c r="AD150" t="s">
        <v>119</v>
      </c>
      <c r="AE150" t="s">
        <v>86</v>
      </c>
      <c r="AF150" t="s">
        <v>87</v>
      </c>
      <c r="AI150" t="s">
        <v>90</v>
      </c>
      <c r="AJ150">
        <v>32.314328000000003</v>
      </c>
      <c r="AK150">
        <v>-110.712667</v>
      </c>
      <c r="AL150">
        <v>3</v>
      </c>
      <c r="AN150">
        <v>1185</v>
      </c>
      <c r="AP150">
        <v>1185</v>
      </c>
      <c r="AQ150">
        <v>1188.4003749999999</v>
      </c>
      <c r="AT150">
        <v>10</v>
      </c>
      <c r="AU150">
        <v>12</v>
      </c>
      <c r="AV150">
        <v>2022</v>
      </c>
      <c r="AW150">
        <v>2439589</v>
      </c>
      <c r="AX150">
        <v>2439589</v>
      </c>
      <c r="AY150" t="s">
        <v>106</v>
      </c>
      <c r="AZ150" t="s">
        <v>92</v>
      </c>
      <c r="BA150" t="s">
        <v>107</v>
      </c>
      <c r="BB150" t="s">
        <v>5476</v>
      </c>
      <c r="BC150" t="s">
        <v>5313</v>
      </c>
      <c r="BD150" s="1">
        <v>44905</v>
      </c>
      <c r="BE150" t="s">
        <v>96</v>
      </c>
      <c r="BG150" t="s">
        <v>5314</v>
      </c>
      <c r="BI150" t="s">
        <v>98</v>
      </c>
      <c r="BJ150" t="s">
        <v>3183</v>
      </c>
      <c r="BL150" t="s">
        <v>110</v>
      </c>
    </row>
    <row r="151" spans="1:64" hidden="1" x14ac:dyDescent="0.2">
      <c r="A151">
        <v>991</v>
      </c>
      <c r="B151">
        <v>4027015439</v>
      </c>
      <c r="C151" t="s">
        <v>101</v>
      </c>
      <c r="D151" t="s">
        <v>751</v>
      </c>
      <c r="E151" t="s">
        <v>65</v>
      </c>
      <c r="F151" t="s">
        <v>66</v>
      </c>
      <c r="G151" t="s">
        <v>67</v>
      </c>
      <c r="H151" t="s">
        <v>68</v>
      </c>
      <c r="I151" t="s">
        <v>176</v>
      </c>
      <c r="J151" t="s">
        <v>177</v>
      </c>
      <c r="K151" t="s">
        <v>178</v>
      </c>
      <c r="M151" t="s">
        <v>72</v>
      </c>
      <c r="N151" t="s">
        <v>179</v>
      </c>
      <c r="O151" t="s">
        <v>178</v>
      </c>
      <c r="P151" t="s">
        <v>180</v>
      </c>
      <c r="Q151" t="s">
        <v>75</v>
      </c>
      <c r="R151" t="s">
        <v>644</v>
      </c>
      <c r="S151" t="s">
        <v>727</v>
      </c>
      <c r="T151" t="s">
        <v>78</v>
      </c>
      <c r="U151" t="s">
        <v>646</v>
      </c>
      <c r="V151" t="s">
        <v>80</v>
      </c>
      <c r="W151" s="1">
        <v>44694</v>
      </c>
      <c r="X151" t="s">
        <v>647</v>
      </c>
      <c r="Y151" t="s">
        <v>728</v>
      </c>
      <c r="Z151" t="s">
        <v>83</v>
      </c>
      <c r="AA151">
        <v>1</v>
      </c>
      <c r="AB151" t="s">
        <v>657</v>
      </c>
      <c r="AD151" t="s">
        <v>116</v>
      </c>
      <c r="AE151" t="s">
        <v>145</v>
      </c>
      <c r="AF151" t="s">
        <v>146</v>
      </c>
      <c r="AG151" t="s">
        <v>735</v>
      </c>
      <c r="AH151" t="s">
        <v>736</v>
      </c>
      <c r="AI151" t="s">
        <v>90</v>
      </c>
      <c r="AJ151">
        <v>32.387706999999999</v>
      </c>
      <c r="AK151">
        <v>-110.712655</v>
      </c>
      <c r="AL151">
        <v>3</v>
      </c>
      <c r="AN151">
        <v>2113</v>
      </c>
      <c r="AP151">
        <v>2113</v>
      </c>
      <c r="AQ151">
        <v>2128.17245</v>
      </c>
      <c r="AT151">
        <v>13</v>
      </c>
      <c r="AU151">
        <v>5</v>
      </c>
      <c r="AV151">
        <v>2022</v>
      </c>
      <c r="AW151">
        <v>2438038</v>
      </c>
      <c r="AX151">
        <v>2438038</v>
      </c>
      <c r="AY151" t="s">
        <v>106</v>
      </c>
      <c r="AZ151" t="s">
        <v>92</v>
      </c>
      <c r="BA151" t="s">
        <v>107</v>
      </c>
      <c r="BB151" t="s">
        <v>752</v>
      </c>
      <c r="BC151" t="s">
        <v>97</v>
      </c>
      <c r="BE151" t="s">
        <v>96</v>
      </c>
      <c r="BG151" t="s">
        <v>654</v>
      </c>
      <c r="BI151" t="s">
        <v>98</v>
      </c>
      <c r="BJ151" t="s">
        <v>753</v>
      </c>
      <c r="BL151" t="s">
        <v>684</v>
      </c>
    </row>
    <row r="152" spans="1:64" hidden="1" x14ac:dyDescent="0.2">
      <c r="A152">
        <v>1346</v>
      </c>
      <c r="B152">
        <v>4022923367</v>
      </c>
      <c r="C152" t="s">
        <v>101</v>
      </c>
      <c r="D152" t="s">
        <v>754</v>
      </c>
      <c r="E152" t="s">
        <v>65</v>
      </c>
      <c r="F152" t="s">
        <v>66</v>
      </c>
      <c r="G152" t="s">
        <v>67</v>
      </c>
      <c r="H152" t="s">
        <v>68</v>
      </c>
      <c r="I152" t="s">
        <v>176</v>
      </c>
      <c r="J152" t="s">
        <v>177</v>
      </c>
      <c r="K152" t="s">
        <v>178</v>
      </c>
      <c r="M152" t="s">
        <v>72</v>
      </c>
      <c r="N152" t="s">
        <v>179</v>
      </c>
      <c r="O152" t="s">
        <v>178</v>
      </c>
      <c r="P152" t="s">
        <v>180</v>
      </c>
      <c r="Q152" t="s">
        <v>75</v>
      </c>
      <c r="R152" t="s">
        <v>644</v>
      </c>
      <c r="S152" t="s">
        <v>727</v>
      </c>
      <c r="T152" t="s">
        <v>78</v>
      </c>
      <c r="U152" t="s">
        <v>646</v>
      </c>
      <c r="V152" t="s">
        <v>80</v>
      </c>
      <c r="W152" s="1">
        <v>44694</v>
      </c>
      <c r="X152" t="s">
        <v>647</v>
      </c>
      <c r="Y152" t="s">
        <v>728</v>
      </c>
      <c r="Z152" t="s">
        <v>83</v>
      </c>
      <c r="AA152">
        <v>1</v>
      </c>
      <c r="AB152" t="s">
        <v>677</v>
      </c>
      <c r="AD152" t="s">
        <v>139</v>
      </c>
      <c r="AE152" t="s">
        <v>145</v>
      </c>
      <c r="AF152" t="s">
        <v>146</v>
      </c>
      <c r="AG152" t="s">
        <v>735</v>
      </c>
      <c r="AH152" t="s">
        <v>736</v>
      </c>
      <c r="AI152" t="s">
        <v>90</v>
      </c>
      <c r="AJ152">
        <v>32.387706999999999</v>
      </c>
      <c r="AK152">
        <v>-110.712655</v>
      </c>
      <c r="AL152">
        <v>3</v>
      </c>
      <c r="AN152">
        <v>2113</v>
      </c>
      <c r="AP152">
        <v>2113</v>
      </c>
      <c r="AQ152">
        <v>2128.17245</v>
      </c>
      <c r="AT152">
        <v>13</v>
      </c>
      <c r="AU152">
        <v>5</v>
      </c>
      <c r="AV152">
        <v>2022</v>
      </c>
      <c r="AW152">
        <v>2438038</v>
      </c>
      <c r="AX152">
        <v>2438038</v>
      </c>
      <c r="AY152" t="s">
        <v>106</v>
      </c>
      <c r="AZ152" t="s">
        <v>92</v>
      </c>
      <c r="BA152" t="s">
        <v>107</v>
      </c>
      <c r="BB152" t="s">
        <v>755</v>
      </c>
      <c r="BC152" t="s">
        <v>97</v>
      </c>
      <c r="BE152" t="s">
        <v>96</v>
      </c>
      <c r="BG152" t="s">
        <v>654</v>
      </c>
      <c r="BI152" t="s">
        <v>98</v>
      </c>
      <c r="BJ152" t="s">
        <v>689</v>
      </c>
      <c r="BL152" t="s">
        <v>684</v>
      </c>
    </row>
    <row r="153" spans="1:64" hidden="1" x14ac:dyDescent="0.2">
      <c r="A153">
        <v>1345</v>
      </c>
      <c r="B153">
        <v>4022923368</v>
      </c>
      <c r="C153" t="s">
        <v>101</v>
      </c>
      <c r="D153" t="s">
        <v>756</v>
      </c>
      <c r="E153" t="s">
        <v>65</v>
      </c>
      <c r="F153" t="s">
        <v>66</v>
      </c>
      <c r="G153" t="s">
        <v>67</v>
      </c>
      <c r="H153" t="s">
        <v>68</v>
      </c>
      <c r="I153" t="s">
        <v>176</v>
      </c>
      <c r="J153" t="s">
        <v>177</v>
      </c>
      <c r="K153" t="s">
        <v>178</v>
      </c>
      <c r="M153" t="s">
        <v>72</v>
      </c>
      <c r="N153" t="s">
        <v>179</v>
      </c>
      <c r="O153" t="s">
        <v>178</v>
      </c>
      <c r="P153" t="s">
        <v>180</v>
      </c>
      <c r="Q153" t="s">
        <v>75</v>
      </c>
      <c r="R153" t="s">
        <v>644</v>
      </c>
      <c r="S153" t="s">
        <v>727</v>
      </c>
      <c r="T153" t="s">
        <v>78</v>
      </c>
      <c r="U153" t="s">
        <v>646</v>
      </c>
      <c r="V153" t="s">
        <v>80</v>
      </c>
      <c r="W153" s="1">
        <v>44694</v>
      </c>
      <c r="X153" t="s">
        <v>647</v>
      </c>
      <c r="Y153" t="s">
        <v>728</v>
      </c>
      <c r="Z153" t="s">
        <v>83</v>
      </c>
      <c r="AA153">
        <v>1</v>
      </c>
      <c r="AB153" t="s">
        <v>677</v>
      </c>
      <c r="AD153" t="s">
        <v>123</v>
      </c>
      <c r="AE153" t="s">
        <v>145</v>
      </c>
      <c r="AF153" t="s">
        <v>146</v>
      </c>
      <c r="AG153" t="s">
        <v>735</v>
      </c>
      <c r="AH153" t="s">
        <v>736</v>
      </c>
      <c r="AI153" t="s">
        <v>90</v>
      </c>
      <c r="AJ153">
        <v>32.387706999999999</v>
      </c>
      <c r="AK153">
        <v>-110.712655</v>
      </c>
      <c r="AL153">
        <v>3</v>
      </c>
      <c r="AN153">
        <v>2113</v>
      </c>
      <c r="AP153">
        <v>2113</v>
      </c>
      <c r="AQ153">
        <v>2128.17245</v>
      </c>
      <c r="AT153">
        <v>13</v>
      </c>
      <c r="AU153">
        <v>5</v>
      </c>
      <c r="AV153">
        <v>2022</v>
      </c>
      <c r="AW153">
        <v>2438038</v>
      </c>
      <c r="AX153">
        <v>2438038</v>
      </c>
      <c r="AY153" t="s">
        <v>106</v>
      </c>
      <c r="AZ153" t="s">
        <v>92</v>
      </c>
      <c r="BA153" t="s">
        <v>107</v>
      </c>
      <c r="BB153" t="s">
        <v>757</v>
      </c>
      <c r="BC153" t="s">
        <v>97</v>
      </c>
      <c r="BE153" t="s">
        <v>96</v>
      </c>
      <c r="BG153" t="s">
        <v>654</v>
      </c>
      <c r="BI153" t="s">
        <v>98</v>
      </c>
      <c r="BJ153" t="s">
        <v>758</v>
      </c>
      <c r="BL153" t="s">
        <v>684</v>
      </c>
    </row>
    <row r="154" spans="1:64" hidden="1" x14ac:dyDescent="0.2">
      <c r="A154">
        <v>1344</v>
      </c>
      <c r="B154">
        <v>4022923369</v>
      </c>
      <c r="C154" t="s">
        <v>101</v>
      </c>
      <c r="D154" t="s">
        <v>759</v>
      </c>
      <c r="E154" t="s">
        <v>65</v>
      </c>
      <c r="F154" t="s">
        <v>66</v>
      </c>
      <c r="G154" t="s">
        <v>67</v>
      </c>
      <c r="H154" t="s">
        <v>68</v>
      </c>
      <c r="I154" t="s">
        <v>176</v>
      </c>
      <c r="J154" t="s">
        <v>177</v>
      </c>
      <c r="K154" t="s">
        <v>178</v>
      </c>
      <c r="M154" t="s">
        <v>72</v>
      </c>
      <c r="N154" t="s">
        <v>179</v>
      </c>
      <c r="O154" t="s">
        <v>178</v>
      </c>
      <c r="P154" t="s">
        <v>180</v>
      </c>
      <c r="Q154" t="s">
        <v>75</v>
      </c>
      <c r="R154" t="s">
        <v>644</v>
      </c>
      <c r="S154" t="s">
        <v>727</v>
      </c>
      <c r="T154" t="s">
        <v>78</v>
      </c>
      <c r="U154" t="s">
        <v>646</v>
      </c>
      <c r="V154" t="s">
        <v>80</v>
      </c>
      <c r="W154" s="1">
        <v>44694</v>
      </c>
      <c r="X154" t="s">
        <v>647</v>
      </c>
      <c r="Y154" t="s">
        <v>728</v>
      </c>
      <c r="Z154" t="s">
        <v>83</v>
      </c>
      <c r="AA154">
        <v>1</v>
      </c>
      <c r="AB154" t="s">
        <v>677</v>
      </c>
      <c r="AD154" t="s">
        <v>104</v>
      </c>
      <c r="AE154" t="s">
        <v>145</v>
      </c>
      <c r="AF154" t="s">
        <v>146</v>
      </c>
      <c r="AG154" t="s">
        <v>735</v>
      </c>
      <c r="AH154" t="s">
        <v>736</v>
      </c>
      <c r="AI154" t="s">
        <v>90</v>
      </c>
      <c r="AJ154">
        <v>32.387706999999999</v>
      </c>
      <c r="AK154">
        <v>-110.712655</v>
      </c>
      <c r="AL154">
        <v>3</v>
      </c>
      <c r="AN154">
        <v>2113</v>
      </c>
      <c r="AP154">
        <v>2113</v>
      </c>
      <c r="AQ154">
        <v>2128.17245</v>
      </c>
      <c r="AT154">
        <v>13</v>
      </c>
      <c r="AU154">
        <v>5</v>
      </c>
      <c r="AV154">
        <v>2022</v>
      </c>
      <c r="AW154">
        <v>2438038</v>
      </c>
      <c r="AX154">
        <v>2438038</v>
      </c>
      <c r="AY154" t="s">
        <v>106</v>
      </c>
      <c r="AZ154" t="s">
        <v>92</v>
      </c>
      <c r="BA154" t="s">
        <v>107</v>
      </c>
      <c r="BB154" t="s">
        <v>760</v>
      </c>
      <c r="BC154" t="s">
        <v>97</v>
      </c>
      <c r="BE154" t="s">
        <v>96</v>
      </c>
      <c r="BG154" t="s">
        <v>654</v>
      </c>
      <c r="BI154" t="s">
        <v>98</v>
      </c>
      <c r="BJ154" t="s">
        <v>761</v>
      </c>
      <c r="BL154" t="s">
        <v>684</v>
      </c>
    </row>
    <row r="155" spans="1:64" hidden="1" x14ac:dyDescent="0.2">
      <c r="A155">
        <v>1000</v>
      </c>
      <c r="B155">
        <v>4027015430</v>
      </c>
      <c r="C155" t="s">
        <v>101</v>
      </c>
      <c r="D155" t="s">
        <v>872</v>
      </c>
      <c r="E155" t="s">
        <v>65</v>
      </c>
      <c r="F155" t="s">
        <v>66</v>
      </c>
      <c r="G155" t="s">
        <v>67</v>
      </c>
      <c r="H155" t="s">
        <v>68</v>
      </c>
      <c r="I155" t="s">
        <v>176</v>
      </c>
      <c r="J155" t="s">
        <v>177</v>
      </c>
      <c r="K155" t="s">
        <v>178</v>
      </c>
      <c r="M155" t="s">
        <v>72</v>
      </c>
      <c r="N155" t="s">
        <v>179</v>
      </c>
      <c r="O155" t="s">
        <v>178</v>
      </c>
      <c r="P155" t="s">
        <v>180</v>
      </c>
      <c r="Q155" t="s">
        <v>75</v>
      </c>
      <c r="R155" t="s">
        <v>814</v>
      </c>
      <c r="S155" t="s">
        <v>873</v>
      </c>
      <c r="T155" t="s">
        <v>78</v>
      </c>
      <c r="U155" t="s">
        <v>646</v>
      </c>
      <c r="V155" t="s">
        <v>80</v>
      </c>
      <c r="W155" s="1">
        <v>44694</v>
      </c>
      <c r="X155" t="s">
        <v>647</v>
      </c>
      <c r="Y155" t="s">
        <v>874</v>
      </c>
      <c r="Z155" t="s">
        <v>83</v>
      </c>
      <c r="AA155">
        <v>1</v>
      </c>
      <c r="AB155" t="s">
        <v>677</v>
      </c>
      <c r="AC155">
        <v>0</v>
      </c>
      <c r="AD155" t="s">
        <v>128</v>
      </c>
      <c r="AE155" t="s">
        <v>145</v>
      </c>
      <c r="AF155" t="s">
        <v>281</v>
      </c>
      <c r="AG155" t="s">
        <v>875</v>
      </c>
      <c r="AI155" t="s">
        <v>90</v>
      </c>
      <c r="AJ155">
        <v>32.389409000000001</v>
      </c>
      <c r="AK155">
        <v>-110.710999</v>
      </c>
      <c r="AL155">
        <v>3</v>
      </c>
      <c r="AN155">
        <v>2117</v>
      </c>
      <c r="AP155">
        <v>2117</v>
      </c>
      <c r="AQ155">
        <v>2157.664397</v>
      </c>
      <c r="AT155">
        <v>13</v>
      </c>
      <c r="AU155">
        <v>5</v>
      </c>
      <c r="AV155">
        <v>2022</v>
      </c>
      <c r="AW155">
        <v>2438038</v>
      </c>
      <c r="AX155">
        <v>2438038</v>
      </c>
      <c r="AY155" t="s">
        <v>106</v>
      </c>
      <c r="AZ155" t="s">
        <v>92</v>
      </c>
      <c r="BA155" t="s">
        <v>107</v>
      </c>
      <c r="BB155" t="s">
        <v>876</v>
      </c>
      <c r="BC155" t="s">
        <v>97</v>
      </c>
      <c r="BE155" t="s">
        <v>96</v>
      </c>
      <c r="BG155" t="s">
        <v>654</v>
      </c>
      <c r="BI155" t="s">
        <v>98</v>
      </c>
      <c r="BJ155" t="s">
        <v>675</v>
      </c>
      <c r="BL155" t="s">
        <v>412</v>
      </c>
    </row>
    <row r="156" spans="1:64" x14ac:dyDescent="0.2">
      <c r="A156">
        <v>626</v>
      </c>
      <c r="B156">
        <v>4136459316</v>
      </c>
      <c r="C156" t="s">
        <v>101</v>
      </c>
      <c r="D156" t="s">
        <v>5485</v>
      </c>
      <c r="E156" t="s">
        <v>65</v>
      </c>
      <c r="F156" t="s">
        <v>66</v>
      </c>
      <c r="G156" t="s">
        <v>67</v>
      </c>
      <c r="H156" t="s">
        <v>68</v>
      </c>
      <c r="I156" t="s">
        <v>176</v>
      </c>
      <c r="J156" t="s">
        <v>177</v>
      </c>
      <c r="K156" t="s">
        <v>3925</v>
      </c>
      <c r="M156" t="s">
        <v>72</v>
      </c>
      <c r="N156" t="s">
        <v>3926</v>
      </c>
      <c r="O156" t="s">
        <v>3925</v>
      </c>
      <c r="P156" t="s">
        <v>1176</v>
      </c>
      <c r="Q156" t="s">
        <v>75</v>
      </c>
      <c r="R156" t="s">
        <v>5008</v>
      </c>
      <c r="S156" t="s">
        <v>1281</v>
      </c>
      <c r="T156" t="s">
        <v>78</v>
      </c>
      <c r="U156" t="s">
        <v>5009</v>
      </c>
      <c r="V156" t="s">
        <v>80</v>
      </c>
      <c r="W156" s="1">
        <v>44905</v>
      </c>
      <c r="X156" t="s">
        <v>5010</v>
      </c>
      <c r="Y156" t="s">
        <v>5486</v>
      </c>
      <c r="Z156" t="s">
        <v>83</v>
      </c>
      <c r="AA156">
        <v>1</v>
      </c>
      <c r="AB156" t="s">
        <v>657</v>
      </c>
      <c r="AC156">
        <v>0</v>
      </c>
      <c r="AD156" t="s">
        <v>119</v>
      </c>
      <c r="AE156" t="s">
        <v>145</v>
      </c>
      <c r="AF156" t="s">
        <v>146</v>
      </c>
      <c r="AG156" t="s">
        <v>5371</v>
      </c>
      <c r="AI156" t="s">
        <v>90</v>
      </c>
      <c r="AJ156">
        <v>32.314622999999997</v>
      </c>
      <c r="AK156">
        <v>-110.71236500000001</v>
      </c>
      <c r="AL156">
        <v>3</v>
      </c>
      <c r="AN156">
        <v>1182</v>
      </c>
      <c r="AP156">
        <v>1182</v>
      </c>
      <c r="AQ156">
        <v>1192.5299950000001</v>
      </c>
      <c r="AT156">
        <v>10</v>
      </c>
      <c r="AU156">
        <v>12</v>
      </c>
      <c r="AV156">
        <v>2022</v>
      </c>
      <c r="AW156">
        <v>2437981</v>
      </c>
      <c r="AX156">
        <v>2437981</v>
      </c>
      <c r="AY156" t="s">
        <v>106</v>
      </c>
      <c r="AZ156" t="s">
        <v>92</v>
      </c>
      <c r="BA156" t="s">
        <v>107</v>
      </c>
      <c r="BB156" t="s">
        <v>5487</v>
      </c>
      <c r="BC156" t="s">
        <v>5313</v>
      </c>
      <c r="BD156" s="1">
        <v>44905</v>
      </c>
      <c r="BE156" t="s">
        <v>96</v>
      </c>
      <c r="BG156" t="s">
        <v>5314</v>
      </c>
      <c r="BI156" t="s">
        <v>98</v>
      </c>
      <c r="BJ156" t="s">
        <v>2927</v>
      </c>
      <c r="BL156" t="s">
        <v>412</v>
      </c>
    </row>
    <row r="157" spans="1:64" hidden="1" x14ac:dyDescent="0.2">
      <c r="A157">
        <v>1079</v>
      </c>
      <c r="B157">
        <v>4027015351</v>
      </c>
      <c r="C157" t="s">
        <v>101</v>
      </c>
      <c r="D157" t="s">
        <v>770</v>
      </c>
      <c r="E157" t="s">
        <v>65</v>
      </c>
      <c r="F157" t="s">
        <v>66</v>
      </c>
      <c r="G157" t="s">
        <v>67</v>
      </c>
      <c r="H157" t="s">
        <v>68</v>
      </c>
      <c r="I157" t="s">
        <v>176</v>
      </c>
      <c r="J157" t="s">
        <v>177</v>
      </c>
      <c r="K157" t="s">
        <v>178</v>
      </c>
      <c r="M157" t="s">
        <v>72</v>
      </c>
      <c r="N157" t="s">
        <v>179</v>
      </c>
      <c r="O157" t="s">
        <v>178</v>
      </c>
      <c r="P157" t="s">
        <v>180</v>
      </c>
      <c r="Q157" t="s">
        <v>75</v>
      </c>
      <c r="R157" t="s">
        <v>644</v>
      </c>
      <c r="S157" t="s">
        <v>763</v>
      </c>
      <c r="T157" t="s">
        <v>78</v>
      </c>
      <c r="U157" t="s">
        <v>646</v>
      </c>
      <c r="V157" t="s">
        <v>80</v>
      </c>
      <c r="W157" s="1">
        <v>44694</v>
      </c>
      <c r="X157" t="s">
        <v>647</v>
      </c>
      <c r="Y157" t="s">
        <v>764</v>
      </c>
      <c r="Z157" t="s">
        <v>83</v>
      </c>
      <c r="AA157">
        <v>1</v>
      </c>
      <c r="AB157" t="s">
        <v>657</v>
      </c>
      <c r="AD157" t="s">
        <v>343</v>
      </c>
      <c r="AE157" t="s">
        <v>145</v>
      </c>
      <c r="AF157" t="s">
        <v>146</v>
      </c>
      <c r="AG157" t="s">
        <v>765</v>
      </c>
      <c r="AI157" t="s">
        <v>90</v>
      </c>
      <c r="AJ157">
        <v>32.387717000000002</v>
      </c>
      <c r="AK157">
        <v>-110.712658</v>
      </c>
      <c r="AL157">
        <v>3</v>
      </c>
      <c r="AN157">
        <v>2113</v>
      </c>
      <c r="AP157">
        <v>2113</v>
      </c>
      <c r="AQ157">
        <v>2127.7027750000002</v>
      </c>
      <c r="AT157">
        <v>13</v>
      </c>
      <c r="AU157">
        <v>5</v>
      </c>
      <c r="AV157">
        <v>2022</v>
      </c>
      <c r="AW157">
        <v>2438038</v>
      </c>
      <c r="AX157">
        <v>2438038</v>
      </c>
      <c r="AY157" t="s">
        <v>106</v>
      </c>
      <c r="AZ157" t="s">
        <v>92</v>
      </c>
      <c r="BA157" t="s">
        <v>107</v>
      </c>
      <c r="BB157" t="s">
        <v>771</v>
      </c>
      <c r="BC157" t="s">
        <v>97</v>
      </c>
      <c r="BE157" t="s">
        <v>96</v>
      </c>
      <c r="BG157" t="s">
        <v>654</v>
      </c>
      <c r="BI157" t="s">
        <v>98</v>
      </c>
      <c r="BJ157" t="s">
        <v>707</v>
      </c>
      <c r="BL157" t="s">
        <v>110</v>
      </c>
    </row>
    <row r="158" spans="1:64" x14ac:dyDescent="0.2">
      <c r="A158">
        <v>188</v>
      </c>
      <c r="B158">
        <v>4403382452</v>
      </c>
      <c r="C158" t="s">
        <v>101</v>
      </c>
      <c r="D158" t="s">
        <v>584</v>
      </c>
      <c r="E158" t="s">
        <v>65</v>
      </c>
      <c r="F158" t="s">
        <v>66</v>
      </c>
      <c r="G158" t="s">
        <v>67</v>
      </c>
      <c r="H158" t="s">
        <v>68</v>
      </c>
      <c r="I158" t="s">
        <v>176</v>
      </c>
      <c r="J158" t="s">
        <v>177</v>
      </c>
      <c r="K158" t="s">
        <v>178</v>
      </c>
      <c r="M158" t="s">
        <v>72</v>
      </c>
      <c r="N158" t="s">
        <v>179</v>
      </c>
      <c r="O158" t="s">
        <v>178</v>
      </c>
      <c r="P158" t="s">
        <v>180</v>
      </c>
      <c r="Q158" t="s">
        <v>75</v>
      </c>
      <c r="R158" t="s">
        <v>354</v>
      </c>
      <c r="S158" t="s">
        <v>529</v>
      </c>
      <c r="T158" t="s">
        <v>78</v>
      </c>
      <c r="U158" t="s">
        <v>79</v>
      </c>
      <c r="V158" t="s">
        <v>80</v>
      </c>
      <c r="W158" s="1">
        <v>45116</v>
      </c>
      <c r="X158" t="s">
        <v>356</v>
      </c>
      <c r="Y158" t="s">
        <v>530</v>
      </c>
      <c r="Z158" t="s">
        <v>83</v>
      </c>
      <c r="AA158">
        <v>1</v>
      </c>
      <c r="AB158" t="s">
        <v>385</v>
      </c>
      <c r="AC158">
        <v>0</v>
      </c>
      <c r="AD158" t="s">
        <v>119</v>
      </c>
      <c r="AE158" t="s">
        <v>86</v>
      </c>
      <c r="AF158" t="s">
        <v>402</v>
      </c>
      <c r="AG158" t="s">
        <v>532</v>
      </c>
      <c r="AI158" t="s">
        <v>90</v>
      </c>
      <c r="AJ158">
        <v>32.372791999999997</v>
      </c>
      <c r="AK158">
        <v>-110.701615</v>
      </c>
      <c r="AL158">
        <v>3</v>
      </c>
      <c r="AN158">
        <v>1909</v>
      </c>
      <c r="AP158">
        <v>1909</v>
      </c>
      <c r="AQ158">
        <v>1919.5212739999999</v>
      </c>
      <c r="AT158">
        <v>9</v>
      </c>
      <c r="AU158">
        <v>7</v>
      </c>
      <c r="AV158">
        <v>2023</v>
      </c>
      <c r="AW158">
        <v>2438038</v>
      </c>
      <c r="AX158">
        <v>2438038</v>
      </c>
      <c r="AY158" t="s">
        <v>106</v>
      </c>
      <c r="AZ158" t="s">
        <v>92</v>
      </c>
      <c r="BA158" t="s">
        <v>107</v>
      </c>
      <c r="BB158" t="s">
        <v>585</v>
      </c>
      <c r="BC158" t="s">
        <v>95</v>
      </c>
      <c r="BD158" s="1">
        <v>45116</v>
      </c>
      <c r="BE158" t="s">
        <v>96</v>
      </c>
      <c r="BG158" t="s">
        <v>363</v>
      </c>
      <c r="BI158" t="s">
        <v>98</v>
      </c>
      <c r="BJ158" t="s">
        <v>542</v>
      </c>
      <c r="BL158" t="s">
        <v>412</v>
      </c>
    </row>
    <row r="159" spans="1:64" hidden="1" x14ac:dyDescent="0.2">
      <c r="A159">
        <v>1076</v>
      </c>
      <c r="B159">
        <v>4027015354</v>
      </c>
      <c r="C159" t="s">
        <v>101</v>
      </c>
      <c r="D159" t="s">
        <v>788</v>
      </c>
      <c r="E159" t="s">
        <v>65</v>
      </c>
      <c r="F159" t="s">
        <v>66</v>
      </c>
      <c r="G159" t="s">
        <v>67</v>
      </c>
      <c r="H159" t="s">
        <v>68</v>
      </c>
      <c r="I159" t="s">
        <v>176</v>
      </c>
      <c r="J159" t="s">
        <v>773</v>
      </c>
      <c r="K159" t="s">
        <v>774</v>
      </c>
      <c r="M159" t="s">
        <v>72</v>
      </c>
      <c r="N159" t="s">
        <v>775</v>
      </c>
      <c r="O159" t="s">
        <v>774</v>
      </c>
      <c r="P159" t="s">
        <v>776</v>
      </c>
      <c r="Q159" t="s">
        <v>75</v>
      </c>
      <c r="R159" t="s">
        <v>644</v>
      </c>
      <c r="S159" t="s">
        <v>777</v>
      </c>
      <c r="T159" t="s">
        <v>78</v>
      </c>
      <c r="U159" t="s">
        <v>646</v>
      </c>
      <c r="V159" t="s">
        <v>80</v>
      </c>
      <c r="W159" s="1">
        <v>44694</v>
      </c>
      <c r="X159" t="s">
        <v>647</v>
      </c>
      <c r="Y159" t="s">
        <v>778</v>
      </c>
      <c r="Z159" t="s">
        <v>83</v>
      </c>
      <c r="AA159">
        <v>1</v>
      </c>
      <c r="AB159" t="s">
        <v>677</v>
      </c>
      <c r="AD159" t="s">
        <v>123</v>
      </c>
      <c r="AE159" t="s">
        <v>86</v>
      </c>
      <c r="AF159" t="s">
        <v>146</v>
      </c>
      <c r="AG159" t="s">
        <v>781</v>
      </c>
      <c r="AH159" t="s">
        <v>789</v>
      </c>
      <c r="AI159" t="s">
        <v>90</v>
      </c>
      <c r="AJ159">
        <v>32.387774</v>
      </c>
      <c r="AK159">
        <v>-110.712733</v>
      </c>
      <c r="AL159">
        <v>6</v>
      </c>
      <c r="AN159">
        <v>2081</v>
      </c>
      <c r="AP159">
        <v>2081</v>
      </c>
      <c r="AQ159">
        <v>2124.524656</v>
      </c>
      <c r="AT159">
        <v>13</v>
      </c>
      <c r="AU159">
        <v>5</v>
      </c>
      <c r="AV159">
        <v>2022</v>
      </c>
      <c r="AW159">
        <v>2438447</v>
      </c>
      <c r="AX159">
        <v>2438447</v>
      </c>
      <c r="AY159" t="s">
        <v>106</v>
      </c>
      <c r="AZ159" t="s">
        <v>92</v>
      </c>
      <c r="BA159" t="s">
        <v>107</v>
      </c>
      <c r="BB159" t="s">
        <v>790</v>
      </c>
      <c r="BC159" t="s">
        <v>97</v>
      </c>
      <c r="BE159" t="s">
        <v>96</v>
      </c>
      <c r="BG159" t="s">
        <v>654</v>
      </c>
      <c r="BI159" t="s">
        <v>98</v>
      </c>
      <c r="BJ159" t="s">
        <v>740</v>
      </c>
      <c r="BL159" t="s">
        <v>110</v>
      </c>
    </row>
    <row r="160" spans="1:64" hidden="1" x14ac:dyDescent="0.2">
      <c r="A160">
        <v>1072</v>
      </c>
      <c r="B160">
        <v>4027015358</v>
      </c>
      <c r="C160" t="s">
        <v>101</v>
      </c>
      <c r="D160" t="s">
        <v>791</v>
      </c>
      <c r="E160" t="s">
        <v>65</v>
      </c>
      <c r="F160" t="s">
        <v>66</v>
      </c>
      <c r="G160" t="s">
        <v>67</v>
      </c>
      <c r="H160" t="s">
        <v>68</v>
      </c>
      <c r="I160" t="s">
        <v>176</v>
      </c>
      <c r="J160" t="s">
        <v>773</v>
      </c>
      <c r="K160" t="s">
        <v>774</v>
      </c>
      <c r="M160" t="s">
        <v>72</v>
      </c>
      <c r="N160" t="s">
        <v>775</v>
      </c>
      <c r="O160" t="s">
        <v>774</v>
      </c>
      <c r="P160" t="s">
        <v>776</v>
      </c>
      <c r="Q160" t="s">
        <v>75</v>
      </c>
      <c r="R160" t="s">
        <v>644</v>
      </c>
      <c r="S160" t="s">
        <v>777</v>
      </c>
      <c r="T160" t="s">
        <v>78</v>
      </c>
      <c r="U160" t="s">
        <v>646</v>
      </c>
      <c r="V160" t="s">
        <v>80</v>
      </c>
      <c r="W160" s="1">
        <v>44694</v>
      </c>
      <c r="X160" t="s">
        <v>647</v>
      </c>
      <c r="Y160" t="s">
        <v>778</v>
      </c>
      <c r="Z160" t="s">
        <v>83</v>
      </c>
      <c r="AA160">
        <v>1</v>
      </c>
      <c r="AB160" t="s">
        <v>672</v>
      </c>
      <c r="AD160" t="s">
        <v>134</v>
      </c>
      <c r="AE160" t="s">
        <v>86</v>
      </c>
      <c r="AF160" t="s">
        <v>146</v>
      </c>
      <c r="AG160" t="s">
        <v>781</v>
      </c>
      <c r="AH160" t="s">
        <v>792</v>
      </c>
      <c r="AI160" t="s">
        <v>90</v>
      </c>
      <c r="AJ160">
        <v>32.387774</v>
      </c>
      <c r="AK160">
        <v>-110.712733</v>
      </c>
      <c r="AL160">
        <v>6</v>
      </c>
      <c r="AN160">
        <v>2081</v>
      </c>
      <c r="AP160">
        <v>2081</v>
      </c>
      <c r="AQ160">
        <v>2124.524656</v>
      </c>
      <c r="AT160">
        <v>13</v>
      </c>
      <c r="AU160">
        <v>5</v>
      </c>
      <c r="AV160">
        <v>2022</v>
      </c>
      <c r="AW160">
        <v>2438447</v>
      </c>
      <c r="AX160">
        <v>2438447</v>
      </c>
      <c r="AY160" t="s">
        <v>106</v>
      </c>
      <c r="AZ160" t="s">
        <v>92</v>
      </c>
      <c r="BA160" t="s">
        <v>107</v>
      </c>
      <c r="BB160" t="s">
        <v>793</v>
      </c>
      <c r="BC160" t="s">
        <v>97</v>
      </c>
      <c r="BE160" t="s">
        <v>96</v>
      </c>
      <c r="BG160" t="s">
        <v>654</v>
      </c>
      <c r="BI160" t="s">
        <v>98</v>
      </c>
      <c r="BJ160" t="s">
        <v>668</v>
      </c>
      <c r="BL160" t="s">
        <v>110</v>
      </c>
    </row>
    <row r="161" spans="1:64" hidden="1" x14ac:dyDescent="0.2">
      <c r="A161">
        <v>998</v>
      </c>
      <c r="B161">
        <v>4027015432</v>
      </c>
      <c r="C161" t="s">
        <v>101</v>
      </c>
      <c r="D161" t="s">
        <v>879</v>
      </c>
      <c r="E161" t="s">
        <v>65</v>
      </c>
      <c r="F161" t="s">
        <v>66</v>
      </c>
      <c r="G161" t="s">
        <v>67</v>
      </c>
      <c r="H161" t="s">
        <v>68</v>
      </c>
      <c r="I161" t="s">
        <v>350</v>
      </c>
      <c r="J161" t="s">
        <v>351</v>
      </c>
      <c r="K161" t="s">
        <v>352</v>
      </c>
      <c r="M161" t="s">
        <v>72</v>
      </c>
      <c r="N161" t="s">
        <v>353</v>
      </c>
      <c r="O161" t="s">
        <v>352</v>
      </c>
      <c r="P161" t="s">
        <v>180</v>
      </c>
      <c r="Q161" t="s">
        <v>75</v>
      </c>
      <c r="R161" t="s">
        <v>814</v>
      </c>
      <c r="S161" t="s">
        <v>880</v>
      </c>
      <c r="T161" t="s">
        <v>78</v>
      </c>
      <c r="U161" t="s">
        <v>646</v>
      </c>
      <c r="V161" t="s">
        <v>80</v>
      </c>
      <c r="W161" s="1">
        <v>44694</v>
      </c>
      <c r="X161" t="s">
        <v>647</v>
      </c>
      <c r="Y161" t="s">
        <v>881</v>
      </c>
      <c r="Z161" t="s">
        <v>83</v>
      </c>
      <c r="AA161">
        <v>1</v>
      </c>
      <c r="AB161" t="s">
        <v>677</v>
      </c>
      <c r="AC161">
        <v>0</v>
      </c>
      <c r="AD161" t="s">
        <v>128</v>
      </c>
      <c r="AE161" t="s">
        <v>86</v>
      </c>
      <c r="AF161" t="s">
        <v>146</v>
      </c>
      <c r="AG161" t="s">
        <v>882</v>
      </c>
      <c r="AI161" t="s">
        <v>90</v>
      </c>
      <c r="AJ161">
        <v>32.389358000000001</v>
      </c>
      <c r="AK161">
        <v>-110.71116000000001</v>
      </c>
      <c r="AL161">
        <v>3</v>
      </c>
      <c r="AP161">
        <v>2160.7564269999998</v>
      </c>
      <c r="AQ161">
        <v>2160.7564269999998</v>
      </c>
      <c r="AT161">
        <v>13</v>
      </c>
      <c r="AU161">
        <v>5</v>
      </c>
      <c r="AV161">
        <v>2022</v>
      </c>
      <c r="AW161">
        <v>4972385</v>
      </c>
      <c r="AX161">
        <v>2437431</v>
      </c>
      <c r="AY161" t="s">
        <v>106</v>
      </c>
      <c r="AZ161" t="s">
        <v>92</v>
      </c>
      <c r="BA161" t="s">
        <v>107</v>
      </c>
      <c r="BB161" t="s">
        <v>883</v>
      </c>
      <c r="BC161" t="s">
        <v>97</v>
      </c>
      <c r="BE161" t="s">
        <v>96</v>
      </c>
      <c r="BG161" t="s">
        <v>654</v>
      </c>
      <c r="BI161" t="s">
        <v>98</v>
      </c>
      <c r="BJ161" t="s">
        <v>680</v>
      </c>
      <c r="BL161" t="s">
        <v>110</v>
      </c>
    </row>
    <row r="162" spans="1:64" hidden="1" x14ac:dyDescent="0.2">
      <c r="A162">
        <v>969</v>
      </c>
      <c r="B162">
        <v>4027015461</v>
      </c>
      <c r="C162" t="s">
        <v>101</v>
      </c>
      <c r="D162" t="s">
        <v>797</v>
      </c>
      <c r="E162" t="s">
        <v>65</v>
      </c>
      <c r="F162" t="s">
        <v>66</v>
      </c>
      <c r="G162" t="s">
        <v>67</v>
      </c>
      <c r="H162" t="s">
        <v>68</v>
      </c>
      <c r="I162" t="s">
        <v>176</v>
      </c>
      <c r="J162" t="s">
        <v>773</v>
      </c>
      <c r="K162" t="s">
        <v>774</v>
      </c>
      <c r="M162" t="s">
        <v>72</v>
      </c>
      <c r="N162" t="s">
        <v>775</v>
      </c>
      <c r="O162" t="s">
        <v>774</v>
      </c>
      <c r="P162" t="s">
        <v>776</v>
      </c>
      <c r="Q162" t="s">
        <v>75</v>
      </c>
      <c r="R162" t="s">
        <v>644</v>
      </c>
      <c r="S162" t="s">
        <v>777</v>
      </c>
      <c r="T162" t="s">
        <v>78</v>
      </c>
      <c r="U162" t="s">
        <v>646</v>
      </c>
      <c r="V162" t="s">
        <v>80</v>
      </c>
      <c r="W162" s="1">
        <v>44694</v>
      </c>
      <c r="X162" t="s">
        <v>647</v>
      </c>
      <c r="Y162" t="s">
        <v>778</v>
      </c>
      <c r="Z162" t="s">
        <v>83</v>
      </c>
      <c r="AA162">
        <v>1</v>
      </c>
      <c r="AB162" t="s">
        <v>657</v>
      </c>
      <c r="AD162" t="s">
        <v>112</v>
      </c>
      <c r="AE162" t="s">
        <v>86</v>
      </c>
      <c r="AF162" t="s">
        <v>146</v>
      </c>
      <c r="AG162" t="s">
        <v>781</v>
      </c>
      <c r="AH162" t="s">
        <v>789</v>
      </c>
      <c r="AI162" t="s">
        <v>90</v>
      </c>
      <c r="AJ162">
        <v>32.387774</v>
      </c>
      <c r="AK162">
        <v>-110.712733</v>
      </c>
      <c r="AL162">
        <v>6</v>
      </c>
      <c r="AN162">
        <v>2081</v>
      </c>
      <c r="AP162">
        <v>2081</v>
      </c>
      <c r="AQ162">
        <v>2124.524656</v>
      </c>
      <c r="AT162">
        <v>13</v>
      </c>
      <c r="AU162">
        <v>5</v>
      </c>
      <c r="AV162">
        <v>2022</v>
      </c>
      <c r="AW162">
        <v>2438447</v>
      </c>
      <c r="AX162">
        <v>2438447</v>
      </c>
      <c r="AY162" t="s">
        <v>106</v>
      </c>
      <c r="AZ162" t="s">
        <v>92</v>
      </c>
      <c r="BA162" t="s">
        <v>107</v>
      </c>
      <c r="BB162" t="s">
        <v>798</v>
      </c>
      <c r="BC162" t="s">
        <v>97</v>
      </c>
      <c r="BE162" t="s">
        <v>96</v>
      </c>
      <c r="BG162" t="s">
        <v>654</v>
      </c>
      <c r="BI162" t="s">
        <v>98</v>
      </c>
      <c r="BJ162" t="s">
        <v>799</v>
      </c>
      <c r="BL162" t="s">
        <v>110</v>
      </c>
    </row>
    <row r="163" spans="1:64" hidden="1" x14ac:dyDescent="0.2">
      <c r="A163">
        <v>968</v>
      </c>
      <c r="B163">
        <v>4027015462</v>
      </c>
      <c r="C163" t="s">
        <v>101</v>
      </c>
      <c r="D163" t="s">
        <v>800</v>
      </c>
      <c r="E163" t="s">
        <v>65</v>
      </c>
      <c r="F163" t="s">
        <v>66</v>
      </c>
      <c r="G163" t="s">
        <v>67</v>
      </c>
      <c r="H163" t="s">
        <v>68</v>
      </c>
      <c r="I163" t="s">
        <v>176</v>
      </c>
      <c r="J163" t="s">
        <v>773</v>
      </c>
      <c r="K163" t="s">
        <v>774</v>
      </c>
      <c r="M163" t="s">
        <v>72</v>
      </c>
      <c r="N163" t="s">
        <v>775</v>
      </c>
      <c r="O163" t="s">
        <v>774</v>
      </c>
      <c r="P163" t="s">
        <v>776</v>
      </c>
      <c r="Q163" t="s">
        <v>75</v>
      </c>
      <c r="R163" t="s">
        <v>644</v>
      </c>
      <c r="S163" t="s">
        <v>777</v>
      </c>
      <c r="T163" t="s">
        <v>78</v>
      </c>
      <c r="U163" t="s">
        <v>646</v>
      </c>
      <c r="V163" t="s">
        <v>80</v>
      </c>
      <c r="W163" s="1">
        <v>44694</v>
      </c>
      <c r="X163" t="s">
        <v>647</v>
      </c>
      <c r="Y163" t="s">
        <v>778</v>
      </c>
      <c r="Z163" t="s">
        <v>83</v>
      </c>
      <c r="AA163">
        <v>1</v>
      </c>
      <c r="AB163" t="s">
        <v>657</v>
      </c>
      <c r="AD163" t="s">
        <v>116</v>
      </c>
      <c r="AE163" t="s">
        <v>86</v>
      </c>
      <c r="AF163" t="s">
        <v>146</v>
      </c>
      <c r="AG163" t="s">
        <v>781</v>
      </c>
      <c r="AH163" t="s">
        <v>789</v>
      </c>
      <c r="AI163" t="s">
        <v>90</v>
      </c>
      <c r="AJ163">
        <v>32.387774</v>
      </c>
      <c r="AK163">
        <v>-110.712733</v>
      </c>
      <c r="AL163">
        <v>6</v>
      </c>
      <c r="AN163">
        <v>2081</v>
      </c>
      <c r="AP163">
        <v>2081</v>
      </c>
      <c r="AQ163">
        <v>2124.524656</v>
      </c>
      <c r="AT163">
        <v>13</v>
      </c>
      <c r="AU163">
        <v>5</v>
      </c>
      <c r="AV163">
        <v>2022</v>
      </c>
      <c r="AW163">
        <v>2438447</v>
      </c>
      <c r="AX163">
        <v>2438447</v>
      </c>
      <c r="AY163" t="s">
        <v>106</v>
      </c>
      <c r="AZ163" t="s">
        <v>92</v>
      </c>
      <c r="BA163" t="s">
        <v>107</v>
      </c>
      <c r="BB163" t="s">
        <v>801</v>
      </c>
      <c r="BC163" t="s">
        <v>97</v>
      </c>
      <c r="BE163" t="s">
        <v>96</v>
      </c>
      <c r="BG163" t="s">
        <v>654</v>
      </c>
      <c r="BI163" t="s">
        <v>98</v>
      </c>
      <c r="BJ163" t="s">
        <v>802</v>
      </c>
      <c r="BL163" t="s">
        <v>110</v>
      </c>
    </row>
    <row r="164" spans="1:64" hidden="1" x14ac:dyDescent="0.2">
      <c r="A164">
        <v>1343</v>
      </c>
      <c r="B164">
        <v>4022923370</v>
      </c>
      <c r="C164" t="s">
        <v>101</v>
      </c>
      <c r="D164" t="s">
        <v>803</v>
      </c>
      <c r="E164" t="s">
        <v>65</v>
      </c>
      <c r="F164" t="s">
        <v>66</v>
      </c>
      <c r="G164" t="s">
        <v>67</v>
      </c>
      <c r="H164" t="s">
        <v>68</v>
      </c>
      <c r="I164" t="s">
        <v>176</v>
      </c>
      <c r="J164" t="s">
        <v>773</v>
      </c>
      <c r="K164" t="s">
        <v>774</v>
      </c>
      <c r="M164" t="s">
        <v>72</v>
      </c>
      <c r="N164" t="s">
        <v>775</v>
      </c>
      <c r="O164" t="s">
        <v>774</v>
      </c>
      <c r="P164" t="s">
        <v>776</v>
      </c>
      <c r="Q164" t="s">
        <v>75</v>
      </c>
      <c r="R164" t="s">
        <v>644</v>
      </c>
      <c r="T164" t="s">
        <v>78</v>
      </c>
      <c r="U164" t="s">
        <v>646</v>
      </c>
      <c r="V164" t="s">
        <v>80</v>
      </c>
      <c r="W164" s="1">
        <v>44694</v>
      </c>
      <c r="X164" t="s">
        <v>647</v>
      </c>
      <c r="Y164" t="s">
        <v>778</v>
      </c>
      <c r="Z164" t="s">
        <v>83</v>
      </c>
      <c r="AA164">
        <v>1</v>
      </c>
      <c r="AB164" t="s">
        <v>804</v>
      </c>
      <c r="AD164" t="s">
        <v>378</v>
      </c>
      <c r="AE164" t="s">
        <v>86</v>
      </c>
      <c r="AF164" t="s">
        <v>146</v>
      </c>
      <c r="AG164" t="s">
        <v>781</v>
      </c>
      <c r="AH164" t="s">
        <v>805</v>
      </c>
      <c r="AI164" t="s">
        <v>90</v>
      </c>
      <c r="AJ164">
        <v>32.387774</v>
      </c>
      <c r="AK164">
        <v>-110.712733</v>
      </c>
      <c r="AL164">
        <v>6</v>
      </c>
      <c r="AN164">
        <v>2081</v>
      </c>
      <c r="AP164">
        <v>2081</v>
      </c>
      <c r="AQ164">
        <v>2124.524656</v>
      </c>
      <c r="AT164">
        <v>13</v>
      </c>
      <c r="AU164">
        <v>5</v>
      </c>
      <c r="AV164">
        <v>2022</v>
      </c>
      <c r="AW164">
        <v>2438447</v>
      </c>
      <c r="AX164">
        <v>2438447</v>
      </c>
      <c r="AY164" t="s">
        <v>106</v>
      </c>
      <c r="AZ164" t="s">
        <v>92</v>
      </c>
      <c r="BA164" t="s">
        <v>107</v>
      </c>
      <c r="BB164" t="s">
        <v>806</v>
      </c>
      <c r="BC164" t="s">
        <v>97</v>
      </c>
      <c r="BE164" t="s">
        <v>96</v>
      </c>
      <c r="BG164" t="s">
        <v>654</v>
      </c>
      <c r="BI164" t="s">
        <v>98</v>
      </c>
      <c r="BJ164" t="s">
        <v>807</v>
      </c>
      <c r="BL164" t="s">
        <v>684</v>
      </c>
    </row>
    <row r="165" spans="1:64" hidden="1" x14ac:dyDescent="0.2">
      <c r="A165">
        <v>1342</v>
      </c>
      <c r="B165">
        <v>4022923371</v>
      </c>
      <c r="C165" t="s">
        <v>101</v>
      </c>
      <c r="D165" t="s">
        <v>808</v>
      </c>
      <c r="E165" t="s">
        <v>65</v>
      </c>
      <c r="F165" t="s">
        <v>66</v>
      </c>
      <c r="G165" t="s">
        <v>67</v>
      </c>
      <c r="H165" t="s">
        <v>68</v>
      </c>
      <c r="I165" t="s">
        <v>176</v>
      </c>
      <c r="J165" t="s">
        <v>773</v>
      </c>
      <c r="K165" t="s">
        <v>774</v>
      </c>
      <c r="M165" t="s">
        <v>72</v>
      </c>
      <c r="N165" t="s">
        <v>775</v>
      </c>
      <c r="O165" t="s">
        <v>774</v>
      </c>
      <c r="P165" t="s">
        <v>776</v>
      </c>
      <c r="Q165" t="s">
        <v>75</v>
      </c>
      <c r="R165" t="s">
        <v>644</v>
      </c>
      <c r="S165" t="s">
        <v>777</v>
      </c>
      <c r="T165" t="s">
        <v>78</v>
      </c>
      <c r="U165" t="s">
        <v>646</v>
      </c>
      <c r="V165" t="s">
        <v>80</v>
      </c>
      <c r="W165" s="1">
        <v>44694</v>
      </c>
      <c r="X165" t="s">
        <v>647</v>
      </c>
      <c r="Y165" t="s">
        <v>778</v>
      </c>
      <c r="Z165" t="s">
        <v>83</v>
      </c>
      <c r="AA165">
        <v>1</v>
      </c>
      <c r="AB165" t="s">
        <v>677</v>
      </c>
      <c r="AD165" t="s">
        <v>139</v>
      </c>
      <c r="AE165" t="s">
        <v>86</v>
      </c>
      <c r="AF165" t="s">
        <v>146</v>
      </c>
      <c r="AG165" t="s">
        <v>781</v>
      </c>
      <c r="AH165" t="s">
        <v>789</v>
      </c>
      <c r="AI165" t="s">
        <v>90</v>
      </c>
      <c r="AJ165">
        <v>32.387774</v>
      </c>
      <c r="AK165">
        <v>-110.712733</v>
      </c>
      <c r="AL165">
        <v>6</v>
      </c>
      <c r="AN165">
        <v>2081</v>
      </c>
      <c r="AP165">
        <v>2081</v>
      </c>
      <c r="AQ165">
        <v>2124.524656</v>
      </c>
      <c r="AT165">
        <v>13</v>
      </c>
      <c r="AU165">
        <v>5</v>
      </c>
      <c r="AV165">
        <v>2022</v>
      </c>
      <c r="AW165">
        <v>2438447</v>
      </c>
      <c r="AX165">
        <v>2438447</v>
      </c>
      <c r="AY165" t="s">
        <v>106</v>
      </c>
      <c r="AZ165" t="s">
        <v>92</v>
      </c>
      <c r="BA165" t="s">
        <v>107</v>
      </c>
      <c r="BB165" t="s">
        <v>809</v>
      </c>
      <c r="BC165" t="s">
        <v>97</v>
      </c>
      <c r="BE165" t="s">
        <v>96</v>
      </c>
      <c r="BG165" t="s">
        <v>654</v>
      </c>
      <c r="BI165" t="s">
        <v>98</v>
      </c>
      <c r="BJ165" t="s">
        <v>683</v>
      </c>
      <c r="BL165" t="s">
        <v>684</v>
      </c>
    </row>
    <row r="166" spans="1:64" hidden="1" x14ac:dyDescent="0.2">
      <c r="A166">
        <v>905</v>
      </c>
      <c r="B166">
        <v>4070420317</v>
      </c>
      <c r="C166" t="s">
        <v>101</v>
      </c>
      <c r="D166" t="s">
        <v>810</v>
      </c>
      <c r="E166" t="s">
        <v>65</v>
      </c>
      <c r="F166" t="s">
        <v>66</v>
      </c>
      <c r="G166" t="s">
        <v>67</v>
      </c>
      <c r="H166" t="s">
        <v>68</v>
      </c>
      <c r="I166" t="s">
        <v>176</v>
      </c>
      <c r="J166" t="s">
        <v>773</v>
      </c>
      <c r="K166" t="s">
        <v>774</v>
      </c>
      <c r="M166" t="s">
        <v>72</v>
      </c>
      <c r="N166" t="s">
        <v>775</v>
      </c>
      <c r="O166" t="s">
        <v>774</v>
      </c>
      <c r="P166" t="s">
        <v>776</v>
      </c>
      <c r="Q166" t="s">
        <v>75</v>
      </c>
      <c r="R166" t="s">
        <v>644</v>
      </c>
      <c r="S166" t="s">
        <v>777</v>
      </c>
      <c r="T166" t="s">
        <v>78</v>
      </c>
      <c r="U166" t="s">
        <v>646</v>
      </c>
      <c r="V166" t="s">
        <v>80</v>
      </c>
      <c r="W166" s="1">
        <v>44694</v>
      </c>
      <c r="X166" t="s">
        <v>647</v>
      </c>
      <c r="Y166" t="s">
        <v>778</v>
      </c>
      <c r="Z166" t="s">
        <v>83</v>
      </c>
      <c r="AA166">
        <v>1</v>
      </c>
      <c r="AB166" t="s">
        <v>657</v>
      </c>
      <c r="AD166" t="s">
        <v>104</v>
      </c>
      <c r="AE166" t="s">
        <v>86</v>
      </c>
      <c r="AF166" t="s">
        <v>146</v>
      </c>
      <c r="AG166" t="s">
        <v>781</v>
      </c>
      <c r="AH166" t="s">
        <v>789</v>
      </c>
      <c r="AI166" t="s">
        <v>90</v>
      </c>
      <c r="AJ166">
        <v>32.387774</v>
      </c>
      <c r="AK166">
        <v>-110.712733</v>
      </c>
      <c r="AL166">
        <v>6</v>
      </c>
      <c r="AN166">
        <v>2081</v>
      </c>
      <c r="AP166">
        <v>2081</v>
      </c>
      <c r="AQ166">
        <v>2124.524656</v>
      </c>
      <c r="AT166">
        <v>13</v>
      </c>
      <c r="AU166">
        <v>5</v>
      </c>
      <c r="AV166">
        <v>2022</v>
      </c>
      <c r="AW166">
        <v>2438447</v>
      </c>
      <c r="AX166">
        <v>2438447</v>
      </c>
      <c r="AY166" t="s">
        <v>106</v>
      </c>
      <c r="AZ166" t="s">
        <v>92</v>
      </c>
      <c r="BA166" t="s">
        <v>107</v>
      </c>
      <c r="BB166" t="s">
        <v>811</v>
      </c>
      <c r="BC166" t="s">
        <v>97</v>
      </c>
      <c r="BE166" t="s">
        <v>96</v>
      </c>
      <c r="BG166" t="s">
        <v>654</v>
      </c>
      <c r="BI166" t="s">
        <v>98</v>
      </c>
      <c r="BJ166" t="s">
        <v>812</v>
      </c>
      <c r="BL166" t="s">
        <v>110</v>
      </c>
    </row>
    <row r="167" spans="1:64" hidden="1" x14ac:dyDescent="0.2">
      <c r="A167">
        <v>1090</v>
      </c>
      <c r="B167">
        <v>4027015340</v>
      </c>
      <c r="C167" t="s">
        <v>101</v>
      </c>
      <c r="D167" t="s">
        <v>952</v>
      </c>
      <c r="E167" t="s">
        <v>65</v>
      </c>
      <c r="F167" t="s">
        <v>66</v>
      </c>
      <c r="G167" t="s">
        <v>67</v>
      </c>
      <c r="H167" t="s">
        <v>68</v>
      </c>
      <c r="I167" t="s">
        <v>350</v>
      </c>
      <c r="J167" t="s">
        <v>351</v>
      </c>
      <c r="K167" t="s">
        <v>352</v>
      </c>
      <c r="M167" t="s">
        <v>72</v>
      </c>
      <c r="N167" t="s">
        <v>353</v>
      </c>
      <c r="O167" t="s">
        <v>352</v>
      </c>
      <c r="P167" t="s">
        <v>180</v>
      </c>
      <c r="Q167" t="s">
        <v>75</v>
      </c>
      <c r="R167" t="s">
        <v>814</v>
      </c>
      <c r="S167" t="s">
        <v>953</v>
      </c>
      <c r="T167" t="s">
        <v>78</v>
      </c>
      <c r="U167" t="s">
        <v>646</v>
      </c>
      <c r="V167" t="s">
        <v>80</v>
      </c>
      <c r="W167" s="1">
        <v>44694</v>
      </c>
      <c r="X167" t="s">
        <v>647</v>
      </c>
      <c r="Y167" t="s">
        <v>954</v>
      </c>
      <c r="Z167" t="s">
        <v>83</v>
      </c>
      <c r="AA167">
        <v>1</v>
      </c>
      <c r="AB167" t="s">
        <v>677</v>
      </c>
      <c r="AC167">
        <v>0</v>
      </c>
      <c r="AD167" t="s">
        <v>128</v>
      </c>
      <c r="AE167" t="s">
        <v>86</v>
      </c>
      <c r="AF167" t="s">
        <v>146</v>
      </c>
      <c r="AG167" t="s">
        <v>955</v>
      </c>
      <c r="AI167" t="s">
        <v>90</v>
      </c>
      <c r="AJ167">
        <v>32.389961</v>
      </c>
      <c r="AK167">
        <v>-110.710493</v>
      </c>
      <c r="AL167">
        <v>3</v>
      </c>
      <c r="AN167">
        <v>2128</v>
      </c>
      <c r="AP167">
        <v>2128</v>
      </c>
      <c r="AQ167">
        <v>2150.6703619999998</v>
      </c>
      <c r="AT167">
        <v>13</v>
      </c>
      <c r="AU167">
        <v>5</v>
      </c>
      <c r="AV167">
        <v>2022</v>
      </c>
      <c r="AW167">
        <v>4972385</v>
      </c>
      <c r="AX167">
        <v>2437431</v>
      </c>
      <c r="AY167" t="s">
        <v>106</v>
      </c>
      <c r="AZ167" t="s">
        <v>92</v>
      </c>
      <c r="BA167" t="s">
        <v>107</v>
      </c>
      <c r="BB167" t="s">
        <v>956</v>
      </c>
      <c r="BC167" t="s">
        <v>97</v>
      </c>
      <c r="BE167" t="s">
        <v>96</v>
      </c>
      <c r="BG167" t="s">
        <v>654</v>
      </c>
      <c r="BI167" t="s">
        <v>98</v>
      </c>
      <c r="BJ167" t="s">
        <v>957</v>
      </c>
      <c r="BL167" t="s">
        <v>412</v>
      </c>
    </row>
    <row r="168" spans="1:64" hidden="1" x14ac:dyDescent="0.2">
      <c r="A168">
        <v>966</v>
      </c>
      <c r="B168">
        <v>4027015464</v>
      </c>
      <c r="C168" t="s">
        <v>101</v>
      </c>
      <c r="D168" t="s">
        <v>819</v>
      </c>
      <c r="E168" t="s">
        <v>65</v>
      </c>
      <c r="F168" t="s">
        <v>66</v>
      </c>
      <c r="G168" t="s">
        <v>67</v>
      </c>
      <c r="H168" t="s">
        <v>68</v>
      </c>
      <c r="I168" t="s">
        <v>176</v>
      </c>
      <c r="J168" t="s">
        <v>177</v>
      </c>
      <c r="K168" t="s">
        <v>178</v>
      </c>
      <c r="M168" t="s">
        <v>72</v>
      </c>
      <c r="N168" t="s">
        <v>179</v>
      </c>
      <c r="O168" t="s">
        <v>178</v>
      </c>
      <c r="P168" t="s">
        <v>180</v>
      </c>
      <c r="Q168" t="s">
        <v>75</v>
      </c>
      <c r="R168" t="s">
        <v>814</v>
      </c>
      <c r="S168" t="s">
        <v>815</v>
      </c>
      <c r="T168" t="s">
        <v>78</v>
      </c>
      <c r="U168" t="s">
        <v>646</v>
      </c>
      <c r="V168" t="s">
        <v>80</v>
      </c>
      <c r="W168" s="1">
        <v>44694</v>
      </c>
      <c r="X168" t="s">
        <v>647</v>
      </c>
      <c r="Y168" t="s">
        <v>816</v>
      </c>
      <c r="Z168" t="s">
        <v>83</v>
      </c>
      <c r="AA168">
        <v>1</v>
      </c>
      <c r="AB168" t="s">
        <v>657</v>
      </c>
      <c r="AD168" t="s">
        <v>343</v>
      </c>
      <c r="AE168" t="s">
        <v>145</v>
      </c>
      <c r="AF168" t="s">
        <v>146</v>
      </c>
      <c r="AG168" t="s">
        <v>765</v>
      </c>
      <c r="AI168" t="s">
        <v>90</v>
      </c>
      <c r="AJ168">
        <v>32.388863000000001</v>
      </c>
      <c r="AK168">
        <v>-110.71111399999999</v>
      </c>
      <c r="AP168">
        <v>2152.5869670000002</v>
      </c>
      <c r="AQ168">
        <v>2152.5869670000002</v>
      </c>
      <c r="AT168">
        <v>13</v>
      </c>
      <c r="AU168">
        <v>5</v>
      </c>
      <c r="AV168">
        <v>2022</v>
      </c>
      <c r="AW168">
        <v>2438038</v>
      </c>
      <c r="AX168">
        <v>2438038</v>
      </c>
      <c r="AY168" t="s">
        <v>106</v>
      </c>
      <c r="AZ168" t="s">
        <v>92</v>
      </c>
      <c r="BA168" t="s">
        <v>107</v>
      </c>
      <c r="BB168" t="s">
        <v>820</v>
      </c>
      <c r="BC168" t="s">
        <v>97</v>
      </c>
      <c r="BE168" t="s">
        <v>96</v>
      </c>
      <c r="BG168" t="s">
        <v>654</v>
      </c>
      <c r="BI168" t="s">
        <v>98</v>
      </c>
      <c r="BJ168" t="s">
        <v>821</v>
      </c>
      <c r="BL168" t="s">
        <v>412</v>
      </c>
    </row>
    <row r="169" spans="1:64" hidden="1" x14ac:dyDescent="0.2">
      <c r="A169">
        <v>965</v>
      </c>
      <c r="B169">
        <v>4027015465</v>
      </c>
      <c r="C169" t="s">
        <v>101</v>
      </c>
      <c r="D169" t="s">
        <v>822</v>
      </c>
      <c r="E169" t="s">
        <v>65</v>
      </c>
      <c r="F169" t="s">
        <v>66</v>
      </c>
      <c r="G169" t="s">
        <v>67</v>
      </c>
      <c r="H169" t="s">
        <v>68</v>
      </c>
      <c r="I169" t="s">
        <v>176</v>
      </c>
      <c r="J169" t="s">
        <v>177</v>
      </c>
      <c r="K169" t="s">
        <v>178</v>
      </c>
      <c r="M169" t="s">
        <v>72</v>
      </c>
      <c r="N169" t="s">
        <v>179</v>
      </c>
      <c r="O169" t="s">
        <v>178</v>
      </c>
      <c r="P169" t="s">
        <v>180</v>
      </c>
      <c r="Q169" t="s">
        <v>75</v>
      </c>
      <c r="R169" t="s">
        <v>814</v>
      </c>
      <c r="S169" t="s">
        <v>823</v>
      </c>
      <c r="T169" t="s">
        <v>78</v>
      </c>
      <c r="U169" t="s">
        <v>646</v>
      </c>
      <c r="V169" t="s">
        <v>80</v>
      </c>
      <c r="W169" s="1">
        <v>44694</v>
      </c>
      <c r="X169" t="s">
        <v>647</v>
      </c>
      <c r="Y169" t="s">
        <v>824</v>
      </c>
      <c r="Z169" t="s">
        <v>83</v>
      </c>
      <c r="AA169">
        <v>1</v>
      </c>
      <c r="AB169" t="s">
        <v>657</v>
      </c>
      <c r="AD169" t="s">
        <v>343</v>
      </c>
      <c r="AE169" t="s">
        <v>145</v>
      </c>
      <c r="AF169" t="s">
        <v>146</v>
      </c>
      <c r="AG169" t="s">
        <v>765</v>
      </c>
      <c r="AI169" t="s">
        <v>90</v>
      </c>
      <c r="AJ169">
        <v>32.388585999999997</v>
      </c>
      <c r="AK169">
        <v>-110.711294</v>
      </c>
      <c r="AN169">
        <v>2133</v>
      </c>
      <c r="AP169">
        <v>2133</v>
      </c>
      <c r="AQ169">
        <v>2150.9273579999999</v>
      </c>
      <c r="AT169">
        <v>13</v>
      </c>
      <c r="AU169">
        <v>5</v>
      </c>
      <c r="AV169">
        <v>2022</v>
      </c>
      <c r="AW169">
        <v>2438038</v>
      </c>
      <c r="AX169">
        <v>2438038</v>
      </c>
      <c r="AY169" t="s">
        <v>106</v>
      </c>
      <c r="AZ169" t="s">
        <v>92</v>
      </c>
      <c r="BA169" t="s">
        <v>107</v>
      </c>
      <c r="BB169" t="s">
        <v>825</v>
      </c>
      <c r="BC169" t="s">
        <v>97</v>
      </c>
      <c r="BE169" t="s">
        <v>96</v>
      </c>
      <c r="BG169" t="s">
        <v>654</v>
      </c>
      <c r="BI169" t="s">
        <v>98</v>
      </c>
      <c r="BJ169" t="s">
        <v>826</v>
      </c>
      <c r="BL169" t="s">
        <v>412</v>
      </c>
    </row>
    <row r="170" spans="1:64" hidden="1" x14ac:dyDescent="0.2">
      <c r="A170">
        <v>1086</v>
      </c>
      <c r="B170">
        <v>4027015344</v>
      </c>
      <c r="C170" t="s">
        <v>101</v>
      </c>
      <c r="D170" t="s">
        <v>960</v>
      </c>
      <c r="E170" t="s">
        <v>65</v>
      </c>
      <c r="F170" t="s">
        <v>66</v>
      </c>
      <c r="G170" t="s">
        <v>67</v>
      </c>
      <c r="H170" t="s">
        <v>68</v>
      </c>
      <c r="I170" t="s">
        <v>176</v>
      </c>
      <c r="J170" t="s">
        <v>177</v>
      </c>
      <c r="K170" t="s">
        <v>178</v>
      </c>
      <c r="M170" t="s">
        <v>72</v>
      </c>
      <c r="N170" t="s">
        <v>179</v>
      </c>
      <c r="O170" t="s">
        <v>178</v>
      </c>
      <c r="P170" t="s">
        <v>180</v>
      </c>
      <c r="Q170" t="s">
        <v>75</v>
      </c>
      <c r="R170" t="s">
        <v>814</v>
      </c>
      <c r="S170" t="s">
        <v>961</v>
      </c>
      <c r="T170" t="s">
        <v>78</v>
      </c>
      <c r="U170" t="s">
        <v>646</v>
      </c>
      <c r="V170" t="s">
        <v>80</v>
      </c>
      <c r="W170" s="1">
        <v>44694</v>
      </c>
      <c r="X170" t="s">
        <v>647</v>
      </c>
      <c r="Y170" t="s">
        <v>962</v>
      </c>
      <c r="Z170" t="s">
        <v>83</v>
      </c>
      <c r="AA170">
        <v>1</v>
      </c>
      <c r="AB170" t="s">
        <v>677</v>
      </c>
      <c r="AC170">
        <v>0</v>
      </c>
      <c r="AD170" t="s">
        <v>128</v>
      </c>
      <c r="AE170" t="s">
        <v>145</v>
      </c>
      <c r="AF170" t="s">
        <v>146</v>
      </c>
      <c r="AG170" t="s">
        <v>765</v>
      </c>
      <c r="AI170" t="s">
        <v>90</v>
      </c>
      <c r="AJ170">
        <v>32.390168000000003</v>
      </c>
      <c r="AK170">
        <v>-110.710345</v>
      </c>
      <c r="AL170">
        <v>3</v>
      </c>
      <c r="AN170">
        <v>2133</v>
      </c>
      <c r="AP170">
        <v>2133</v>
      </c>
      <c r="AQ170">
        <v>2152.4435979999998</v>
      </c>
      <c r="AT170">
        <v>13</v>
      </c>
      <c r="AU170">
        <v>5</v>
      </c>
      <c r="AV170">
        <v>2022</v>
      </c>
      <c r="AW170">
        <v>2438038</v>
      </c>
      <c r="AX170">
        <v>2438038</v>
      </c>
      <c r="AY170" t="s">
        <v>106</v>
      </c>
      <c r="AZ170" t="s">
        <v>92</v>
      </c>
      <c r="BA170" t="s">
        <v>107</v>
      </c>
      <c r="BB170" t="s">
        <v>963</v>
      </c>
      <c r="BC170" t="s">
        <v>97</v>
      </c>
      <c r="BE170" t="s">
        <v>96</v>
      </c>
      <c r="BG170" t="s">
        <v>654</v>
      </c>
      <c r="BI170" t="s">
        <v>98</v>
      </c>
      <c r="BJ170" t="s">
        <v>327</v>
      </c>
      <c r="BL170" t="s">
        <v>412</v>
      </c>
    </row>
    <row r="171" spans="1:64" hidden="1" x14ac:dyDescent="0.2">
      <c r="A171">
        <v>985</v>
      </c>
      <c r="B171">
        <v>4027015445</v>
      </c>
      <c r="C171" t="s">
        <v>101</v>
      </c>
      <c r="D171" t="s">
        <v>973</v>
      </c>
      <c r="E171" t="s">
        <v>65</v>
      </c>
      <c r="F171" t="s">
        <v>66</v>
      </c>
      <c r="G171" t="s">
        <v>67</v>
      </c>
      <c r="H171" t="s">
        <v>68</v>
      </c>
      <c r="I171" t="s">
        <v>350</v>
      </c>
      <c r="J171" t="s">
        <v>351</v>
      </c>
      <c r="K171" t="s">
        <v>352</v>
      </c>
      <c r="M171" t="s">
        <v>72</v>
      </c>
      <c r="N171" t="s">
        <v>353</v>
      </c>
      <c r="O171" t="s">
        <v>352</v>
      </c>
      <c r="P171" t="s">
        <v>180</v>
      </c>
      <c r="Q171" t="s">
        <v>75</v>
      </c>
      <c r="R171" t="s">
        <v>814</v>
      </c>
      <c r="S171" t="s">
        <v>968</v>
      </c>
      <c r="T171" t="s">
        <v>78</v>
      </c>
      <c r="U171" t="s">
        <v>646</v>
      </c>
      <c r="V171" t="s">
        <v>80</v>
      </c>
      <c r="W171" s="1">
        <v>44694</v>
      </c>
      <c r="X171" t="s">
        <v>647</v>
      </c>
      <c r="Y171" t="s">
        <v>969</v>
      </c>
      <c r="Z171" t="s">
        <v>83</v>
      </c>
      <c r="AA171">
        <v>1</v>
      </c>
      <c r="AB171" t="s">
        <v>677</v>
      </c>
      <c r="AC171">
        <v>0</v>
      </c>
      <c r="AD171" t="s">
        <v>128</v>
      </c>
      <c r="AE171" t="s">
        <v>86</v>
      </c>
      <c r="AF171" t="s">
        <v>146</v>
      </c>
      <c r="AG171" t="s">
        <v>970</v>
      </c>
      <c r="AI171" t="s">
        <v>90</v>
      </c>
      <c r="AJ171">
        <v>32.390391000000001</v>
      </c>
      <c r="AK171">
        <v>-110.710459</v>
      </c>
      <c r="AL171">
        <v>3</v>
      </c>
      <c r="AN171">
        <v>2140</v>
      </c>
      <c r="AP171">
        <v>2140</v>
      </c>
      <c r="AQ171">
        <v>2159.707598</v>
      </c>
      <c r="AT171">
        <v>13</v>
      </c>
      <c r="AU171">
        <v>5</v>
      </c>
      <c r="AV171">
        <v>2022</v>
      </c>
      <c r="AW171">
        <v>4972385</v>
      </c>
      <c r="AX171">
        <v>2437431</v>
      </c>
      <c r="AY171" t="s">
        <v>106</v>
      </c>
      <c r="AZ171" t="s">
        <v>92</v>
      </c>
      <c r="BA171" t="s">
        <v>107</v>
      </c>
      <c r="BB171" t="s">
        <v>974</v>
      </c>
      <c r="BC171" t="s">
        <v>97</v>
      </c>
      <c r="BE171" t="s">
        <v>96</v>
      </c>
      <c r="BG171" t="s">
        <v>654</v>
      </c>
      <c r="BI171" t="s">
        <v>98</v>
      </c>
      <c r="BJ171" t="s">
        <v>975</v>
      </c>
      <c r="BL171" t="s">
        <v>412</v>
      </c>
    </row>
    <row r="172" spans="1:64" hidden="1" x14ac:dyDescent="0.2">
      <c r="A172">
        <v>984</v>
      </c>
      <c r="B172">
        <v>4027015446</v>
      </c>
      <c r="C172" t="s">
        <v>101</v>
      </c>
      <c r="D172" t="s">
        <v>834</v>
      </c>
      <c r="E172" t="s">
        <v>65</v>
      </c>
      <c r="F172" t="s">
        <v>66</v>
      </c>
      <c r="G172" t="s">
        <v>67</v>
      </c>
      <c r="H172" t="s">
        <v>68</v>
      </c>
      <c r="I172" t="s">
        <v>176</v>
      </c>
      <c r="J172" t="s">
        <v>177</v>
      </c>
      <c r="K172" t="s">
        <v>178</v>
      </c>
      <c r="M172" t="s">
        <v>72</v>
      </c>
      <c r="N172" t="s">
        <v>179</v>
      </c>
      <c r="O172" t="s">
        <v>178</v>
      </c>
      <c r="P172" t="s">
        <v>180</v>
      </c>
      <c r="Q172" t="s">
        <v>75</v>
      </c>
      <c r="R172" t="s">
        <v>814</v>
      </c>
      <c r="S172" t="s">
        <v>830</v>
      </c>
      <c r="T172" t="s">
        <v>78</v>
      </c>
      <c r="U172" t="s">
        <v>646</v>
      </c>
      <c r="V172" t="s">
        <v>80</v>
      </c>
      <c r="W172" s="1">
        <v>44694</v>
      </c>
      <c r="X172" t="s">
        <v>647</v>
      </c>
      <c r="Y172" t="s">
        <v>831</v>
      </c>
      <c r="Z172" t="s">
        <v>83</v>
      </c>
      <c r="AA172">
        <v>1</v>
      </c>
      <c r="AB172" t="s">
        <v>657</v>
      </c>
      <c r="AD172" t="s">
        <v>343</v>
      </c>
      <c r="AE172" t="s">
        <v>86</v>
      </c>
      <c r="AF172" t="s">
        <v>281</v>
      </c>
      <c r="AG172" t="s">
        <v>832</v>
      </c>
      <c r="AI172" t="s">
        <v>90</v>
      </c>
      <c r="AJ172">
        <v>32.388517999999998</v>
      </c>
      <c r="AK172">
        <v>-110.711291</v>
      </c>
      <c r="AN172">
        <v>2133</v>
      </c>
      <c r="AP172">
        <v>2133</v>
      </c>
      <c r="AQ172">
        <v>2148.0994460000002</v>
      </c>
      <c r="AT172">
        <v>13</v>
      </c>
      <c r="AU172">
        <v>5</v>
      </c>
      <c r="AV172">
        <v>2022</v>
      </c>
      <c r="AW172">
        <v>2438038</v>
      </c>
      <c r="AX172">
        <v>2438038</v>
      </c>
      <c r="AY172" t="s">
        <v>106</v>
      </c>
      <c r="AZ172" t="s">
        <v>92</v>
      </c>
      <c r="BA172" t="s">
        <v>107</v>
      </c>
      <c r="BB172" t="s">
        <v>835</v>
      </c>
      <c r="BC172" t="s">
        <v>97</v>
      </c>
      <c r="BE172" t="s">
        <v>96</v>
      </c>
      <c r="BG172" t="s">
        <v>654</v>
      </c>
      <c r="BI172" t="s">
        <v>98</v>
      </c>
      <c r="BJ172" t="s">
        <v>836</v>
      </c>
      <c r="BL172" t="s">
        <v>412</v>
      </c>
    </row>
    <row r="173" spans="1:64" hidden="1" x14ac:dyDescent="0.2">
      <c r="A173">
        <v>1025</v>
      </c>
      <c r="B173">
        <v>4027015405</v>
      </c>
      <c r="C173" t="s">
        <v>101</v>
      </c>
      <c r="D173" t="s">
        <v>844</v>
      </c>
      <c r="E173" t="s">
        <v>65</v>
      </c>
      <c r="F173" t="s">
        <v>66</v>
      </c>
      <c r="G173" t="s">
        <v>67</v>
      </c>
      <c r="H173" t="s">
        <v>68</v>
      </c>
      <c r="I173" t="s">
        <v>350</v>
      </c>
      <c r="J173" t="s">
        <v>351</v>
      </c>
      <c r="K173" t="s">
        <v>352</v>
      </c>
      <c r="M173" t="s">
        <v>72</v>
      </c>
      <c r="N173" t="s">
        <v>353</v>
      </c>
      <c r="O173" t="s">
        <v>352</v>
      </c>
      <c r="P173" t="s">
        <v>180</v>
      </c>
      <c r="Q173" t="s">
        <v>75</v>
      </c>
      <c r="R173" t="s">
        <v>814</v>
      </c>
      <c r="S173" t="s">
        <v>838</v>
      </c>
      <c r="T173" t="s">
        <v>78</v>
      </c>
      <c r="U173" t="s">
        <v>646</v>
      </c>
      <c r="V173" t="s">
        <v>80</v>
      </c>
      <c r="W173" s="1">
        <v>44694</v>
      </c>
      <c r="X173" t="s">
        <v>647</v>
      </c>
      <c r="Y173" t="s">
        <v>839</v>
      </c>
      <c r="Z173" t="s">
        <v>83</v>
      </c>
      <c r="AA173">
        <v>1</v>
      </c>
      <c r="AB173" t="s">
        <v>677</v>
      </c>
      <c r="AD173" t="s">
        <v>123</v>
      </c>
      <c r="AE173" t="s">
        <v>145</v>
      </c>
      <c r="AF173" t="s">
        <v>146</v>
      </c>
      <c r="AG173" t="s">
        <v>218</v>
      </c>
      <c r="AH173" t="s">
        <v>845</v>
      </c>
      <c r="AI173" t="s">
        <v>90</v>
      </c>
      <c r="AJ173">
        <v>32.388458</v>
      </c>
      <c r="AK173">
        <v>-110.711341</v>
      </c>
      <c r="AL173">
        <v>3</v>
      </c>
      <c r="AN173">
        <v>2130</v>
      </c>
      <c r="AP173">
        <v>2130</v>
      </c>
      <c r="AQ173">
        <v>2146.5412510000001</v>
      </c>
      <c r="AT173">
        <v>13</v>
      </c>
      <c r="AU173">
        <v>5</v>
      </c>
      <c r="AV173">
        <v>2022</v>
      </c>
      <c r="AW173">
        <v>4972385</v>
      </c>
      <c r="AX173">
        <v>2437431</v>
      </c>
      <c r="AY173" t="s">
        <v>106</v>
      </c>
      <c r="AZ173" t="s">
        <v>92</v>
      </c>
      <c r="BA173" t="s">
        <v>107</v>
      </c>
      <c r="BB173" t="s">
        <v>846</v>
      </c>
      <c r="BC173" t="s">
        <v>97</v>
      </c>
      <c r="BE173" t="s">
        <v>96</v>
      </c>
      <c r="BG173" t="s">
        <v>654</v>
      </c>
      <c r="BI173" t="s">
        <v>98</v>
      </c>
      <c r="BJ173" t="s">
        <v>703</v>
      </c>
      <c r="BL173" t="s">
        <v>412</v>
      </c>
    </row>
    <row r="174" spans="1:64" x14ac:dyDescent="0.2">
      <c r="A174">
        <v>207</v>
      </c>
      <c r="B174">
        <v>4403382433</v>
      </c>
      <c r="C174" t="s">
        <v>101</v>
      </c>
      <c r="D174" t="s">
        <v>586</v>
      </c>
      <c r="E174" t="s">
        <v>65</v>
      </c>
      <c r="F174" t="s">
        <v>66</v>
      </c>
      <c r="G174" t="s">
        <v>67</v>
      </c>
      <c r="H174" t="s">
        <v>68</v>
      </c>
      <c r="I174" t="s">
        <v>176</v>
      </c>
      <c r="J174" t="s">
        <v>177</v>
      </c>
      <c r="K174" t="s">
        <v>178</v>
      </c>
      <c r="M174" t="s">
        <v>72</v>
      </c>
      <c r="N174" t="s">
        <v>179</v>
      </c>
      <c r="O174" t="s">
        <v>178</v>
      </c>
      <c r="P174" t="s">
        <v>180</v>
      </c>
      <c r="Q174" t="s">
        <v>75</v>
      </c>
      <c r="R174" t="s">
        <v>354</v>
      </c>
      <c r="S174" t="s">
        <v>538</v>
      </c>
      <c r="T174" t="s">
        <v>78</v>
      </c>
      <c r="U174" t="s">
        <v>79</v>
      </c>
      <c r="V174" t="s">
        <v>80</v>
      </c>
      <c r="W174" s="1">
        <v>45116</v>
      </c>
      <c r="X174" t="s">
        <v>356</v>
      </c>
      <c r="Y174" t="s">
        <v>539</v>
      </c>
      <c r="Z174" t="s">
        <v>83</v>
      </c>
      <c r="AA174">
        <v>1</v>
      </c>
      <c r="AB174" t="s">
        <v>385</v>
      </c>
      <c r="AC174">
        <v>0</v>
      </c>
      <c r="AD174" t="s">
        <v>119</v>
      </c>
      <c r="AE174" t="s">
        <v>145</v>
      </c>
      <c r="AF174" t="s">
        <v>402</v>
      </c>
      <c r="AG174" t="s">
        <v>344</v>
      </c>
      <c r="AI174" t="s">
        <v>90</v>
      </c>
      <c r="AJ174">
        <v>32.373109999999997</v>
      </c>
      <c r="AK174">
        <v>-110.70141099999999</v>
      </c>
      <c r="AL174">
        <v>3</v>
      </c>
      <c r="AN174">
        <v>1912</v>
      </c>
      <c r="AP174">
        <v>1912</v>
      </c>
      <c r="AQ174">
        <v>1923.6423950000001</v>
      </c>
      <c r="AT174">
        <v>9</v>
      </c>
      <c r="AU174">
        <v>7</v>
      </c>
      <c r="AV174">
        <v>2023</v>
      </c>
      <c r="AW174">
        <v>2438038</v>
      </c>
      <c r="AX174">
        <v>2438038</v>
      </c>
      <c r="AY174" t="s">
        <v>106</v>
      </c>
      <c r="AZ174" t="s">
        <v>92</v>
      </c>
      <c r="BA174" t="s">
        <v>107</v>
      </c>
      <c r="BB174" t="s">
        <v>587</v>
      </c>
      <c r="BC174" t="s">
        <v>95</v>
      </c>
      <c r="BD174" s="1">
        <v>45116</v>
      </c>
      <c r="BE174" t="s">
        <v>96</v>
      </c>
      <c r="BG174" t="s">
        <v>363</v>
      </c>
      <c r="BI174" t="s">
        <v>98</v>
      </c>
      <c r="BJ174" t="s">
        <v>552</v>
      </c>
      <c r="BL174" t="s">
        <v>412</v>
      </c>
    </row>
    <row r="175" spans="1:64" hidden="1" x14ac:dyDescent="0.2">
      <c r="A175">
        <v>978</v>
      </c>
      <c r="B175">
        <v>4027015452</v>
      </c>
      <c r="C175" t="s">
        <v>101</v>
      </c>
      <c r="D175" t="s">
        <v>850</v>
      </c>
      <c r="E175" t="s">
        <v>65</v>
      </c>
      <c r="F175" t="s">
        <v>66</v>
      </c>
      <c r="G175" t="s">
        <v>67</v>
      </c>
      <c r="H175" t="s">
        <v>68</v>
      </c>
      <c r="I175" t="s">
        <v>350</v>
      </c>
      <c r="J175" t="s">
        <v>351</v>
      </c>
      <c r="K175" t="s">
        <v>352</v>
      </c>
      <c r="M175" t="s">
        <v>72</v>
      </c>
      <c r="N175" t="s">
        <v>353</v>
      </c>
      <c r="O175" t="s">
        <v>352</v>
      </c>
      <c r="P175" t="s">
        <v>180</v>
      </c>
      <c r="Q175" t="s">
        <v>75</v>
      </c>
      <c r="R175" t="s">
        <v>814</v>
      </c>
      <c r="S175" t="s">
        <v>838</v>
      </c>
      <c r="T175" t="s">
        <v>78</v>
      </c>
      <c r="U175" t="s">
        <v>646</v>
      </c>
      <c r="V175" t="s">
        <v>80</v>
      </c>
      <c r="W175" s="1">
        <v>44694</v>
      </c>
      <c r="X175" t="s">
        <v>647</v>
      </c>
      <c r="Y175" t="s">
        <v>839</v>
      </c>
      <c r="Z175" t="s">
        <v>83</v>
      </c>
      <c r="AA175">
        <v>1</v>
      </c>
      <c r="AB175" t="s">
        <v>657</v>
      </c>
      <c r="AD175" t="s">
        <v>112</v>
      </c>
      <c r="AE175" t="s">
        <v>145</v>
      </c>
      <c r="AF175" t="s">
        <v>146</v>
      </c>
      <c r="AG175" t="s">
        <v>218</v>
      </c>
      <c r="AH175" t="s">
        <v>845</v>
      </c>
      <c r="AI175" t="s">
        <v>90</v>
      </c>
      <c r="AJ175">
        <v>32.388458</v>
      </c>
      <c r="AK175">
        <v>-110.711341</v>
      </c>
      <c r="AL175">
        <v>3</v>
      </c>
      <c r="AN175">
        <v>2130</v>
      </c>
      <c r="AP175">
        <v>2130</v>
      </c>
      <c r="AQ175">
        <v>2146.5412510000001</v>
      </c>
      <c r="AT175">
        <v>13</v>
      </c>
      <c r="AU175">
        <v>5</v>
      </c>
      <c r="AV175">
        <v>2022</v>
      </c>
      <c r="AW175">
        <v>4972385</v>
      </c>
      <c r="AX175">
        <v>2437431</v>
      </c>
      <c r="AY175" t="s">
        <v>106</v>
      </c>
      <c r="AZ175" t="s">
        <v>92</v>
      </c>
      <c r="BA175" t="s">
        <v>107</v>
      </c>
      <c r="BB175" t="s">
        <v>851</v>
      </c>
      <c r="BC175" t="s">
        <v>97</v>
      </c>
      <c r="BE175" t="s">
        <v>96</v>
      </c>
      <c r="BG175" t="s">
        <v>654</v>
      </c>
      <c r="BI175" t="s">
        <v>98</v>
      </c>
      <c r="BJ175" t="s">
        <v>818</v>
      </c>
      <c r="BL175" t="s">
        <v>412</v>
      </c>
    </row>
    <row r="176" spans="1:64" hidden="1" x14ac:dyDescent="0.2">
      <c r="A176">
        <v>1002</v>
      </c>
      <c r="B176">
        <v>4027015428</v>
      </c>
      <c r="C176" t="s">
        <v>101</v>
      </c>
      <c r="D176" t="s">
        <v>852</v>
      </c>
      <c r="E176" t="s">
        <v>65</v>
      </c>
      <c r="F176" t="s">
        <v>66</v>
      </c>
      <c r="G176" t="s">
        <v>67</v>
      </c>
      <c r="H176" t="s">
        <v>68</v>
      </c>
      <c r="I176" t="s">
        <v>350</v>
      </c>
      <c r="J176" t="s">
        <v>351</v>
      </c>
      <c r="K176" t="s">
        <v>352</v>
      </c>
      <c r="M176" t="s">
        <v>72</v>
      </c>
      <c r="N176" t="s">
        <v>353</v>
      </c>
      <c r="O176" t="s">
        <v>352</v>
      </c>
      <c r="P176" t="s">
        <v>180</v>
      </c>
      <c r="Q176" t="s">
        <v>75</v>
      </c>
      <c r="R176" t="s">
        <v>814</v>
      </c>
      <c r="S176" t="s">
        <v>838</v>
      </c>
      <c r="T176" t="s">
        <v>78</v>
      </c>
      <c r="U176" t="s">
        <v>646</v>
      </c>
      <c r="V176" t="s">
        <v>80</v>
      </c>
      <c r="W176" s="1">
        <v>44694</v>
      </c>
      <c r="X176" t="s">
        <v>647</v>
      </c>
      <c r="Y176" t="s">
        <v>839</v>
      </c>
      <c r="Z176" t="s">
        <v>83</v>
      </c>
      <c r="AA176">
        <v>1</v>
      </c>
      <c r="AB176" t="s">
        <v>657</v>
      </c>
      <c r="AD176" t="s">
        <v>104</v>
      </c>
      <c r="AE176" t="s">
        <v>145</v>
      </c>
      <c r="AF176" t="s">
        <v>146</v>
      </c>
      <c r="AG176" t="s">
        <v>218</v>
      </c>
      <c r="AH176" t="s">
        <v>845</v>
      </c>
      <c r="AI176" t="s">
        <v>90</v>
      </c>
      <c r="AJ176">
        <v>32.388458</v>
      </c>
      <c r="AK176">
        <v>-110.711341</v>
      </c>
      <c r="AL176">
        <v>3</v>
      </c>
      <c r="AN176">
        <v>2130</v>
      </c>
      <c r="AP176">
        <v>2130</v>
      </c>
      <c r="AQ176">
        <v>2146.5412510000001</v>
      </c>
      <c r="AT176">
        <v>13</v>
      </c>
      <c r="AU176">
        <v>5</v>
      </c>
      <c r="AV176">
        <v>2022</v>
      </c>
      <c r="AW176">
        <v>4972385</v>
      </c>
      <c r="AX176">
        <v>2437431</v>
      </c>
      <c r="AY176" t="s">
        <v>106</v>
      </c>
      <c r="AZ176" t="s">
        <v>92</v>
      </c>
      <c r="BA176" t="s">
        <v>107</v>
      </c>
      <c r="BB176" t="s">
        <v>853</v>
      </c>
      <c r="BC176" t="s">
        <v>97</v>
      </c>
      <c r="BE176" t="s">
        <v>96</v>
      </c>
      <c r="BG176" t="s">
        <v>654</v>
      </c>
      <c r="BI176" t="s">
        <v>98</v>
      </c>
      <c r="BJ176" t="s">
        <v>680</v>
      </c>
      <c r="BL176" t="s">
        <v>412</v>
      </c>
    </row>
    <row r="177" spans="1:64" hidden="1" x14ac:dyDescent="0.2">
      <c r="A177">
        <v>1001</v>
      </c>
      <c r="B177">
        <v>4027015429</v>
      </c>
      <c r="C177" t="s">
        <v>101</v>
      </c>
      <c r="D177" t="s">
        <v>854</v>
      </c>
      <c r="E177" t="s">
        <v>65</v>
      </c>
      <c r="F177" t="s">
        <v>66</v>
      </c>
      <c r="G177" t="s">
        <v>67</v>
      </c>
      <c r="H177" t="s">
        <v>68</v>
      </c>
      <c r="I177" t="s">
        <v>350</v>
      </c>
      <c r="J177" t="s">
        <v>351</v>
      </c>
      <c r="K177" t="s">
        <v>352</v>
      </c>
      <c r="M177" t="s">
        <v>72</v>
      </c>
      <c r="N177" t="s">
        <v>353</v>
      </c>
      <c r="O177" t="s">
        <v>352</v>
      </c>
      <c r="P177" t="s">
        <v>180</v>
      </c>
      <c r="Q177" t="s">
        <v>75</v>
      </c>
      <c r="R177" t="s">
        <v>814</v>
      </c>
      <c r="S177" t="s">
        <v>838</v>
      </c>
      <c r="T177" t="s">
        <v>78</v>
      </c>
      <c r="U177" t="s">
        <v>646</v>
      </c>
      <c r="V177" t="s">
        <v>80</v>
      </c>
      <c r="W177" s="1">
        <v>44694</v>
      </c>
      <c r="X177" t="s">
        <v>647</v>
      </c>
      <c r="Y177" t="s">
        <v>839</v>
      </c>
      <c r="Z177" t="s">
        <v>83</v>
      </c>
      <c r="AA177">
        <v>1</v>
      </c>
      <c r="AB177" t="s">
        <v>672</v>
      </c>
      <c r="AD177" t="s">
        <v>134</v>
      </c>
      <c r="AE177" t="s">
        <v>145</v>
      </c>
      <c r="AF177" t="s">
        <v>146</v>
      </c>
      <c r="AG177" t="s">
        <v>218</v>
      </c>
      <c r="AH177" t="s">
        <v>855</v>
      </c>
      <c r="AI177" t="s">
        <v>90</v>
      </c>
      <c r="AJ177">
        <v>32.388458</v>
      </c>
      <c r="AK177">
        <v>-110.711341</v>
      </c>
      <c r="AL177">
        <v>3</v>
      </c>
      <c r="AN177">
        <v>2130</v>
      </c>
      <c r="AP177">
        <v>2130</v>
      </c>
      <c r="AQ177">
        <v>2146.5412510000001</v>
      </c>
      <c r="AT177">
        <v>13</v>
      </c>
      <c r="AU177">
        <v>5</v>
      </c>
      <c r="AV177">
        <v>2022</v>
      </c>
      <c r="AW177">
        <v>4972385</v>
      </c>
      <c r="AX177">
        <v>2437431</v>
      </c>
      <c r="AY177" t="s">
        <v>106</v>
      </c>
      <c r="AZ177" t="s">
        <v>92</v>
      </c>
      <c r="BA177" t="s">
        <v>107</v>
      </c>
      <c r="BB177" t="s">
        <v>856</v>
      </c>
      <c r="BC177" t="s">
        <v>97</v>
      </c>
      <c r="BE177" t="s">
        <v>96</v>
      </c>
      <c r="BG177" t="s">
        <v>654</v>
      </c>
      <c r="BI177" t="s">
        <v>98</v>
      </c>
      <c r="BJ177" t="s">
        <v>675</v>
      </c>
      <c r="BL177" t="s">
        <v>412</v>
      </c>
    </row>
    <row r="178" spans="1:64" hidden="1" x14ac:dyDescent="0.2">
      <c r="A178">
        <v>1071</v>
      </c>
      <c r="B178">
        <v>4027015359</v>
      </c>
      <c r="C178" t="s">
        <v>101</v>
      </c>
      <c r="D178" t="s">
        <v>976</v>
      </c>
      <c r="E178" t="s">
        <v>65</v>
      </c>
      <c r="F178" t="s">
        <v>66</v>
      </c>
      <c r="G178" t="s">
        <v>67</v>
      </c>
      <c r="H178" t="s">
        <v>68</v>
      </c>
      <c r="I178" t="s">
        <v>176</v>
      </c>
      <c r="J178" t="s">
        <v>177</v>
      </c>
      <c r="K178" t="s">
        <v>178</v>
      </c>
      <c r="M178" t="s">
        <v>72</v>
      </c>
      <c r="N178" t="s">
        <v>179</v>
      </c>
      <c r="O178" t="s">
        <v>178</v>
      </c>
      <c r="P178" t="s">
        <v>180</v>
      </c>
      <c r="Q178" t="s">
        <v>75</v>
      </c>
      <c r="R178" t="s">
        <v>977</v>
      </c>
      <c r="S178" t="s">
        <v>978</v>
      </c>
      <c r="T178" t="s">
        <v>78</v>
      </c>
      <c r="U178" t="s">
        <v>646</v>
      </c>
      <c r="V178" t="s">
        <v>80</v>
      </c>
      <c r="W178" s="1">
        <v>44694</v>
      </c>
      <c r="X178" t="s">
        <v>647</v>
      </c>
      <c r="Y178" t="s">
        <v>979</v>
      </c>
      <c r="Z178" t="s">
        <v>83</v>
      </c>
      <c r="AA178">
        <v>1</v>
      </c>
      <c r="AB178" t="s">
        <v>677</v>
      </c>
      <c r="AC178">
        <v>0</v>
      </c>
      <c r="AD178" t="s">
        <v>128</v>
      </c>
      <c r="AE178" t="s">
        <v>145</v>
      </c>
      <c r="AF178" t="s">
        <v>281</v>
      </c>
      <c r="AG178" t="s">
        <v>980</v>
      </c>
      <c r="AI178" t="s">
        <v>90</v>
      </c>
      <c r="AJ178">
        <v>32.390197000000001</v>
      </c>
      <c r="AK178">
        <v>-110.706631</v>
      </c>
      <c r="AL178">
        <v>5</v>
      </c>
      <c r="AN178">
        <v>2126</v>
      </c>
      <c r="AP178">
        <v>2126</v>
      </c>
      <c r="AQ178">
        <v>2146.6902770000002</v>
      </c>
      <c r="AT178">
        <v>13</v>
      </c>
      <c r="AU178">
        <v>5</v>
      </c>
      <c r="AV178">
        <v>2022</v>
      </c>
      <c r="AW178">
        <v>2438038</v>
      </c>
      <c r="AX178">
        <v>2438038</v>
      </c>
      <c r="AY178" t="s">
        <v>106</v>
      </c>
      <c r="AZ178" t="s">
        <v>92</v>
      </c>
      <c r="BA178" t="s">
        <v>107</v>
      </c>
      <c r="BB178" t="s">
        <v>981</v>
      </c>
      <c r="BC178" t="s">
        <v>97</v>
      </c>
      <c r="BE178" t="s">
        <v>96</v>
      </c>
      <c r="BG178" t="s">
        <v>654</v>
      </c>
      <c r="BI178" t="s">
        <v>98</v>
      </c>
      <c r="BJ178" t="s">
        <v>939</v>
      </c>
      <c r="BL178" t="s">
        <v>110</v>
      </c>
    </row>
    <row r="179" spans="1:64" hidden="1" x14ac:dyDescent="0.2">
      <c r="A179">
        <v>1341</v>
      </c>
      <c r="B179">
        <v>4022923372</v>
      </c>
      <c r="C179" t="s">
        <v>101</v>
      </c>
      <c r="D179" t="s">
        <v>862</v>
      </c>
      <c r="E179" t="s">
        <v>65</v>
      </c>
      <c r="F179" t="s">
        <v>66</v>
      </c>
      <c r="G179" t="s">
        <v>67</v>
      </c>
      <c r="H179" t="s">
        <v>68</v>
      </c>
      <c r="I179" t="s">
        <v>350</v>
      </c>
      <c r="J179" t="s">
        <v>351</v>
      </c>
      <c r="K179" t="s">
        <v>352</v>
      </c>
      <c r="M179" t="s">
        <v>72</v>
      </c>
      <c r="N179" t="s">
        <v>353</v>
      </c>
      <c r="O179" t="s">
        <v>352</v>
      </c>
      <c r="P179" t="s">
        <v>180</v>
      </c>
      <c r="Q179" t="s">
        <v>75</v>
      </c>
      <c r="R179" t="s">
        <v>814</v>
      </c>
      <c r="S179" t="s">
        <v>838</v>
      </c>
      <c r="T179" t="s">
        <v>78</v>
      </c>
      <c r="U179" t="s">
        <v>646</v>
      </c>
      <c r="V179" t="s">
        <v>80</v>
      </c>
      <c r="W179" s="1">
        <v>44694</v>
      </c>
      <c r="X179" t="s">
        <v>647</v>
      </c>
      <c r="Y179" t="s">
        <v>839</v>
      </c>
      <c r="Z179" t="s">
        <v>83</v>
      </c>
      <c r="AA179">
        <v>1</v>
      </c>
      <c r="AB179" t="s">
        <v>677</v>
      </c>
      <c r="AD179" t="s">
        <v>139</v>
      </c>
      <c r="AE179" t="s">
        <v>145</v>
      </c>
      <c r="AF179" t="s">
        <v>146</v>
      </c>
      <c r="AG179" t="s">
        <v>218</v>
      </c>
      <c r="AH179" t="s">
        <v>845</v>
      </c>
      <c r="AI179" t="s">
        <v>90</v>
      </c>
      <c r="AJ179">
        <v>32.388458</v>
      </c>
      <c r="AK179">
        <v>-110.711341</v>
      </c>
      <c r="AL179">
        <v>3</v>
      </c>
      <c r="AN179">
        <v>2130</v>
      </c>
      <c r="AP179">
        <v>2130</v>
      </c>
      <c r="AQ179">
        <v>2146.5412510000001</v>
      </c>
      <c r="AT179">
        <v>13</v>
      </c>
      <c r="AU179">
        <v>5</v>
      </c>
      <c r="AV179">
        <v>2022</v>
      </c>
      <c r="AW179">
        <v>4972385</v>
      </c>
      <c r="AX179">
        <v>2437431</v>
      </c>
      <c r="AY179" t="s">
        <v>106</v>
      </c>
      <c r="AZ179" t="s">
        <v>92</v>
      </c>
      <c r="BA179" t="s">
        <v>107</v>
      </c>
      <c r="BB179" t="s">
        <v>863</v>
      </c>
      <c r="BC179" t="s">
        <v>97</v>
      </c>
      <c r="BE179" t="s">
        <v>96</v>
      </c>
      <c r="BG179" t="s">
        <v>654</v>
      </c>
      <c r="BI179" t="s">
        <v>98</v>
      </c>
      <c r="BJ179" t="s">
        <v>864</v>
      </c>
      <c r="BL179" t="s">
        <v>861</v>
      </c>
    </row>
    <row r="180" spans="1:64" hidden="1" x14ac:dyDescent="0.2">
      <c r="A180">
        <v>1357</v>
      </c>
      <c r="B180">
        <v>4022923356</v>
      </c>
      <c r="C180" t="s">
        <v>101</v>
      </c>
      <c r="D180" t="s">
        <v>865</v>
      </c>
      <c r="E180" t="s">
        <v>65</v>
      </c>
      <c r="F180" t="s">
        <v>66</v>
      </c>
      <c r="G180" t="s">
        <v>67</v>
      </c>
      <c r="H180" t="s">
        <v>68</v>
      </c>
      <c r="I180" t="s">
        <v>350</v>
      </c>
      <c r="J180" t="s">
        <v>351</v>
      </c>
      <c r="K180" t="s">
        <v>352</v>
      </c>
      <c r="M180" t="s">
        <v>72</v>
      </c>
      <c r="N180" t="s">
        <v>353</v>
      </c>
      <c r="O180" t="s">
        <v>352</v>
      </c>
      <c r="P180" t="s">
        <v>180</v>
      </c>
      <c r="Q180" t="s">
        <v>75</v>
      </c>
      <c r="R180" t="s">
        <v>814</v>
      </c>
      <c r="T180" t="s">
        <v>78</v>
      </c>
      <c r="U180" t="s">
        <v>646</v>
      </c>
      <c r="V180" t="s">
        <v>80</v>
      </c>
      <c r="W180" s="1">
        <v>44694</v>
      </c>
      <c r="X180" t="s">
        <v>647</v>
      </c>
      <c r="Y180" t="s">
        <v>839</v>
      </c>
      <c r="Z180" t="s">
        <v>83</v>
      </c>
      <c r="AA180">
        <v>1</v>
      </c>
      <c r="AB180" t="s">
        <v>866</v>
      </c>
      <c r="AD180" t="s">
        <v>378</v>
      </c>
      <c r="AE180" t="s">
        <v>145</v>
      </c>
      <c r="AF180" t="s">
        <v>146</v>
      </c>
      <c r="AG180" t="s">
        <v>218</v>
      </c>
      <c r="AH180" t="s">
        <v>867</v>
      </c>
      <c r="AI180" t="s">
        <v>90</v>
      </c>
      <c r="AJ180">
        <v>32.388458</v>
      </c>
      <c r="AK180">
        <v>-110.711341</v>
      </c>
      <c r="AL180">
        <v>3</v>
      </c>
      <c r="AN180">
        <v>2130</v>
      </c>
      <c r="AP180">
        <v>2130</v>
      </c>
      <c r="AQ180">
        <v>2146.5412510000001</v>
      </c>
      <c r="AT180">
        <v>13</v>
      </c>
      <c r="AU180">
        <v>5</v>
      </c>
      <c r="AV180">
        <v>2022</v>
      </c>
      <c r="AW180">
        <v>4972385</v>
      </c>
      <c r="AX180">
        <v>2437431</v>
      </c>
      <c r="AY180" t="s">
        <v>106</v>
      </c>
      <c r="AZ180" t="s">
        <v>92</v>
      </c>
      <c r="BA180" t="s">
        <v>107</v>
      </c>
      <c r="BB180" t="s">
        <v>868</v>
      </c>
      <c r="BC180" t="s">
        <v>97</v>
      </c>
      <c r="BE180" t="s">
        <v>96</v>
      </c>
      <c r="BG180" t="s">
        <v>654</v>
      </c>
      <c r="BI180" t="s">
        <v>98</v>
      </c>
      <c r="BJ180" t="s">
        <v>869</v>
      </c>
      <c r="BL180" t="s">
        <v>861</v>
      </c>
    </row>
    <row r="181" spans="1:64" hidden="1" x14ac:dyDescent="0.2">
      <c r="A181">
        <v>926</v>
      </c>
      <c r="B181">
        <v>4040367320</v>
      </c>
      <c r="C181" t="s">
        <v>101</v>
      </c>
      <c r="D181" t="s">
        <v>870</v>
      </c>
      <c r="E181" t="s">
        <v>65</v>
      </c>
      <c r="F181" t="s">
        <v>66</v>
      </c>
      <c r="G181" t="s">
        <v>67</v>
      </c>
      <c r="H181" t="s">
        <v>68</v>
      </c>
      <c r="I181" t="s">
        <v>350</v>
      </c>
      <c r="J181" t="s">
        <v>351</v>
      </c>
      <c r="K181" t="s">
        <v>352</v>
      </c>
      <c r="M181" t="s">
        <v>72</v>
      </c>
      <c r="N181" t="s">
        <v>353</v>
      </c>
      <c r="O181" t="s">
        <v>352</v>
      </c>
      <c r="P181" t="s">
        <v>180</v>
      </c>
      <c r="Q181" t="s">
        <v>75</v>
      </c>
      <c r="R181" t="s">
        <v>814</v>
      </c>
      <c r="S181" t="s">
        <v>838</v>
      </c>
      <c r="T181" t="s">
        <v>78</v>
      </c>
      <c r="U181" t="s">
        <v>646</v>
      </c>
      <c r="V181" t="s">
        <v>80</v>
      </c>
      <c r="W181" s="1">
        <v>44694</v>
      </c>
      <c r="X181" t="s">
        <v>647</v>
      </c>
      <c r="Y181" t="s">
        <v>839</v>
      </c>
      <c r="Z181" t="s">
        <v>83</v>
      </c>
      <c r="AA181">
        <v>1</v>
      </c>
      <c r="AB181" t="s">
        <v>657</v>
      </c>
      <c r="AD181" t="s">
        <v>116</v>
      </c>
      <c r="AE181" t="s">
        <v>145</v>
      </c>
      <c r="AF181" t="s">
        <v>146</v>
      </c>
      <c r="AG181" t="s">
        <v>218</v>
      </c>
      <c r="AH181" t="s">
        <v>845</v>
      </c>
      <c r="AI181" t="s">
        <v>90</v>
      </c>
      <c r="AJ181">
        <v>32.388458</v>
      </c>
      <c r="AK181">
        <v>-110.711341</v>
      </c>
      <c r="AL181">
        <v>3</v>
      </c>
      <c r="AN181">
        <v>2130</v>
      </c>
      <c r="AP181">
        <v>2130</v>
      </c>
      <c r="AQ181">
        <v>2146.5412510000001</v>
      </c>
      <c r="AT181">
        <v>13</v>
      </c>
      <c r="AU181">
        <v>5</v>
      </c>
      <c r="AV181">
        <v>2022</v>
      </c>
      <c r="AW181">
        <v>4972385</v>
      </c>
      <c r="AX181">
        <v>2437431</v>
      </c>
      <c r="AY181" t="s">
        <v>106</v>
      </c>
      <c r="AZ181" t="s">
        <v>92</v>
      </c>
      <c r="BA181" t="s">
        <v>107</v>
      </c>
      <c r="BB181" t="s">
        <v>871</v>
      </c>
      <c r="BC181" t="s">
        <v>97</v>
      </c>
      <c r="BE181" t="s">
        <v>96</v>
      </c>
      <c r="BG181" t="s">
        <v>654</v>
      </c>
      <c r="BI181" t="s">
        <v>98</v>
      </c>
      <c r="BJ181" t="s">
        <v>692</v>
      </c>
      <c r="BL181" t="s">
        <v>412</v>
      </c>
    </row>
    <row r="182" spans="1:64" hidden="1" x14ac:dyDescent="0.2">
      <c r="A182">
        <v>1063</v>
      </c>
      <c r="B182">
        <v>4027015367</v>
      </c>
      <c r="C182" t="s">
        <v>101</v>
      </c>
      <c r="D182" t="s">
        <v>986</v>
      </c>
      <c r="E182" t="s">
        <v>65</v>
      </c>
      <c r="F182" t="s">
        <v>66</v>
      </c>
      <c r="G182" t="s">
        <v>67</v>
      </c>
      <c r="H182" t="s">
        <v>68</v>
      </c>
      <c r="I182" t="s">
        <v>176</v>
      </c>
      <c r="J182" t="s">
        <v>177</v>
      </c>
      <c r="K182" t="s">
        <v>178</v>
      </c>
      <c r="M182" t="s">
        <v>72</v>
      </c>
      <c r="N182" t="s">
        <v>179</v>
      </c>
      <c r="O182" t="s">
        <v>178</v>
      </c>
      <c r="P182" t="s">
        <v>180</v>
      </c>
      <c r="Q182" t="s">
        <v>75</v>
      </c>
      <c r="R182" t="s">
        <v>977</v>
      </c>
      <c r="S182" t="s">
        <v>987</v>
      </c>
      <c r="T182" t="s">
        <v>78</v>
      </c>
      <c r="U182" t="s">
        <v>646</v>
      </c>
      <c r="V182" t="s">
        <v>80</v>
      </c>
      <c r="W182" s="1">
        <v>44694</v>
      </c>
      <c r="X182" t="s">
        <v>647</v>
      </c>
      <c r="Y182" t="s">
        <v>988</v>
      </c>
      <c r="Z182" t="s">
        <v>83</v>
      </c>
      <c r="AA182">
        <v>1</v>
      </c>
      <c r="AB182" t="s">
        <v>677</v>
      </c>
      <c r="AC182">
        <v>0</v>
      </c>
      <c r="AD182" t="s">
        <v>128</v>
      </c>
      <c r="AE182" t="s">
        <v>145</v>
      </c>
      <c r="AF182" t="s">
        <v>146</v>
      </c>
      <c r="AG182" t="s">
        <v>765</v>
      </c>
      <c r="AI182" t="s">
        <v>90</v>
      </c>
      <c r="AJ182">
        <v>32.390135000000001</v>
      </c>
      <c r="AK182">
        <v>-110.706703</v>
      </c>
      <c r="AL182">
        <v>7</v>
      </c>
      <c r="AN182">
        <v>2125</v>
      </c>
      <c r="AP182">
        <v>2125</v>
      </c>
      <c r="AQ182">
        <v>2147.6092309999999</v>
      </c>
      <c r="AT182">
        <v>13</v>
      </c>
      <c r="AU182">
        <v>5</v>
      </c>
      <c r="AV182">
        <v>2022</v>
      </c>
      <c r="AW182">
        <v>2438038</v>
      </c>
      <c r="AX182">
        <v>2438038</v>
      </c>
      <c r="AY182" t="s">
        <v>106</v>
      </c>
      <c r="AZ182" t="s">
        <v>92</v>
      </c>
      <c r="BA182" t="s">
        <v>107</v>
      </c>
      <c r="BB182" t="s">
        <v>989</v>
      </c>
      <c r="BC182" t="s">
        <v>97</v>
      </c>
      <c r="BE182" t="s">
        <v>96</v>
      </c>
      <c r="BG182" t="s">
        <v>654</v>
      </c>
      <c r="BI182" t="s">
        <v>98</v>
      </c>
      <c r="BJ182" t="s">
        <v>939</v>
      </c>
      <c r="BL182" t="s">
        <v>110</v>
      </c>
    </row>
    <row r="183" spans="1:64" hidden="1" x14ac:dyDescent="0.2">
      <c r="A183">
        <v>999</v>
      </c>
      <c r="B183">
        <v>4027015431</v>
      </c>
      <c r="C183" t="s">
        <v>101</v>
      </c>
      <c r="D183" t="s">
        <v>877</v>
      </c>
      <c r="E183" t="s">
        <v>65</v>
      </c>
      <c r="F183" t="s">
        <v>66</v>
      </c>
      <c r="G183" t="s">
        <v>67</v>
      </c>
      <c r="H183" t="s">
        <v>68</v>
      </c>
      <c r="I183" t="s">
        <v>176</v>
      </c>
      <c r="J183" t="s">
        <v>177</v>
      </c>
      <c r="K183" t="s">
        <v>178</v>
      </c>
      <c r="M183" t="s">
        <v>72</v>
      </c>
      <c r="N183" t="s">
        <v>179</v>
      </c>
      <c r="O183" t="s">
        <v>178</v>
      </c>
      <c r="P183" t="s">
        <v>180</v>
      </c>
      <c r="Q183" t="s">
        <v>75</v>
      </c>
      <c r="R183" t="s">
        <v>814</v>
      </c>
      <c r="S183" t="s">
        <v>873</v>
      </c>
      <c r="T183" t="s">
        <v>78</v>
      </c>
      <c r="U183" t="s">
        <v>646</v>
      </c>
      <c r="V183" t="s">
        <v>80</v>
      </c>
      <c r="W183" s="1">
        <v>44694</v>
      </c>
      <c r="X183" t="s">
        <v>647</v>
      </c>
      <c r="Y183" t="s">
        <v>874</v>
      </c>
      <c r="Z183" t="s">
        <v>83</v>
      </c>
      <c r="AA183">
        <v>1</v>
      </c>
      <c r="AB183" t="s">
        <v>657</v>
      </c>
      <c r="AD183" t="s">
        <v>343</v>
      </c>
      <c r="AE183" t="s">
        <v>145</v>
      </c>
      <c r="AF183" t="s">
        <v>281</v>
      </c>
      <c r="AG183" t="s">
        <v>875</v>
      </c>
      <c r="AI183" t="s">
        <v>90</v>
      </c>
      <c r="AJ183">
        <v>32.389409000000001</v>
      </c>
      <c r="AK183">
        <v>-110.710999</v>
      </c>
      <c r="AL183">
        <v>3</v>
      </c>
      <c r="AN183">
        <v>2117</v>
      </c>
      <c r="AP183">
        <v>2117</v>
      </c>
      <c r="AQ183">
        <v>2157.664397</v>
      </c>
      <c r="AT183">
        <v>13</v>
      </c>
      <c r="AU183">
        <v>5</v>
      </c>
      <c r="AV183">
        <v>2022</v>
      </c>
      <c r="AW183">
        <v>2438038</v>
      </c>
      <c r="AX183">
        <v>2438038</v>
      </c>
      <c r="AY183" t="s">
        <v>106</v>
      </c>
      <c r="AZ183" t="s">
        <v>92</v>
      </c>
      <c r="BA183" t="s">
        <v>107</v>
      </c>
      <c r="BB183" t="s">
        <v>878</v>
      </c>
      <c r="BC183" t="s">
        <v>97</v>
      </c>
      <c r="BE183" t="s">
        <v>96</v>
      </c>
      <c r="BG183" t="s">
        <v>654</v>
      </c>
      <c r="BI183" t="s">
        <v>98</v>
      </c>
      <c r="BJ183" t="s">
        <v>826</v>
      </c>
      <c r="BL183" t="s">
        <v>412</v>
      </c>
    </row>
    <row r="184" spans="1:64" hidden="1" x14ac:dyDescent="0.2">
      <c r="A184">
        <v>983</v>
      </c>
      <c r="B184">
        <v>4027015447</v>
      </c>
      <c r="C184" t="s">
        <v>101</v>
      </c>
      <c r="D184" t="s">
        <v>1024</v>
      </c>
      <c r="E184" t="s">
        <v>65</v>
      </c>
      <c r="F184" t="s">
        <v>66</v>
      </c>
      <c r="G184" t="s">
        <v>67</v>
      </c>
      <c r="H184" t="s">
        <v>68</v>
      </c>
      <c r="I184" t="s">
        <v>350</v>
      </c>
      <c r="J184" t="s">
        <v>351</v>
      </c>
      <c r="K184" t="s">
        <v>352</v>
      </c>
      <c r="M184" t="s">
        <v>72</v>
      </c>
      <c r="N184" t="s">
        <v>353</v>
      </c>
      <c r="O184" t="s">
        <v>352</v>
      </c>
      <c r="P184" t="s">
        <v>180</v>
      </c>
      <c r="Q184" t="s">
        <v>75</v>
      </c>
      <c r="R184" t="s">
        <v>814</v>
      </c>
      <c r="S184" t="s">
        <v>1025</v>
      </c>
      <c r="T184" t="s">
        <v>78</v>
      </c>
      <c r="U184" t="s">
        <v>646</v>
      </c>
      <c r="V184" t="s">
        <v>80</v>
      </c>
      <c r="W184" s="1">
        <v>44694</v>
      </c>
      <c r="X184" t="s">
        <v>647</v>
      </c>
      <c r="Y184" t="s">
        <v>1026</v>
      </c>
      <c r="Z184" t="s">
        <v>83</v>
      </c>
      <c r="AA184">
        <v>1</v>
      </c>
      <c r="AB184" t="s">
        <v>677</v>
      </c>
      <c r="AC184">
        <v>0</v>
      </c>
      <c r="AD184" t="s">
        <v>128</v>
      </c>
      <c r="AE184" t="s">
        <v>145</v>
      </c>
      <c r="AF184" t="s">
        <v>146</v>
      </c>
      <c r="AG184" t="s">
        <v>1027</v>
      </c>
      <c r="AI184" t="s">
        <v>90</v>
      </c>
      <c r="AJ184">
        <v>32.388863000000001</v>
      </c>
      <c r="AK184">
        <v>-110.71111399999999</v>
      </c>
      <c r="AL184">
        <v>75</v>
      </c>
      <c r="AP184">
        <v>2152.5869670000002</v>
      </c>
      <c r="AQ184">
        <v>2152.5869670000002</v>
      </c>
      <c r="AT184">
        <v>13</v>
      </c>
      <c r="AU184">
        <v>5</v>
      </c>
      <c r="AV184">
        <v>2022</v>
      </c>
      <c r="AW184">
        <v>4972385</v>
      </c>
      <c r="AX184">
        <v>2437431</v>
      </c>
      <c r="AY184" t="s">
        <v>106</v>
      </c>
      <c r="AZ184" t="s">
        <v>92</v>
      </c>
      <c r="BA184" t="s">
        <v>107</v>
      </c>
      <c r="BB184" t="s">
        <v>1028</v>
      </c>
      <c r="BC184" t="s">
        <v>97</v>
      </c>
      <c r="BE184" t="s">
        <v>96</v>
      </c>
      <c r="BG184" t="s">
        <v>654</v>
      </c>
      <c r="BI184" t="s">
        <v>98</v>
      </c>
      <c r="BJ184" t="s">
        <v>1011</v>
      </c>
      <c r="BL184" t="s">
        <v>412</v>
      </c>
    </row>
    <row r="185" spans="1:64" hidden="1" x14ac:dyDescent="0.2">
      <c r="A185">
        <v>997</v>
      </c>
      <c r="B185">
        <v>4027015433</v>
      </c>
      <c r="C185" t="s">
        <v>101</v>
      </c>
      <c r="D185" t="s">
        <v>884</v>
      </c>
      <c r="E185" t="s">
        <v>65</v>
      </c>
      <c r="F185" t="s">
        <v>66</v>
      </c>
      <c r="G185" t="s">
        <v>67</v>
      </c>
      <c r="H185" t="s">
        <v>68</v>
      </c>
      <c r="I185" t="s">
        <v>350</v>
      </c>
      <c r="J185" t="s">
        <v>351</v>
      </c>
      <c r="K185" t="s">
        <v>352</v>
      </c>
      <c r="M185" t="s">
        <v>72</v>
      </c>
      <c r="N185" t="s">
        <v>353</v>
      </c>
      <c r="O185" t="s">
        <v>352</v>
      </c>
      <c r="P185" t="s">
        <v>180</v>
      </c>
      <c r="Q185" t="s">
        <v>75</v>
      </c>
      <c r="R185" t="s">
        <v>814</v>
      </c>
      <c r="S185" t="s">
        <v>880</v>
      </c>
      <c r="T185" t="s">
        <v>78</v>
      </c>
      <c r="U185" t="s">
        <v>646</v>
      </c>
      <c r="V185" t="s">
        <v>80</v>
      </c>
      <c r="W185" s="1">
        <v>44694</v>
      </c>
      <c r="X185" t="s">
        <v>647</v>
      </c>
      <c r="Y185" t="s">
        <v>881</v>
      </c>
      <c r="Z185" t="s">
        <v>83</v>
      </c>
      <c r="AA185">
        <v>1</v>
      </c>
      <c r="AB185" t="s">
        <v>657</v>
      </c>
      <c r="AD185" t="s">
        <v>343</v>
      </c>
      <c r="AE185" t="s">
        <v>86</v>
      </c>
      <c r="AF185" t="s">
        <v>146</v>
      </c>
      <c r="AG185" t="s">
        <v>882</v>
      </c>
      <c r="AI185" t="s">
        <v>90</v>
      </c>
      <c r="AJ185">
        <v>32.389358000000001</v>
      </c>
      <c r="AK185">
        <v>-110.71116000000001</v>
      </c>
      <c r="AL185">
        <v>3</v>
      </c>
      <c r="AP185">
        <v>2160.7564269999998</v>
      </c>
      <c r="AQ185">
        <v>2160.7564269999998</v>
      </c>
      <c r="AT185">
        <v>13</v>
      </c>
      <c r="AU185">
        <v>5</v>
      </c>
      <c r="AV185">
        <v>2022</v>
      </c>
      <c r="AW185">
        <v>4972385</v>
      </c>
      <c r="AX185">
        <v>2437431</v>
      </c>
      <c r="AY185" t="s">
        <v>106</v>
      </c>
      <c r="AZ185" t="s">
        <v>92</v>
      </c>
      <c r="BA185" t="s">
        <v>107</v>
      </c>
      <c r="BB185" t="s">
        <v>885</v>
      </c>
      <c r="BC185" t="s">
        <v>97</v>
      </c>
      <c r="BE185" t="s">
        <v>96</v>
      </c>
      <c r="BG185" t="s">
        <v>654</v>
      </c>
      <c r="BI185" t="s">
        <v>98</v>
      </c>
      <c r="BJ185" t="s">
        <v>717</v>
      </c>
      <c r="BL185" t="s">
        <v>110</v>
      </c>
    </row>
    <row r="186" spans="1:64" hidden="1" x14ac:dyDescent="0.2">
      <c r="A186">
        <v>1093</v>
      </c>
      <c r="B186">
        <v>4027015337</v>
      </c>
      <c r="C186" t="s">
        <v>101</v>
      </c>
      <c r="D186" s="2" t="s">
        <v>894</v>
      </c>
      <c r="E186" t="s">
        <v>65</v>
      </c>
      <c r="F186" t="s">
        <v>66</v>
      </c>
      <c r="G186" t="s">
        <v>67</v>
      </c>
      <c r="H186" t="s">
        <v>68</v>
      </c>
      <c r="I186" t="s">
        <v>350</v>
      </c>
      <c r="J186" t="s">
        <v>351</v>
      </c>
      <c r="K186" t="s">
        <v>352</v>
      </c>
      <c r="M186" t="s">
        <v>72</v>
      </c>
      <c r="N186" t="s">
        <v>353</v>
      </c>
      <c r="O186" t="s">
        <v>352</v>
      </c>
      <c r="P186" t="s">
        <v>180</v>
      </c>
      <c r="Q186" t="s">
        <v>75</v>
      </c>
      <c r="R186" t="s">
        <v>814</v>
      </c>
      <c r="S186" t="s">
        <v>887</v>
      </c>
      <c r="T186" t="s">
        <v>78</v>
      </c>
      <c r="U186" t="s">
        <v>646</v>
      </c>
      <c r="V186" t="s">
        <v>80</v>
      </c>
      <c r="W186" s="1">
        <v>44694</v>
      </c>
      <c r="X186" t="s">
        <v>647</v>
      </c>
      <c r="Y186" t="s">
        <v>888</v>
      </c>
      <c r="Z186" t="s">
        <v>83</v>
      </c>
      <c r="AA186">
        <v>1</v>
      </c>
      <c r="AB186" t="s">
        <v>672</v>
      </c>
      <c r="AD186" t="s">
        <v>134</v>
      </c>
      <c r="AE186" t="s">
        <v>145</v>
      </c>
      <c r="AF186" t="s">
        <v>146</v>
      </c>
      <c r="AG186" t="s">
        <v>895</v>
      </c>
      <c r="AH186" t="s">
        <v>896</v>
      </c>
      <c r="AI186" t="s">
        <v>90</v>
      </c>
      <c r="AJ186">
        <v>32.389521999999999</v>
      </c>
      <c r="AK186">
        <v>-110.710368</v>
      </c>
      <c r="AL186">
        <v>3</v>
      </c>
      <c r="AN186">
        <v>2114</v>
      </c>
      <c r="AP186">
        <v>2114</v>
      </c>
      <c r="AQ186">
        <v>2141.6962279999998</v>
      </c>
      <c r="AT186">
        <v>13</v>
      </c>
      <c r="AU186">
        <v>5</v>
      </c>
      <c r="AV186">
        <v>2022</v>
      </c>
      <c r="AW186">
        <v>4972385</v>
      </c>
      <c r="AX186">
        <v>2437431</v>
      </c>
      <c r="AY186" t="s">
        <v>106</v>
      </c>
      <c r="AZ186" t="s">
        <v>92</v>
      </c>
      <c r="BA186" t="s">
        <v>107</v>
      </c>
      <c r="BB186" t="s">
        <v>897</v>
      </c>
      <c r="BC186" t="s">
        <v>97</v>
      </c>
      <c r="BE186" t="s">
        <v>96</v>
      </c>
      <c r="BG186" t="s">
        <v>654</v>
      </c>
      <c r="BI186" t="s">
        <v>98</v>
      </c>
      <c r="BJ186" t="s">
        <v>898</v>
      </c>
      <c r="BL186" t="s">
        <v>412</v>
      </c>
    </row>
    <row r="187" spans="1:64" hidden="1" x14ac:dyDescent="0.2">
      <c r="A187">
        <v>977</v>
      </c>
      <c r="B187">
        <v>4027015453</v>
      </c>
      <c r="C187" t="s">
        <v>101</v>
      </c>
      <c r="D187" t="s">
        <v>1031</v>
      </c>
      <c r="E187" t="s">
        <v>65</v>
      </c>
      <c r="F187" t="s">
        <v>66</v>
      </c>
      <c r="G187" t="s">
        <v>67</v>
      </c>
      <c r="H187" t="s">
        <v>68</v>
      </c>
      <c r="I187" t="s">
        <v>350</v>
      </c>
      <c r="J187" t="s">
        <v>351</v>
      </c>
      <c r="K187" t="s">
        <v>352</v>
      </c>
      <c r="M187" t="s">
        <v>72</v>
      </c>
      <c r="N187" t="s">
        <v>353</v>
      </c>
      <c r="O187" t="s">
        <v>352</v>
      </c>
      <c r="P187" t="s">
        <v>180</v>
      </c>
      <c r="Q187" t="s">
        <v>75</v>
      </c>
      <c r="R187" t="s">
        <v>977</v>
      </c>
      <c r="S187" t="s">
        <v>1032</v>
      </c>
      <c r="T187" t="s">
        <v>78</v>
      </c>
      <c r="U187" t="s">
        <v>646</v>
      </c>
      <c r="V187" t="s">
        <v>80</v>
      </c>
      <c r="W187" s="1">
        <v>44694</v>
      </c>
      <c r="X187" t="s">
        <v>647</v>
      </c>
      <c r="Y187" t="s">
        <v>1033</v>
      </c>
      <c r="Z187" t="s">
        <v>83</v>
      </c>
      <c r="AA187">
        <v>1</v>
      </c>
      <c r="AB187" t="s">
        <v>677</v>
      </c>
      <c r="AC187">
        <v>0</v>
      </c>
      <c r="AD187" t="s">
        <v>128</v>
      </c>
      <c r="AE187" t="s">
        <v>86</v>
      </c>
      <c r="AF187" t="s">
        <v>146</v>
      </c>
      <c r="AG187" t="s">
        <v>1034</v>
      </c>
      <c r="AI187" t="s">
        <v>90</v>
      </c>
      <c r="AJ187">
        <v>32.390366999999998</v>
      </c>
      <c r="AK187">
        <v>-110.70684</v>
      </c>
      <c r="AN187">
        <v>2101</v>
      </c>
      <c r="AP187">
        <v>2101</v>
      </c>
      <c r="AQ187">
        <v>2146.0796570000002</v>
      </c>
      <c r="AT187">
        <v>13</v>
      </c>
      <c r="AU187">
        <v>5</v>
      </c>
      <c r="AV187">
        <v>2022</v>
      </c>
      <c r="AW187">
        <v>4972385</v>
      </c>
      <c r="AX187">
        <v>2437431</v>
      </c>
      <c r="AY187" t="s">
        <v>106</v>
      </c>
      <c r="AZ187" t="s">
        <v>92</v>
      </c>
      <c r="BA187" t="s">
        <v>107</v>
      </c>
      <c r="BB187" t="s">
        <v>1035</v>
      </c>
      <c r="BC187" t="s">
        <v>97</v>
      </c>
      <c r="BE187" t="s">
        <v>96</v>
      </c>
      <c r="BG187" t="s">
        <v>654</v>
      </c>
      <c r="BI187" t="s">
        <v>98</v>
      </c>
      <c r="BJ187" t="s">
        <v>1011</v>
      </c>
      <c r="BL187" t="s">
        <v>110</v>
      </c>
    </row>
    <row r="188" spans="1:64" hidden="1" x14ac:dyDescent="0.2">
      <c r="A188">
        <v>1012</v>
      </c>
      <c r="B188">
        <v>4027015418</v>
      </c>
      <c r="C188" t="s">
        <v>101</v>
      </c>
      <c r="D188" t="s">
        <v>902</v>
      </c>
      <c r="E188" t="s">
        <v>65</v>
      </c>
      <c r="F188" t="s">
        <v>66</v>
      </c>
      <c r="G188" t="s">
        <v>67</v>
      </c>
      <c r="H188" t="s">
        <v>68</v>
      </c>
      <c r="I188" t="s">
        <v>350</v>
      </c>
      <c r="J188" t="s">
        <v>351</v>
      </c>
      <c r="K188" t="s">
        <v>352</v>
      </c>
      <c r="M188" t="s">
        <v>72</v>
      </c>
      <c r="N188" t="s">
        <v>353</v>
      </c>
      <c r="O188" t="s">
        <v>352</v>
      </c>
      <c r="P188" t="s">
        <v>180</v>
      </c>
      <c r="Q188" t="s">
        <v>75</v>
      </c>
      <c r="R188" t="s">
        <v>814</v>
      </c>
      <c r="S188" t="s">
        <v>887</v>
      </c>
      <c r="T188" t="s">
        <v>78</v>
      </c>
      <c r="U188" t="s">
        <v>646</v>
      </c>
      <c r="V188" t="s">
        <v>80</v>
      </c>
      <c r="W188" s="1">
        <v>44694</v>
      </c>
      <c r="X188" t="s">
        <v>647</v>
      </c>
      <c r="Y188" t="s">
        <v>888</v>
      </c>
      <c r="Z188" t="s">
        <v>83</v>
      </c>
      <c r="AA188">
        <v>1</v>
      </c>
      <c r="AB188" t="s">
        <v>657</v>
      </c>
      <c r="AD188" t="s">
        <v>112</v>
      </c>
      <c r="AE188" t="s">
        <v>145</v>
      </c>
      <c r="AF188" t="s">
        <v>146</v>
      </c>
      <c r="AG188" t="s">
        <v>895</v>
      </c>
      <c r="AH188" t="s">
        <v>903</v>
      </c>
      <c r="AI188" t="s">
        <v>90</v>
      </c>
      <c r="AJ188">
        <v>32.389521999999999</v>
      </c>
      <c r="AK188">
        <v>-110.710368</v>
      </c>
      <c r="AL188">
        <v>3</v>
      </c>
      <c r="AN188">
        <v>2114</v>
      </c>
      <c r="AP188">
        <v>2114</v>
      </c>
      <c r="AQ188">
        <v>2141.6962279999998</v>
      </c>
      <c r="AT188">
        <v>13</v>
      </c>
      <c r="AU188">
        <v>5</v>
      </c>
      <c r="AV188">
        <v>2022</v>
      </c>
      <c r="AW188">
        <v>4972385</v>
      </c>
      <c r="AX188">
        <v>2437431</v>
      </c>
      <c r="AY188" t="s">
        <v>106</v>
      </c>
      <c r="AZ188" t="s">
        <v>92</v>
      </c>
      <c r="BA188" t="s">
        <v>107</v>
      </c>
      <c r="BB188" t="s">
        <v>904</v>
      </c>
      <c r="BC188" t="s">
        <v>97</v>
      </c>
      <c r="BE188" t="s">
        <v>96</v>
      </c>
      <c r="BG188" t="s">
        <v>654</v>
      </c>
      <c r="BI188" t="s">
        <v>98</v>
      </c>
      <c r="BJ188" t="s">
        <v>680</v>
      </c>
      <c r="BL188" t="s">
        <v>412</v>
      </c>
    </row>
    <row r="189" spans="1:64" hidden="1" x14ac:dyDescent="0.2">
      <c r="A189">
        <v>1010</v>
      </c>
      <c r="B189">
        <v>4027015420</v>
      </c>
      <c r="C189" t="s">
        <v>101</v>
      </c>
      <c r="D189" t="s">
        <v>905</v>
      </c>
      <c r="E189" t="s">
        <v>65</v>
      </c>
      <c r="F189" t="s">
        <v>66</v>
      </c>
      <c r="G189" t="s">
        <v>67</v>
      </c>
      <c r="H189" t="s">
        <v>68</v>
      </c>
      <c r="I189" t="s">
        <v>350</v>
      </c>
      <c r="J189" t="s">
        <v>351</v>
      </c>
      <c r="K189" t="s">
        <v>352</v>
      </c>
      <c r="M189" t="s">
        <v>72</v>
      </c>
      <c r="N189" t="s">
        <v>353</v>
      </c>
      <c r="O189" t="s">
        <v>352</v>
      </c>
      <c r="P189" t="s">
        <v>180</v>
      </c>
      <c r="Q189" t="s">
        <v>75</v>
      </c>
      <c r="R189" t="s">
        <v>814</v>
      </c>
      <c r="S189" t="s">
        <v>887</v>
      </c>
      <c r="T189" t="s">
        <v>78</v>
      </c>
      <c r="U189" t="s">
        <v>646</v>
      </c>
      <c r="V189" t="s">
        <v>80</v>
      </c>
      <c r="W189" s="1">
        <v>44694</v>
      </c>
      <c r="X189" t="s">
        <v>647</v>
      </c>
      <c r="Y189" t="s">
        <v>888</v>
      </c>
      <c r="Z189" t="s">
        <v>83</v>
      </c>
      <c r="AA189">
        <v>1</v>
      </c>
      <c r="AB189" t="s">
        <v>657</v>
      </c>
      <c r="AD189" t="s">
        <v>116</v>
      </c>
      <c r="AE189" t="s">
        <v>145</v>
      </c>
      <c r="AF189" t="s">
        <v>146</v>
      </c>
      <c r="AG189" t="s">
        <v>895</v>
      </c>
      <c r="AH189" t="s">
        <v>903</v>
      </c>
      <c r="AI189" t="s">
        <v>90</v>
      </c>
      <c r="AJ189">
        <v>32.389521999999999</v>
      </c>
      <c r="AK189">
        <v>-110.710368</v>
      </c>
      <c r="AL189">
        <v>3</v>
      </c>
      <c r="AN189">
        <v>2114</v>
      </c>
      <c r="AP189">
        <v>2114</v>
      </c>
      <c r="AQ189">
        <v>2141.6962279999998</v>
      </c>
      <c r="AT189">
        <v>13</v>
      </c>
      <c r="AU189">
        <v>5</v>
      </c>
      <c r="AV189">
        <v>2022</v>
      </c>
      <c r="AW189">
        <v>4972385</v>
      </c>
      <c r="AX189">
        <v>2437431</v>
      </c>
      <c r="AY189" t="s">
        <v>106</v>
      </c>
      <c r="AZ189" t="s">
        <v>92</v>
      </c>
      <c r="BA189" t="s">
        <v>107</v>
      </c>
      <c r="BB189" t="s">
        <v>906</v>
      </c>
      <c r="BC189" t="s">
        <v>97</v>
      </c>
      <c r="BE189" t="s">
        <v>96</v>
      </c>
      <c r="BG189" t="s">
        <v>654</v>
      </c>
      <c r="BI189" t="s">
        <v>98</v>
      </c>
      <c r="BJ189" t="s">
        <v>675</v>
      </c>
      <c r="BL189" t="s">
        <v>412</v>
      </c>
    </row>
    <row r="190" spans="1:64" hidden="1" x14ac:dyDescent="0.2">
      <c r="A190">
        <v>1008</v>
      </c>
      <c r="B190">
        <v>4027015422</v>
      </c>
      <c r="C190" t="s">
        <v>101</v>
      </c>
      <c r="D190" t="s">
        <v>907</v>
      </c>
      <c r="E190" t="s">
        <v>65</v>
      </c>
      <c r="F190" t="s">
        <v>66</v>
      </c>
      <c r="G190" t="s">
        <v>67</v>
      </c>
      <c r="H190" t="s">
        <v>68</v>
      </c>
      <c r="I190" t="s">
        <v>350</v>
      </c>
      <c r="J190" t="s">
        <v>351</v>
      </c>
      <c r="K190" t="s">
        <v>352</v>
      </c>
      <c r="M190" t="s">
        <v>72</v>
      </c>
      <c r="N190" t="s">
        <v>353</v>
      </c>
      <c r="O190" t="s">
        <v>352</v>
      </c>
      <c r="P190" t="s">
        <v>180</v>
      </c>
      <c r="Q190" t="s">
        <v>75</v>
      </c>
      <c r="R190" t="s">
        <v>814</v>
      </c>
      <c r="S190" t="s">
        <v>887</v>
      </c>
      <c r="T190" t="s">
        <v>78</v>
      </c>
      <c r="U190" t="s">
        <v>646</v>
      </c>
      <c r="V190" t="s">
        <v>80</v>
      </c>
      <c r="W190" s="1">
        <v>44694</v>
      </c>
      <c r="X190" t="s">
        <v>647</v>
      </c>
      <c r="Y190" t="s">
        <v>888</v>
      </c>
      <c r="Z190" t="s">
        <v>83</v>
      </c>
      <c r="AA190">
        <v>1</v>
      </c>
      <c r="AB190" t="s">
        <v>657</v>
      </c>
      <c r="AD190" t="s">
        <v>104</v>
      </c>
      <c r="AE190" t="s">
        <v>145</v>
      </c>
      <c r="AF190" t="s">
        <v>146</v>
      </c>
      <c r="AG190" t="s">
        <v>895</v>
      </c>
      <c r="AH190" t="s">
        <v>903</v>
      </c>
      <c r="AI190" t="s">
        <v>90</v>
      </c>
      <c r="AJ190">
        <v>32.389521999999999</v>
      </c>
      <c r="AK190">
        <v>-110.710368</v>
      </c>
      <c r="AL190">
        <v>3</v>
      </c>
      <c r="AN190">
        <v>2114</v>
      </c>
      <c r="AP190">
        <v>2114</v>
      </c>
      <c r="AQ190">
        <v>2141.6962279999998</v>
      </c>
      <c r="AT190">
        <v>13</v>
      </c>
      <c r="AU190">
        <v>5</v>
      </c>
      <c r="AV190">
        <v>2022</v>
      </c>
      <c r="AW190">
        <v>4972385</v>
      </c>
      <c r="AX190">
        <v>2437431</v>
      </c>
      <c r="AY190" t="s">
        <v>106</v>
      </c>
      <c r="AZ190" t="s">
        <v>92</v>
      </c>
      <c r="BA190" t="s">
        <v>107</v>
      </c>
      <c r="BB190" t="s">
        <v>908</v>
      </c>
      <c r="BC190" t="s">
        <v>97</v>
      </c>
      <c r="BE190" t="s">
        <v>96</v>
      </c>
      <c r="BG190" t="s">
        <v>654</v>
      </c>
      <c r="BI190" t="s">
        <v>98</v>
      </c>
      <c r="BJ190" t="s">
        <v>711</v>
      </c>
      <c r="BL190" t="s">
        <v>412</v>
      </c>
    </row>
    <row r="191" spans="1:64" hidden="1" x14ac:dyDescent="0.2">
      <c r="A191">
        <v>1355</v>
      </c>
      <c r="B191">
        <v>4022923358</v>
      </c>
      <c r="C191" t="s">
        <v>101</v>
      </c>
      <c r="D191" t="s">
        <v>909</v>
      </c>
      <c r="E191" t="s">
        <v>65</v>
      </c>
      <c r="F191" t="s">
        <v>66</v>
      </c>
      <c r="G191" t="s">
        <v>67</v>
      </c>
      <c r="H191" t="s">
        <v>68</v>
      </c>
      <c r="I191" t="s">
        <v>350</v>
      </c>
      <c r="J191" t="s">
        <v>351</v>
      </c>
      <c r="K191" t="s">
        <v>352</v>
      </c>
      <c r="M191" t="s">
        <v>72</v>
      </c>
      <c r="N191" t="s">
        <v>353</v>
      </c>
      <c r="O191" t="s">
        <v>352</v>
      </c>
      <c r="P191" t="s">
        <v>180</v>
      </c>
      <c r="Q191" t="s">
        <v>75</v>
      </c>
      <c r="R191" t="s">
        <v>814</v>
      </c>
      <c r="S191" t="s">
        <v>887</v>
      </c>
      <c r="T191" t="s">
        <v>78</v>
      </c>
      <c r="U191" t="s">
        <v>646</v>
      </c>
      <c r="V191" t="s">
        <v>80</v>
      </c>
      <c r="W191" s="1">
        <v>44694</v>
      </c>
      <c r="X191" t="s">
        <v>647</v>
      </c>
      <c r="Y191" t="s">
        <v>888</v>
      </c>
      <c r="Z191" t="s">
        <v>83</v>
      </c>
      <c r="AA191">
        <v>1</v>
      </c>
      <c r="AB191" t="s">
        <v>677</v>
      </c>
      <c r="AD191" t="s">
        <v>139</v>
      </c>
      <c r="AE191" t="s">
        <v>145</v>
      </c>
      <c r="AF191" t="s">
        <v>146</v>
      </c>
      <c r="AG191" t="s">
        <v>895</v>
      </c>
      <c r="AH191" t="s">
        <v>903</v>
      </c>
      <c r="AI191" t="s">
        <v>90</v>
      </c>
      <c r="AJ191">
        <v>32.389521999999999</v>
      </c>
      <c r="AK191">
        <v>-110.710368</v>
      </c>
      <c r="AL191">
        <v>3</v>
      </c>
      <c r="AN191">
        <v>2114</v>
      </c>
      <c r="AP191">
        <v>2114</v>
      </c>
      <c r="AQ191">
        <v>2141.6962279999998</v>
      </c>
      <c r="AT191">
        <v>13</v>
      </c>
      <c r="AU191">
        <v>5</v>
      </c>
      <c r="AV191">
        <v>2022</v>
      </c>
      <c r="AW191">
        <v>4972385</v>
      </c>
      <c r="AX191">
        <v>2437431</v>
      </c>
      <c r="AY191" t="s">
        <v>106</v>
      </c>
      <c r="AZ191" t="s">
        <v>92</v>
      </c>
      <c r="BA191" t="s">
        <v>107</v>
      </c>
      <c r="BB191" t="s">
        <v>910</v>
      </c>
      <c r="BC191" t="s">
        <v>97</v>
      </c>
      <c r="BE191" t="s">
        <v>96</v>
      </c>
      <c r="BG191" t="s">
        <v>654</v>
      </c>
      <c r="BI191" t="s">
        <v>98</v>
      </c>
      <c r="BJ191" t="s">
        <v>911</v>
      </c>
      <c r="BL191" t="s">
        <v>861</v>
      </c>
    </row>
    <row r="192" spans="1:64" hidden="1" x14ac:dyDescent="0.2">
      <c r="A192">
        <v>1353</v>
      </c>
      <c r="B192">
        <v>4022923360</v>
      </c>
      <c r="C192" t="s">
        <v>101</v>
      </c>
      <c r="D192" t="s">
        <v>912</v>
      </c>
      <c r="E192" t="s">
        <v>65</v>
      </c>
      <c r="F192" t="s">
        <v>66</v>
      </c>
      <c r="G192" t="s">
        <v>67</v>
      </c>
      <c r="H192" t="s">
        <v>68</v>
      </c>
      <c r="I192" t="s">
        <v>350</v>
      </c>
      <c r="J192" t="s">
        <v>351</v>
      </c>
      <c r="K192" t="s">
        <v>352</v>
      </c>
      <c r="M192" t="s">
        <v>72</v>
      </c>
      <c r="N192" t="s">
        <v>353</v>
      </c>
      <c r="O192" t="s">
        <v>352</v>
      </c>
      <c r="P192" t="s">
        <v>180</v>
      </c>
      <c r="Q192" t="s">
        <v>75</v>
      </c>
      <c r="R192" t="s">
        <v>814</v>
      </c>
      <c r="S192" t="s">
        <v>887</v>
      </c>
      <c r="T192" t="s">
        <v>78</v>
      </c>
      <c r="U192" t="s">
        <v>646</v>
      </c>
      <c r="V192" t="s">
        <v>80</v>
      </c>
      <c r="W192" s="1">
        <v>44694</v>
      </c>
      <c r="X192" t="s">
        <v>647</v>
      </c>
      <c r="Y192" t="s">
        <v>888</v>
      </c>
      <c r="Z192" t="s">
        <v>83</v>
      </c>
      <c r="AA192">
        <v>1</v>
      </c>
      <c r="AB192" t="s">
        <v>677</v>
      </c>
      <c r="AD192" t="s">
        <v>123</v>
      </c>
      <c r="AE192" t="s">
        <v>145</v>
      </c>
      <c r="AF192" t="s">
        <v>146</v>
      </c>
      <c r="AG192" t="s">
        <v>895</v>
      </c>
      <c r="AH192" t="s">
        <v>903</v>
      </c>
      <c r="AI192" t="s">
        <v>90</v>
      </c>
      <c r="AJ192">
        <v>32.389521999999999</v>
      </c>
      <c r="AK192">
        <v>-110.710368</v>
      </c>
      <c r="AL192">
        <v>3</v>
      </c>
      <c r="AN192">
        <v>2114</v>
      </c>
      <c r="AP192">
        <v>2114</v>
      </c>
      <c r="AQ192">
        <v>2141.6962279999998</v>
      </c>
      <c r="AT192">
        <v>13</v>
      </c>
      <c r="AU192">
        <v>5</v>
      </c>
      <c r="AV192">
        <v>2022</v>
      </c>
      <c r="AW192">
        <v>4972385</v>
      </c>
      <c r="AX192">
        <v>2437431</v>
      </c>
      <c r="AY192" t="s">
        <v>106</v>
      </c>
      <c r="AZ192" t="s">
        <v>92</v>
      </c>
      <c r="BA192" t="s">
        <v>107</v>
      </c>
      <c r="BB192" t="s">
        <v>913</v>
      </c>
      <c r="BC192" t="s">
        <v>97</v>
      </c>
      <c r="BE192" t="s">
        <v>96</v>
      </c>
      <c r="BG192" t="s">
        <v>654</v>
      </c>
      <c r="BI192" t="s">
        <v>98</v>
      </c>
      <c r="BJ192" t="s">
        <v>914</v>
      </c>
      <c r="BL192" t="s">
        <v>861</v>
      </c>
    </row>
    <row r="193" spans="1:64" x14ac:dyDescent="0.2">
      <c r="A193">
        <v>209</v>
      </c>
      <c r="B193">
        <v>4403382431</v>
      </c>
      <c r="C193" t="s">
        <v>101</v>
      </c>
      <c r="D193" t="s">
        <v>553</v>
      </c>
      <c r="E193" t="s">
        <v>65</v>
      </c>
      <c r="F193" t="s">
        <v>66</v>
      </c>
      <c r="G193" t="s">
        <v>67</v>
      </c>
      <c r="H193" t="s">
        <v>68</v>
      </c>
      <c r="I193" t="s">
        <v>176</v>
      </c>
      <c r="J193" t="s">
        <v>177</v>
      </c>
      <c r="K193" t="s">
        <v>178</v>
      </c>
      <c r="M193" t="s">
        <v>72</v>
      </c>
      <c r="N193" t="s">
        <v>179</v>
      </c>
      <c r="O193" t="s">
        <v>178</v>
      </c>
      <c r="P193" t="s">
        <v>180</v>
      </c>
      <c r="Q193" t="s">
        <v>75</v>
      </c>
      <c r="R193" t="s">
        <v>354</v>
      </c>
      <c r="S193" t="s">
        <v>547</v>
      </c>
      <c r="T193" t="s">
        <v>78</v>
      </c>
      <c r="U193" t="s">
        <v>79</v>
      </c>
      <c r="V193" t="s">
        <v>80</v>
      </c>
      <c r="W193" s="1">
        <v>45115</v>
      </c>
      <c r="X193" t="s">
        <v>356</v>
      </c>
      <c r="Y193" t="s">
        <v>548</v>
      </c>
      <c r="Z193" t="s">
        <v>83</v>
      </c>
      <c r="AA193">
        <v>1</v>
      </c>
      <c r="AB193" t="s">
        <v>385</v>
      </c>
      <c r="AC193">
        <v>0</v>
      </c>
      <c r="AD193" t="s">
        <v>119</v>
      </c>
      <c r="AE193" t="s">
        <v>86</v>
      </c>
      <c r="AF193" t="s">
        <v>402</v>
      </c>
      <c r="AG193" t="s">
        <v>550</v>
      </c>
      <c r="AI193" t="s">
        <v>90</v>
      </c>
      <c r="AJ193">
        <v>32.372242</v>
      </c>
      <c r="AK193">
        <v>-110.703131</v>
      </c>
      <c r="AL193">
        <v>3</v>
      </c>
      <c r="AN193">
        <v>1902</v>
      </c>
      <c r="AP193">
        <v>1902</v>
      </c>
      <c r="AQ193">
        <v>1903.442832</v>
      </c>
      <c r="AT193">
        <v>8</v>
      </c>
      <c r="AU193">
        <v>7</v>
      </c>
      <c r="AV193">
        <v>2023</v>
      </c>
      <c r="AW193">
        <v>2438038</v>
      </c>
      <c r="AX193">
        <v>2438038</v>
      </c>
      <c r="AY193" t="s">
        <v>106</v>
      </c>
      <c r="AZ193" t="s">
        <v>92</v>
      </c>
      <c r="BA193" t="s">
        <v>107</v>
      </c>
      <c r="BB193" t="s">
        <v>554</v>
      </c>
      <c r="BC193" t="s">
        <v>95</v>
      </c>
      <c r="BD193" s="1">
        <v>45115</v>
      </c>
      <c r="BE193" t="s">
        <v>96</v>
      </c>
      <c r="BG193" t="s">
        <v>363</v>
      </c>
      <c r="BI193" t="s">
        <v>98</v>
      </c>
      <c r="BJ193" t="s">
        <v>552</v>
      </c>
      <c r="BL193" t="s">
        <v>110</v>
      </c>
    </row>
    <row r="194" spans="1:64" hidden="1" x14ac:dyDescent="0.2">
      <c r="A194">
        <v>1036</v>
      </c>
      <c r="B194">
        <v>4027015394</v>
      </c>
      <c r="C194" t="s">
        <v>101</v>
      </c>
      <c r="D194" t="s">
        <v>927</v>
      </c>
      <c r="E194" t="s">
        <v>65</v>
      </c>
      <c r="F194" t="s">
        <v>66</v>
      </c>
      <c r="G194" t="s">
        <v>67</v>
      </c>
      <c r="H194" t="s">
        <v>68</v>
      </c>
      <c r="I194" t="s">
        <v>176</v>
      </c>
      <c r="J194" t="s">
        <v>177</v>
      </c>
      <c r="K194" t="s">
        <v>178</v>
      </c>
      <c r="M194" t="s">
        <v>72</v>
      </c>
      <c r="N194" t="s">
        <v>179</v>
      </c>
      <c r="O194" t="s">
        <v>178</v>
      </c>
      <c r="P194" t="s">
        <v>180</v>
      </c>
      <c r="Q194" t="s">
        <v>75</v>
      </c>
      <c r="R194" t="s">
        <v>814</v>
      </c>
      <c r="S194" t="s">
        <v>916</v>
      </c>
      <c r="T194" t="s">
        <v>78</v>
      </c>
      <c r="U194" t="s">
        <v>646</v>
      </c>
      <c r="V194" t="s">
        <v>80</v>
      </c>
      <c r="W194" s="1">
        <v>44694</v>
      </c>
      <c r="X194" t="s">
        <v>647</v>
      </c>
      <c r="Y194" t="s">
        <v>917</v>
      </c>
      <c r="Z194" t="s">
        <v>83</v>
      </c>
      <c r="AA194">
        <v>1</v>
      </c>
      <c r="AB194" t="s">
        <v>657</v>
      </c>
      <c r="AD194" t="s">
        <v>343</v>
      </c>
      <c r="AE194" t="s">
        <v>145</v>
      </c>
      <c r="AF194" t="s">
        <v>281</v>
      </c>
      <c r="AG194" t="s">
        <v>923</v>
      </c>
      <c r="AH194" t="s">
        <v>928</v>
      </c>
      <c r="AI194" t="s">
        <v>90</v>
      </c>
      <c r="AJ194">
        <v>32.389854</v>
      </c>
      <c r="AK194">
        <v>-110.71050200000001</v>
      </c>
      <c r="AL194">
        <v>3</v>
      </c>
      <c r="AN194">
        <v>2126</v>
      </c>
      <c r="AP194">
        <v>2126</v>
      </c>
      <c r="AQ194">
        <v>2150.3077269999999</v>
      </c>
      <c r="AT194">
        <v>13</v>
      </c>
      <c r="AU194">
        <v>5</v>
      </c>
      <c r="AV194">
        <v>2022</v>
      </c>
      <c r="AW194">
        <v>2438038</v>
      </c>
      <c r="AX194">
        <v>2438038</v>
      </c>
      <c r="AY194" t="s">
        <v>106</v>
      </c>
      <c r="AZ194" t="s">
        <v>92</v>
      </c>
      <c r="BA194" t="s">
        <v>107</v>
      </c>
      <c r="BB194" t="s">
        <v>929</v>
      </c>
      <c r="BC194" t="s">
        <v>97</v>
      </c>
      <c r="BE194" t="s">
        <v>96</v>
      </c>
      <c r="BG194" t="s">
        <v>654</v>
      </c>
      <c r="BI194" t="s">
        <v>98</v>
      </c>
      <c r="BJ194" t="s">
        <v>930</v>
      </c>
      <c r="BL194" t="s">
        <v>412</v>
      </c>
    </row>
    <row r="195" spans="1:64" hidden="1" x14ac:dyDescent="0.2">
      <c r="A195">
        <v>1033</v>
      </c>
      <c r="B195">
        <v>4027015397</v>
      </c>
      <c r="C195" t="s">
        <v>101</v>
      </c>
      <c r="D195" t="s">
        <v>931</v>
      </c>
      <c r="E195" t="s">
        <v>65</v>
      </c>
      <c r="F195" t="s">
        <v>66</v>
      </c>
      <c r="G195" t="s">
        <v>67</v>
      </c>
      <c r="H195" t="s">
        <v>68</v>
      </c>
      <c r="I195" t="s">
        <v>176</v>
      </c>
      <c r="J195" t="s">
        <v>177</v>
      </c>
      <c r="K195" t="s">
        <v>178</v>
      </c>
      <c r="M195" t="s">
        <v>72</v>
      </c>
      <c r="N195" t="s">
        <v>179</v>
      </c>
      <c r="O195" t="s">
        <v>178</v>
      </c>
      <c r="P195" t="s">
        <v>180</v>
      </c>
      <c r="Q195" t="s">
        <v>75</v>
      </c>
      <c r="R195" t="s">
        <v>814</v>
      </c>
      <c r="S195" t="s">
        <v>916</v>
      </c>
      <c r="T195" t="s">
        <v>78</v>
      </c>
      <c r="U195" t="s">
        <v>646</v>
      </c>
      <c r="V195" t="s">
        <v>80</v>
      </c>
      <c r="W195" s="1">
        <v>44694</v>
      </c>
      <c r="X195" t="s">
        <v>647</v>
      </c>
      <c r="Y195" t="s">
        <v>917</v>
      </c>
      <c r="Z195" t="s">
        <v>83</v>
      </c>
      <c r="AA195">
        <v>1</v>
      </c>
      <c r="AB195" t="s">
        <v>657</v>
      </c>
      <c r="AD195" t="s">
        <v>112</v>
      </c>
      <c r="AE195" t="s">
        <v>145</v>
      </c>
      <c r="AF195" t="s">
        <v>281</v>
      </c>
      <c r="AG195" t="s">
        <v>923</v>
      </c>
      <c r="AH195" t="s">
        <v>928</v>
      </c>
      <c r="AI195" t="s">
        <v>90</v>
      </c>
      <c r="AJ195">
        <v>32.389854</v>
      </c>
      <c r="AK195">
        <v>-110.71050200000001</v>
      </c>
      <c r="AL195">
        <v>3</v>
      </c>
      <c r="AN195">
        <v>2126</v>
      </c>
      <c r="AP195">
        <v>2126</v>
      </c>
      <c r="AQ195">
        <v>2150.3077269999999</v>
      </c>
      <c r="AT195">
        <v>13</v>
      </c>
      <c r="AU195">
        <v>5</v>
      </c>
      <c r="AV195">
        <v>2022</v>
      </c>
      <c r="AW195">
        <v>2438038</v>
      </c>
      <c r="AX195">
        <v>2438038</v>
      </c>
      <c r="AY195" t="s">
        <v>106</v>
      </c>
      <c r="AZ195" t="s">
        <v>92</v>
      </c>
      <c r="BA195" t="s">
        <v>107</v>
      </c>
      <c r="BB195" t="s">
        <v>932</v>
      </c>
      <c r="BC195" t="s">
        <v>97</v>
      </c>
      <c r="BE195" t="s">
        <v>96</v>
      </c>
      <c r="BG195" t="s">
        <v>654</v>
      </c>
      <c r="BI195" t="s">
        <v>98</v>
      </c>
      <c r="BJ195" t="s">
        <v>933</v>
      </c>
      <c r="BL195" t="s">
        <v>412</v>
      </c>
    </row>
    <row r="196" spans="1:64" hidden="1" x14ac:dyDescent="0.2">
      <c r="A196">
        <v>1028</v>
      </c>
      <c r="B196">
        <v>4027015402</v>
      </c>
      <c r="C196" t="s">
        <v>101</v>
      </c>
      <c r="D196" t="s">
        <v>934</v>
      </c>
      <c r="E196" t="s">
        <v>65</v>
      </c>
      <c r="F196" t="s">
        <v>66</v>
      </c>
      <c r="G196" t="s">
        <v>67</v>
      </c>
      <c r="H196" t="s">
        <v>68</v>
      </c>
      <c r="I196" t="s">
        <v>176</v>
      </c>
      <c r="J196" t="s">
        <v>177</v>
      </c>
      <c r="K196" t="s">
        <v>178</v>
      </c>
      <c r="M196" t="s">
        <v>72</v>
      </c>
      <c r="N196" t="s">
        <v>179</v>
      </c>
      <c r="O196" t="s">
        <v>178</v>
      </c>
      <c r="P196" t="s">
        <v>180</v>
      </c>
      <c r="Q196" t="s">
        <v>75</v>
      </c>
      <c r="R196" t="s">
        <v>814</v>
      </c>
      <c r="S196" t="s">
        <v>916</v>
      </c>
      <c r="T196" t="s">
        <v>78</v>
      </c>
      <c r="U196" t="s">
        <v>646</v>
      </c>
      <c r="V196" t="s">
        <v>80</v>
      </c>
      <c r="W196" s="1">
        <v>44694</v>
      </c>
      <c r="X196" t="s">
        <v>647</v>
      </c>
      <c r="Y196" t="s">
        <v>917</v>
      </c>
      <c r="Z196" t="s">
        <v>83</v>
      </c>
      <c r="AA196">
        <v>1</v>
      </c>
      <c r="AB196" t="s">
        <v>657</v>
      </c>
      <c r="AD196" t="s">
        <v>116</v>
      </c>
      <c r="AE196" t="s">
        <v>145</v>
      </c>
      <c r="AF196" t="s">
        <v>281</v>
      </c>
      <c r="AG196" t="s">
        <v>923</v>
      </c>
      <c r="AH196" t="s">
        <v>928</v>
      </c>
      <c r="AI196" t="s">
        <v>90</v>
      </c>
      <c r="AJ196">
        <v>32.389854</v>
      </c>
      <c r="AK196">
        <v>-110.71050200000001</v>
      </c>
      <c r="AL196">
        <v>3</v>
      </c>
      <c r="AN196">
        <v>2126</v>
      </c>
      <c r="AP196">
        <v>2126</v>
      </c>
      <c r="AQ196">
        <v>2150.3077269999999</v>
      </c>
      <c r="AT196">
        <v>13</v>
      </c>
      <c r="AU196">
        <v>5</v>
      </c>
      <c r="AV196">
        <v>2022</v>
      </c>
      <c r="AW196">
        <v>2438038</v>
      </c>
      <c r="AX196">
        <v>2438038</v>
      </c>
      <c r="AY196" t="s">
        <v>106</v>
      </c>
      <c r="AZ196" t="s">
        <v>92</v>
      </c>
      <c r="BA196" t="s">
        <v>107</v>
      </c>
      <c r="BB196" t="s">
        <v>935</v>
      </c>
      <c r="BC196" t="s">
        <v>97</v>
      </c>
      <c r="BE196" t="s">
        <v>96</v>
      </c>
      <c r="BG196" t="s">
        <v>654</v>
      </c>
      <c r="BI196" t="s">
        <v>98</v>
      </c>
      <c r="BJ196" t="s">
        <v>936</v>
      </c>
      <c r="BL196" t="s">
        <v>412</v>
      </c>
    </row>
    <row r="197" spans="1:64" hidden="1" x14ac:dyDescent="0.2">
      <c r="A197">
        <v>1026</v>
      </c>
      <c r="B197">
        <v>4027015404</v>
      </c>
      <c r="C197" t="s">
        <v>101</v>
      </c>
      <c r="D197" t="s">
        <v>937</v>
      </c>
      <c r="E197" t="s">
        <v>65</v>
      </c>
      <c r="F197" t="s">
        <v>66</v>
      </c>
      <c r="G197" t="s">
        <v>67</v>
      </c>
      <c r="H197" t="s">
        <v>68</v>
      </c>
      <c r="I197" t="s">
        <v>176</v>
      </c>
      <c r="J197" t="s">
        <v>177</v>
      </c>
      <c r="K197" t="s">
        <v>178</v>
      </c>
      <c r="M197" t="s">
        <v>72</v>
      </c>
      <c r="N197" t="s">
        <v>179</v>
      </c>
      <c r="O197" t="s">
        <v>178</v>
      </c>
      <c r="P197" t="s">
        <v>180</v>
      </c>
      <c r="Q197" t="s">
        <v>75</v>
      </c>
      <c r="R197" t="s">
        <v>814</v>
      </c>
      <c r="S197" t="s">
        <v>916</v>
      </c>
      <c r="T197" t="s">
        <v>78</v>
      </c>
      <c r="U197" t="s">
        <v>646</v>
      </c>
      <c r="V197" t="s">
        <v>80</v>
      </c>
      <c r="W197" s="1">
        <v>44694</v>
      </c>
      <c r="X197" t="s">
        <v>647</v>
      </c>
      <c r="Y197" t="s">
        <v>917</v>
      </c>
      <c r="Z197" t="s">
        <v>83</v>
      </c>
      <c r="AA197">
        <v>1</v>
      </c>
      <c r="AB197" t="s">
        <v>657</v>
      </c>
      <c r="AD197" t="s">
        <v>104</v>
      </c>
      <c r="AE197" t="s">
        <v>145</v>
      </c>
      <c r="AF197" t="s">
        <v>281</v>
      </c>
      <c r="AG197" t="s">
        <v>923</v>
      </c>
      <c r="AH197" t="s">
        <v>928</v>
      </c>
      <c r="AI197" t="s">
        <v>90</v>
      </c>
      <c r="AJ197">
        <v>32.389854</v>
      </c>
      <c r="AK197">
        <v>-110.71050200000001</v>
      </c>
      <c r="AL197">
        <v>3</v>
      </c>
      <c r="AN197">
        <v>2126</v>
      </c>
      <c r="AP197">
        <v>2126</v>
      </c>
      <c r="AQ197">
        <v>2150.3077269999999</v>
      </c>
      <c r="AT197">
        <v>13</v>
      </c>
      <c r="AU197">
        <v>5</v>
      </c>
      <c r="AV197">
        <v>2022</v>
      </c>
      <c r="AW197">
        <v>2438038</v>
      </c>
      <c r="AX197">
        <v>2438038</v>
      </c>
      <c r="AY197" t="s">
        <v>106</v>
      </c>
      <c r="AZ197" t="s">
        <v>92</v>
      </c>
      <c r="BA197" t="s">
        <v>107</v>
      </c>
      <c r="BB197" t="s">
        <v>938</v>
      </c>
      <c r="BC197" t="s">
        <v>97</v>
      </c>
      <c r="BE197" t="s">
        <v>96</v>
      </c>
      <c r="BG197" t="s">
        <v>654</v>
      </c>
      <c r="BI197" t="s">
        <v>98</v>
      </c>
      <c r="BJ197" t="s">
        <v>939</v>
      </c>
      <c r="BL197" t="s">
        <v>412</v>
      </c>
    </row>
    <row r="198" spans="1:64" hidden="1" x14ac:dyDescent="0.2">
      <c r="A198">
        <v>1094</v>
      </c>
      <c r="B198">
        <v>4027015336</v>
      </c>
      <c r="C198" t="s">
        <v>101</v>
      </c>
      <c r="D198" t="s">
        <v>940</v>
      </c>
      <c r="E198" t="s">
        <v>65</v>
      </c>
      <c r="F198" t="s">
        <v>66</v>
      </c>
      <c r="G198" t="s">
        <v>67</v>
      </c>
      <c r="H198" t="s">
        <v>68</v>
      </c>
      <c r="I198" t="s">
        <v>176</v>
      </c>
      <c r="J198" t="s">
        <v>177</v>
      </c>
      <c r="K198" t="s">
        <v>178</v>
      </c>
      <c r="M198" t="s">
        <v>72</v>
      </c>
      <c r="N198" t="s">
        <v>179</v>
      </c>
      <c r="O198" t="s">
        <v>178</v>
      </c>
      <c r="P198" t="s">
        <v>180</v>
      </c>
      <c r="Q198" t="s">
        <v>75</v>
      </c>
      <c r="R198" t="s">
        <v>814</v>
      </c>
      <c r="S198" t="s">
        <v>916</v>
      </c>
      <c r="T198" t="s">
        <v>78</v>
      </c>
      <c r="U198" t="s">
        <v>646</v>
      </c>
      <c r="V198" t="s">
        <v>80</v>
      </c>
      <c r="W198" s="1">
        <v>44694</v>
      </c>
      <c r="X198" t="s">
        <v>647</v>
      </c>
      <c r="Y198" t="s">
        <v>917</v>
      </c>
      <c r="Z198" t="s">
        <v>83</v>
      </c>
      <c r="AA198">
        <v>1</v>
      </c>
      <c r="AB198" t="s">
        <v>672</v>
      </c>
      <c r="AD198" t="s">
        <v>134</v>
      </c>
      <c r="AE198" t="s">
        <v>145</v>
      </c>
      <c r="AF198" t="s">
        <v>281</v>
      </c>
      <c r="AG198" t="s">
        <v>923</v>
      </c>
      <c r="AH198" t="s">
        <v>941</v>
      </c>
      <c r="AI198" t="s">
        <v>90</v>
      </c>
      <c r="AJ198">
        <v>32.389854</v>
      </c>
      <c r="AK198">
        <v>-110.71050200000001</v>
      </c>
      <c r="AL198">
        <v>3</v>
      </c>
      <c r="AN198">
        <v>2126</v>
      </c>
      <c r="AP198">
        <v>2126</v>
      </c>
      <c r="AQ198">
        <v>2150.3077269999999</v>
      </c>
      <c r="AT198">
        <v>13</v>
      </c>
      <c r="AU198">
        <v>5</v>
      </c>
      <c r="AV198">
        <v>2022</v>
      </c>
      <c r="AW198">
        <v>2438038</v>
      </c>
      <c r="AX198">
        <v>2438038</v>
      </c>
      <c r="AY198" t="s">
        <v>106</v>
      </c>
      <c r="AZ198" t="s">
        <v>92</v>
      </c>
      <c r="BA198" t="s">
        <v>107</v>
      </c>
      <c r="BB198" t="s">
        <v>942</v>
      </c>
      <c r="BC198" t="s">
        <v>97</v>
      </c>
      <c r="BE198" t="s">
        <v>96</v>
      </c>
      <c r="BG198" t="s">
        <v>654</v>
      </c>
      <c r="BI198" t="s">
        <v>98</v>
      </c>
      <c r="BJ198" t="s">
        <v>943</v>
      </c>
      <c r="BL198" t="s">
        <v>412</v>
      </c>
    </row>
    <row r="199" spans="1:64" hidden="1" x14ac:dyDescent="0.2">
      <c r="A199">
        <v>973</v>
      </c>
      <c r="B199">
        <v>4027015457</v>
      </c>
      <c r="C199" t="s">
        <v>101</v>
      </c>
      <c r="D199" t="s">
        <v>1038</v>
      </c>
      <c r="E199" t="s">
        <v>65</v>
      </c>
      <c r="F199" t="s">
        <v>66</v>
      </c>
      <c r="G199" t="s">
        <v>67</v>
      </c>
      <c r="H199" t="s">
        <v>68</v>
      </c>
      <c r="I199" t="s">
        <v>350</v>
      </c>
      <c r="J199" t="s">
        <v>351</v>
      </c>
      <c r="K199" t="s">
        <v>352</v>
      </c>
      <c r="M199" t="s">
        <v>72</v>
      </c>
      <c r="N199" t="s">
        <v>353</v>
      </c>
      <c r="O199" t="s">
        <v>352</v>
      </c>
      <c r="P199" t="s">
        <v>180</v>
      </c>
      <c r="Q199" t="s">
        <v>75</v>
      </c>
      <c r="R199" t="s">
        <v>977</v>
      </c>
      <c r="S199" t="s">
        <v>1039</v>
      </c>
      <c r="T199" t="s">
        <v>78</v>
      </c>
      <c r="U199" t="s">
        <v>646</v>
      </c>
      <c r="V199" t="s">
        <v>80</v>
      </c>
      <c r="W199" s="1">
        <v>44694</v>
      </c>
      <c r="X199" t="s">
        <v>647</v>
      </c>
      <c r="Y199" t="s">
        <v>1040</v>
      </c>
      <c r="Z199" t="s">
        <v>83</v>
      </c>
      <c r="AA199">
        <v>1</v>
      </c>
      <c r="AB199" t="s">
        <v>677</v>
      </c>
      <c r="AC199">
        <v>0</v>
      </c>
      <c r="AD199" t="s">
        <v>128</v>
      </c>
      <c r="AE199" t="s">
        <v>86</v>
      </c>
      <c r="AF199" t="s">
        <v>146</v>
      </c>
      <c r="AG199" t="s">
        <v>1034</v>
      </c>
      <c r="AI199" t="s">
        <v>90</v>
      </c>
      <c r="AJ199">
        <v>32.389972</v>
      </c>
      <c r="AK199">
        <v>-110.70771000000001</v>
      </c>
      <c r="AN199">
        <v>2118</v>
      </c>
      <c r="AP199">
        <v>2118</v>
      </c>
      <c r="AQ199">
        <v>2146.1173960000001</v>
      </c>
      <c r="AT199">
        <v>13</v>
      </c>
      <c r="AU199">
        <v>5</v>
      </c>
      <c r="AV199">
        <v>2022</v>
      </c>
      <c r="AW199">
        <v>4972385</v>
      </c>
      <c r="AX199">
        <v>2437431</v>
      </c>
      <c r="AY199" t="s">
        <v>106</v>
      </c>
      <c r="AZ199" t="s">
        <v>92</v>
      </c>
      <c r="BA199" t="s">
        <v>107</v>
      </c>
      <c r="BB199" t="s">
        <v>1041</v>
      </c>
      <c r="BC199" t="s">
        <v>97</v>
      </c>
      <c r="BE199" t="s">
        <v>96</v>
      </c>
      <c r="BG199" t="s">
        <v>654</v>
      </c>
      <c r="BI199" t="s">
        <v>98</v>
      </c>
      <c r="BJ199" t="s">
        <v>1011</v>
      </c>
      <c r="BL199" t="s">
        <v>110</v>
      </c>
    </row>
    <row r="200" spans="1:64" hidden="1" x14ac:dyDescent="0.2">
      <c r="A200">
        <v>1284</v>
      </c>
      <c r="B200">
        <v>4022923429</v>
      </c>
      <c r="C200" t="s">
        <v>101</v>
      </c>
      <c r="D200" t="s">
        <v>947</v>
      </c>
      <c r="E200" t="s">
        <v>65</v>
      </c>
      <c r="F200" t="s">
        <v>66</v>
      </c>
      <c r="G200" t="s">
        <v>67</v>
      </c>
      <c r="H200" t="s">
        <v>68</v>
      </c>
      <c r="I200" t="s">
        <v>176</v>
      </c>
      <c r="J200" t="s">
        <v>177</v>
      </c>
      <c r="K200" t="s">
        <v>178</v>
      </c>
      <c r="M200" t="s">
        <v>72</v>
      </c>
      <c r="N200" t="s">
        <v>179</v>
      </c>
      <c r="O200" t="s">
        <v>178</v>
      </c>
      <c r="P200" t="s">
        <v>180</v>
      </c>
      <c r="Q200" t="s">
        <v>75</v>
      </c>
      <c r="R200" t="s">
        <v>814</v>
      </c>
      <c r="S200" t="s">
        <v>916</v>
      </c>
      <c r="T200" t="s">
        <v>78</v>
      </c>
      <c r="U200" t="s">
        <v>646</v>
      </c>
      <c r="V200" t="s">
        <v>80</v>
      </c>
      <c r="W200" s="1">
        <v>44694</v>
      </c>
      <c r="X200" t="s">
        <v>647</v>
      </c>
      <c r="Y200" t="s">
        <v>917</v>
      </c>
      <c r="Z200" t="s">
        <v>83</v>
      </c>
      <c r="AA200">
        <v>1</v>
      </c>
      <c r="AB200" t="s">
        <v>677</v>
      </c>
      <c r="AD200" t="s">
        <v>139</v>
      </c>
      <c r="AE200" t="s">
        <v>145</v>
      </c>
      <c r="AF200" t="s">
        <v>281</v>
      </c>
      <c r="AG200" t="s">
        <v>923</v>
      </c>
      <c r="AH200" t="s">
        <v>928</v>
      </c>
      <c r="AI200" t="s">
        <v>90</v>
      </c>
      <c r="AJ200">
        <v>32.389854</v>
      </c>
      <c r="AK200">
        <v>-110.71050200000001</v>
      </c>
      <c r="AL200">
        <v>3</v>
      </c>
      <c r="AN200">
        <v>2126</v>
      </c>
      <c r="AP200">
        <v>2126</v>
      </c>
      <c r="AQ200">
        <v>2150.3077269999999</v>
      </c>
      <c r="AT200">
        <v>13</v>
      </c>
      <c r="AU200">
        <v>5</v>
      </c>
      <c r="AV200">
        <v>2022</v>
      </c>
      <c r="AW200">
        <v>2438038</v>
      </c>
      <c r="AX200">
        <v>2438038</v>
      </c>
      <c r="AY200" t="s">
        <v>106</v>
      </c>
      <c r="AZ200" t="s">
        <v>92</v>
      </c>
      <c r="BA200" t="s">
        <v>107</v>
      </c>
      <c r="BB200" t="s">
        <v>948</v>
      </c>
      <c r="BC200" t="s">
        <v>97</v>
      </c>
      <c r="BE200" t="s">
        <v>96</v>
      </c>
      <c r="BG200" t="s">
        <v>654</v>
      </c>
      <c r="BI200" t="s">
        <v>98</v>
      </c>
      <c r="BJ200" t="s">
        <v>949</v>
      </c>
      <c r="BL200" t="s">
        <v>861</v>
      </c>
    </row>
    <row r="201" spans="1:64" hidden="1" x14ac:dyDescent="0.2">
      <c r="A201">
        <v>1281</v>
      </c>
      <c r="B201">
        <v>4022923432</v>
      </c>
      <c r="C201" t="s">
        <v>101</v>
      </c>
      <c r="D201" t="s">
        <v>950</v>
      </c>
      <c r="E201" t="s">
        <v>65</v>
      </c>
      <c r="F201" t="s">
        <v>66</v>
      </c>
      <c r="G201" t="s">
        <v>67</v>
      </c>
      <c r="H201" t="s">
        <v>68</v>
      </c>
      <c r="I201" t="s">
        <v>176</v>
      </c>
      <c r="J201" t="s">
        <v>177</v>
      </c>
      <c r="K201" t="s">
        <v>178</v>
      </c>
      <c r="M201" t="s">
        <v>72</v>
      </c>
      <c r="N201" t="s">
        <v>179</v>
      </c>
      <c r="O201" t="s">
        <v>178</v>
      </c>
      <c r="P201" t="s">
        <v>180</v>
      </c>
      <c r="Q201" t="s">
        <v>75</v>
      </c>
      <c r="R201" t="s">
        <v>814</v>
      </c>
      <c r="S201" t="s">
        <v>916</v>
      </c>
      <c r="T201" t="s">
        <v>78</v>
      </c>
      <c r="U201" t="s">
        <v>646</v>
      </c>
      <c r="V201" t="s">
        <v>80</v>
      </c>
      <c r="W201" s="1">
        <v>44694</v>
      </c>
      <c r="X201" t="s">
        <v>647</v>
      </c>
      <c r="Y201" t="s">
        <v>917</v>
      </c>
      <c r="Z201" t="s">
        <v>83</v>
      </c>
      <c r="AA201">
        <v>1</v>
      </c>
      <c r="AB201" t="s">
        <v>677</v>
      </c>
      <c r="AD201" t="s">
        <v>123</v>
      </c>
      <c r="AE201" t="s">
        <v>145</v>
      </c>
      <c r="AF201" t="s">
        <v>281</v>
      </c>
      <c r="AG201" t="s">
        <v>923</v>
      </c>
      <c r="AH201" t="s">
        <v>928</v>
      </c>
      <c r="AI201" t="s">
        <v>90</v>
      </c>
      <c r="AJ201">
        <v>32.389854</v>
      </c>
      <c r="AK201">
        <v>-110.71050200000001</v>
      </c>
      <c r="AL201">
        <v>3</v>
      </c>
      <c r="AN201">
        <v>2126</v>
      </c>
      <c r="AP201">
        <v>2126</v>
      </c>
      <c r="AQ201">
        <v>2150.3077269999999</v>
      </c>
      <c r="AT201">
        <v>13</v>
      </c>
      <c r="AU201">
        <v>5</v>
      </c>
      <c r="AV201">
        <v>2022</v>
      </c>
      <c r="AW201">
        <v>2438038</v>
      </c>
      <c r="AX201">
        <v>2438038</v>
      </c>
      <c r="AY201" t="s">
        <v>106</v>
      </c>
      <c r="AZ201" t="s">
        <v>92</v>
      </c>
      <c r="BA201" t="s">
        <v>107</v>
      </c>
      <c r="BB201" t="s">
        <v>951</v>
      </c>
      <c r="BC201" t="s">
        <v>97</v>
      </c>
      <c r="BE201" t="s">
        <v>96</v>
      </c>
      <c r="BG201" t="s">
        <v>654</v>
      </c>
      <c r="BI201" t="s">
        <v>98</v>
      </c>
      <c r="BJ201" t="s">
        <v>949</v>
      </c>
      <c r="BL201" t="s">
        <v>861</v>
      </c>
    </row>
    <row r="202" spans="1:64" hidden="1" x14ac:dyDescent="0.2">
      <c r="A202">
        <v>1011</v>
      </c>
      <c r="B202">
        <v>4027015419</v>
      </c>
      <c r="C202" t="s">
        <v>101</v>
      </c>
      <c r="D202" t="s">
        <v>1065</v>
      </c>
      <c r="E202" t="s">
        <v>65</v>
      </c>
      <c r="F202" t="s">
        <v>66</v>
      </c>
      <c r="G202" t="s">
        <v>67</v>
      </c>
      <c r="H202" t="s">
        <v>68</v>
      </c>
      <c r="I202" t="s">
        <v>350</v>
      </c>
      <c r="J202" t="s">
        <v>351</v>
      </c>
      <c r="K202" t="s">
        <v>352</v>
      </c>
      <c r="M202" t="s">
        <v>72</v>
      </c>
      <c r="N202" t="s">
        <v>353</v>
      </c>
      <c r="O202" t="s">
        <v>352</v>
      </c>
      <c r="P202" t="s">
        <v>180</v>
      </c>
      <c r="Q202" t="s">
        <v>75</v>
      </c>
      <c r="R202" t="s">
        <v>977</v>
      </c>
      <c r="S202" t="s">
        <v>1066</v>
      </c>
      <c r="T202" t="s">
        <v>78</v>
      </c>
      <c r="U202" t="s">
        <v>646</v>
      </c>
      <c r="V202" t="s">
        <v>80</v>
      </c>
      <c r="W202" s="1">
        <v>44694</v>
      </c>
      <c r="X202" t="s">
        <v>647</v>
      </c>
      <c r="Y202" t="s">
        <v>1067</v>
      </c>
      <c r="Z202" t="s">
        <v>83</v>
      </c>
      <c r="AA202">
        <v>1</v>
      </c>
      <c r="AB202" t="s">
        <v>677</v>
      </c>
      <c r="AC202">
        <v>0</v>
      </c>
      <c r="AD202" t="s">
        <v>128</v>
      </c>
      <c r="AE202" t="s">
        <v>145</v>
      </c>
      <c r="AF202" t="s">
        <v>146</v>
      </c>
      <c r="AG202" t="s">
        <v>765</v>
      </c>
      <c r="AI202" t="s">
        <v>90</v>
      </c>
      <c r="AJ202">
        <v>32.389420000000001</v>
      </c>
      <c r="AK202">
        <v>-110.708095</v>
      </c>
      <c r="AN202">
        <v>2117</v>
      </c>
      <c r="AP202">
        <v>2117</v>
      </c>
      <c r="AQ202">
        <v>2148.5174910000001</v>
      </c>
      <c r="AT202">
        <v>13</v>
      </c>
      <c r="AU202">
        <v>5</v>
      </c>
      <c r="AV202">
        <v>2022</v>
      </c>
      <c r="AW202">
        <v>4972385</v>
      </c>
      <c r="AX202">
        <v>2437431</v>
      </c>
      <c r="AY202" t="s">
        <v>106</v>
      </c>
      <c r="AZ202" t="s">
        <v>92</v>
      </c>
      <c r="BA202" t="s">
        <v>107</v>
      </c>
      <c r="BB202" t="s">
        <v>1068</v>
      </c>
      <c r="BC202" t="s">
        <v>97</v>
      </c>
      <c r="BE202" t="s">
        <v>96</v>
      </c>
      <c r="BG202" t="s">
        <v>654</v>
      </c>
      <c r="BI202" t="s">
        <v>98</v>
      </c>
      <c r="BJ202" t="s">
        <v>939</v>
      </c>
      <c r="BL202" t="s">
        <v>412</v>
      </c>
    </row>
    <row r="203" spans="1:64" hidden="1" x14ac:dyDescent="0.2">
      <c r="A203">
        <v>1088</v>
      </c>
      <c r="B203">
        <v>4027015342</v>
      </c>
      <c r="C203" t="s">
        <v>101</v>
      </c>
      <c r="D203" t="s">
        <v>958</v>
      </c>
      <c r="E203" t="s">
        <v>65</v>
      </c>
      <c r="F203" t="s">
        <v>66</v>
      </c>
      <c r="G203" t="s">
        <v>67</v>
      </c>
      <c r="H203" t="s">
        <v>68</v>
      </c>
      <c r="I203" t="s">
        <v>350</v>
      </c>
      <c r="J203" t="s">
        <v>351</v>
      </c>
      <c r="K203" t="s">
        <v>352</v>
      </c>
      <c r="M203" t="s">
        <v>72</v>
      </c>
      <c r="N203" t="s">
        <v>353</v>
      </c>
      <c r="O203" t="s">
        <v>352</v>
      </c>
      <c r="P203" t="s">
        <v>180</v>
      </c>
      <c r="Q203" t="s">
        <v>75</v>
      </c>
      <c r="R203" t="s">
        <v>814</v>
      </c>
      <c r="S203" t="s">
        <v>953</v>
      </c>
      <c r="T203" t="s">
        <v>78</v>
      </c>
      <c r="U203" t="s">
        <v>646</v>
      </c>
      <c r="V203" t="s">
        <v>80</v>
      </c>
      <c r="W203" s="1">
        <v>44694</v>
      </c>
      <c r="X203" t="s">
        <v>647</v>
      </c>
      <c r="Y203" t="s">
        <v>954</v>
      </c>
      <c r="Z203" t="s">
        <v>83</v>
      </c>
      <c r="AA203">
        <v>1</v>
      </c>
      <c r="AB203" t="s">
        <v>657</v>
      </c>
      <c r="AD203" t="s">
        <v>343</v>
      </c>
      <c r="AE203" t="s">
        <v>86</v>
      </c>
      <c r="AF203" t="s">
        <v>146</v>
      </c>
      <c r="AG203" t="s">
        <v>955</v>
      </c>
      <c r="AI203" t="s">
        <v>90</v>
      </c>
      <c r="AJ203">
        <v>32.389961</v>
      </c>
      <c r="AK203">
        <v>-110.710493</v>
      </c>
      <c r="AL203">
        <v>3</v>
      </c>
      <c r="AN203">
        <v>2128</v>
      </c>
      <c r="AP203">
        <v>2128</v>
      </c>
      <c r="AQ203">
        <v>2150.6703619999998</v>
      </c>
      <c r="AT203">
        <v>13</v>
      </c>
      <c r="AU203">
        <v>5</v>
      </c>
      <c r="AV203">
        <v>2022</v>
      </c>
      <c r="AW203">
        <v>4972385</v>
      </c>
      <c r="AX203">
        <v>2437431</v>
      </c>
      <c r="AY203" t="s">
        <v>106</v>
      </c>
      <c r="AZ203" t="s">
        <v>92</v>
      </c>
      <c r="BA203" t="s">
        <v>107</v>
      </c>
      <c r="BB203" t="s">
        <v>959</v>
      </c>
      <c r="BC203" t="s">
        <v>97</v>
      </c>
      <c r="BE203" t="s">
        <v>96</v>
      </c>
      <c r="BG203" t="s">
        <v>654</v>
      </c>
      <c r="BI203" t="s">
        <v>98</v>
      </c>
      <c r="BJ203" t="s">
        <v>939</v>
      </c>
      <c r="BL203" t="s">
        <v>412</v>
      </c>
    </row>
    <row r="204" spans="1:64" hidden="1" x14ac:dyDescent="0.2">
      <c r="A204">
        <v>1006</v>
      </c>
      <c r="B204">
        <v>4027015424</v>
      </c>
      <c r="C204" t="s">
        <v>101</v>
      </c>
      <c r="D204" t="s">
        <v>1082</v>
      </c>
      <c r="E204" t="s">
        <v>65</v>
      </c>
      <c r="F204" t="s">
        <v>66</v>
      </c>
      <c r="G204" t="s">
        <v>67</v>
      </c>
      <c r="H204" t="s">
        <v>68</v>
      </c>
      <c r="I204" t="s">
        <v>350</v>
      </c>
      <c r="J204" t="s">
        <v>351</v>
      </c>
      <c r="K204" t="s">
        <v>352</v>
      </c>
      <c r="M204" t="s">
        <v>72</v>
      </c>
      <c r="N204" t="s">
        <v>353</v>
      </c>
      <c r="O204" t="s">
        <v>352</v>
      </c>
      <c r="P204" t="s">
        <v>180</v>
      </c>
      <c r="Q204" t="s">
        <v>75</v>
      </c>
      <c r="R204" t="s">
        <v>814</v>
      </c>
      <c r="S204" t="s">
        <v>1083</v>
      </c>
      <c r="T204" t="s">
        <v>78</v>
      </c>
      <c r="U204" t="s">
        <v>646</v>
      </c>
      <c r="V204" t="s">
        <v>80</v>
      </c>
      <c r="W204" s="1">
        <v>44695</v>
      </c>
      <c r="X204" t="s">
        <v>647</v>
      </c>
      <c r="Y204" t="s">
        <v>1084</v>
      </c>
      <c r="Z204" t="s">
        <v>83</v>
      </c>
      <c r="AA204">
        <v>1</v>
      </c>
      <c r="AB204" t="s">
        <v>677</v>
      </c>
      <c r="AC204">
        <v>0</v>
      </c>
      <c r="AD204" t="s">
        <v>128</v>
      </c>
      <c r="AE204" t="s">
        <v>145</v>
      </c>
      <c r="AF204" t="s">
        <v>146</v>
      </c>
      <c r="AG204" t="s">
        <v>765</v>
      </c>
      <c r="AI204" t="s">
        <v>90</v>
      </c>
      <c r="AJ204">
        <v>32.389046999999998</v>
      </c>
      <c r="AK204">
        <v>-110.71096199999999</v>
      </c>
      <c r="AL204">
        <v>3</v>
      </c>
      <c r="AN204">
        <v>2137</v>
      </c>
      <c r="AP204">
        <v>2137</v>
      </c>
      <c r="AQ204">
        <v>2151.2879440000002</v>
      </c>
      <c r="AT204">
        <v>14</v>
      </c>
      <c r="AU204">
        <v>5</v>
      </c>
      <c r="AV204">
        <v>2022</v>
      </c>
      <c r="AW204">
        <v>4972385</v>
      </c>
      <c r="AX204">
        <v>2437431</v>
      </c>
      <c r="AY204" t="s">
        <v>106</v>
      </c>
      <c r="AZ204" t="s">
        <v>92</v>
      </c>
      <c r="BA204" t="s">
        <v>107</v>
      </c>
      <c r="BB204" t="s">
        <v>1085</v>
      </c>
      <c r="BC204" t="s">
        <v>97</v>
      </c>
      <c r="BE204" t="s">
        <v>96</v>
      </c>
      <c r="BG204" t="s">
        <v>1081</v>
      </c>
      <c r="BI204" t="s">
        <v>98</v>
      </c>
      <c r="BJ204" t="s">
        <v>327</v>
      </c>
      <c r="BL204" t="s">
        <v>412</v>
      </c>
    </row>
    <row r="205" spans="1:64" hidden="1" x14ac:dyDescent="0.2">
      <c r="A205">
        <v>1084</v>
      </c>
      <c r="B205">
        <v>4027015346</v>
      </c>
      <c r="C205" t="s">
        <v>101</v>
      </c>
      <c r="D205" t="s">
        <v>964</v>
      </c>
      <c r="E205" t="s">
        <v>65</v>
      </c>
      <c r="F205" t="s">
        <v>66</v>
      </c>
      <c r="G205" t="s">
        <v>67</v>
      </c>
      <c r="H205" t="s">
        <v>68</v>
      </c>
      <c r="I205" t="s">
        <v>176</v>
      </c>
      <c r="J205" t="s">
        <v>177</v>
      </c>
      <c r="K205" t="s">
        <v>178</v>
      </c>
      <c r="M205" t="s">
        <v>72</v>
      </c>
      <c r="N205" t="s">
        <v>179</v>
      </c>
      <c r="O205" t="s">
        <v>178</v>
      </c>
      <c r="P205" t="s">
        <v>180</v>
      </c>
      <c r="Q205" t="s">
        <v>75</v>
      </c>
      <c r="R205" t="s">
        <v>814</v>
      </c>
      <c r="S205" t="s">
        <v>961</v>
      </c>
      <c r="T205" t="s">
        <v>78</v>
      </c>
      <c r="U205" t="s">
        <v>646</v>
      </c>
      <c r="V205" t="s">
        <v>80</v>
      </c>
      <c r="W205" s="1">
        <v>44694</v>
      </c>
      <c r="X205" t="s">
        <v>647</v>
      </c>
      <c r="Y205" t="s">
        <v>962</v>
      </c>
      <c r="Z205" t="s">
        <v>83</v>
      </c>
      <c r="AA205">
        <v>1</v>
      </c>
      <c r="AB205" t="s">
        <v>657</v>
      </c>
      <c r="AD205" t="s">
        <v>343</v>
      </c>
      <c r="AE205" t="s">
        <v>145</v>
      </c>
      <c r="AF205" t="s">
        <v>146</v>
      </c>
      <c r="AG205" t="s">
        <v>765</v>
      </c>
      <c r="AI205" t="s">
        <v>90</v>
      </c>
      <c r="AJ205">
        <v>32.390168000000003</v>
      </c>
      <c r="AK205">
        <v>-110.710345</v>
      </c>
      <c r="AL205">
        <v>3</v>
      </c>
      <c r="AN205">
        <v>2133</v>
      </c>
      <c r="AP205">
        <v>2133</v>
      </c>
      <c r="AQ205">
        <v>2152.4435979999998</v>
      </c>
      <c r="AT205">
        <v>13</v>
      </c>
      <c r="AU205">
        <v>5</v>
      </c>
      <c r="AV205">
        <v>2022</v>
      </c>
      <c r="AW205">
        <v>2438038</v>
      </c>
      <c r="AX205">
        <v>2438038</v>
      </c>
      <c r="AY205" t="s">
        <v>106</v>
      </c>
      <c r="AZ205" t="s">
        <v>92</v>
      </c>
      <c r="BA205" t="s">
        <v>107</v>
      </c>
      <c r="BB205" t="s">
        <v>965</v>
      </c>
      <c r="BC205" t="s">
        <v>97</v>
      </c>
      <c r="BE205" t="s">
        <v>96</v>
      </c>
      <c r="BG205" t="s">
        <v>654</v>
      </c>
      <c r="BI205" t="s">
        <v>98</v>
      </c>
      <c r="BJ205" t="s">
        <v>966</v>
      </c>
      <c r="BL205" t="s">
        <v>412</v>
      </c>
    </row>
    <row r="206" spans="1:64" hidden="1" x14ac:dyDescent="0.2">
      <c r="A206">
        <v>1075</v>
      </c>
      <c r="B206">
        <v>4027015355</v>
      </c>
      <c r="C206" t="s">
        <v>101</v>
      </c>
      <c r="D206" t="s">
        <v>967</v>
      </c>
      <c r="E206" t="s">
        <v>65</v>
      </c>
      <c r="F206" t="s">
        <v>66</v>
      </c>
      <c r="G206" t="s">
        <v>67</v>
      </c>
      <c r="H206" t="s">
        <v>68</v>
      </c>
      <c r="I206" t="s">
        <v>350</v>
      </c>
      <c r="J206" t="s">
        <v>351</v>
      </c>
      <c r="K206" t="s">
        <v>352</v>
      </c>
      <c r="M206" t="s">
        <v>72</v>
      </c>
      <c r="N206" t="s">
        <v>353</v>
      </c>
      <c r="O206" t="s">
        <v>352</v>
      </c>
      <c r="P206" t="s">
        <v>180</v>
      </c>
      <c r="Q206" t="s">
        <v>75</v>
      </c>
      <c r="R206" t="s">
        <v>814</v>
      </c>
      <c r="S206" t="s">
        <v>968</v>
      </c>
      <c r="T206" t="s">
        <v>78</v>
      </c>
      <c r="U206" t="s">
        <v>646</v>
      </c>
      <c r="V206" t="s">
        <v>80</v>
      </c>
      <c r="W206" s="1">
        <v>44694</v>
      </c>
      <c r="X206" t="s">
        <v>647</v>
      </c>
      <c r="Y206" t="s">
        <v>969</v>
      </c>
      <c r="Z206" t="s">
        <v>83</v>
      </c>
      <c r="AA206">
        <v>1</v>
      </c>
      <c r="AB206" t="s">
        <v>657</v>
      </c>
      <c r="AD206" t="s">
        <v>343</v>
      </c>
      <c r="AE206" t="s">
        <v>86</v>
      </c>
      <c r="AF206" t="s">
        <v>146</v>
      </c>
      <c r="AG206" t="s">
        <v>970</v>
      </c>
      <c r="AI206" t="s">
        <v>90</v>
      </c>
      <c r="AJ206">
        <v>32.390391000000001</v>
      </c>
      <c r="AK206">
        <v>-110.710459</v>
      </c>
      <c r="AL206">
        <v>3</v>
      </c>
      <c r="AN206">
        <v>2140</v>
      </c>
      <c r="AP206">
        <v>2140</v>
      </c>
      <c r="AQ206">
        <v>2159.707598</v>
      </c>
      <c r="AT206">
        <v>13</v>
      </c>
      <c r="AU206">
        <v>5</v>
      </c>
      <c r="AV206">
        <v>2022</v>
      </c>
      <c r="AW206">
        <v>4972385</v>
      </c>
      <c r="AX206">
        <v>2437431</v>
      </c>
      <c r="AY206" t="s">
        <v>106</v>
      </c>
      <c r="AZ206" t="s">
        <v>92</v>
      </c>
      <c r="BA206" t="s">
        <v>107</v>
      </c>
      <c r="BB206" t="s">
        <v>971</v>
      </c>
      <c r="BC206" t="s">
        <v>97</v>
      </c>
      <c r="BE206" t="s">
        <v>96</v>
      </c>
      <c r="BG206" t="s">
        <v>654</v>
      </c>
      <c r="BI206" t="s">
        <v>98</v>
      </c>
      <c r="BJ206" t="s">
        <v>972</v>
      </c>
      <c r="BL206" t="s">
        <v>412</v>
      </c>
    </row>
    <row r="207" spans="1:64" hidden="1" x14ac:dyDescent="0.2">
      <c r="A207">
        <v>1004</v>
      </c>
      <c r="B207">
        <v>4027015426</v>
      </c>
      <c r="C207" t="s">
        <v>101</v>
      </c>
      <c r="D207" t="s">
        <v>1088</v>
      </c>
      <c r="E207" t="s">
        <v>65</v>
      </c>
      <c r="F207" t="s">
        <v>66</v>
      </c>
      <c r="G207" t="s">
        <v>67</v>
      </c>
      <c r="H207" t="s">
        <v>68</v>
      </c>
      <c r="I207" t="s">
        <v>176</v>
      </c>
      <c r="J207" t="s">
        <v>177</v>
      </c>
      <c r="K207" t="s">
        <v>178</v>
      </c>
      <c r="M207" t="s">
        <v>72</v>
      </c>
      <c r="N207" t="s">
        <v>179</v>
      </c>
      <c r="O207" t="s">
        <v>178</v>
      </c>
      <c r="P207" t="s">
        <v>180</v>
      </c>
      <c r="Q207" t="s">
        <v>75</v>
      </c>
      <c r="R207" t="s">
        <v>814</v>
      </c>
      <c r="S207" t="s">
        <v>1089</v>
      </c>
      <c r="T207" t="s">
        <v>78</v>
      </c>
      <c r="U207" t="s">
        <v>646</v>
      </c>
      <c r="V207" t="s">
        <v>80</v>
      </c>
      <c r="W207" s="1">
        <v>44695</v>
      </c>
      <c r="X207" t="s">
        <v>647</v>
      </c>
      <c r="Y207" t="s">
        <v>1090</v>
      </c>
      <c r="Z207" t="s">
        <v>83</v>
      </c>
      <c r="AA207">
        <v>1</v>
      </c>
      <c r="AB207" t="s">
        <v>677</v>
      </c>
      <c r="AC207">
        <v>0</v>
      </c>
      <c r="AD207" t="s">
        <v>128</v>
      </c>
      <c r="AE207" t="s">
        <v>86</v>
      </c>
      <c r="AF207" t="s">
        <v>146</v>
      </c>
      <c r="AG207" t="s">
        <v>1091</v>
      </c>
      <c r="AI207" t="s">
        <v>90</v>
      </c>
      <c r="AJ207">
        <v>32.388897999999998</v>
      </c>
      <c r="AK207">
        <v>-110.711045</v>
      </c>
      <c r="AL207">
        <v>3</v>
      </c>
      <c r="AN207">
        <v>2140</v>
      </c>
      <c r="AP207">
        <v>2140</v>
      </c>
      <c r="AQ207">
        <v>2151.2350029999998</v>
      </c>
      <c r="AT207">
        <v>14</v>
      </c>
      <c r="AU207">
        <v>5</v>
      </c>
      <c r="AV207">
        <v>2022</v>
      </c>
      <c r="AW207">
        <v>2438038</v>
      </c>
      <c r="AX207">
        <v>2438038</v>
      </c>
      <c r="AY207" t="s">
        <v>106</v>
      </c>
      <c r="AZ207" t="s">
        <v>92</v>
      </c>
      <c r="BA207" t="s">
        <v>107</v>
      </c>
      <c r="BB207" t="s">
        <v>1092</v>
      </c>
      <c r="BC207" t="s">
        <v>97</v>
      </c>
      <c r="BE207" t="s">
        <v>96</v>
      </c>
      <c r="BG207" t="s">
        <v>1081</v>
      </c>
      <c r="BI207" t="s">
        <v>98</v>
      </c>
      <c r="BJ207" t="s">
        <v>933</v>
      </c>
      <c r="BL207" t="s">
        <v>412</v>
      </c>
    </row>
    <row r="208" spans="1:64" hidden="1" x14ac:dyDescent="0.2">
      <c r="A208">
        <v>953</v>
      </c>
      <c r="B208">
        <v>4027015477</v>
      </c>
      <c r="C208" t="s">
        <v>101</v>
      </c>
      <c r="D208" t="s">
        <v>1095</v>
      </c>
      <c r="E208" t="s">
        <v>65</v>
      </c>
      <c r="F208" t="s">
        <v>66</v>
      </c>
      <c r="G208" t="s">
        <v>67</v>
      </c>
      <c r="H208" t="s">
        <v>68</v>
      </c>
      <c r="I208" t="s">
        <v>350</v>
      </c>
      <c r="J208" t="s">
        <v>351</v>
      </c>
      <c r="K208" t="s">
        <v>352</v>
      </c>
      <c r="M208" t="s">
        <v>72</v>
      </c>
      <c r="N208" t="s">
        <v>353</v>
      </c>
      <c r="O208" t="s">
        <v>352</v>
      </c>
      <c r="P208" t="s">
        <v>180</v>
      </c>
      <c r="Q208" t="s">
        <v>75</v>
      </c>
      <c r="R208" t="s">
        <v>814</v>
      </c>
      <c r="S208" t="s">
        <v>1096</v>
      </c>
      <c r="T208" t="s">
        <v>78</v>
      </c>
      <c r="U208" t="s">
        <v>646</v>
      </c>
      <c r="V208" t="s">
        <v>80</v>
      </c>
      <c r="W208" s="1">
        <v>44695</v>
      </c>
      <c r="X208" t="s">
        <v>647</v>
      </c>
      <c r="Y208" t="s">
        <v>1097</v>
      </c>
      <c r="Z208" t="s">
        <v>83</v>
      </c>
      <c r="AA208">
        <v>1</v>
      </c>
      <c r="AB208" t="s">
        <v>677</v>
      </c>
      <c r="AC208">
        <v>0</v>
      </c>
      <c r="AD208" t="s">
        <v>128</v>
      </c>
      <c r="AE208" t="s">
        <v>145</v>
      </c>
      <c r="AF208" t="s">
        <v>146</v>
      </c>
      <c r="AG208" t="s">
        <v>765</v>
      </c>
      <c r="AI208" t="s">
        <v>90</v>
      </c>
      <c r="AJ208">
        <v>32.388368</v>
      </c>
      <c r="AK208">
        <v>-110.71142500000001</v>
      </c>
      <c r="AL208">
        <v>3</v>
      </c>
      <c r="AN208">
        <v>2134</v>
      </c>
      <c r="AP208">
        <v>2134</v>
      </c>
      <c r="AQ208">
        <v>2143.6275989999999</v>
      </c>
      <c r="AT208">
        <v>14</v>
      </c>
      <c r="AU208">
        <v>5</v>
      </c>
      <c r="AV208">
        <v>2022</v>
      </c>
      <c r="AW208">
        <v>4972385</v>
      </c>
      <c r="AX208">
        <v>2437431</v>
      </c>
      <c r="AY208" t="s">
        <v>106</v>
      </c>
      <c r="AZ208" t="s">
        <v>92</v>
      </c>
      <c r="BA208" t="s">
        <v>107</v>
      </c>
      <c r="BB208" t="s">
        <v>1098</v>
      </c>
      <c r="BC208" t="s">
        <v>97</v>
      </c>
      <c r="BE208" t="s">
        <v>96</v>
      </c>
      <c r="BG208" t="s">
        <v>1081</v>
      </c>
      <c r="BI208" t="s">
        <v>98</v>
      </c>
      <c r="BJ208" t="s">
        <v>1099</v>
      </c>
      <c r="BL208" t="s">
        <v>412</v>
      </c>
    </row>
    <row r="209" spans="1:64" x14ac:dyDescent="0.2">
      <c r="A209">
        <v>211</v>
      </c>
      <c r="B209">
        <v>4403382429</v>
      </c>
      <c r="C209" t="s">
        <v>101</v>
      </c>
      <c r="D209" t="s">
        <v>557</v>
      </c>
      <c r="E209" t="s">
        <v>65</v>
      </c>
      <c r="F209" t="s">
        <v>66</v>
      </c>
      <c r="G209" t="s">
        <v>67</v>
      </c>
      <c r="H209" t="s">
        <v>68</v>
      </c>
      <c r="I209" t="s">
        <v>176</v>
      </c>
      <c r="J209" t="s">
        <v>177</v>
      </c>
      <c r="K209" t="s">
        <v>178</v>
      </c>
      <c r="M209" t="s">
        <v>72</v>
      </c>
      <c r="N209" t="s">
        <v>179</v>
      </c>
      <c r="O209" t="s">
        <v>178</v>
      </c>
      <c r="P209" t="s">
        <v>180</v>
      </c>
      <c r="Q209" t="s">
        <v>75</v>
      </c>
      <c r="R209" t="s">
        <v>354</v>
      </c>
      <c r="S209" t="s">
        <v>558</v>
      </c>
      <c r="T209" t="s">
        <v>78</v>
      </c>
      <c r="U209" t="s">
        <v>79</v>
      </c>
      <c r="V209" t="s">
        <v>80</v>
      </c>
      <c r="W209" s="1">
        <v>45115</v>
      </c>
      <c r="X209" t="s">
        <v>356</v>
      </c>
      <c r="Y209" t="s">
        <v>559</v>
      </c>
      <c r="Z209" t="s">
        <v>83</v>
      </c>
      <c r="AA209">
        <v>1</v>
      </c>
      <c r="AB209" t="s">
        <v>385</v>
      </c>
      <c r="AC209">
        <v>0</v>
      </c>
      <c r="AD209" t="s">
        <v>119</v>
      </c>
      <c r="AE209" t="s">
        <v>86</v>
      </c>
      <c r="AF209" t="s">
        <v>402</v>
      </c>
      <c r="AG209" t="s">
        <v>560</v>
      </c>
      <c r="AI209" t="s">
        <v>90</v>
      </c>
      <c r="AJ209">
        <v>32.372844999999998</v>
      </c>
      <c r="AK209">
        <v>-110.702072</v>
      </c>
      <c r="AL209">
        <v>3</v>
      </c>
      <c r="AN209">
        <v>1928</v>
      </c>
      <c r="AP209">
        <v>1928</v>
      </c>
      <c r="AQ209">
        <v>1924.195168</v>
      </c>
      <c r="AT209">
        <v>8</v>
      </c>
      <c r="AU209">
        <v>7</v>
      </c>
      <c r="AV209">
        <v>2023</v>
      </c>
      <c r="AW209">
        <v>2438038</v>
      </c>
      <c r="AX209">
        <v>2438038</v>
      </c>
      <c r="AY209" t="s">
        <v>106</v>
      </c>
      <c r="AZ209" t="s">
        <v>92</v>
      </c>
      <c r="BA209" t="s">
        <v>107</v>
      </c>
      <c r="BB209" t="s">
        <v>561</v>
      </c>
      <c r="BC209" t="s">
        <v>95</v>
      </c>
      <c r="BD209" s="1">
        <v>45115</v>
      </c>
      <c r="BE209" t="s">
        <v>96</v>
      </c>
      <c r="BG209" t="s">
        <v>363</v>
      </c>
      <c r="BI209" t="s">
        <v>98</v>
      </c>
      <c r="BJ209" t="s">
        <v>562</v>
      </c>
      <c r="BK209" t="s">
        <v>365</v>
      </c>
      <c r="BL209" t="s">
        <v>110</v>
      </c>
    </row>
    <row r="210" spans="1:64" hidden="1" x14ac:dyDescent="0.2">
      <c r="A210">
        <v>1065</v>
      </c>
      <c r="B210">
        <v>4027015365</v>
      </c>
      <c r="C210" t="s">
        <v>101</v>
      </c>
      <c r="D210" t="s">
        <v>984</v>
      </c>
      <c r="E210" t="s">
        <v>65</v>
      </c>
      <c r="F210" t="s">
        <v>66</v>
      </c>
      <c r="G210" t="s">
        <v>67</v>
      </c>
      <c r="H210" t="s">
        <v>68</v>
      </c>
      <c r="I210" t="s">
        <v>176</v>
      </c>
      <c r="J210" t="s">
        <v>177</v>
      </c>
      <c r="K210" t="s">
        <v>178</v>
      </c>
      <c r="M210" t="s">
        <v>72</v>
      </c>
      <c r="N210" t="s">
        <v>179</v>
      </c>
      <c r="O210" t="s">
        <v>178</v>
      </c>
      <c r="P210" t="s">
        <v>180</v>
      </c>
      <c r="Q210" t="s">
        <v>75</v>
      </c>
      <c r="R210" t="s">
        <v>977</v>
      </c>
      <c r="S210" t="s">
        <v>978</v>
      </c>
      <c r="T210" t="s">
        <v>78</v>
      </c>
      <c r="U210" t="s">
        <v>646</v>
      </c>
      <c r="V210" t="s">
        <v>80</v>
      </c>
      <c r="W210" s="1">
        <v>44694</v>
      </c>
      <c r="X210" t="s">
        <v>647</v>
      </c>
      <c r="Y210" t="s">
        <v>979</v>
      </c>
      <c r="Z210" t="s">
        <v>83</v>
      </c>
      <c r="AA210">
        <v>1</v>
      </c>
      <c r="AB210" t="s">
        <v>657</v>
      </c>
      <c r="AD210" t="s">
        <v>343</v>
      </c>
      <c r="AE210" t="s">
        <v>145</v>
      </c>
      <c r="AF210" t="s">
        <v>281</v>
      </c>
      <c r="AG210" t="s">
        <v>980</v>
      </c>
      <c r="AI210" t="s">
        <v>90</v>
      </c>
      <c r="AJ210">
        <v>32.390197000000001</v>
      </c>
      <c r="AK210">
        <v>-110.706631</v>
      </c>
      <c r="AL210">
        <v>5</v>
      </c>
      <c r="AN210">
        <v>2126</v>
      </c>
      <c r="AP210">
        <v>2126</v>
      </c>
      <c r="AQ210">
        <v>2146.6902770000002</v>
      </c>
      <c r="AT210">
        <v>13</v>
      </c>
      <c r="AU210">
        <v>5</v>
      </c>
      <c r="AV210">
        <v>2022</v>
      </c>
      <c r="AW210">
        <v>2438038</v>
      </c>
      <c r="AX210">
        <v>2438038</v>
      </c>
      <c r="AY210" t="s">
        <v>106</v>
      </c>
      <c r="AZ210" t="s">
        <v>92</v>
      </c>
      <c r="BA210" t="s">
        <v>107</v>
      </c>
      <c r="BB210" t="s">
        <v>985</v>
      </c>
      <c r="BC210" t="s">
        <v>97</v>
      </c>
      <c r="BE210" t="s">
        <v>96</v>
      </c>
      <c r="BG210" t="s">
        <v>654</v>
      </c>
      <c r="BI210" t="s">
        <v>98</v>
      </c>
      <c r="BJ210" t="s">
        <v>939</v>
      </c>
      <c r="BL210" t="s">
        <v>110</v>
      </c>
    </row>
    <row r="211" spans="1:64" hidden="1" x14ac:dyDescent="0.2">
      <c r="A211">
        <v>982</v>
      </c>
      <c r="B211">
        <v>4027015448</v>
      </c>
      <c r="C211" t="s">
        <v>101</v>
      </c>
      <c r="D211" t="s">
        <v>1107</v>
      </c>
      <c r="E211" t="s">
        <v>65</v>
      </c>
      <c r="F211" t="s">
        <v>66</v>
      </c>
      <c r="G211" t="s">
        <v>67</v>
      </c>
      <c r="H211" t="s">
        <v>68</v>
      </c>
      <c r="I211" t="s">
        <v>350</v>
      </c>
      <c r="J211" t="s">
        <v>351</v>
      </c>
      <c r="K211" t="s">
        <v>352</v>
      </c>
      <c r="M211" t="s">
        <v>72</v>
      </c>
      <c r="N211" t="s">
        <v>353</v>
      </c>
      <c r="O211" t="s">
        <v>352</v>
      </c>
      <c r="P211" t="s">
        <v>180</v>
      </c>
      <c r="Q211" t="s">
        <v>75</v>
      </c>
      <c r="R211" t="s">
        <v>814</v>
      </c>
      <c r="S211" t="s">
        <v>1103</v>
      </c>
      <c r="T211" t="s">
        <v>78</v>
      </c>
      <c r="U211" t="s">
        <v>646</v>
      </c>
      <c r="V211" t="s">
        <v>80</v>
      </c>
      <c r="W211" s="1">
        <v>44695</v>
      </c>
      <c r="X211" t="s">
        <v>647</v>
      </c>
      <c r="Y211" t="s">
        <v>1104</v>
      </c>
      <c r="Z211" t="s">
        <v>83</v>
      </c>
      <c r="AA211">
        <v>1</v>
      </c>
      <c r="AB211" t="s">
        <v>677</v>
      </c>
      <c r="AC211">
        <v>0</v>
      </c>
      <c r="AD211" t="s">
        <v>128</v>
      </c>
      <c r="AE211" t="s">
        <v>145</v>
      </c>
      <c r="AF211" t="s">
        <v>146</v>
      </c>
      <c r="AG211" t="s">
        <v>765</v>
      </c>
      <c r="AI211" t="s">
        <v>90</v>
      </c>
      <c r="AJ211">
        <v>32.389541000000001</v>
      </c>
      <c r="AK211">
        <v>-110.710632</v>
      </c>
      <c r="AL211">
        <v>3</v>
      </c>
      <c r="AN211">
        <v>2121</v>
      </c>
      <c r="AP211">
        <v>2121</v>
      </c>
      <c r="AQ211">
        <v>2149.652619</v>
      </c>
      <c r="AT211">
        <v>14</v>
      </c>
      <c r="AU211">
        <v>5</v>
      </c>
      <c r="AV211">
        <v>2022</v>
      </c>
      <c r="AW211">
        <v>4972385</v>
      </c>
      <c r="AX211">
        <v>2437431</v>
      </c>
      <c r="AY211" t="s">
        <v>106</v>
      </c>
      <c r="AZ211" t="s">
        <v>92</v>
      </c>
      <c r="BA211" t="s">
        <v>107</v>
      </c>
      <c r="BB211" t="s">
        <v>1108</v>
      </c>
      <c r="BC211" t="s">
        <v>97</v>
      </c>
      <c r="BE211" t="s">
        <v>96</v>
      </c>
      <c r="BG211" t="s">
        <v>1081</v>
      </c>
      <c r="BI211" t="s">
        <v>98</v>
      </c>
      <c r="BJ211" t="s">
        <v>975</v>
      </c>
      <c r="BL211" t="s">
        <v>412</v>
      </c>
    </row>
    <row r="212" spans="1:64" hidden="1" x14ac:dyDescent="0.2">
      <c r="A212">
        <v>996</v>
      </c>
      <c r="B212">
        <v>4027015434</v>
      </c>
      <c r="C212" t="s">
        <v>101</v>
      </c>
      <c r="D212" t="s">
        <v>990</v>
      </c>
      <c r="E212" t="s">
        <v>65</v>
      </c>
      <c r="F212" t="s">
        <v>66</v>
      </c>
      <c r="G212" t="s">
        <v>67</v>
      </c>
      <c r="H212" t="s">
        <v>68</v>
      </c>
      <c r="I212" t="s">
        <v>176</v>
      </c>
      <c r="J212" t="s">
        <v>177</v>
      </c>
      <c r="K212" t="s">
        <v>178</v>
      </c>
      <c r="M212" t="s">
        <v>72</v>
      </c>
      <c r="N212" t="s">
        <v>179</v>
      </c>
      <c r="O212" t="s">
        <v>178</v>
      </c>
      <c r="P212" t="s">
        <v>180</v>
      </c>
      <c r="Q212" t="s">
        <v>75</v>
      </c>
      <c r="R212" t="s">
        <v>977</v>
      </c>
      <c r="S212" t="s">
        <v>987</v>
      </c>
      <c r="T212" t="s">
        <v>78</v>
      </c>
      <c r="U212" t="s">
        <v>646</v>
      </c>
      <c r="V212" t="s">
        <v>80</v>
      </c>
      <c r="W212" s="1">
        <v>44694</v>
      </c>
      <c r="X212" t="s">
        <v>647</v>
      </c>
      <c r="Y212" t="s">
        <v>988</v>
      </c>
      <c r="Z212" t="s">
        <v>83</v>
      </c>
      <c r="AA212">
        <v>1</v>
      </c>
      <c r="AB212" t="s">
        <v>657</v>
      </c>
      <c r="AD212" t="s">
        <v>343</v>
      </c>
      <c r="AE212" t="s">
        <v>145</v>
      </c>
      <c r="AF212" t="s">
        <v>146</v>
      </c>
      <c r="AG212" t="s">
        <v>765</v>
      </c>
      <c r="AI212" t="s">
        <v>90</v>
      </c>
      <c r="AJ212">
        <v>32.390135000000001</v>
      </c>
      <c r="AK212">
        <v>-110.706703</v>
      </c>
      <c r="AL212">
        <v>7</v>
      </c>
      <c r="AN212">
        <v>2125</v>
      </c>
      <c r="AP212">
        <v>2125</v>
      </c>
      <c r="AQ212">
        <v>2147.6092309999999</v>
      </c>
      <c r="AT212">
        <v>13</v>
      </c>
      <c r="AU212">
        <v>5</v>
      </c>
      <c r="AV212">
        <v>2022</v>
      </c>
      <c r="AW212">
        <v>2438038</v>
      </c>
      <c r="AX212">
        <v>2438038</v>
      </c>
      <c r="AY212" t="s">
        <v>106</v>
      </c>
      <c r="AZ212" t="s">
        <v>92</v>
      </c>
      <c r="BA212" t="s">
        <v>107</v>
      </c>
      <c r="BB212" t="s">
        <v>991</v>
      </c>
      <c r="BC212" t="s">
        <v>97</v>
      </c>
      <c r="BE212" t="s">
        <v>96</v>
      </c>
      <c r="BG212" t="s">
        <v>654</v>
      </c>
      <c r="BI212" t="s">
        <v>98</v>
      </c>
      <c r="BJ212" t="s">
        <v>972</v>
      </c>
      <c r="BL212" t="s">
        <v>110</v>
      </c>
    </row>
    <row r="213" spans="1:64" hidden="1" x14ac:dyDescent="0.2">
      <c r="A213">
        <v>1089</v>
      </c>
      <c r="B213">
        <v>4027015341</v>
      </c>
      <c r="C213" t="s">
        <v>101</v>
      </c>
      <c r="D213" t="s">
        <v>1000</v>
      </c>
      <c r="E213" t="s">
        <v>65</v>
      </c>
      <c r="F213" t="s">
        <v>66</v>
      </c>
      <c r="G213" t="s">
        <v>67</v>
      </c>
      <c r="H213" t="s">
        <v>68</v>
      </c>
      <c r="I213" t="s">
        <v>350</v>
      </c>
      <c r="J213" t="s">
        <v>351</v>
      </c>
      <c r="K213" t="s">
        <v>352</v>
      </c>
      <c r="M213" t="s">
        <v>72</v>
      </c>
      <c r="N213" t="s">
        <v>353</v>
      </c>
      <c r="O213" t="s">
        <v>352</v>
      </c>
      <c r="P213" t="s">
        <v>180</v>
      </c>
      <c r="Q213" t="s">
        <v>75</v>
      </c>
      <c r="R213" t="s">
        <v>814</v>
      </c>
      <c r="S213" t="s">
        <v>993</v>
      </c>
      <c r="T213" t="s">
        <v>78</v>
      </c>
      <c r="U213" t="s">
        <v>646</v>
      </c>
      <c r="V213" t="s">
        <v>80</v>
      </c>
      <c r="W213" s="1">
        <v>44694</v>
      </c>
      <c r="X213" t="s">
        <v>647</v>
      </c>
      <c r="Y213" t="s">
        <v>994</v>
      </c>
      <c r="Z213" t="s">
        <v>83</v>
      </c>
      <c r="AA213">
        <v>1</v>
      </c>
      <c r="AB213" t="s">
        <v>672</v>
      </c>
      <c r="AD213" t="s">
        <v>134</v>
      </c>
      <c r="AE213" t="s">
        <v>86</v>
      </c>
      <c r="AF213" t="s">
        <v>146</v>
      </c>
      <c r="AG213" t="s">
        <v>996</v>
      </c>
      <c r="AH213" t="s">
        <v>1001</v>
      </c>
      <c r="AI213" t="s">
        <v>90</v>
      </c>
      <c r="AJ213">
        <v>32.388863000000001</v>
      </c>
      <c r="AK213">
        <v>-110.71111399999999</v>
      </c>
      <c r="AL213">
        <v>75</v>
      </c>
      <c r="AP213">
        <v>2152.5869670000002</v>
      </c>
      <c r="AQ213">
        <v>2152.5869670000002</v>
      </c>
      <c r="AT213">
        <v>13</v>
      </c>
      <c r="AU213">
        <v>5</v>
      </c>
      <c r="AV213">
        <v>2022</v>
      </c>
      <c r="AW213">
        <v>4972385</v>
      </c>
      <c r="AX213">
        <v>2437431</v>
      </c>
      <c r="AY213" t="s">
        <v>106</v>
      </c>
      <c r="AZ213" t="s">
        <v>92</v>
      </c>
      <c r="BA213" t="s">
        <v>107</v>
      </c>
      <c r="BB213" t="s">
        <v>1002</v>
      </c>
      <c r="BC213" t="s">
        <v>97</v>
      </c>
      <c r="BE213" t="s">
        <v>96</v>
      </c>
      <c r="BG213" t="s">
        <v>654</v>
      </c>
      <c r="BI213" t="s">
        <v>98</v>
      </c>
      <c r="BJ213" t="s">
        <v>926</v>
      </c>
      <c r="BL213" t="s">
        <v>412</v>
      </c>
    </row>
    <row r="214" spans="1:64" hidden="1" x14ac:dyDescent="0.2">
      <c r="A214">
        <v>950</v>
      </c>
      <c r="B214">
        <v>4027015480</v>
      </c>
      <c r="C214" t="s">
        <v>101</v>
      </c>
      <c r="D214" t="s">
        <v>1109</v>
      </c>
      <c r="E214" t="s">
        <v>65</v>
      </c>
      <c r="F214" t="s">
        <v>66</v>
      </c>
      <c r="G214" t="s">
        <v>67</v>
      </c>
      <c r="H214" t="s">
        <v>68</v>
      </c>
      <c r="I214" t="s">
        <v>176</v>
      </c>
      <c r="J214" t="s">
        <v>177</v>
      </c>
      <c r="K214" t="s">
        <v>178</v>
      </c>
      <c r="M214" t="s">
        <v>72</v>
      </c>
      <c r="N214" t="s">
        <v>179</v>
      </c>
      <c r="O214" t="s">
        <v>178</v>
      </c>
      <c r="P214" t="s">
        <v>180</v>
      </c>
      <c r="Q214" t="s">
        <v>75</v>
      </c>
      <c r="R214" t="s">
        <v>814</v>
      </c>
      <c r="S214" t="s">
        <v>1110</v>
      </c>
      <c r="T214" t="s">
        <v>78</v>
      </c>
      <c r="U214" t="s">
        <v>646</v>
      </c>
      <c r="V214" t="s">
        <v>80</v>
      </c>
      <c r="W214" s="1">
        <v>44695</v>
      </c>
      <c r="X214" t="s">
        <v>647</v>
      </c>
      <c r="Y214" t="s">
        <v>1111</v>
      </c>
      <c r="Z214" t="s">
        <v>83</v>
      </c>
      <c r="AA214">
        <v>1</v>
      </c>
      <c r="AB214" t="s">
        <v>677</v>
      </c>
      <c r="AC214">
        <v>0</v>
      </c>
      <c r="AD214" t="s">
        <v>128</v>
      </c>
      <c r="AE214" t="s">
        <v>86</v>
      </c>
      <c r="AF214" t="s">
        <v>87</v>
      </c>
      <c r="AG214" t="s">
        <v>1112</v>
      </c>
      <c r="AI214" t="s">
        <v>90</v>
      </c>
      <c r="AJ214">
        <v>32.389389999999999</v>
      </c>
      <c r="AK214">
        <v>-110.71101899999999</v>
      </c>
      <c r="AL214">
        <v>3</v>
      </c>
      <c r="AN214">
        <v>2124</v>
      </c>
      <c r="AP214">
        <v>2124</v>
      </c>
      <c r="AQ214">
        <v>2157.8947969999999</v>
      </c>
      <c r="AT214">
        <v>14</v>
      </c>
      <c r="AU214">
        <v>5</v>
      </c>
      <c r="AV214">
        <v>2022</v>
      </c>
      <c r="AW214">
        <v>2438038</v>
      </c>
      <c r="AX214">
        <v>2438038</v>
      </c>
      <c r="AY214" t="s">
        <v>106</v>
      </c>
      <c r="AZ214" t="s">
        <v>92</v>
      </c>
      <c r="BA214" t="s">
        <v>107</v>
      </c>
      <c r="BB214" t="s">
        <v>1113</v>
      </c>
      <c r="BC214" t="s">
        <v>97</v>
      </c>
      <c r="BE214" t="s">
        <v>96</v>
      </c>
      <c r="BG214" t="s">
        <v>1081</v>
      </c>
      <c r="BI214" t="s">
        <v>98</v>
      </c>
      <c r="BJ214" t="s">
        <v>1106</v>
      </c>
      <c r="BL214" t="s">
        <v>412</v>
      </c>
    </row>
    <row r="215" spans="1:64" hidden="1" x14ac:dyDescent="0.2">
      <c r="A215">
        <v>992</v>
      </c>
      <c r="B215">
        <v>4027015438</v>
      </c>
      <c r="C215" t="s">
        <v>101</v>
      </c>
      <c r="D215" t="s">
        <v>1006</v>
      </c>
      <c r="E215" t="s">
        <v>65</v>
      </c>
      <c r="F215" t="s">
        <v>66</v>
      </c>
      <c r="G215" t="s">
        <v>67</v>
      </c>
      <c r="H215" t="s">
        <v>68</v>
      </c>
      <c r="I215" t="s">
        <v>350</v>
      </c>
      <c r="J215" t="s">
        <v>351</v>
      </c>
      <c r="K215" t="s">
        <v>352</v>
      </c>
      <c r="M215" t="s">
        <v>72</v>
      </c>
      <c r="N215" t="s">
        <v>353</v>
      </c>
      <c r="O215" t="s">
        <v>352</v>
      </c>
      <c r="P215" t="s">
        <v>180</v>
      </c>
      <c r="Q215" t="s">
        <v>75</v>
      </c>
      <c r="R215" t="s">
        <v>814</v>
      </c>
      <c r="S215" t="s">
        <v>993</v>
      </c>
      <c r="T215" t="s">
        <v>78</v>
      </c>
      <c r="U215" t="s">
        <v>646</v>
      </c>
      <c r="V215" t="s">
        <v>80</v>
      </c>
      <c r="W215" s="1">
        <v>44694</v>
      </c>
      <c r="X215" t="s">
        <v>647</v>
      </c>
      <c r="Y215" t="s">
        <v>994</v>
      </c>
      <c r="Z215" t="s">
        <v>83</v>
      </c>
      <c r="AA215">
        <v>1</v>
      </c>
      <c r="AB215" t="s">
        <v>657</v>
      </c>
      <c r="AD215" t="s">
        <v>112</v>
      </c>
      <c r="AE215" t="s">
        <v>86</v>
      </c>
      <c r="AF215" t="s">
        <v>146</v>
      </c>
      <c r="AG215" t="s">
        <v>996</v>
      </c>
      <c r="AH215" t="s">
        <v>1007</v>
      </c>
      <c r="AI215" t="s">
        <v>90</v>
      </c>
      <c r="AJ215">
        <v>32.388863000000001</v>
      </c>
      <c r="AK215">
        <v>-110.71111399999999</v>
      </c>
      <c r="AL215">
        <v>75</v>
      </c>
      <c r="AP215">
        <v>2152.5869670000002</v>
      </c>
      <c r="AQ215">
        <v>2152.5869670000002</v>
      </c>
      <c r="AT215">
        <v>13</v>
      </c>
      <c r="AU215">
        <v>5</v>
      </c>
      <c r="AV215">
        <v>2022</v>
      </c>
      <c r="AW215">
        <v>4972385</v>
      </c>
      <c r="AX215">
        <v>2437431</v>
      </c>
      <c r="AY215" t="s">
        <v>106</v>
      </c>
      <c r="AZ215" t="s">
        <v>92</v>
      </c>
      <c r="BA215" t="s">
        <v>107</v>
      </c>
      <c r="BB215" t="s">
        <v>1008</v>
      </c>
      <c r="BC215" t="s">
        <v>97</v>
      </c>
      <c r="BE215" t="s">
        <v>96</v>
      </c>
      <c r="BG215" t="s">
        <v>654</v>
      </c>
      <c r="BI215" t="s">
        <v>98</v>
      </c>
      <c r="BJ215" t="s">
        <v>972</v>
      </c>
      <c r="BL215" t="s">
        <v>412</v>
      </c>
    </row>
    <row r="216" spans="1:64" hidden="1" x14ac:dyDescent="0.2">
      <c r="A216">
        <v>990</v>
      </c>
      <c r="B216">
        <v>4027015440</v>
      </c>
      <c r="C216" t="s">
        <v>101</v>
      </c>
      <c r="D216" t="s">
        <v>1009</v>
      </c>
      <c r="E216" t="s">
        <v>65</v>
      </c>
      <c r="F216" t="s">
        <v>66</v>
      </c>
      <c r="G216" t="s">
        <v>67</v>
      </c>
      <c r="H216" t="s">
        <v>68</v>
      </c>
      <c r="I216" t="s">
        <v>350</v>
      </c>
      <c r="J216" t="s">
        <v>351</v>
      </c>
      <c r="K216" t="s">
        <v>352</v>
      </c>
      <c r="M216" t="s">
        <v>72</v>
      </c>
      <c r="N216" t="s">
        <v>353</v>
      </c>
      <c r="O216" t="s">
        <v>352</v>
      </c>
      <c r="P216" t="s">
        <v>180</v>
      </c>
      <c r="Q216" t="s">
        <v>75</v>
      </c>
      <c r="R216" t="s">
        <v>814</v>
      </c>
      <c r="S216" t="s">
        <v>993</v>
      </c>
      <c r="T216" t="s">
        <v>78</v>
      </c>
      <c r="U216" t="s">
        <v>646</v>
      </c>
      <c r="V216" t="s">
        <v>80</v>
      </c>
      <c r="W216" s="1">
        <v>44694</v>
      </c>
      <c r="X216" t="s">
        <v>647</v>
      </c>
      <c r="Y216" t="s">
        <v>994</v>
      </c>
      <c r="Z216" t="s">
        <v>83</v>
      </c>
      <c r="AA216">
        <v>1</v>
      </c>
      <c r="AB216" t="s">
        <v>657</v>
      </c>
      <c r="AD216" t="s">
        <v>116</v>
      </c>
      <c r="AE216" t="s">
        <v>86</v>
      </c>
      <c r="AF216" t="s">
        <v>146</v>
      </c>
      <c r="AG216" t="s">
        <v>996</v>
      </c>
      <c r="AH216" t="s">
        <v>1007</v>
      </c>
      <c r="AI216" t="s">
        <v>90</v>
      </c>
      <c r="AJ216">
        <v>32.388863000000001</v>
      </c>
      <c r="AK216">
        <v>-110.71111399999999</v>
      </c>
      <c r="AL216">
        <v>75</v>
      </c>
      <c r="AP216">
        <v>2152.5869670000002</v>
      </c>
      <c r="AQ216">
        <v>2152.5869670000002</v>
      </c>
      <c r="AT216">
        <v>13</v>
      </c>
      <c r="AU216">
        <v>5</v>
      </c>
      <c r="AV216">
        <v>2022</v>
      </c>
      <c r="AW216">
        <v>4972385</v>
      </c>
      <c r="AX216">
        <v>2437431</v>
      </c>
      <c r="AY216" t="s">
        <v>106</v>
      </c>
      <c r="AZ216" t="s">
        <v>92</v>
      </c>
      <c r="BA216" t="s">
        <v>107</v>
      </c>
      <c r="BB216" t="s">
        <v>1010</v>
      </c>
      <c r="BC216" t="s">
        <v>97</v>
      </c>
      <c r="BE216" t="s">
        <v>96</v>
      </c>
      <c r="BG216" t="s">
        <v>654</v>
      </c>
      <c r="BI216" t="s">
        <v>98</v>
      </c>
      <c r="BJ216" t="s">
        <v>1011</v>
      </c>
      <c r="BL216" t="s">
        <v>412</v>
      </c>
    </row>
    <row r="217" spans="1:64" hidden="1" x14ac:dyDescent="0.2">
      <c r="A217">
        <v>988</v>
      </c>
      <c r="B217">
        <v>4027015442</v>
      </c>
      <c r="C217" t="s">
        <v>101</v>
      </c>
      <c r="D217" t="s">
        <v>1012</v>
      </c>
      <c r="E217" t="s">
        <v>65</v>
      </c>
      <c r="F217" t="s">
        <v>66</v>
      </c>
      <c r="G217" t="s">
        <v>67</v>
      </c>
      <c r="H217" t="s">
        <v>68</v>
      </c>
      <c r="I217" t="s">
        <v>350</v>
      </c>
      <c r="J217" t="s">
        <v>351</v>
      </c>
      <c r="K217" t="s">
        <v>352</v>
      </c>
      <c r="M217" t="s">
        <v>72</v>
      </c>
      <c r="N217" t="s">
        <v>353</v>
      </c>
      <c r="O217" t="s">
        <v>352</v>
      </c>
      <c r="P217" t="s">
        <v>180</v>
      </c>
      <c r="Q217" t="s">
        <v>75</v>
      </c>
      <c r="R217" t="s">
        <v>814</v>
      </c>
      <c r="S217" t="s">
        <v>993</v>
      </c>
      <c r="T217" t="s">
        <v>78</v>
      </c>
      <c r="U217" t="s">
        <v>646</v>
      </c>
      <c r="V217" t="s">
        <v>80</v>
      </c>
      <c r="W217" s="1">
        <v>44694</v>
      </c>
      <c r="X217" t="s">
        <v>647</v>
      </c>
      <c r="Y217" t="s">
        <v>994</v>
      </c>
      <c r="Z217" t="s">
        <v>83</v>
      </c>
      <c r="AA217">
        <v>1</v>
      </c>
      <c r="AB217" t="s">
        <v>657</v>
      </c>
      <c r="AD217" t="s">
        <v>104</v>
      </c>
      <c r="AE217" t="s">
        <v>86</v>
      </c>
      <c r="AF217" t="s">
        <v>146</v>
      </c>
      <c r="AG217" t="s">
        <v>996</v>
      </c>
      <c r="AH217" t="s">
        <v>1007</v>
      </c>
      <c r="AI217" t="s">
        <v>90</v>
      </c>
      <c r="AJ217">
        <v>32.388863000000001</v>
      </c>
      <c r="AK217">
        <v>-110.71111399999999</v>
      </c>
      <c r="AL217">
        <v>75</v>
      </c>
      <c r="AP217">
        <v>2152.5869670000002</v>
      </c>
      <c r="AQ217">
        <v>2152.5869670000002</v>
      </c>
      <c r="AT217">
        <v>13</v>
      </c>
      <c r="AU217">
        <v>5</v>
      </c>
      <c r="AV217">
        <v>2022</v>
      </c>
      <c r="AW217">
        <v>4972385</v>
      </c>
      <c r="AX217">
        <v>2437431</v>
      </c>
      <c r="AY217" t="s">
        <v>106</v>
      </c>
      <c r="AZ217" t="s">
        <v>92</v>
      </c>
      <c r="BA217" t="s">
        <v>107</v>
      </c>
      <c r="BB217" t="s">
        <v>1013</v>
      </c>
      <c r="BC217" t="s">
        <v>97</v>
      </c>
      <c r="BE217" t="s">
        <v>96</v>
      </c>
      <c r="BG217" t="s">
        <v>654</v>
      </c>
      <c r="BI217" t="s">
        <v>98</v>
      </c>
      <c r="BJ217" t="s">
        <v>1014</v>
      </c>
      <c r="BL217" t="s">
        <v>412</v>
      </c>
    </row>
    <row r="218" spans="1:64" hidden="1" x14ac:dyDescent="0.2">
      <c r="A218">
        <v>1314</v>
      </c>
      <c r="B218">
        <v>4022923399</v>
      </c>
      <c r="C218" t="s">
        <v>101</v>
      </c>
      <c r="D218" t="s">
        <v>1015</v>
      </c>
      <c r="E218" t="s">
        <v>65</v>
      </c>
      <c r="F218" t="s">
        <v>66</v>
      </c>
      <c r="G218" t="s">
        <v>67</v>
      </c>
      <c r="H218" t="s">
        <v>68</v>
      </c>
      <c r="I218" t="s">
        <v>350</v>
      </c>
      <c r="J218" t="s">
        <v>351</v>
      </c>
      <c r="K218" t="s">
        <v>352</v>
      </c>
      <c r="M218" t="s">
        <v>72</v>
      </c>
      <c r="N218" t="s">
        <v>353</v>
      </c>
      <c r="O218" t="s">
        <v>352</v>
      </c>
      <c r="P218" t="s">
        <v>180</v>
      </c>
      <c r="Q218" t="s">
        <v>75</v>
      </c>
      <c r="R218" t="s">
        <v>814</v>
      </c>
      <c r="S218" t="s">
        <v>993</v>
      </c>
      <c r="T218" t="s">
        <v>78</v>
      </c>
      <c r="U218" t="s">
        <v>646</v>
      </c>
      <c r="V218" t="s">
        <v>80</v>
      </c>
      <c r="W218" s="1">
        <v>44694</v>
      </c>
      <c r="X218" t="s">
        <v>647</v>
      </c>
      <c r="Y218" t="s">
        <v>994</v>
      </c>
      <c r="Z218" t="s">
        <v>83</v>
      </c>
      <c r="AA218">
        <v>1</v>
      </c>
      <c r="AB218" t="s">
        <v>677</v>
      </c>
      <c r="AD218" t="s">
        <v>139</v>
      </c>
      <c r="AE218" t="s">
        <v>86</v>
      </c>
      <c r="AF218" t="s">
        <v>146</v>
      </c>
      <c r="AG218" t="s">
        <v>996</v>
      </c>
      <c r="AH218" t="s">
        <v>1007</v>
      </c>
      <c r="AI218" t="s">
        <v>90</v>
      </c>
      <c r="AJ218">
        <v>32.388863000000001</v>
      </c>
      <c r="AK218">
        <v>-110.71111399999999</v>
      </c>
      <c r="AL218">
        <v>75</v>
      </c>
      <c r="AP218">
        <v>2152.5869670000002</v>
      </c>
      <c r="AQ218">
        <v>2152.5869670000002</v>
      </c>
      <c r="AT218">
        <v>13</v>
      </c>
      <c r="AU218">
        <v>5</v>
      </c>
      <c r="AV218">
        <v>2022</v>
      </c>
      <c r="AW218">
        <v>4972385</v>
      </c>
      <c r="AX218">
        <v>2437431</v>
      </c>
      <c r="AY218" t="s">
        <v>106</v>
      </c>
      <c r="AZ218" t="s">
        <v>92</v>
      </c>
      <c r="BA218" t="s">
        <v>107</v>
      </c>
      <c r="BB218" t="s">
        <v>1016</v>
      </c>
      <c r="BC218" t="s">
        <v>97</v>
      </c>
      <c r="BE218" t="s">
        <v>96</v>
      </c>
      <c r="BG218" t="s">
        <v>654</v>
      </c>
      <c r="BI218" t="s">
        <v>98</v>
      </c>
      <c r="BJ218" t="s">
        <v>1017</v>
      </c>
      <c r="BL218" t="s">
        <v>861</v>
      </c>
    </row>
    <row r="219" spans="1:64" hidden="1" x14ac:dyDescent="0.2">
      <c r="A219">
        <v>1311</v>
      </c>
      <c r="B219">
        <v>4022923402</v>
      </c>
      <c r="C219" t="s">
        <v>101</v>
      </c>
      <c r="D219" t="s">
        <v>1018</v>
      </c>
      <c r="E219" t="s">
        <v>65</v>
      </c>
      <c r="F219" t="s">
        <v>66</v>
      </c>
      <c r="G219" t="s">
        <v>67</v>
      </c>
      <c r="H219" t="s">
        <v>68</v>
      </c>
      <c r="I219" t="s">
        <v>350</v>
      </c>
      <c r="J219" t="s">
        <v>351</v>
      </c>
      <c r="K219" t="s">
        <v>352</v>
      </c>
      <c r="M219" t="s">
        <v>72</v>
      </c>
      <c r="N219" t="s">
        <v>353</v>
      </c>
      <c r="O219" t="s">
        <v>352</v>
      </c>
      <c r="P219" t="s">
        <v>180</v>
      </c>
      <c r="Q219" t="s">
        <v>75</v>
      </c>
      <c r="R219" t="s">
        <v>814</v>
      </c>
      <c r="S219" t="s">
        <v>993</v>
      </c>
      <c r="T219" t="s">
        <v>78</v>
      </c>
      <c r="U219" t="s">
        <v>646</v>
      </c>
      <c r="V219" t="s">
        <v>80</v>
      </c>
      <c r="W219" s="1">
        <v>44694</v>
      </c>
      <c r="X219" t="s">
        <v>647</v>
      </c>
      <c r="Y219" t="s">
        <v>994</v>
      </c>
      <c r="Z219" t="s">
        <v>83</v>
      </c>
      <c r="AA219">
        <v>1</v>
      </c>
      <c r="AB219" t="s">
        <v>677</v>
      </c>
      <c r="AD219" t="s">
        <v>123</v>
      </c>
      <c r="AE219" t="s">
        <v>86</v>
      </c>
      <c r="AF219" t="s">
        <v>146</v>
      </c>
      <c r="AG219" t="s">
        <v>996</v>
      </c>
      <c r="AH219" t="s">
        <v>1007</v>
      </c>
      <c r="AI219" t="s">
        <v>90</v>
      </c>
      <c r="AJ219">
        <v>32.388863000000001</v>
      </c>
      <c r="AK219">
        <v>-110.71111399999999</v>
      </c>
      <c r="AL219">
        <v>75</v>
      </c>
      <c r="AP219">
        <v>2152.5869670000002</v>
      </c>
      <c r="AQ219">
        <v>2152.5869670000002</v>
      </c>
      <c r="AT219">
        <v>13</v>
      </c>
      <c r="AU219">
        <v>5</v>
      </c>
      <c r="AV219">
        <v>2022</v>
      </c>
      <c r="AW219">
        <v>4972385</v>
      </c>
      <c r="AX219">
        <v>2437431</v>
      </c>
      <c r="AY219" t="s">
        <v>106</v>
      </c>
      <c r="AZ219" t="s">
        <v>92</v>
      </c>
      <c r="BA219" t="s">
        <v>107</v>
      </c>
      <c r="BB219" t="s">
        <v>1019</v>
      </c>
      <c r="BC219" t="s">
        <v>97</v>
      </c>
      <c r="BE219" t="s">
        <v>96</v>
      </c>
      <c r="BG219" t="s">
        <v>654</v>
      </c>
      <c r="BI219" t="s">
        <v>98</v>
      </c>
      <c r="BJ219" t="s">
        <v>1020</v>
      </c>
      <c r="BL219" t="s">
        <v>861</v>
      </c>
    </row>
    <row r="220" spans="1:64" hidden="1" x14ac:dyDescent="0.2">
      <c r="A220">
        <v>1310</v>
      </c>
      <c r="B220">
        <v>4022923403</v>
      </c>
      <c r="C220" t="s">
        <v>101</v>
      </c>
      <c r="D220" t="s">
        <v>1021</v>
      </c>
      <c r="E220" t="s">
        <v>65</v>
      </c>
      <c r="F220" t="s">
        <v>66</v>
      </c>
      <c r="G220" t="s">
        <v>67</v>
      </c>
      <c r="H220" t="s">
        <v>68</v>
      </c>
      <c r="I220" t="s">
        <v>350</v>
      </c>
      <c r="J220" t="s">
        <v>351</v>
      </c>
      <c r="K220" t="s">
        <v>352</v>
      </c>
      <c r="M220" t="s">
        <v>72</v>
      </c>
      <c r="N220" t="s">
        <v>353</v>
      </c>
      <c r="O220" t="s">
        <v>352</v>
      </c>
      <c r="P220" t="s">
        <v>180</v>
      </c>
      <c r="Q220" t="s">
        <v>75</v>
      </c>
      <c r="R220" t="s">
        <v>814</v>
      </c>
      <c r="S220" t="s">
        <v>993</v>
      </c>
      <c r="T220" t="s">
        <v>78</v>
      </c>
      <c r="U220" t="s">
        <v>646</v>
      </c>
      <c r="V220" t="s">
        <v>80</v>
      </c>
      <c r="W220" s="1">
        <v>44694</v>
      </c>
      <c r="X220" t="s">
        <v>647</v>
      </c>
      <c r="Y220" t="s">
        <v>994</v>
      </c>
      <c r="Z220" t="s">
        <v>83</v>
      </c>
      <c r="AA220">
        <v>1</v>
      </c>
      <c r="AB220" t="s">
        <v>677</v>
      </c>
      <c r="AD220" t="s">
        <v>116</v>
      </c>
      <c r="AE220" t="s">
        <v>86</v>
      </c>
      <c r="AF220" t="s">
        <v>146</v>
      </c>
      <c r="AG220" t="s">
        <v>996</v>
      </c>
      <c r="AH220" t="s">
        <v>1007</v>
      </c>
      <c r="AI220" t="s">
        <v>90</v>
      </c>
      <c r="AJ220">
        <v>32.388863000000001</v>
      </c>
      <c r="AK220">
        <v>-110.71111399999999</v>
      </c>
      <c r="AL220">
        <v>75</v>
      </c>
      <c r="AP220">
        <v>2152.5869670000002</v>
      </c>
      <c r="AQ220">
        <v>2152.5869670000002</v>
      </c>
      <c r="AT220">
        <v>13</v>
      </c>
      <c r="AU220">
        <v>5</v>
      </c>
      <c r="AV220">
        <v>2022</v>
      </c>
      <c r="AW220">
        <v>4972385</v>
      </c>
      <c r="AX220">
        <v>2437431</v>
      </c>
      <c r="AY220" t="s">
        <v>106</v>
      </c>
      <c r="AZ220" t="s">
        <v>92</v>
      </c>
      <c r="BA220" t="s">
        <v>107</v>
      </c>
      <c r="BB220" t="s">
        <v>1022</v>
      </c>
      <c r="BC220" t="s">
        <v>97</v>
      </c>
      <c r="BE220" t="s">
        <v>96</v>
      </c>
      <c r="BG220" t="s">
        <v>654</v>
      </c>
      <c r="BI220" t="s">
        <v>98</v>
      </c>
      <c r="BJ220" t="s">
        <v>1023</v>
      </c>
      <c r="BL220" t="s">
        <v>861</v>
      </c>
    </row>
    <row r="221" spans="1:64" hidden="1" x14ac:dyDescent="0.2">
      <c r="A221">
        <v>948</v>
      </c>
      <c r="B221">
        <v>4027015482</v>
      </c>
      <c r="C221" t="s">
        <v>101</v>
      </c>
      <c r="D221" t="s">
        <v>1117</v>
      </c>
      <c r="E221" t="s">
        <v>65</v>
      </c>
      <c r="F221" t="s">
        <v>66</v>
      </c>
      <c r="G221" t="s">
        <v>67</v>
      </c>
      <c r="H221" t="s">
        <v>68</v>
      </c>
      <c r="I221" t="s">
        <v>350</v>
      </c>
      <c r="J221" t="s">
        <v>351</v>
      </c>
      <c r="K221" t="s">
        <v>352</v>
      </c>
      <c r="M221" t="s">
        <v>72</v>
      </c>
      <c r="N221" t="s">
        <v>353</v>
      </c>
      <c r="O221" t="s">
        <v>352</v>
      </c>
      <c r="P221" t="s">
        <v>180</v>
      </c>
      <c r="Q221" t="s">
        <v>75</v>
      </c>
      <c r="R221" t="s">
        <v>814</v>
      </c>
      <c r="S221" t="s">
        <v>1118</v>
      </c>
      <c r="T221" t="s">
        <v>78</v>
      </c>
      <c r="U221" t="s">
        <v>646</v>
      </c>
      <c r="V221" t="s">
        <v>80</v>
      </c>
      <c r="W221" s="1">
        <v>44695</v>
      </c>
      <c r="X221" t="s">
        <v>647</v>
      </c>
      <c r="Y221" t="s">
        <v>1119</v>
      </c>
      <c r="Z221" t="s">
        <v>83</v>
      </c>
      <c r="AA221">
        <v>1</v>
      </c>
      <c r="AB221" t="s">
        <v>677</v>
      </c>
      <c r="AC221">
        <v>0</v>
      </c>
      <c r="AD221" t="s">
        <v>128</v>
      </c>
      <c r="AE221" t="s">
        <v>145</v>
      </c>
      <c r="AF221" t="s">
        <v>146</v>
      </c>
      <c r="AG221" t="s">
        <v>765</v>
      </c>
      <c r="AI221" t="s">
        <v>90</v>
      </c>
      <c r="AJ221">
        <v>32.389040000000001</v>
      </c>
      <c r="AK221">
        <v>-110.71162200000001</v>
      </c>
      <c r="AL221">
        <v>3</v>
      </c>
      <c r="AN221">
        <v>2147</v>
      </c>
      <c r="AP221">
        <v>2147</v>
      </c>
      <c r="AQ221">
        <v>2162.3109239999999</v>
      </c>
      <c r="AT221">
        <v>14</v>
      </c>
      <c r="AU221">
        <v>5</v>
      </c>
      <c r="AV221">
        <v>2022</v>
      </c>
      <c r="AW221">
        <v>4972385</v>
      </c>
      <c r="AX221">
        <v>2437431</v>
      </c>
      <c r="AY221" t="s">
        <v>106</v>
      </c>
      <c r="AZ221" t="s">
        <v>92</v>
      </c>
      <c r="BA221" t="s">
        <v>107</v>
      </c>
      <c r="BB221" t="s">
        <v>1120</v>
      </c>
      <c r="BC221" t="s">
        <v>97</v>
      </c>
      <c r="BE221" t="s">
        <v>96</v>
      </c>
      <c r="BG221" t="s">
        <v>1081</v>
      </c>
      <c r="BI221" t="s">
        <v>98</v>
      </c>
      <c r="BJ221" t="s">
        <v>1106</v>
      </c>
      <c r="BL221" t="s">
        <v>412</v>
      </c>
    </row>
    <row r="222" spans="1:64" hidden="1" x14ac:dyDescent="0.2">
      <c r="A222">
        <v>980</v>
      </c>
      <c r="B222">
        <v>4027015450</v>
      </c>
      <c r="C222" t="s">
        <v>101</v>
      </c>
      <c r="D222" t="s">
        <v>1029</v>
      </c>
      <c r="E222" t="s">
        <v>65</v>
      </c>
      <c r="F222" t="s">
        <v>66</v>
      </c>
      <c r="G222" t="s">
        <v>67</v>
      </c>
      <c r="H222" t="s">
        <v>68</v>
      </c>
      <c r="I222" t="s">
        <v>350</v>
      </c>
      <c r="J222" t="s">
        <v>351</v>
      </c>
      <c r="K222" t="s">
        <v>352</v>
      </c>
      <c r="M222" t="s">
        <v>72</v>
      </c>
      <c r="N222" t="s">
        <v>353</v>
      </c>
      <c r="O222" t="s">
        <v>352</v>
      </c>
      <c r="P222" t="s">
        <v>180</v>
      </c>
      <c r="Q222" t="s">
        <v>75</v>
      </c>
      <c r="R222" t="s">
        <v>814</v>
      </c>
      <c r="S222" t="s">
        <v>1025</v>
      </c>
      <c r="T222" t="s">
        <v>78</v>
      </c>
      <c r="U222" t="s">
        <v>646</v>
      </c>
      <c r="V222" t="s">
        <v>80</v>
      </c>
      <c r="W222" s="1">
        <v>44694</v>
      </c>
      <c r="X222" t="s">
        <v>647</v>
      </c>
      <c r="Y222" t="s">
        <v>1026</v>
      </c>
      <c r="Z222" t="s">
        <v>83</v>
      </c>
      <c r="AA222">
        <v>1</v>
      </c>
      <c r="AB222" t="s">
        <v>657</v>
      </c>
      <c r="AD222" t="s">
        <v>343</v>
      </c>
      <c r="AE222" t="s">
        <v>145</v>
      </c>
      <c r="AF222" t="s">
        <v>146</v>
      </c>
      <c r="AG222" t="s">
        <v>765</v>
      </c>
      <c r="AI222" t="s">
        <v>90</v>
      </c>
      <c r="AJ222">
        <v>32.388863000000001</v>
      </c>
      <c r="AK222">
        <v>-110.71111399999999</v>
      </c>
      <c r="AL222">
        <v>75</v>
      </c>
      <c r="AP222">
        <v>2152.5869670000002</v>
      </c>
      <c r="AQ222">
        <v>2152.5869670000002</v>
      </c>
      <c r="AT222">
        <v>13</v>
      </c>
      <c r="AU222">
        <v>5</v>
      </c>
      <c r="AV222">
        <v>2022</v>
      </c>
      <c r="AW222">
        <v>4972385</v>
      </c>
      <c r="AX222">
        <v>2437431</v>
      </c>
      <c r="AY222" t="s">
        <v>106</v>
      </c>
      <c r="AZ222" t="s">
        <v>92</v>
      </c>
      <c r="BA222" t="s">
        <v>107</v>
      </c>
      <c r="BB222" t="s">
        <v>1030</v>
      </c>
      <c r="BC222" t="s">
        <v>97</v>
      </c>
      <c r="BE222" t="s">
        <v>96</v>
      </c>
      <c r="BG222" t="s">
        <v>654</v>
      </c>
      <c r="BI222" t="s">
        <v>98</v>
      </c>
      <c r="BJ222" t="s">
        <v>1014</v>
      </c>
      <c r="BL222" t="s">
        <v>412</v>
      </c>
    </row>
    <row r="223" spans="1:64" hidden="1" x14ac:dyDescent="0.2">
      <c r="A223">
        <v>979</v>
      </c>
      <c r="B223">
        <v>4027015451</v>
      </c>
      <c r="C223" t="s">
        <v>101</v>
      </c>
      <c r="D223" t="s">
        <v>1128</v>
      </c>
      <c r="E223" t="s">
        <v>65</v>
      </c>
      <c r="F223" t="s">
        <v>66</v>
      </c>
      <c r="G223" t="s">
        <v>67</v>
      </c>
      <c r="H223" t="s">
        <v>68</v>
      </c>
      <c r="I223" t="s">
        <v>176</v>
      </c>
      <c r="J223" t="s">
        <v>177</v>
      </c>
      <c r="K223" t="s">
        <v>178</v>
      </c>
      <c r="M223" t="s">
        <v>72</v>
      </c>
      <c r="N223" t="s">
        <v>179</v>
      </c>
      <c r="O223" t="s">
        <v>178</v>
      </c>
      <c r="P223" t="s">
        <v>180</v>
      </c>
      <c r="Q223" t="s">
        <v>75</v>
      </c>
      <c r="R223" t="s">
        <v>814</v>
      </c>
      <c r="S223" t="s">
        <v>1125</v>
      </c>
      <c r="T223" t="s">
        <v>78</v>
      </c>
      <c r="U223" t="s">
        <v>646</v>
      </c>
      <c r="V223" t="s">
        <v>80</v>
      </c>
      <c r="W223" s="1">
        <v>44695</v>
      </c>
      <c r="X223" t="s">
        <v>647</v>
      </c>
      <c r="Y223" t="s">
        <v>1126</v>
      </c>
      <c r="Z223" t="s">
        <v>83</v>
      </c>
      <c r="AA223">
        <v>1</v>
      </c>
      <c r="AB223" t="s">
        <v>677</v>
      </c>
      <c r="AC223">
        <v>0</v>
      </c>
      <c r="AD223" t="s">
        <v>128</v>
      </c>
      <c r="AE223" t="s">
        <v>145</v>
      </c>
      <c r="AF223" t="s">
        <v>146</v>
      </c>
      <c r="AG223" t="s">
        <v>765</v>
      </c>
      <c r="AI223" t="s">
        <v>90</v>
      </c>
      <c r="AJ223">
        <v>32.389327000000002</v>
      </c>
      <c r="AK223">
        <v>-110.710454</v>
      </c>
      <c r="AL223">
        <v>3</v>
      </c>
      <c r="AN223">
        <v>2118</v>
      </c>
      <c r="AP223">
        <v>2118</v>
      </c>
      <c r="AQ223">
        <v>2140.709245</v>
      </c>
      <c r="AT223">
        <v>14</v>
      </c>
      <c r="AU223">
        <v>5</v>
      </c>
      <c r="AV223">
        <v>2022</v>
      </c>
      <c r="AW223">
        <v>2438038</v>
      </c>
      <c r="AX223">
        <v>2438038</v>
      </c>
      <c r="AY223" t="s">
        <v>106</v>
      </c>
      <c r="AZ223" t="s">
        <v>92</v>
      </c>
      <c r="BA223" t="s">
        <v>107</v>
      </c>
      <c r="BB223" t="s">
        <v>1129</v>
      </c>
      <c r="BC223" t="s">
        <v>97</v>
      </c>
      <c r="BE223" t="s">
        <v>96</v>
      </c>
      <c r="BG223" t="s">
        <v>1081</v>
      </c>
      <c r="BI223" t="s">
        <v>98</v>
      </c>
      <c r="BJ223" t="s">
        <v>975</v>
      </c>
      <c r="BL223" t="s">
        <v>412</v>
      </c>
    </row>
    <row r="224" spans="1:64" hidden="1" x14ac:dyDescent="0.2">
      <c r="A224">
        <v>975</v>
      </c>
      <c r="B224">
        <v>4027015455</v>
      </c>
      <c r="C224" t="s">
        <v>101</v>
      </c>
      <c r="D224" t="s">
        <v>1036</v>
      </c>
      <c r="E224" t="s">
        <v>65</v>
      </c>
      <c r="F224" t="s">
        <v>66</v>
      </c>
      <c r="G224" t="s">
        <v>67</v>
      </c>
      <c r="H224" t="s">
        <v>68</v>
      </c>
      <c r="I224" t="s">
        <v>350</v>
      </c>
      <c r="J224" t="s">
        <v>351</v>
      </c>
      <c r="K224" t="s">
        <v>352</v>
      </c>
      <c r="M224" t="s">
        <v>72</v>
      </c>
      <c r="N224" t="s">
        <v>353</v>
      </c>
      <c r="O224" t="s">
        <v>352</v>
      </c>
      <c r="P224" t="s">
        <v>180</v>
      </c>
      <c r="Q224" t="s">
        <v>75</v>
      </c>
      <c r="R224" t="s">
        <v>977</v>
      </c>
      <c r="S224" t="s">
        <v>1032</v>
      </c>
      <c r="T224" t="s">
        <v>78</v>
      </c>
      <c r="U224" t="s">
        <v>646</v>
      </c>
      <c r="V224" t="s">
        <v>80</v>
      </c>
      <c r="W224" s="1">
        <v>44694</v>
      </c>
      <c r="X224" t="s">
        <v>647</v>
      </c>
      <c r="Y224" t="s">
        <v>1033</v>
      </c>
      <c r="Z224" t="s">
        <v>83</v>
      </c>
      <c r="AA224">
        <v>1</v>
      </c>
      <c r="AB224" t="s">
        <v>657</v>
      </c>
      <c r="AD224" t="s">
        <v>343</v>
      </c>
      <c r="AE224" t="s">
        <v>86</v>
      </c>
      <c r="AF224" t="s">
        <v>146</v>
      </c>
      <c r="AG224" t="s">
        <v>1034</v>
      </c>
      <c r="AI224" t="s">
        <v>90</v>
      </c>
      <c r="AJ224">
        <v>32.390366999999998</v>
      </c>
      <c r="AK224">
        <v>-110.70684</v>
      </c>
      <c r="AN224">
        <v>2101</v>
      </c>
      <c r="AP224">
        <v>2101</v>
      </c>
      <c r="AQ224">
        <v>2146.0796570000002</v>
      </c>
      <c r="AT224">
        <v>13</v>
      </c>
      <c r="AU224">
        <v>5</v>
      </c>
      <c r="AV224">
        <v>2022</v>
      </c>
      <c r="AW224">
        <v>4972385</v>
      </c>
      <c r="AX224">
        <v>2437431</v>
      </c>
      <c r="AY224" t="s">
        <v>106</v>
      </c>
      <c r="AZ224" t="s">
        <v>92</v>
      </c>
      <c r="BA224" t="s">
        <v>107</v>
      </c>
      <c r="BB224" t="s">
        <v>1037</v>
      </c>
      <c r="BC224" t="s">
        <v>97</v>
      </c>
      <c r="BE224" t="s">
        <v>96</v>
      </c>
      <c r="BG224" t="s">
        <v>654</v>
      </c>
      <c r="BI224" t="s">
        <v>98</v>
      </c>
      <c r="BJ224" t="s">
        <v>1011</v>
      </c>
      <c r="BL224" t="s">
        <v>110</v>
      </c>
    </row>
    <row r="225" spans="1:64" hidden="1" x14ac:dyDescent="0.2">
      <c r="A225">
        <v>945</v>
      </c>
      <c r="B225">
        <v>4027015485</v>
      </c>
      <c r="C225" t="s">
        <v>101</v>
      </c>
      <c r="D225" t="s">
        <v>1130</v>
      </c>
      <c r="E225" t="s">
        <v>65</v>
      </c>
      <c r="F225" t="s">
        <v>66</v>
      </c>
      <c r="G225" t="s">
        <v>67</v>
      </c>
      <c r="H225" t="s">
        <v>68</v>
      </c>
      <c r="I225" t="s">
        <v>176</v>
      </c>
      <c r="J225" t="s">
        <v>177</v>
      </c>
      <c r="K225" t="s">
        <v>178</v>
      </c>
      <c r="M225" t="s">
        <v>72</v>
      </c>
      <c r="N225" t="s">
        <v>179</v>
      </c>
      <c r="O225" t="s">
        <v>178</v>
      </c>
      <c r="P225" t="s">
        <v>180</v>
      </c>
      <c r="Q225" t="s">
        <v>75</v>
      </c>
      <c r="R225" t="s">
        <v>814</v>
      </c>
      <c r="S225" t="s">
        <v>1131</v>
      </c>
      <c r="T225" t="s">
        <v>78</v>
      </c>
      <c r="U225" t="s">
        <v>646</v>
      </c>
      <c r="V225" t="s">
        <v>80</v>
      </c>
      <c r="W225" s="1">
        <v>44695</v>
      </c>
      <c r="X225" t="s">
        <v>647</v>
      </c>
      <c r="Y225" t="s">
        <v>1132</v>
      </c>
      <c r="Z225" t="s">
        <v>83</v>
      </c>
      <c r="AA225">
        <v>1</v>
      </c>
      <c r="AB225" t="s">
        <v>677</v>
      </c>
      <c r="AC225">
        <v>0</v>
      </c>
      <c r="AD225" t="s">
        <v>128</v>
      </c>
      <c r="AE225" t="s">
        <v>145</v>
      </c>
      <c r="AF225" t="s">
        <v>146</v>
      </c>
      <c r="AG225" t="s">
        <v>765</v>
      </c>
      <c r="AI225" t="s">
        <v>90</v>
      </c>
      <c r="AJ225">
        <v>32.389944999999997</v>
      </c>
      <c r="AK225">
        <v>-110.71047900000001</v>
      </c>
      <c r="AL225">
        <v>3</v>
      </c>
      <c r="AN225">
        <v>2132</v>
      </c>
      <c r="AP225">
        <v>2132</v>
      </c>
      <c r="AQ225">
        <v>2150.3148609999998</v>
      </c>
      <c r="AT225">
        <v>14</v>
      </c>
      <c r="AU225">
        <v>5</v>
      </c>
      <c r="AV225">
        <v>2022</v>
      </c>
      <c r="AW225">
        <v>2438038</v>
      </c>
      <c r="AX225">
        <v>2438038</v>
      </c>
      <c r="AY225" t="s">
        <v>106</v>
      </c>
      <c r="AZ225" t="s">
        <v>92</v>
      </c>
      <c r="BA225" t="s">
        <v>107</v>
      </c>
      <c r="BB225" t="s">
        <v>1133</v>
      </c>
      <c r="BC225" t="s">
        <v>97</v>
      </c>
      <c r="BE225" t="s">
        <v>96</v>
      </c>
      <c r="BG225" t="s">
        <v>1081</v>
      </c>
      <c r="BI225" t="s">
        <v>98</v>
      </c>
      <c r="BJ225" t="s">
        <v>1116</v>
      </c>
      <c r="BL225" t="s">
        <v>412</v>
      </c>
    </row>
    <row r="226" spans="1:64" hidden="1" x14ac:dyDescent="0.2">
      <c r="A226">
        <v>971</v>
      </c>
      <c r="B226">
        <v>4027015459</v>
      </c>
      <c r="C226" t="s">
        <v>101</v>
      </c>
      <c r="D226" t="s">
        <v>1042</v>
      </c>
      <c r="E226" t="s">
        <v>65</v>
      </c>
      <c r="F226" t="s">
        <v>66</v>
      </c>
      <c r="G226" t="s">
        <v>67</v>
      </c>
      <c r="H226" t="s">
        <v>68</v>
      </c>
      <c r="I226" t="s">
        <v>350</v>
      </c>
      <c r="J226" t="s">
        <v>351</v>
      </c>
      <c r="K226" t="s">
        <v>352</v>
      </c>
      <c r="M226" t="s">
        <v>72</v>
      </c>
      <c r="N226" t="s">
        <v>353</v>
      </c>
      <c r="O226" t="s">
        <v>352</v>
      </c>
      <c r="P226" t="s">
        <v>180</v>
      </c>
      <c r="Q226" t="s">
        <v>75</v>
      </c>
      <c r="R226" t="s">
        <v>977</v>
      </c>
      <c r="S226" t="s">
        <v>1039</v>
      </c>
      <c r="T226" t="s">
        <v>78</v>
      </c>
      <c r="U226" t="s">
        <v>646</v>
      </c>
      <c r="V226" t="s">
        <v>80</v>
      </c>
      <c r="W226" s="1">
        <v>44694</v>
      </c>
      <c r="X226" t="s">
        <v>647</v>
      </c>
      <c r="Y226" t="s">
        <v>1040</v>
      </c>
      <c r="Z226" t="s">
        <v>83</v>
      </c>
      <c r="AA226">
        <v>1</v>
      </c>
      <c r="AB226" t="s">
        <v>657</v>
      </c>
      <c r="AD226" t="s">
        <v>343</v>
      </c>
      <c r="AE226" t="s">
        <v>86</v>
      </c>
      <c r="AF226" t="s">
        <v>146</v>
      </c>
      <c r="AG226" t="s">
        <v>1034</v>
      </c>
      <c r="AI226" t="s">
        <v>90</v>
      </c>
      <c r="AJ226">
        <v>32.389972</v>
      </c>
      <c r="AK226">
        <v>-110.70771000000001</v>
      </c>
      <c r="AN226">
        <v>2118</v>
      </c>
      <c r="AP226">
        <v>2118</v>
      </c>
      <c r="AQ226">
        <v>2146.1173960000001</v>
      </c>
      <c r="AT226">
        <v>13</v>
      </c>
      <c r="AU226">
        <v>5</v>
      </c>
      <c r="AV226">
        <v>2022</v>
      </c>
      <c r="AW226">
        <v>4972385</v>
      </c>
      <c r="AX226">
        <v>2437431</v>
      </c>
      <c r="AY226" t="s">
        <v>106</v>
      </c>
      <c r="AZ226" t="s">
        <v>92</v>
      </c>
      <c r="BA226" t="s">
        <v>107</v>
      </c>
      <c r="BB226" t="s">
        <v>1043</v>
      </c>
      <c r="BC226" t="s">
        <v>97</v>
      </c>
      <c r="BE226" t="s">
        <v>96</v>
      </c>
      <c r="BG226" t="s">
        <v>654</v>
      </c>
      <c r="BI226" t="s">
        <v>98</v>
      </c>
      <c r="BJ226" t="s">
        <v>1044</v>
      </c>
      <c r="BL226" t="s">
        <v>110</v>
      </c>
    </row>
    <row r="227" spans="1:64" hidden="1" x14ac:dyDescent="0.2">
      <c r="A227">
        <v>1087</v>
      </c>
      <c r="B227">
        <v>4027015343</v>
      </c>
      <c r="C227" t="s">
        <v>101</v>
      </c>
      <c r="D227" t="s">
        <v>1052</v>
      </c>
      <c r="E227" t="s">
        <v>65</v>
      </c>
      <c r="F227" t="s">
        <v>66</v>
      </c>
      <c r="G227" t="s">
        <v>67</v>
      </c>
      <c r="H227" t="s">
        <v>68</v>
      </c>
      <c r="I227" t="s">
        <v>350</v>
      </c>
      <c r="J227" t="s">
        <v>351</v>
      </c>
      <c r="K227" t="s">
        <v>352</v>
      </c>
      <c r="M227" t="s">
        <v>72</v>
      </c>
      <c r="N227" t="s">
        <v>353</v>
      </c>
      <c r="O227" t="s">
        <v>352</v>
      </c>
      <c r="P227" t="s">
        <v>180</v>
      </c>
      <c r="Q227" t="s">
        <v>75</v>
      </c>
      <c r="R227" t="s">
        <v>977</v>
      </c>
      <c r="S227" t="s">
        <v>1046</v>
      </c>
      <c r="T227" t="s">
        <v>78</v>
      </c>
      <c r="U227" t="s">
        <v>646</v>
      </c>
      <c r="V227" t="s">
        <v>80</v>
      </c>
      <c r="W227" s="1">
        <v>44694</v>
      </c>
      <c r="X227" t="s">
        <v>647</v>
      </c>
      <c r="Y227" t="s">
        <v>1047</v>
      </c>
      <c r="Z227" t="s">
        <v>83</v>
      </c>
      <c r="AA227">
        <v>1</v>
      </c>
      <c r="AB227" t="s">
        <v>672</v>
      </c>
      <c r="AD227" t="s">
        <v>134</v>
      </c>
      <c r="AE227" t="s">
        <v>86</v>
      </c>
      <c r="AF227" t="s">
        <v>146</v>
      </c>
      <c r="AG227" t="s">
        <v>1049</v>
      </c>
      <c r="AH227" t="s">
        <v>1053</v>
      </c>
      <c r="AI227" t="s">
        <v>90</v>
      </c>
      <c r="AJ227">
        <v>32.389597999999999</v>
      </c>
      <c r="AK227">
        <v>-110.708088</v>
      </c>
      <c r="AN227">
        <v>2118</v>
      </c>
      <c r="AP227">
        <v>2118</v>
      </c>
      <c r="AQ227">
        <v>2145.1724690000001</v>
      </c>
      <c r="AT227">
        <v>13</v>
      </c>
      <c r="AU227">
        <v>5</v>
      </c>
      <c r="AV227">
        <v>2022</v>
      </c>
      <c r="AW227">
        <v>4972385</v>
      </c>
      <c r="AX227">
        <v>2437431</v>
      </c>
      <c r="AY227" t="s">
        <v>106</v>
      </c>
      <c r="AZ227" t="s">
        <v>92</v>
      </c>
      <c r="BA227" t="s">
        <v>107</v>
      </c>
      <c r="BB227" t="s">
        <v>1054</v>
      </c>
      <c r="BC227" t="s">
        <v>97</v>
      </c>
      <c r="BE227" t="s">
        <v>96</v>
      </c>
      <c r="BG227" t="s">
        <v>654</v>
      </c>
      <c r="BI227" t="s">
        <v>98</v>
      </c>
      <c r="BJ227" t="s">
        <v>926</v>
      </c>
      <c r="BL227" t="s">
        <v>110</v>
      </c>
    </row>
    <row r="228" spans="1:64" hidden="1" x14ac:dyDescent="0.2">
      <c r="A228">
        <v>964</v>
      </c>
      <c r="B228">
        <v>4027015466</v>
      </c>
      <c r="C228" t="s">
        <v>101</v>
      </c>
      <c r="D228" t="s">
        <v>1140</v>
      </c>
      <c r="E228" t="s">
        <v>65</v>
      </c>
      <c r="F228" t="s">
        <v>66</v>
      </c>
      <c r="G228" t="s">
        <v>67</v>
      </c>
      <c r="H228" t="s">
        <v>68</v>
      </c>
      <c r="I228" t="s">
        <v>176</v>
      </c>
      <c r="J228" t="s">
        <v>177</v>
      </c>
      <c r="K228" t="s">
        <v>178</v>
      </c>
      <c r="M228" t="s">
        <v>72</v>
      </c>
      <c r="N228" t="s">
        <v>179</v>
      </c>
      <c r="O228" t="s">
        <v>178</v>
      </c>
      <c r="P228" t="s">
        <v>180</v>
      </c>
      <c r="Q228" t="s">
        <v>75</v>
      </c>
      <c r="R228" t="s">
        <v>814</v>
      </c>
      <c r="S228" t="s">
        <v>1137</v>
      </c>
      <c r="T228" t="s">
        <v>78</v>
      </c>
      <c r="U228" t="s">
        <v>646</v>
      </c>
      <c r="V228" t="s">
        <v>80</v>
      </c>
      <c r="W228" s="1">
        <v>44695</v>
      </c>
      <c r="X228" t="s">
        <v>647</v>
      </c>
      <c r="Y228" t="s">
        <v>1138</v>
      </c>
      <c r="Z228" t="s">
        <v>83</v>
      </c>
      <c r="AA228">
        <v>1</v>
      </c>
      <c r="AB228" t="s">
        <v>677</v>
      </c>
      <c r="AC228">
        <v>0</v>
      </c>
      <c r="AD228" t="s">
        <v>128</v>
      </c>
      <c r="AE228" t="s">
        <v>86</v>
      </c>
      <c r="AF228" t="s">
        <v>146</v>
      </c>
      <c r="AG228" t="s">
        <v>1091</v>
      </c>
      <c r="AI228" t="s">
        <v>90</v>
      </c>
      <c r="AJ228">
        <v>32.390192999999996</v>
      </c>
      <c r="AK228">
        <v>-110.710319</v>
      </c>
      <c r="AL228">
        <v>3</v>
      </c>
      <c r="AN228">
        <v>2138</v>
      </c>
      <c r="AP228">
        <v>2138</v>
      </c>
      <c r="AQ228">
        <v>2152.6055980000001</v>
      </c>
      <c r="AT228">
        <v>14</v>
      </c>
      <c r="AU228">
        <v>5</v>
      </c>
      <c r="AV228">
        <v>2022</v>
      </c>
      <c r="AW228">
        <v>2438038</v>
      </c>
      <c r="AX228">
        <v>2438038</v>
      </c>
      <c r="AY228" t="s">
        <v>106</v>
      </c>
      <c r="AZ228" t="s">
        <v>92</v>
      </c>
      <c r="BA228" t="s">
        <v>107</v>
      </c>
      <c r="BB228" t="s">
        <v>1141</v>
      </c>
      <c r="BC228" t="s">
        <v>97</v>
      </c>
      <c r="BE228" t="s">
        <v>96</v>
      </c>
      <c r="BG228" t="s">
        <v>1081</v>
      </c>
      <c r="BI228" t="s">
        <v>98</v>
      </c>
      <c r="BJ228" t="s">
        <v>1011</v>
      </c>
      <c r="BL228" t="s">
        <v>412</v>
      </c>
    </row>
    <row r="229" spans="1:64" hidden="1" x14ac:dyDescent="0.2">
      <c r="A229">
        <v>1016</v>
      </c>
      <c r="B229">
        <v>4027015414</v>
      </c>
      <c r="C229" t="s">
        <v>101</v>
      </c>
      <c r="D229" t="s">
        <v>1058</v>
      </c>
      <c r="E229" t="s">
        <v>65</v>
      </c>
      <c r="F229" t="s">
        <v>66</v>
      </c>
      <c r="G229" t="s">
        <v>67</v>
      </c>
      <c r="H229" t="s">
        <v>68</v>
      </c>
      <c r="I229" t="s">
        <v>350</v>
      </c>
      <c r="J229" t="s">
        <v>351</v>
      </c>
      <c r="K229" t="s">
        <v>352</v>
      </c>
      <c r="M229" t="s">
        <v>72</v>
      </c>
      <c r="N229" t="s">
        <v>353</v>
      </c>
      <c r="O229" t="s">
        <v>352</v>
      </c>
      <c r="P229" t="s">
        <v>180</v>
      </c>
      <c r="Q229" t="s">
        <v>75</v>
      </c>
      <c r="R229" t="s">
        <v>977</v>
      </c>
      <c r="S229" t="s">
        <v>1046</v>
      </c>
      <c r="T229" t="s">
        <v>78</v>
      </c>
      <c r="U229" t="s">
        <v>646</v>
      </c>
      <c r="V229" t="s">
        <v>80</v>
      </c>
      <c r="W229" s="1">
        <v>44694</v>
      </c>
      <c r="X229" t="s">
        <v>647</v>
      </c>
      <c r="Y229" t="s">
        <v>1047</v>
      </c>
      <c r="Z229" t="s">
        <v>83</v>
      </c>
      <c r="AA229">
        <v>1</v>
      </c>
      <c r="AB229" t="s">
        <v>657</v>
      </c>
      <c r="AD229" t="s">
        <v>112</v>
      </c>
      <c r="AE229" t="s">
        <v>86</v>
      </c>
      <c r="AF229" t="s">
        <v>146</v>
      </c>
      <c r="AG229" t="s">
        <v>1049</v>
      </c>
      <c r="AH229" t="s">
        <v>1059</v>
      </c>
      <c r="AI229" t="s">
        <v>90</v>
      </c>
      <c r="AJ229">
        <v>32.389597999999999</v>
      </c>
      <c r="AK229">
        <v>-110.708088</v>
      </c>
      <c r="AN229">
        <v>2118</v>
      </c>
      <c r="AP229">
        <v>2118</v>
      </c>
      <c r="AQ229">
        <v>2145.1724690000001</v>
      </c>
      <c r="AT229">
        <v>13</v>
      </c>
      <c r="AU229">
        <v>5</v>
      </c>
      <c r="AV229">
        <v>2022</v>
      </c>
      <c r="AW229">
        <v>4972385</v>
      </c>
      <c r="AX229">
        <v>2437431</v>
      </c>
      <c r="AY229" t="s">
        <v>106</v>
      </c>
      <c r="AZ229" t="s">
        <v>92</v>
      </c>
      <c r="BA229" t="s">
        <v>107</v>
      </c>
      <c r="BB229" t="s">
        <v>1060</v>
      </c>
      <c r="BC229" t="s">
        <v>97</v>
      </c>
      <c r="BE229" t="s">
        <v>96</v>
      </c>
      <c r="BG229" t="s">
        <v>654</v>
      </c>
      <c r="BI229" t="s">
        <v>98</v>
      </c>
      <c r="BJ229" t="s">
        <v>939</v>
      </c>
      <c r="BL229" t="s">
        <v>110</v>
      </c>
    </row>
    <row r="230" spans="1:64" hidden="1" x14ac:dyDescent="0.2">
      <c r="A230">
        <v>1015</v>
      </c>
      <c r="B230">
        <v>4027015415</v>
      </c>
      <c r="C230" t="s">
        <v>101</v>
      </c>
      <c r="D230" t="s">
        <v>1061</v>
      </c>
      <c r="E230" t="s">
        <v>65</v>
      </c>
      <c r="F230" t="s">
        <v>66</v>
      </c>
      <c r="G230" t="s">
        <v>67</v>
      </c>
      <c r="H230" t="s">
        <v>68</v>
      </c>
      <c r="I230" t="s">
        <v>350</v>
      </c>
      <c r="J230" t="s">
        <v>351</v>
      </c>
      <c r="K230" t="s">
        <v>352</v>
      </c>
      <c r="M230" t="s">
        <v>72</v>
      </c>
      <c r="N230" t="s">
        <v>353</v>
      </c>
      <c r="O230" t="s">
        <v>352</v>
      </c>
      <c r="P230" t="s">
        <v>180</v>
      </c>
      <c r="Q230" t="s">
        <v>75</v>
      </c>
      <c r="R230" t="s">
        <v>977</v>
      </c>
      <c r="S230" t="s">
        <v>1046</v>
      </c>
      <c r="T230" t="s">
        <v>78</v>
      </c>
      <c r="U230" t="s">
        <v>646</v>
      </c>
      <c r="V230" t="s">
        <v>80</v>
      </c>
      <c r="W230" s="1">
        <v>44694</v>
      </c>
      <c r="X230" t="s">
        <v>647</v>
      </c>
      <c r="Y230" t="s">
        <v>1047</v>
      </c>
      <c r="Z230" t="s">
        <v>83</v>
      </c>
      <c r="AA230">
        <v>1</v>
      </c>
      <c r="AB230" t="s">
        <v>657</v>
      </c>
      <c r="AD230" t="s">
        <v>116</v>
      </c>
      <c r="AE230" t="s">
        <v>86</v>
      </c>
      <c r="AF230" t="s">
        <v>146</v>
      </c>
      <c r="AG230" t="s">
        <v>1049</v>
      </c>
      <c r="AH230" t="s">
        <v>1059</v>
      </c>
      <c r="AI230" t="s">
        <v>90</v>
      </c>
      <c r="AJ230">
        <v>32.389597999999999</v>
      </c>
      <c r="AK230">
        <v>-110.708088</v>
      </c>
      <c r="AN230">
        <v>2118</v>
      </c>
      <c r="AP230">
        <v>2118</v>
      </c>
      <c r="AQ230">
        <v>2145.1724690000001</v>
      </c>
      <c r="AT230">
        <v>13</v>
      </c>
      <c r="AU230">
        <v>5</v>
      </c>
      <c r="AV230">
        <v>2022</v>
      </c>
      <c r="AW230">
        <v>4972385</v>
      </c>
      <c r="AX230">
        <v>2437431</v>
      </c>
      <c r="AY230" t="s">
        <v>106</v>
      </c>
      <c r="AZ230" t="s">
        <v>92</v>
      </c>
      <c r="BA230" t="s">
        <v>107</v>
      </c>
      <c r="BB230" t="s">
        <v>1062</v>
      </c>
      <c r="BC230" t="s">
        <v>97</v>
      </c>
      <c r="BE230" t="s">
        <v>96</v>
      </c>
      <c r="BG230" t="s">
        <v>654</v>
      </c>
      <c r="BI230" t="s">
        <v>98</v>
      </c>
      <c r="BJ230" t="s">
        <v>930</v>
      </c>
      <c r="BL230" t="s">
        <v>110</v>
      </c>
    </row>
    <row r="231" spans="1:64" hidden="1" x14ac:dyDescent="0.2">
      <c r="A231">
        <v>1014</v>
      </c>
      <c r="B231">
        <v>4027015416</v>
      </c>
      <c r="C231" t="s">
        <v>101</v>
      </c>
      <c r="D231" t="s">
        <v>1063</v>
      </c>
      <c r="E231" t="s">
        <v>65</v>
      </c>
      <c r="F231" t="s">
        <v>66</v>
      </c>
      <c r="G231" t="s">
        <v>67</v>
      </c>
      <c r="H231" t="s">
        <v>68</v>
      </c>
      <c r="I231" t="s">
        <v>350</v>
      </c>
      <c r="J231" t="s">
        <v>351</v>
      </c>
      <c r="K231" t="s">
        <v>352</v>
      </c>
      <c r="M231" t="s">
        <v>72</v>
      </c>
      <c r="N231" t="s">
        <v>353</v>
      </c>
      <c r="O231" t="s">
        <v>352</v>
      </c>
      <c r="P231" t="s">
        <v>180</v>
      </c>
      <c r="Q231" t="s">
        <v>75</v>
      </c>
      <c r="R231" t="s">
        <v>977</v>
      </c>
      <c r="S231" t="s">
        <v>1046</v>
      </c>
      <c r="T231" t="s">
        <v>78</v>
      </c>
      <c r="U231" t="s">
        <v>646</v>
      </c>
      <c r="V231" t="s">
        <v>80</v>
      </c>
      <c r="W231" s="1">
        <v>44694</v>
      </c>
      <c r="X231" t="s">
        <v>647</v>
      </c>
      <c r="Y231" t="s">
        <v>1047</v>
      </c>
      <c r="Z231" t="s">
        <v>83</v>
      </c>
      <c r="AA231">
        <v>1</v>
      </c>
      <c r="AB231" t="s">
        <v>657</v>
      </c>
      <c r="AD231" t="s">
        <v>104</v>
      </c>
      <c r="AE231" t="s">
        <v>86</v>
      </c>
      <c r="AF231" t="s">
        <v>146</v>
      </c>
      <c r="AG231" t="s">
        <v>1049</v>
      </c>
      <c r="AH231" t="s">
        <v>1059</v>
      </c>
      <c r="AI231" t="s">
        <v>90</v>
      </c>
      <c r="AJ231">
        <v>32.389597999999999</v>
      </c>
      <c r="AK231">
        <v>-110.708088</v>
      </c>
      <c r="AN231">
        <v>2118</v>
      </c>
      <c r="AP231">
        <v>2118</v>
      </c>
      <c r="AQ231">
        <v>2145.1724690000001</v>
      </c>
      <c r="AT231">
        <v>13</v>
      </c>
      <c r="AU231">
        <v>5</v>
      </c>
      <c r="AV231">
        <v>2022</v>
      </c>
      <c r="AW231">
        <v>4972385</v>
      </c>
      <c r="AX231">
        <v>2437431</v>
      </c>
      <c r="AY231" t="s">
        <v>106</v>
      </c>
      <c r="AZ231" t="s">
        <v>92</v>
      </c>
      <c r="BA231" t="s">
        <v>107</v>
      </c>
      <c r="BB231" t="s">
        <v>1064</v>
      </c>
      <c r="BC231" t="s">
        <v>97</v>
      </c>
      <c r="BE231" t="s">
        <v>96</v>
      </c>
      <c r="BG231" t="s">
        <v>654</v>
      </c>
      <c r="BI231" t="s">
        <v>98</v>
      </c>
      <c r="BJ231" t="s">
        <v>972</v>
      </c>
      <c r="BL231" t="s">
        <v>110</v>
      </c>
    </row>
    <row r="232" spans="1:64" hidden="1" x14ac:dyDescent="0.2">
      <c r="A232">
        <v>963</v>
      </c>
      <c r="B232">
        <v>4027015467</v>
      </c>
      <c r="C232" t="s">
        <v>101</v>
      </c>
      <c r="D232" t="s">
        <v>1142</v>
      </c>
      <c r="E232" t="s">
        <v>65</v>
      </c>
      <c r="F232" t="s">
        <v>66</v>
      </c>
      <c r="G232" t="s">
        <v>67</v>
      </c>
      <c r="H232" t="s">
        <v>68</v>
      </c>
      <c r="I232" t="s">
        <v>350</v>
      </c>
      <c r="J232" t="s">
        <v>351</v>
      </c>
      <c r="K232" t="s">
        <v>352</v>
      </c>
      <c r="M232" t="s">
        <v>72</v>
      </c>
      <c r="N232" t="s">
        <v>353</v>
      </c>
      <c r="O232" t="s">
        <v>352</v>
      </c>
      <c r="P232" t="s">
        <v>180</v>
      </c>
      <c r="Q232" t="s">
        <v>75</v>
      </c>
      <c r="R232" t="s">
        <v>814</v>
      </c>
      <c r="S232" t="s">
        <v>1143</v>
      </c>
      <c r="T232" t="s">
        <v>78</v>
      </c>
      <c r="U232" t="s">
        <v>646</v>
      </c>
      <c r="V232" t="s">
        <v>80</v>
      </c>
      <c r="W232" s="1">
        <v>44695</v>
      </c>
      <c r="X232" t="s">
        <v>647</v>
      </c>
      <c r="Y232" t="s">
        <v>1144</v>
      </c>
      <c r="Z232" t="s">
        <v>83</v>
      </c>
      <c r="AA232">
        <v>1</v>
      </c>
      <c r="AB232" t="s">
        <v>677</v>
      </c>
      <c r="AC232">
        <v>0</v>
      </c>
      <c r="AD232" t="s">
        <v>128</v>
      </c>
      <c r="AE232" t="s">
        <v>145</v>
      </c>
      <c r="AF232" t="s">
        <v>146</v>
      </c>
      <c r="AG232" t="s">
        <v>765</v>
      </c>
      <c r="AI232" t="s">
        <v>90</v>
      </c>
      <c r="AJ232">
        <v>32.390300000000003</v>
      </c>
      <c r="AK232">
        <v>-110.710455</v>
      </c>
      <c r="AL232">
        <v>3</v>
      </c>
      <c r="AN232">
        <v>2140</v>
      </c>
      <c r="AP232">
        <v>2140</v>
      </c>
      <c r="AQ232">
        <v>2157.6699979999999</v>
      </c>
      <c r="AT232">
        <v>14</v>
      </c>
      <c r="AU232">
        <v>5</v>
      </c>
      <c r="AV232">
        <v>2022</v>
      </c>
      <c r="AW232">
        <v>4972385</v>
      </c>
      <c r="AX232">
        <v>2437431</v>
      </c>
      <c r="AY232" t="s">
        <v>106</v>
      </c>
      <c r="AZ232" t="s">
        <v>92</v>
      </c>
      <c r="BA232" t="s">
        <v>107</v>
      </c>
      <c r="BB232" t="s">
        <v>1145</v>
      </c>
      <c r="BC232" t="s">
        <v>97</v>
      </c>
      <c r="BE232" t="s">
        <v>96</v>
      </c>
      <c r="BG232" t="s">
        <v>1081</v>
      </c>
      <c r="BI232" t="s">
        <v>98</v>
      </c>
      <c r="BJ232" t="s">
        <v>1146</v>
      </c>
      <c r="BL232" t="s">
        <v>412</v>
      </c>
    </row>
    <row r="233" spans="1:64" hidden="1" x14ac:dyDescent="0.2">
      <c r="A233">
        <v>1009</v>
      </c>
      <c r="B233">
        <v>4027015421</v>
      </c>
      <c r="C233" t="s">
        <v>101</v>
      </c>
      <c r="D233" t="s">
        <v>1069</v>
      </c>
      <c r="E233" t="s">
        <v>65</v>
      </c>
      <c r="F233" t="s">
        <v>66</v>
      </c>
      <c r="G233" t="s">
        <v>67</v>
      </c>
      <c r="H233" t="s">
        <v>68</v>
      </c>
      <c r="I233" t="s">
        <v>350</v>
      </c>
      <c r="J233" t="s">
        <v>351</v>
      </c>
      <c r="K233" t="s">
        <v>352</v>
      </c>
      <c r="M233" t="s">
        <v>72</v>
      </c>
      <c r="N233" t="s">
        <v>353</v>
      </c>
      <c r="O233" t="s">
        <v>352</v>
      </c>
      <c r="P233" t="s">
        <v>180</v>
      </c>
      <c r="Q233" t="s">
        <v>75</v>
      </c>
      <c r="R233" t="s">
        <v>977</v>
      </c>
      <c r="S233" t="s">
        <v>1066</v>
      </c>
      <c r="T233" t="s">
        <v>78</v>
      </c>
      <c r="U233" t="s">
        <v>646</v>
      </c>
      <c r="V233" t="s">
        <v>80</v>
      </c>
      <c r="W233" s="1">
        <v>44694</v>
      </c>
      <c r="X233" t="s">
        <v>647</v>
      </c>
      <c r="Y233" t="s">
        <v>1067</v>
      </c>
      <c r="Z233" t="s">
        <v>83</v>
      </c>
      <c r="AA233">
        <v>1</v>
      </c>
      <c r="AB233" t="s">
        <v>657</v>
      </c>
      <c r="AD233" t="s">
        <v>343</v>
      </c>
      <c r="AE233" t="s">
        <v>145</v>
      </c>
      <c r="AF233" t="s">
        <v>146</v>
      </c>
      <c r="AG233" t="s">
        <v>765</v>
      </c>
      <c r="AI233" t="s">
        <v>90</v>
      </c>
      <c r="AJ233">
        <v>32.389420000000001</v>
      </c>
      <c r="AK233">
        <v>-110.708095</v>
      </c>
      <c r="AN233">
        <v>2117</v>
      </c>
      <c r="AP233">
        <v>2117</v>
      </c>
      <c r="AQ233">
        <v>2148.5174910000001</v>
      </c>
      <c r="AT233">
        <v>13</v>
      </c>
      <c r="AU233">
        <v>5</v>
      </c>
      <c r="AV233">
        <v>2022</v>
      </c>
      <c r="AW233">
        <v>4972385</v>
      </c>
      <c r="AX233">
        <v>2437431</v>
      </c>
      <c r="AY233" t="s">
        <v>106</v>
      </c>
      <c r="AZ233" t="s">
        <v>92</v>
      </c>
      <c r="BA233" t="s">
        <v>107</v>
      </c>
      <c r="BB233" t="s">
        <v>1070</v>
      </c>
      <c r="BC233" t="s">
        <v>97</v>
      </c>
      <c r="BE233" t="s">
        <v>96</v>
      </c>
      <c r="BG233" t="s">
        <v>654</v>
      </c>
      <c r="BI233" t="s">
        <v>98</v>
      </c>
      <c r="BJ233" t="s">
        <v>930</v>
      </c>
      <c r="BL233" t="s">
        <v>412</v>
      </c>
    </row>
    <row r="234" spans="1:64" hidden="1" x14ac:dyDescent="0.2">
      <c r="A234">
        <v>1007</v>
      </c>
      <c r="B234">
        <v>4027015423</v>
      </c>
      <c r="C234" t="s">
        <v>101</v>
      </c>
      <c r="D234" t="s">
        <v>1071</v>
      </c>
      <c r="E234" t="s">
        <v>65</v>
      </c>
      <c r="F234" t="s">
        <v>66</v>
      </c>
      <c r="G234" t="s">
        <v>67</v>
      </c>
      <c r="H234" t="s">
        <v>68</v>
      </c>
      <c r="I234" t="s">
        <v>176</v>
      </c>
      <c r="J234" t="s">
        <v>773</v>
      </c>
      <c r="M234" t="s">
        <v>1072</v>
      </c>
      <c r="N234" t="s">
        <v>1073</v>
      </c>
      <c r="O234" t="s">
        <v>773</v>
      </c>
      <c r="P234" t="s">
        <v>1074</v>
      </c>
      <c r="Q234" t="s">
        <v>75</v>
      </c>
      <c r="R234" t="s">
        <v>644</v>
      </c>
      <c r="S234" t="s">
        <v>1075</v>
      </c>
      <c r="T234" t="s">
        <v>78</v>
      </c>
      <c r="U234" t="s">
        <v>646</v>
      </c>
      <c r="V234" t="s">
        <v>80</v>
      </c>
      <c r="W234" s="1">
        <v>44695</v>
      </c>
      <c r="X234" t="s">
        <v>647</v>
      </c>
      <c r="Y234" t="s">
        <v>1076</v>
      </c>
      <c r="Z234" t="s">
        <v>83</v>
      </c>
      <c r="AA234">
        <v>1</v>
      </c>
      <c r="AB234" t="s">
        <v>657</v>
      </c>
      <c r="AD234" t="s">
        <v>1077</v>
      </c>
      <c r="AE234" t="s">
        <v>1078</v>
      </c>
      <c r="AF234" t="s">
        <v>1079</v>
      </c>
      <c r="AG234" t="s">
        <v>875</v>
      </c>
      <c r="AI234" t="s">
        <v>90</v>
      </c>
      <c r="AJ234">
        <v>32.387737999999999</v>
      </c>
      <c r="AK234">
        <v>-110.712154</v>
      </c>
      <c r="AL234">
        <v>3</v>
      </c>
      <c r="AN234">
        <v>2104</v>
      </c>
      <c r="AP234">
        <v>2104</v>
      </c>
      <c r="AQ234">
        <v>2122.6280889999998</v>
      </c>
      <c r="AT234">
        <v>14</v>
      </c>
      <c r="AU234">
        <v>5</v>
      </c>
      <c r="AV234">
        <v>2022</v>
      </c>
      <c r="AW234">
        <v>2438433</v>
      </c>
      <c r="AY234" t="s">
        <v>106</v>
      </c>
      <c r="AZ234" t="s">
        <v>92</v>
      </c>
      <c r="BA234" t="s">
        <v>107</v>
      </c>
      <c r="BB234" t="s">
        <v>1080</v>
      </c>
      <c r="BC234" t="s">
        <v>97</v>
      </c>
      <c r="BE234" t="s">
        <v>96</v>
      </c>
      <c r="BG234" t="s">
        <v>1081</v>
      </c>
      <c r="BI234" t="s">
        <v>98</v>
      </c>
      <c r="BJ234" t="s">
        <v>930</v>
      </c>
      <c r="BL234" t="s">
        <v>110</v>
      </c>
    </row>
    <row r="235" spans="1:64" hidden="1" x14ac:dyDescent="0.2">
      <c r="A235">
        <v>962</v>
      </c>
      <c r="B235">
        <v>4027015468</v>
      </c>
      <c r="C235" t="s">
        <v>101</v>
      </c>
      <c r="D235" t="s">
        <v>1149</v>
      </c>
      <c r="E235" t="s">
        <v>65</v>
      </c>
      <c r="F235" t="s">
        <v>66</v>
      </c>
      <c r="G235" t="s">
        <v>67</v>
      </c>
      <c r="H235" t="s">
        <v>68</v>
      </c>
      <c r="I235" t="s">
        <v>176</v>
      </c>
      <c r="J235" t="s">
        <v>177</v>
      </c>
      <c r="K235" t="s">
        <v>178</v>
      </c>
      <c r="M235" t="s">
        <v>72</v>
      </c>
      <c r="N235" t="s">
        <v>179</v>
      </c>
      <c r="O235" t="s">
        <v>178</v>
      </c>
      <c r="P235" t="s">
        <v>180</v>
      </c>
      <c r="Q235" t="s">
        <v>75</v>
      </c>
      <c r="R235" t="s">
        <v>977</v>
      </c>
      <c r="S235" t="s">
        <v>1150</v>
      </c>
      <c r="T235" t="s">
        <v>78</v>
      </c>
      <c r="U235" t="s">
        <v>646</v>
      </c>
      <c r="V235" t="s">
        <v>80</v>
      </c>
      <c r="W235" s="1">
        <v>44695</v>
      </c>
      <c r="X235" t="s">
        <v>647</v>
      </c>
      <c r="Y235" t="s">
        <v>1151</v>
      </c>
      <c r="Z235" t="s">
        <v>83</v>
      </c>
      <c r="AA235">
        <v>1</v>
      </c>
      <c r="AB235" t="s">
        <v>677</v>
      </c>
      <c r="AC235">
        <v>0</v>
      </c>
      <c r="AD235" t="s">
        <v>128</v>
      </c>
      <c r="AE235" t="s">
        <v>145</v>
      </c>
      <c r="AF235" t="s">
        <v>146</v>
      </c>
      <c r="AG235" t="s">
        <v>765</v>
      </c>
      <c r="AI235" t="s">
        <v>90</v>
      </c>
      <c r="AJ235">
        <v>32.389400000000002</v>
      </c>
      <c r="AK235">
        <v>-110.708213</v>
      </c>
      <c r="AN235">
        <v>2102</v>
      </c>
      <c r="AP235">
        <v>2102</v>
      </c>
      <c r="AQ235">
        <v>2145.8576670000002</v>
      </c>
      <c r="AT235">
        <v>14</v>
      </c>
      <c r="AU235">
        <v>5</v>
      </c>
      <c r="AV235">
        <v>2022</v>
      </c>
      <c r="AW235">
        <v>2438038</v>
      </c>
      <c r="AX235">
        <v>2438038</v>
      </c>
      <c r="AY235" t="s">
        <v>106</v>
      </c>
      <c r="AZ235" t="s">
        <v>92</v>
      </c>
      <c r="BA235" t="s">
        <v>107</v>
      </c>
      <c r="BB235" t="s">
        <v>1152</v>
      </c>
      <c r="BC235" t="s">
        <v>97</v>
      </c>
      <c r="BE235" t="s">
        <v>96</v>
      </c>
      <c r="BG235" t="s">
        <v>1081</v>
      </c>
      <c r="BI235" t="s">
        <v>98</v>
      </c>
      <c r="BJ235" t="s">
        <v>966</v>
      </c>
      <c r="BL235" t="s">
        <v>110</v>
      </c>
    </row>
    <row r="236" spans="1:64" hidden="1" x14ac:dyDescent="0.2">
      <c r="A236">
        <v>1005</v>
      </c>
      <c r="B236">
        <v>4027015425</v>
      </c>
      <c r="C236" t="s">
        <v>101</v>
      </c>
      <c r="D236" t="s">
        <v>1086</v>
      </c>
      <c r="E236" t="s">
        <v>65</v>
      </c>
      <c r="F236" t="s">
        <v>66</v>
      </c>
      <c r="G236" t="s">
        <v>67</v>
      </c>
      <c r="H236" t="s">
        <v>68</v>
      </c>
      <c r="I236" t="s">
        <v>350</v>
      </c>
      <c r="J236" t="s">
        <v>351</v>
      </c>
      <c r="K236" t="s">
        <v>352</v>
      </c>
      <c r="M236" t="s">
        <v>72</v>
      </c>
      <c r="N236" t="s">
        <v>353</v>
      </c>
      <c r="O236" t="s">
        <v>352</v>
      </c>
      <c r="P236" t="s">
        <v>180</v>
      </c>
      <c r="Q236" t="s">
        <v>75</v>
      </c>
      <c r="R236" t="s">
        <v>814</v>
      </c>
      <c r="S236" t="s">
        <v>1083</v>
      </c>
      <c r="T236" t="s">
        <v>78</v>
      </c>
      <c r="U236" t="s">
        <v>646</v>
      </c>
      <c r="V236" t="s">
        <v>80</v>
      </c>
      <c r="W236" s="1">
        <v>44695</v>
      </c>
      <c r="X236" t="s">
        <v>647</v>
      </c>
      <c r="Y236" t="s">
        <v>1084</v>
      </c>
      <c r="Z236" t="s">
        <v>83</v>
      </c>
      <c r="AA236">
        <v>1</v>
      </c>
      <c r="AB236" t="s">
        <v>657</v>
      </c>
      <c r="AD236" t="s">
        <v>343</v>
      </c>
      <c r="AE236" t="s">
        <v>145</v>
      </c>
      <c r="AF236" t="s">
        <v>146</v>
      </c>
      <c r="AG236" t="s">
        <v>765</v>
      </c>
      <c r="AI236" t="s">
        <v>90</v>
      </c>
      <c r="AJ236">
        <v>32.389046999999998</v>
      </c>
      <c r="AK236">
        <v>-110.71096199999999</v>
      </c>
      <c r="AL236">
        <v>3</v>
      </c>
      <c r="AN236">
        <v>2137</v>
      </c>
      <c r="AP236">
        <v>2137</v>
      </c>
      <c r="AQ236">
        <v>2151.2879440000002</v>
      </c>
      <c r="AT236">
        <v>14</v>
      </c>
      <c r="AU236">
        <v>5</v>
      </c>
      <c r="AV236">
        <v>2022</v>
      </c>
      <c r="AW236">
        <v>4972385</v>
      </c>
      <c r="AX236">
        <v>2437431</v>
      </c>
      <c r="AY236" t="s">
        <v>106</v>
      </c>
      <c r="AZ236" t="s">
        <v>92</v>
      </c>
      <c r="BA236" t="s">
        <v>107</v>
      </c>
      <c r="BB236" t="s">
        <v>1087</v>
      </c>
      <c r="BC236" t="s">
        <v>97</v>
      </c>
      <c r="BE236" t="s">
        <v>96</v>
      </c>
      <c r="BG236" t="s">
        <v>1081</v>
      </c>
      <c r="BI236" t="s">
        <v>98</v>
      </c>
      <c r="BJ236" t="s">
        <v>972</v>
      </c>
      <c r="BL236" t="s">
        <v>412</v>
      </c>
    </row>
    <row r="237" spans="1:64" hidden="1" x14ac:dyDescent="0.2">
      <c r="A237">
        <v>959</v>
      </c>
      <c r="B237">
        <v>4027015471</v>
      </c>
      <c r="C237" t="s">
        <v>101</v>
      </c>
      <c r="D237" t="s">
        <v>1158</v>
      </c>
      <c r="E237" t="s">
        <v>65</v>
      </c>
      <c r="F237" t="s">
        <v>66</v>
      </c>
      <c r="G237" t="s">
        <v>67</v>
      </c>
      <c r="H237" t="s">
        <v>68</v>
      </c>
      <c r="I237" t="s">
        <v>176</v>
      </c>
      <c r="J237" t="s">
        <v>177</v>
      </c>
      <c r="K237" t="s">
        <v>178</v>
      </c>
      <c r="M237" t="s">
        <v>72</v>
      </c>
      <c r="N237" t="s">
        <v>179</v>
      </c>
      <c r="O237" t="s">
        <v>178</v>
      </c>
      <c r="P237" t="s">
        <v>180</v>
      </c>
      <c r="Q237" t="s">
        <v>75</v>
      </c>
      <c r="R237" t="s">
        <v>977</v>
      </c>
      <c r="S237" t="s">
        <v>1159</v>
      </c>
      <c r="T237" t="s">
        <v>78</v>
      </c>
      <c r="U237" t="s">
        <v>646</v>
      </c>
      <c r="V237" t="s">
        <v>80</v>
      </c>
      <c r="W237" s="1">
        <v>44695</v>
      </c>
      <c r="X237" t="s">
        <v>647</v>
      </c>
      <c r="Y237" t="s">
        <v>1160</v>
      </c>
      <c r="Z237" t="s">
        <v>83</v>
      </c>
      <c r="AA237">
        <v>1</v>
      </c>
      <c r="AB237" t="s">
        <v>677</v>
      </c>
      <c r="AC237">
        <v>0</v>
      </c>
      <c r="AD237" t="s">
        <v>128</v>
      </c>
      <c r="AE237" t="s">
        <v>86</v>
      </c>
      <c r="AF237" t="s">
        <v>146</v>
      </c>
      <c r="AG237" t="s">
        <v>1161</v>
      </c>
      <c r="AI237" t="s">
        <v>90</v>
      </c>
      <c r="AJ237">
        <v>32.389332000000003</v>
      </c>
      <c r="AK237">
        <v>-110.708237</v>
      </c>
      <c r="AN237">
        <v>2102</v>
      </c>
      <c r="AP237">
        <v>2102</v>
      </c>
      <c r="AQ237">
        <v>2147.401249</v>
      </c>
      <c r="AT237">
        <v>14</v>
      </c>
      <c r="AU237">
        <v>5</v>
      </c>
      <c r="AV237">
        <v>2022</v>
      </c>
      <c r="AW237">
        <v>2438038</v>
      </c>
      <c r="AX237">
        <v>2438038</v>
      </c>
      <c r="AY237" t="s">
        <v>106</v>
      </c>
      <c r="AZ237" t="s">
        <v>92</v>
      </c>
      <c r="BA237" t="s">
        <v>107</v>
      </c>
      <c r="BB237" t="s">
        <v>1162</v>
      </c>
      <c r="BC237" t="s">
        <v>97</v>
      </c>
      <c r="BE237" t="s">
        <v>96</v>
      </c>
      <c r="BG237" t="s">
        <v>1081</v>
      </c>
      <c r="BI237" t="s">
        <v>98</v>
      </c>
      <c r="BJ237" t="s">
        <v>966</v>
      </c>
      <c r="BL237" t="s">
        <v>110</v>
      </c>
    </row>
    <row r="238" spans="1:64" hidden="1" x14ac:dyDescent="0.2">
      <c r="A238">
        <v>1003</v>
      </c>
      <c r="B238">
        <v>4027015427</v>
      </c>
      <c r="C238" t="s">
        <v>101</v>
      </c>
      <c r="D238" t="s">
        <v>1093</v>
      </c>
      <c r="E238" t="s">
        <v>65</v>
      </c>
      <c r="F238" t="s">
        <v>66</v>
      </c>
      <c r="G238" t="s">
        <v>67</v>
      </c>
      <c r="H238" t="s">
        <v>68</v>
      </c>
      <c r="I238" t="s">
        <v>176</v>
      </c>
      <c r="J238" t="s">
        <v>177</v>
      </c>
      <c r="K238" t="s">
        <v>178</v>
      </c>
      <c r="M238" t="s">
        <v>72</v>
      </c>
      <c r="N238" t="s">
        <v>179</v>
      </c>
      <c r="O238" t="s">
        <v>178</v>
      </c>
      <c r="P238" t="s">
        <v>180</v>
      </c>
      <c r="Q238" t="s">
        <v>75</v>
      </c>
      <c r="R238" t="s">
        <v>814</v>
      </c>
      <c r="S238" t="s">
        <v>1089</v>
      </c>
      <c r="T238" t="s">
        <v>78</v>
      </c>
      <c r="U238" t="s">
        <v>646</v>
      </c>
      <c r="V238" t="s">
        <v>80</v>
      </c>
      <c r="W238" s="1">
        <v>44695</v>
      </c>
      <c r="X238" t="s">
        <v>647</v>
      </c>
      <c r="Y238" t="s">
        <v>1090</v>
      </c>
      <c r="Z238" t="s">
        <v>83</v>
      </c>
      <c r="AA238">
        <v>1</v>
      </c>
      <c r="AB238" t="s">
        <v>657</v>
      </c>
      <c r="AD238" t="s">
        <v>343</v>
      </c>
      <c r="AE238" t="s">
        <v>86</v>
      </c>
      <c r="AF238" t="s">
        <v>146</v>
      </c>
      <c r="AG238" t="s">
        <v>1091</v>
      </c>
      <c r="AI238" t="s">
        <v>90</v>
      </c>
      <c r="AJ238">
        <v>32.388897999999998</v>
      </c>
      <c r="AK238">
        <v>-110.711045</v>
      </c>
      <c r="AL238">
        <v>3</v>
      </c>
      <c r="AN238">
        <v>2140</v>
      </c>
      <c r="AP238">
        <v>2140</v>
      </c>
      <c r="AQ238">
        <v>2151.2350029999998</v>
      </c>
      <c r="AT238">
        <v>14</v>
      </c>
      <c r="AU238">
        <v>5</v>
      </c>
      <c r="AV238">
        <v>2022</v>
      </c>
      <c r="AW238">
        <v>2438038</v>
      </c>
      <c r="AX238">
        <v>2438038</v>
      </c>
      <c r="AY238" t="s">
        <v>106</v>
      </c>
      <c r="AZ238" t="s">
        <v>92</v>
      </c>
      <c r="BA238" t="s">
        <v>107</v>
      </c>
      <c r="BB238" t="s">
        <v>1094</v>
      </c>
      <c r="BC238" t="s">
        <v>97</v>
      </c>
      <c r="BE238" t="s">
        <v>96</v>
      </c>
      <c r="BG238" t="s">
        <v>1081</v>
      </c>
      <c r="BI238" t="s">
        <v>98</v>
      </c>
      <c r="BJ238" t="s">
        <v>1044</v>
      </c>
      <c r="BL238" t="s">
        <v>412</v>
      </c>
    </row>
    <row r="239" spans="1:64" hidden="1" x14ac:dyDescent="0.2">
      <c r="A239">
        <v>958</v>
      </c>
      <c r="B239">
        <v>4027015472</v>
      </c>
      <c r="C239" t="s">
        <v>101</v>
      </c>
      <c r="D239" t="s">
        <v>1165</v>
      </c>
      <c r="E239" t="s">
        <v>65</v>
      </c>
      <c r="F239" t="s">
        <v>66</v>
      </c>
      <c r="G239" t="s">
        <v>67</v>
      </c>
      <c r="H239" t="s">
        <v>68</v>
      </c>
      <c r="I239" t="s">
        <v>350</v>
      </c>
      <c r="J239" t="s">
        <v>351</v>
      </c>
      <c r="K239" t="s">
        <v>352</v>
      </c>
      <c r="M239" t="s">
        <v>72</v>
      </c>
      <c r="N239" t="s">
        <v>353</v>
      </c>
      <c r="O239" t="s">
        <v>352</v>
      </c>
      <c r="P239" t="s">
        <v>180</v>
      </c>
      <c r="Q239" t="s">
        <v>75</v>
      </c>
      <c r="R239" t="s">
        <v>977</v>
      </c>
      <c r="S239" t="s">
        <v>1166</v>
      </c>
      <c r="T239" t="s">
        <v>78</v>
      </c>
      <c r="U239" t="s">
        <v>646</v>
      </c>
      <c r="V239" t="s">
        <v>80</v>
      </c>
      <c r="W239" s="1">
        <v>44695</v>
      </c>
      <c r="X239" t="s">
        <v>647</v>
      </c>
      <c r="Y239" t="s">
        <v>1167</v>
      </c>
      <c r="Z239" t="s">
        <v>83</v>
      </c>
      <c r="AA239">
        <v>1</v>
      </c>
      <c r="AB239" t="s">
        <v>677</v>
      </c>
      <c r="AC239">
        <v>0</v>
      </c>
      <c r="AD239" t="s">
        <v>128</v>
      </c>
      <c r="AE239" t="s">
        <v>86</v>
      </c>
      <c r="AF239" t="s">
        <v>146</v>
      </c>
      <c r="AG239" t="s">
        <v>1168</v>
      </c>
      <c r="AI239" t="s">
        <v>90</v>
      </c>
      <c r="AJ239">
        <v>32.389265000000002</v>
      </c>
      <c r="AK239">
        <v>-110.708297</v>
      </c>
      <c r="AN239">
        <v>2102</v>
      </c>
      <c r="AP239">
        <v>2102</v>
      </c>
      <c r="AQ239">
        <v>2148.2529119999999</v>
      </c>
      <c r="AT239">
        <v>14</v>
      </c>
      <c r="AU239">
        <v>5</v>
      </c>
      <c r="AV239">
        <v>2022</v>
      </c>
      <c r="AW239">
        <v>4972385</v>
      </c>
      <c r="AX239">
        <v>2437431</v>
      </c>
      <c r="AY239" t="s">
        <v>106</v>
      </c>
      <c r="AZ239" t="s">
        <v>92</v>
      </c>
      <c r="BA239" t="s">
        <v>107</v>
      </c>
      <c r="BB239" t="s">
        <v>1169</v>
      </c>
      <c r="BC239" t="s">
        <v>97</v>
      </c>
      <c r="BE239" t="s">
        <v>96</v>
      </c>
      <c r="BG239" t="s">
        <v>1081</v>
      </c>
      <c r="BI239" t="s">
        <v>98</v>
      </c>
      <c r="BJ239" t="s">
        <v>966</v>
      </c>
      <c r="BL239" t="s">
        <v>110</v>
      </c>
    </row>
    <row r="240" spans="1:64" hidden="1" x14ac:dyDescent="0.2">
      <c r="A240">
        <v>952</v>
      </c>
      <c r="B240">
        <v>4027015478</v>
      </c>
      <c r="C240" t="s">
        <v>101</v>
      </c>
      <c r="D240" t="s">
        <v>1100</v>
      </c>
      <c r="E240" t="s">
        <v>65</v>
      </c>
      <c r="F240" t="s">
        <v>66</v>
      </c>
      <c r="G240" t="s">
        <v>67</v>
      </c>
      <c r="H240" t="s">
        <v>68</v>
      </c>
      <c r="I240" t="s">
        <v>350</v>
      </c>
      <c r="J240" t="s">
        <v>351</v>
      </c>
      <c r="K240" t="s">
        <v>352</v>
      </c>
      <c r="M240" t="s">
        <v>72</v>
      </c>
      <c r="N240" t="s">
        <v>353</v>
      </c>
      <c r="O240" t="s">
        <v>352</v>
      </c>
      <c r="P240" t="s">
        <v>180</v>
      </c>
      <c r="Q240" t="s">
        <v>75</v>
      </c>
      <c r="R240" t="s">
        <v>814</v>
      </c>
      <c r="S240" t="s">
        <v>1096</v>
      </c>
      <c r="T240" t="s">
        <v>78</v>
      </c>
      <c r="U240" t="s">
        <v>646</v>
      </c>
      <c r="V240" t="s">
        <v>80</v>
      </c>
      <c r="W240" s="1">
        <v>44695</v>
      </c>
      <c r="X240" t="s">
        <v>647</v>
      </c>
      <c r="Y240" t="s">
        <v>1097</v>
      </c>
      <c r="Z240" t="s">
        <v>83</v>
      </c>
      <c r="AA240">
        <v>1</v>
      </c>
      <c r="AB240" t="s">
        <v>657</v>
      </c>
      <c r="AD240" t="s">
        <v>343</v>
      </c>
      <c r="AE240" t="s">
        <v>145</v>
      </c>
      <c r="AF240" t="s">
        <v>146</v>
      </c>
      <c r="AG240" t="s">
        <v>765</v>
      </c>
      <c r="AI240" t="s">
        <v>90</v>
      </c>
      <c r="AJ240">
        <v>32.388368</v>
      </c>
      <c r="AK240">
        <v>-110.71142500000001</v>
      </c>
      <c r="AL240">
        <v>3</v>
      </c>
      <c r="AN240">
        <v>2134</v>
      </c>
      <c r="AP240">
        <v>2134</v>
      </c>
      <c r="AQ240">
        <v>2143.6275989999999</v>
      </c>
      <c r="AT240">
        <v>14</v>
      </c>
      <c r="AU240">
        <v>5</v>
      </c>
      <c r="AV240">
        <v>2022</v>
      </c>
      <c r="AW240">
        <v>4972385</v>
      </c>
      <c r="AX240">
        <v>2437431</v>
      </c>
      <c r="AY240" t="s">
        <v>106</v>
      </c>
      <c r="AZ240" t="s">
        <v>92</v>
      </c>
      <c r="BA240" t="s">
        <v>107</v>
      </c>
      <c r="BB240" t="s">
        <v>1101</v>
      </c>
      <c r="BC240" t="s">
        <v>97</v>
      </c>
      <c r="BE240" t="s">
        <v>96</v>
      </c>
      <c r="BG240" t="s">
        <v>1081</v>
      </c>
      <c r="BI240" t="s">
        <v>98</v>
      </c>
      <c r="BJ240" t="s">
        <v>1099</v>
      </c>
      <c r="BL240" t="s">
        <v>412</v>
      </c>
    </row>
    <row r="241" spans="1:64" hidden="1" x14ac:dyDescent="0.2">
      <c r="A241">
        <v>951</v>
      </c>
      <c r="B241">
        <v>4027015479</v>
      </c>
      <c r="C241" t="s">
        <v>101</v>
      </c>
      <c r="D241" t="s">
        <v>1102</v>
      </c>
      <c r="E241" t="s">
        <v>65</v>
      </c>
      <c r="F241" t="s">
        <v>66</v>
      </c>
      <c r="G241" t="s">
        <v>67</v>
      </c>
      <c r="H241" t="s">
        <v>68</v>
      </c>
      <c r="I241" t="s">
        <v>350</v>
      </c>
      <c r="J241" t="s">
        <v>351</v>
      </c>
      <c r="K241" t="s">
        <v>352</v>
      </c>
      <c r="M241" t="s">
        <v>72</v>
      </c>
      <c r="N241" t="s">
        <v>353</v>
      </c>
      <c r="O241" t="s">
        <v>352</v>
      </c>
      <c r="P241" t="s">
        <v>180</v>
      </c>
      <c r="Q241" t="s">
        <v>75</v>
      </c>
      <c r="R241" t="s">
        <v>814</v>
      </c>
      <c r="S241" t="s">
        <v>1103</v>
      </c>
      <c r="T241" t="s">
        <v>78</v>
      </c>
      <c r="U241" t="s">
        <v>646</v>
      </c>
      <c r="V241" t="s">
        <v>80</v>
      </c>
      <c r="W241" s="1">
        <v>44695</v>
      </c>
      <c r="X241" t="s">
        <v>647</v>
      </c>
      <c r="Y241" t="s">
        <v>1104</v>
      </c>
      <c r="Z241" t="s">
        <v>83</v>
      </c>
      <c r="AA241">
        <v>1</v>
      </c>
      <c r="AB241" t="s">
        <v>657</v>
      </c>
      <c r="AD241" t="s">
        <v>343</v>
      </c>
      <c r="AE241" t="s">
        <v>145</v>
      </c>
      <c r="AF241" t="s">
        <v>146</v>
      </c>
      <c r="AG241" t="s">
        <v>765</v>
      </c>
      <c r="AI241" t="s">
        <v>90</v>
      </c>
      <c r="AJ241">
        <v>32.389541000000001</v>
      </c>
      <c r="AK241">
        <v>-110.710632</v>
      </c>
      <c r="AL241">
        <v>3</v>
      </c>
      <c r="AN241">
        <v>2121</v>
      </c>
      <c r="AP241">
        <v>2121</v>
      </c>
      <c r="AQ241">
        <v>2149.652619</v>
      </c>
      <c r="AT241">
        <v>14</v>
      </c>
      <c r="AU241">
        <v>5</v>
      </c>
      <c r="AV241">
        <v>2022</v>
      </c>
      <c r="AW241">
        <v>4972385</v>
      </c>
      <c r="AX241">
        <v>2437431</v>
      </c>
      <c r="AY241" t="s">
        <v>106</v>
      </c>
      <c r="AZ241" t="s">
        <v>92</v>
      </c>
      <c r="BA241" t="s">
        <v>107</v>
      </c>
      <c r="BB241" t="s">
        <v>1105</v>
      </c>
      <c r="BC241" t="s">
        <v>97</v>
      </c>
      <c r="BE241" t="s">
        <v>96</v>
      </c>
      <c r="BG241" t="s">
        <v>1081</v>
      </c>
      <c r="BI241" t="s">
        <v>98</v>
      </c>
      <c r="BJ241" t="s">
        <v>1106</v>
      </c>
      <c r="BL241" t="s">
        <v>412</v>
      </c>
    </row>
    <row r="242" spans="1:64" hidden="1" x14ac:dyDescent="0.2">
      <c r="A242">
        <v>972</v>
      </c>
      <c r="B242">
        <v>4027015458</v>
      </c>
      <c r="C242" t="s">
        <v>101</v>
      </c>
      <c r="D242" t="s">
        <v>2042</v>
      </c>
      <c r="E242" t="s">
        <v>65</v>
      </c>
      <c r="F242" t="s">
        <v>66</v>
      </c>
      <c r="G242" t="s">
        <v>67</v>
      </c>
      <c r="H242" t="s">
        <v>68</v>
      </c>
      <c r="I242" t="s">
        <v>350</v>
      </c>
      <c r="J242" t="s">
        <v>351</v>
      </c>
      <c r="K242" t="s">
        <v>352</v>
      </c>
      <c r="M242" t="s">
        <v>72</v>
      </c>
      <c r="N242" t="s">
        <v>353</v>
      </c>
      <c r="O242" t="s">
        <v>352</v>
      </c>
      <c r="P242" t="s">
        <v>180</v>
      </c>
      <c r="Q242" t="s">
        <v>75</v>
      </c>
      <c r="R242" t="s">
        <v>1858</v>
      </c>
      <c r="S242" t="s">
        <v>815</v>
      </c>
      <c r="T242" t="s">
        <v>78</v>
      </c>
      <c r="U242" t="s">
        <v>1822</v>
      </c>
      <c r="V242" t="s">
        <v>80</v>
      </c>
      <c r="W242" s="1">
        <v>44696</v>
      </c>
      <c r="X242" t="s">
        <v>1859</v>
      </c>
      <c r="Y242" t="s">
        <v>2038</v>
      </c>
      <c r="Z242" t="s">
        <v>83</v>
      </c>
      <c r="AA242">
        <v>1</v>
      </c>
      <c r="AB242" t="s">
        <v>677</v>
      </c>
      <c r="AC242">
        <v>0</v>
      </c>
      <c r="AD242" t="s">
        <v>128</v>
      </c>
      <c r="AE242" t="s">
        <v>86</v>
      </c>
      <c r="AF242" t="s">
        <v>146</v>
      </c>
      <c r="AG242" t="s">
        <v>2039</v>
      </c>
      <c r="AI242" t="s">
        <v>90</v>
      </c>
      <c r="AJ242">
        <v>32.425576</v>
      </c>
      <c r="AK242">
        <v>-110.740246</v>
      </c>
      <c r="AL242">
        <v>5</v>
      </c>
      <c r="AN242">
        <v>2386</v>
      </c>
      <c r="AP242">
        <v>2386</v>
      </c>
      <c r="AQ242">
        <v>2390.1579780000002</v>
      </c>
      <c r="AT242">
        <v>15</v>
      </c>
      <c r="AU242">
        <v>5</v>
      </c>
      <c r="AV242">
        <v>2022</v>
      </c>
      <c r="AW242">
        <v>4972385</v>
      </c>
      <c r="AX242">
        <v>2437431</v>
      </c>
      <c r="AY242" t="s">
        <v>106</v>
      </c>
      <c r="AZ242" t="s">
        <v>92</v>
      </c>
      <c r="BA242" t="s">
        <v>107</v>
      </c>
      <c r="BB242" t="s">
        <v>2043</v>
      </c>
      <c r="BC242" t="s">
        <v>97</v>
      </c>
      <c r="BE242" t="s">
        <v>96</v>
      </c>
      <c r="BG242" t="s">
        <v>1865</v>
      </c>
      <c r="BI242" t="s">
        <v>98</v>
      </c>
      <c r="BJ242" t="s">
        <v>975</v>
      </c>
      <c r="BL242" t="s">
        <v>110</v>
      </c>
    </row>
    <row r="243" spans="1:64" hidden="1" x14ac:dyDescent="0.2">
      <c r="A243">
        <v>1061</v>
      </c>
      <c r="B243">
        <v>4027015369</v>
      </c>
      <c r="C243" t="s">
        <v>101</v>
      </c>
      <c r="D243" t="s">
        <v>2084</v>
      </c>
      <c r="E243" t="s">
        <v>65</v>
      </c>
      <c r="F243" t="s">
        <v>66</v>
      </c>
      <c r="G243" t="s">
        <v>67</v>
      </c>
      <c r="H243" t="s">
        <v>68</v>
      </c>
      <c r="I243" t="s">
        <v>176</v>
      </c>
      <c r="J243" t="s">
        <v>177</v>
      </c>
      <c r="K243" t="s">
        <v>1817</v>
      </c>
      <c r="M243" t="s">
        <v>72</v>
      </c>
      <c r="N243" t="s">
        <v>1818</v>
      </c>
      <c r="O243" t="s">
        <v>1817</v>
      </c>
      <c r="P243" t="s">
        <v>1819</v>
      </c>
      <c r="Q243" t="s">
        <v>75</v>
      </c>
      <c r="R243" t="s">
        <v>1858</v>
      </c>
      <c r="S243" t="s">
        <v>830</v>
      </c>
      <c r="T243" t="s">
        <v>78</v>
      </c>
      <c r="U243" t="s">
        <v>1822</v>
      </c>
      <c r="V243" t="s">
        <v>80</v>
      </c>
      <c r="W243" s="1">
        <v>44696</v>
      </c>
      <c r="X243" t="s">
        <v>1859</v>
      </c>
      <c r="Y243" t="s">
        <v>2079</v>
      </c>
      <c r="Z243" t="s">
        <v>83</v>
      </c>
      <c r="AA243">
        <v>1</v>
      </c>
      <c r="AB243" t="s">
        <v>677</v>
      </c>
      <c r="AC243">
        <v>0</v>
      </c>
      <c r="AD243" t="s">
        <v>128</v>
      </c>
      <c r="AE243" t="s">
        <v>86</v>
      </c>
      <c r="AF243" t="s">
        <v>146</v>
      </c>
      <c r="AG243" t="s">
        <v>875</v>
      </c>
      <c r="AI243" t="s">
        <v>90</v>
      </c>
      <c r="AJ243">
        <v>32.425418000000001</v>
      </c>
      <c r="AK243">
        <v>-110.74032800000001</v>
      </c>
      <c r="AL243">
        <v>4</v>
      </c>
      <c r="AN243">
        <v>2374</v>
      </c>
      <c r="AP243">
        <v>2374</v>
      </c>
      <c r="AQ243">
        <v>2398.6185329999998</v>
      </c>
      <c r="AT243">
        <v>15</v>
      </c>
      <c r="AU243">
        <v>5</v>
      </c>
      <c r="AV243">
        <v>2022</v>
      </c>
      <c r="AW243">
        <v>2437967</v>
      </c>
      <c r="AX243">
        <v>2437967</v>
      </c>
      <c r="AY243" t="s">
        <v>106</v>
      </c>
      <c r="AZ243" t="s">
        <v>92</v>
      </c>
      <c r="BA243" t="s">
        <v>107</v>
      </c>
      <c r="BB243" t="s">
        <v>2085</v>
      </c>
      <c r="BC243" t="s">
        <v>97</v>
      </c>
      <c r="BE243" t="s">
        <v>96</v>
      </c>
      <c r="BG243" t="s">
        <v>1865</v>
      </c>
      <c r="BI243" t="s">
        <v>98</v>
      </c>
      <c r="BJ243" t="s">
        <v>2086</v>
      </c>
      <c r="BL243" t="s">
        <v>110</v>
      </c>
    </row>
    <row r="244" spans="1:64" hidden="1" x14ac:dyDescent="0.2">
      <c r="A244">
        <v>949</v>
      </c>
      <c r="B244">
        <v>4027015481</v>
      </c>
      <c r="C244" t="s">
        <v>101</v>
      </c>
      <c r="D244" t="s">
        <v>1114</v>
      </c>
      <c r="E244" t="s">
        <v>65</v>
      </c>
      <c r="F244" t="s">
        <v>66</v>
      </c>
      <c r="G244" t="s">
        <v>67</v>
      </c>
      <c r="H244" t="s">
        <v>68</v>
      </c>
      <c r="I244" t="s">
        <v>176</v>
      </c>
      <c r="J244" t="s">
        <v>177</v>
      </c>
      <c r="K244" t="s">
        <v>178</v>
      </c>
      <c r="M244" t="s">
        <v>72</v>
      </c>
      <c r="N244" t="s">
        <v>179</v>
      </c>
      <c r="O244" t="s">
        <v>178</v>
      </c>
      <c r="P244" t="s">
        <v>180</v>
      </c>
      <c r="Q244" t="s">
        <v>75</v>
      </c>
      <c r="R244" t="s">
        <v>814</v>
      </c>
      <c r="S244" t="s">
        <v>1110</v>
      </c>
      <c r="T244" t="s">
        <v>78</v>
      </c>
      <c r="U244" t="s">
        <v>646</v>
      </c>
      <c r="V244" t="s">
        <v>80</v>
      </c>
      <c r="W244" s="1">
        <v>44695</v>
      </c>
      <c r="X244" t="s">
        <v>647</v>
      </c>
      <c r="Y244" t="s">
        <v>1111</v>
      </c>
      <c r="Z244" t="s">
        <v>83</v>
      </c>
      <c r="AA244">
        <v>1</v>
      </c>
      <c r="AB244" t="s">
        <v>657</v>
      </c>
      <c r="AD244" t="s">
        <v>343</v>
      </c>
      <c r="AE244" t="s">
        <v>86</v>
      </c>
      <c r="AF244" t="s">
        <v>87</v>
      </c>
      <c r="AG244" t="s">
        <v>1112</v>
      </c>
      <c r="AI244" t="s">
        <v>90</v>
      </c>
      <c r="AJ244">
        <v>32.389389999999999</v>
      </c>
      <c r="AK244">
        <v>-110.71101899999999</v>
      </c>
      <c r="AL244">
        <v>3</v>
      </c>
      <c r="AN244">
        <v>2124</v>
      </c>
      <c r="AP244">
        <v>2124</v>
      </c>
      <c r="AQ244">
        <v>2157.8947969999999</v>
      </c>
      <c r="AT244">
        <v>14</v>
      </c>
      <c r="AU244">
        <v>5</v>
      </c>
      <c r="AV244">
        <v>2022</v>
      </c>
      <c r="AW244">
        <v>2438038</v>
      </c>
      <c r="AX244">
        <v>2438038</v>
      </c>
      <c r="AY244" t="s">
        <v>106</v>
      </c>
      <c r="AZ244" t="s">
        <v>92</v>
      </c>
      <c r="BA244" t="s">
        <v>107</v>
      </c>
      <c r="BB244" t="s">
        <v>1115</v>
      </c>
      <c r="BC244" t="s">
        <v>97</v>
      </c>
      <c r="BE244" t="s">
        <v>96</v>
      </c>
      <c r="BG244" t="s">
        <v>1081</v>
      </c>
      <c r="BI244" t="s">
        <v>98</v>
      </c>
      <c r="BJ244" t="s">
        <v>1116</v>
      </c>
      <c r="BL244" t="s">
        <v>412</v>
      </c>
    </row>
    <row r="245" spans="1:64" hidden="1" x14ac:dyDescent="0.2">
      <c r="A245">
        <v>1082</v>
      </c>
      <c r="B245">
        <v>4027015348</v>
      </c>
      <c r="C245" t="s">
        <v>101</v>
      </c>
      <c r="D245" t="s">
        <v>2124</v>
      </c>
      <c r="E245" t="s">
        <v>65</v>
      </c>
      <c r="F245" t="s">
        <v>66</v>
      </c>
      <c r="G245" t="s">
        <v>67</v>
      </c>
      <c r="H245" t="s">
        <v>68</v>
      </c>
      <c r="I245" t="s">
        <v>176</v>
      </c>
      <c r="J245" t="s">
        <v>177</v>
      </c>
      <c r="K245" t="s">
        <v>1817</v>
      </c>
      <c r="M245" t="s">
        <v>72</v>
      </c>
      <c r="N245" t="s">
        <v>1818</v>
      </c>
      <c r="O245" t="s">
        <v>1817</v>
      </c>
      <c r="P245" t="s">
        <v>1819</v>
      </c>
      <c r="Q245" t="s">
        <v>75</v>
      </c>
      <c r="R245" t="s">
        <v>1858</v>
      </c>
      <c r="S245" t="s">
        <v>2119</v>
      </c>
      <c r="T245" t="s">
        <v>78</v>
      </c>
      <c r="U245" t="s">
        <v>1822</v>
      </c>
      <c r="V245" t="s">
        <v>80</v>
      </c>
      <c r="W245" s="1">
        <v>44696</v>
      </c>
      <c r="X245" t="s">
        <v>1859</v>
      </c>
      <c r="Y245" t="s">
        <v>2120</v>
      </c>
      <c r="Z245" t="s">
        <v>83</v>
      </c>
      <c r="AA245">
        <v>1</v>
      </c>
      <c r="AB245" t="s">
        <v>677</v>
      </c>
      <c r="AC245">
        <v>0</v>
      </c>
      <c r="AD245" t="s">
        <v>128</v>
      </c>
      <c r="AE245" t="s">
        <v>86</v>
      </c>
      <c r="AF245" t="s">
        <v>146</v>
      </c>
      <c r="AG245" t="s">
        <v>2121</v>
      </c>
      <c r="AI245" t="s">
        <v>90</v>
      </c>
      <c r="AJ245">
        <v>32.424996999999998</v>
      </c>
      <c r="AK245">
        <v>-110.740269</v>
      </c>
      <c r="AL245">
        <v>3</v>
      </c>
      <c r="AN245">
        <v>2406</v>
      </c>
      <c r="AP245">
        <v>2406</v>
      </c>
      <c r="AQ245">
        <v>2411.738339</v>
      </c>
      <c r="AT245">
        <v>15</v>
      </c>
      <c r="AU245">
        <v>5</v>
      </c>
      <c r="AV245">
        <v>2022</v>
      </c>
      <c r="AW245">
        <v>2437967</v>
      </c>
      <c r="AX245">
        <v>2437967</v>
      </c>
      <c r="AY245" t="s">
        <v>106</v>
      </c>
      <c r="AZ245" t="s">
        <v>92</v>
      </c>
      <c r="BA245" t="s">
        <v>107</v>
      </c>
      <c r="BB245" t="s">
        <v>2125</v>
      </c>
      <c r="BC245" t="s">
        <v>97</v>
      </c>
      <c r="BE245" t="s">
        <v>96</v>
      </c>
      <c r="BG245" t="s">
        <v>1865</v>
      </c>
      <c r="BI245" t="s">
        <v>98</v>
      </c>
      <c r="BJ245" t="s">
        <v>1882</v>
      </c>
      <c r="BL245" t="s">
        <v>110</v>
      </c>
    </row>
    <row r="246" spans="1:64" hidden="1" x14ac:dyDescent="0.2">
      <c r="A246">
        <v>947</v>
      </c>
      <c r="B246">
        <v>4027015483</v>
      </c>
      <c r="C246" t="s">
        <v>101</v>
      </c>
      <c r="D246" t="s">
        <v>1121</v>
      </c>
      <c r="E246" t="s">
        <v>65</v>
      </c>
      <c r="F246" t="s">
        <v>66</v>
      </c>
      <c r="G246" t="s">
        <v>67</v>
      </c>
      <c r="H246" t="s">
        <v>68</v>
      </c>
      <c r="I246" t="s">
        <v>350</v>
      </c>
      <c r="J246" t="s">
        <v>351</v>
      </c>
      <c r="K246" t="s">
        <v>352</v>
      </c>
      <c r="M246" t="s">
        <v>72</v>
      </c>
      <c r="N246" t="s">
        <v>353</v>
      </c>
      <c r="O246" t="s">
        <v>352</v>
      </c>
      <c r="P246" t="s">
        <v>180</v>
      </c>
      <c r="Q246" t="s">
        <v>75</v>
      </c>
      <c r="R246" t="s">
        <v>814</v>
      </c>
      <c r="S246" t="s">
        <v>1118</v>
      </c>
      <c r="T246" t="s">
        <v>78</v>
      </c>
      <c r="U246" t="s">
        <v>646</v>
      </c>
      <c r="V246" t="s">
        <v>80</v>
      </c>
      <c r="W246" s="1">
        <v>44695</v>
      </c>
      <c r="X246" t="s">
        <v>647</v>
      </c>
      <c r="Y246" t="s">
        <v>1119</v>
      </c>
      <c r="Z246" t="s">
        <v>83</v>
      </c>
      <c r="AA246">
        <v>1</v>
      </c>
      <c r="AB246" t="s">
        <v>657</v>
      </c>
      <c r="AD246" t="s">
        <v>343</v>
      </c>
      <c r="AE246" t="s">
        <v>145</v>
      </c>
      <c r="AF246" t="s">
        <v>146</v>
      </c>
      <c r="AG246" t="s">
        <v>765</v>
      </c>
      <c r="AI246" t="s">
        <v>90</v>
      </c>
      <c r="AJ246">
        <v>32.389040000000001</v>
      </c>
      <c r="AK246">
        <v>-110.71162200000001</v>
      </c>
      <c r="AL246">
        <v>3</v>
      </c>
      <c r="AN246">
        <v>2147</v>
      </c>
      <c r="AP246">
        <v>2147</v>
      </c>
      <c r="AQ246">
        <v>2162.3109239999999</v>
      </c>
      <c r="AT246">
        <v>14</v>
      </c>
      <c r="AU246">
        <v>5</v>
      </c>
      <c r="AV246">
        <v>2022</v>
      </c>
      <c r="AW246">
        <v>4972385</v>
      </c>
      <c r="AX246">
        <v>2437431</v>
      </c>
      <c r="AY246" t="s">
        <v>106</v>
      </c>
      <c r="AZ246" t="s">
        <v>92</v>
      </c>
      <c r="BA246" t="s">
        <v>107</v>
      </c>
      <c r="BB246" t="s">
        <v>1122</v>
      </c>
      <c r="BC246" t="s">
        <v>97</v>
      </c>
      <c r="BE246" t="s">
        <v>96</v>
      </c>
      <c r="BG246" t="s">
        <v>1081</v>
      </c>
      <c r="BI246" t="s">
        <v>98</v>
      </c>
      <c r="BJ246" t="s">
        <v>1123</v>
      </c>
      <c r="BL246" t="s">
        <v>412</v>
      </c>
    </row>
    <row r="247" spans="1:64" hidden="1" x14ac:dyDescent="0.2">
      <c r="A247">
        <v>946</v>
      </c>
      <c r="B247">
        <v>4027015484</v>
      </c>
      <c r="C247" t="s">
        <v>101</v>
      </c>
      <c r="D247" t="s">
        <v>1124</v>
      </c>
      <c r="E247" t="s">
        <v>65</v>
      </c>
      <c r="F247" t="s">
        <v>66</v>
      </c>
      <c r="G247" t="s">
        <v>67</v>
      </c>
      <c r="H247" t="s">
        <v>68</v>
      </c>
      <c r="I247" t="s">
        <v>176</v>
      </c>
      <c r="J247" t="s">
        <v>177</v>
      </c>
      <c r="K247" t="s">
        <v>178</v>
      </c>
      <c r="M247" t="s">
        <v>72</v>
      </c>
      <c r="N247" t="s">
        <v>179</v>
      </c>
      <c r="O247" t="s">
        <v>178</v>
      </c>
      <c r="P247" t="s">
        <v>180</v>
      </c>
      <c r="Q247" t="s">
        <v>75</v>
      </c>
      <c r="R247" t="s">
        <v>814</v>
      </c>
      <c r="S247" t="s">
        <v>1125</v>
      </c>
      <c r="T247" t="s">
        <v>78</v>
      </c>
      <c r="U247" t="s">
        <v>646</v>
      </c>
      <c r="V247" t="s">
        <v>80</v>
      </c>
      <c r="W247" s="1">
        <v>44695</v>
      </c>
      <c r="X247" t="s">
        <v>647</v>
      </c>
      <c r="Y247" t="s">
        <v>1126</v>
      </c>
      <c r="Z247" t="s">
        <v>83</v>
      </c>
      <c r="AA247">
        <v>1</v>
      </c>
      <c r="AB247" t="s">
        <v>657</v>
      </c>
      <c r="AD247" t="s">
        <v>343</v>
      </c>
      <c r="AE247" t="s">
        <v>145</v>
      </c>
      <c r="AF247" t="s">
        <v>146</v>
      </c>
      <c r="AG247" t="s">
        <v>765</v>
      </c>
      <c r="AI247" t="s">
        <v>90</v>
      </c>
      <c r="AJ247">
        <v>32.389327000000002</v>
      </c>
      <c r="AK247">
        <v>-110.710454</v>
      </c>
      <c r="AL247">
        <v>3</v>
      </c>
      <c r="AN247">
        <v>2118</v>
      </c>
      <c r="AP247">
        <v>2118</v>
      </c>
      <c r="AQ247">
        <v>2140.709245</v>
      </c>
      <c r="AT247">
        <v>14</v>
      </c>
      <c r="AU247">
        <v>5</v>
      </c>
      <c r="AV247">
        <v>2022</v>
      </c>
      <c r="AW247">
        <v>2438038</v>
      </c>
      <c r="AX247">
        <v>2438038</v>
      </c>
      <c r="AY247" t="s">
        <v>106</v>
      </c>
      <c r="AZ247" t="s">
        <v>92</v>
      </c>
      <c r="BA247" t="s">
        <v>107</v>
      </c>
      <c r="BB247" t="s">
        <v>1127</v>
      </c>
      <c r="BC247" t="s">
        <v>97</v>
      </c>
      <c r="BE247" t="s">
        <v>96</v>
      </c>
      <c r="BG247" t="s">
        <v>1081</v>
      </c>
      <c r="BI247" t="s">
        <v>98</v>
      </c>
      <c r="BJ247" t="s">
        <v>467</v>
      </c>
      <c r="BL247" t="s">
        <v>412</v>
      </c>
    </row>
    <row r="248" spans="1:64" hidden="1" x14ac:dyDescent="0.2">
      <c r="A248">
        <v>1099</v>
      </c>
      <c r="B248">
        <v>4027015331</v>
      </c>
      <c r="C248" t="s">
        <v>101</v>
      </c>
      <c r="D248" t="s">
        <v>2153</v>
      </c>
      <c r="E248" t="s">
        <v>65</v>
      </c>
      <c r="F248" t="s">
        <v>66</v>
      </c>
      <c r="G248" t="s">
        <v>67</v>
      </c>
      <c r="H248" t="s">
        <v>68</v>
      </c>
      <c r="I248" t="s">
        <v>350</v>
      </c>
      <c r="J248" t="s">
        <v>351</v>
      </c>
      <c r="K248" t="s">
        <v>352</v>
      </c>
      <c r="M248" t="s">
        <v>72</v>
      </c>
      <c r="N248" t="s">
        <v>353</v>
      </c>
      <c r="O248" t="s">
        <v>352</v>
      </c>
      <c r="P248" t="s">
        <v>180</v>
      </c>
      <c r="Q248" t="s">
        <v>75</v>
      </c>
      <c r="R248" t="s">
        <v>1858</v>
      </c>
      <c r="S248" t="s">
        <v>2129</v>
      </c>
      <c r="T248" t="s">
        <v>78</v>
      </c>
      <c r="U248" t="s">
        <v>1822</v>
      </c>
      <c r="V248" t="s">
        <v>80</v>
      </c>
      <c r="W248" s="1">
        <v>44696</v>
      </c>
      <c r="X248" t="s">
        <v>1859</v>
      </c>
      <c r="Y248" t="s">
        <v>2130</v>
      </c>
      <c r="Z248" t="s">
        <v>83</v>
      </c>
      <c r="AA248">
        <v>1</v>
      </c>
      <c r="AB248" t="s">
        <v>677</v>
      </c>
      <c r="AC248">
        <v>0</v>
      </c>
      <c r="AD248" t="s">
        <v>128</v>
      </c>
      <c r="AE248" t="s">
        <v>145</v>
      </c>
      <c r="AF248" t="s">
        <v>146</v>
      </c>
      <c r="AG248" t="s">
        <v>2137</v>
      </c>
      <c r="AH248" t="s">
        <v>2154</v>
      </c>
      <c r="AI248" t="s">
        <v>90</v>
      </c>
      <c r="AJ248">
        <v>32.424956999999999</v>
      </c>
      <c r="AK248">
        <v>-110.740188</v>
      </c>
      <c r="AL248">
        <v>4</v>
      </c>
      <c r="AN248">
        <v>2407</v>
      </c>
      <c r="AP248">
        <v>2407</v>
      </c>
      <c r="AQ248">
        <v>2409.5920289999999</v>
      </c>
      <c r="AT248">
        <v>15</v>
      </c>
      <c r="AU248">
        <v>5</v>
      </c>
      <c r="AV248">
        <v>2022</v>
      </c>
      <c r="AW248">
        <v>4972385</v>
      </c>
      <c r="AX248">
        <v>2437431</v>
      </c>
      <c r="AY248" t="s">
        <v>106</v>
      </c>
      <c r="AZ248" t="s">
        <v>92</v>
      </c>
      <c r="BA248" t="s">
        <v>107</v>
      </c>
      <c r="BB248" t="s">
        <v>2155</v>
      </c>
      <c r="BC248" t="s">
        <v>97</v>
      </c>
      <c r="BE248" t="s">
        <v>96</v>
      </c>
      <c r="BG248" t="s">
        <v>1865</v>
      </c>
      <c r="BI248" t="s">
        <v>98</v>
      </c>
      <c r="BJ248" t="s">
        <v>898</v>
      </c>
      <c r="BL248" t="s">
        <v>110</v>
      </c>
    </row>
    <row r="249" spans="1:64" hidden="1" x14ac:dyDescent="0.2">
      <c r="A249">
        <v>1129</v>
      </c>
      <c r="B249">
        <v>4027015301</v>
      </c>
      <c r="C249" t="s">
        <v>101</v>
      </c>
      <c r="D249" t="s">
        <v>2164</v>
      </c>
      <c r="E249" t="s">
        <v>65</v>
      </c>
      <c r="F249" t="s">
        <v>66</v>
      </c>
      <c r="G249" t="s">
        <v>67</v>
      </c>
      <c r="H249" t="s">
        <v>68</v>
      </c>
      <c r="I249" t="s">
        <v>176</v>
      </c>
      <c r="J249" t="s">
        <v>177</v>
      </c>
      <c r="K249" t="s">
        <v>1817</v>
      </c>
      <c r="M249" t="s">
        <v>72</v>
      </c>
      <c r="N249" t="s">
        <v>1818</v>
      </c>
      <c r="O249" t="s">
        <v>1817</v>
      </c>
      <c r="P249" t="s">
        <v>1819</v>
      </c>
      <c r="Q249" t="s">
        <v>75</v>
      </c>
      <c r="R249" t="s">
        <v>1858</v>
      </c>
      <c r="S249" t="s">
        <v>1083</v>
      </c>
      <c r="T249" t="s">
        <v>78</v>
      </c>
      <c r="U249" t="s">
        <v>1822</v>
      </c>
      <c r="V249" t="s">
        <v>80</v>
      </c>
      <c r="W249" s="1">
        <v>44696</v>
      </c>
      <c r="X249" t="s">
        <v>1859</v>
      </c>
      <c r="Y249" t="s">
        <v>2162</v>
      </c>
      <c r="Z249" t="s">
        <v>83</v>
      </c>
      <c r="AA249">
        <v>1</v>
      </c>
      <c r="AB249" t="s">
        <v>677</v>
      </c>
      <c r="AC249">
        <v>0</v>
      </c>
      <c r="AD249" t="s">
        <v>128</v>
      </c>
      <c r="AE249" t="s">
        <v>145</v>
      </c>
      <c r="AF249" t="s">
        <v>146</v>
      </c>
      <c r="AG249" t="s">
        <v>765</v>
      </c>
      <c r="AI249" t="s">
        <v>90</v>
      </c>
      <c r="AJ249">
        <v>32.424793999999999</v>
      </c>
      <c r="AK249">
        <v>-110.740258</v>
      </c>
      <c r="AL249">
        <v>4</v>
      </c>
      <c r="AN249">
        <v>2413</v>
      </c>
      <c r="AP249">
        <v>2413</v>
      </c>
      <c r="AQ249">
        <v>2415.0487990000001</v>
      </c>
      <c r="AT249">
        <v>15</v>
      </c>
      <c r="AU249">
        <v>5</v>
      </c>
      <c r="AV249">
        <v>2022</v>
      </c>
      <c r="AW249">
        <v>2437967</v>
      </c>
      <c r="AX249">
        <v>2437967</v>
      </c>
      <c r="AY249" t="s">
        <v>106</v>
      </c>
      <c r="AZ249" t="s">
        <v>92</v>
      </c>
      <c r="BA249" t="s">
        <v>107</v>
      </c>
      <c r="BB249" t="s">
        <v>2165</v>
      </c>
      <c r="BC249" t="s">
        <v>97</v>
      </c>
      <c r="BE249" t="s">
        <v>96</v>
      </c>
      <c r="BG249" t="s">
        <v>1865</v>
      </c>
      <c r="BI249" t="s">
        <v>98</v>
      </c>
      <c r="BJ249" t="s">
        <v>2166</v>
      </c>
      <c r="BL249" t="s">
        <v>110</v>
      </c>
    </row>
    <row r="250" spans="1:64" hidden="1" x14ac:dyDescent="0.2">
      <c r="A250">
        <v>944</v>
      </c>
      <c r="B250">
        <v>4027015486</v>
      </c>
      <c r="C250" t="s">
        <v>101</v>
      </c>
      <c r="D250" t="s">
        <v>1134</v>
      </c>
      <c r="E250" t="s">
        <v>65</v>
      </c>
      <c r="F250" t="s">
        <v>66</v>
      </c>
      <c r="G250" t="s">
        <v>67</v>
      </c>
      <c r="H250" t="s">
        <v>68</v>
      </c>
      <c r="I250" t="s">
        <v>176</v>
      </c>
      <c r="J250" t="s">
        <v>177</v>
      </c>
      <c r="K250" t="s">
        <v>178</v>
      </c>
      <c r="M250" t="s">
        <v>72</v>
      </c>
      <c r="N250" t="s">
        <v>179</v>
      </c>
      <c r="O250" t="s">
        <v>178</v>
      </c>
      <c r="P250" t="s">
        <v>180</v>
      </c>
      <c r="Q250" t="s">
        <v>75</v>
      </c>
      <c r="R250" t="s">
        <v>814</v>
      </c>
      <c r="S250" t="s">
        <v>1131</v>
      </c>
      <c r="T250" t="s">
        <v>78</v>
      </c>
      <c r="U250" t="s">
        <v>646</v>
      </c>
      <c r="V250" t="s">
        <v>80</v>
      </c>
      <c r="W250" s="1">
        <v>44695</v>
      </c>
      <c r="X250" t="s">
        <v>647</v>
      </c>
      <c r="Y250" t="s">
        <v>1132</v>
      </c>
      <c r="Z250" t="s">
        <v>83</v>
      </c>
      <c r="AA250">
        <v>1</v>
      </c>
      <c r="AB250" t="s">
        <v>657</v>
      </c>
      <c r="AD250" t="s">
        <v>343</v>
      </c>
      <c r="AE250" t="s">
        <v>145</v>
      </c>
      <c r="AF250" t="s">
        <v>146</v>
      </c>
      <c r="AG250" t="s">
        <v>765</v>
      </c>
      <c r="AI250" t="s">
        <v>90</v>
      </c>
      <c r="AJ250">
        <v>32.389944999999997</v>
      </c>
      <c r="AK250">
        <v>-110.71047900000001</v>
      </c>
      <c r="AL250">
        <v>3</v>
      </c>
      <c r="AN250">
        <v>2132</v>
      </c>
      <c r="AP250">
        <v>2132</v>
      </c>
      <c r="AQ250">
        <v>2150.3148609999998</v>
      </c>
      <c r="AT250">
        <v>14</v>
      </c>
      <c r="AU250">
        <v>5</v>
      </c>
      <c r="AV250">
        <v>2022</v>
      </c>
      <c r="AW250">
        <v>2438038</v>
      </c>
      <c r="AX250">
        <v>2438038</v>
      </c>
      <c r="AY250" t="s">
        <v>106</v>
      </c>
      <c r="AZ250" t="s">
        <v>92</v>
      </c>
      <c r="BA250" t="s">
        <v>107</v>
      </c>
      <c r="BB250" t="s">
        <v>1135</v>
      </c>
      <c r="BC250" t="s">
        <v>97</v>
      </c>
      <c r="BE250" t="s">
        <v>96</v>
      </c>
      <c r="BG250" t="s">
        <v>1081</v>
      </c>
      <c r="BI250" t="s">
        <v>98</v>
      </c>
      <c r="BJ250" t="s">
        <v>1106</v>
      </c>
      <c r="BL250" t="s">
        <v>412</v>
      </c>
    </row>
    <row r="251" spans="1:64" hidden="1" x14ac:dyDescent="0.2">
      <c r="A251">
        <v>943</v>
      </c>
      <c r="B251">
        <v>4027015487</v>
      </c>
      <c r="C251" t="s">
        <v>101</v>
      </c>
      <c r="D251" t="s">
        <v>1136</v>
      </c>
      <c r="E251" t="s">
        <v>65</v>
      </c>
      <c r="F251" t="s">
        <v>66</v>
      </c>
      <c r="G251" t="s">
        <v>67</v>
      </c>
      <c r="H251" t="s">
        <v>68</v>
      </c>
      <c r="I251" t="s">
        <v>176</v>
      </c>
      <c r="J251" t="s">
        <v>177</v>
      </c>
      <c r="K251" t="s">
        <v>178</v>
      </c>
      <c r="M251" t="s">
        <v>72</v>
      </c>
      <c r="N251" t="s">
        <v>179</v>
      </c>
      <c r="O251" t="s">
        <v>178</v>
      </c>
      <c r="P251" t="s">
        <v>180</v>
      </c>
      <c r="Q251" t="s">
        <v>75</v>
      </c>
      <c r="R251" t="s">
        <v>814</v>
      </c>
      <c r="S251" t="s">
        <v>1137</v>
      </c>
      <c r="T251" t="s">
        <v>78</v>
      </c>
      <c r="U251" t="s">
        <v>646</v>
      </c>
      <c r="V251" t="s">
        <v>80</v>
      </c>
      <c r="W251" s="1">
        <v>44695</v>
      </c>
      <c r="X251" t="s">
        <v>647</v>
      </c>
      <c r="Y251" t="s">
        <v>1138</v>
      </c>
      <c r="Z251" t="s">
        <v>83</v>
      </c>
      <c r="AA251">
        <v>1</v>
      </c>
      <c r="AB251" t="s">
        <v>657</v>
      </c>
      <c r="AD251" t="s">
        <v>343</v>
      </c>
      <c r="AE251" t="s">
        <v>86</v>
      </c>
      <c r="AF251" t="s">
        <v>146</v>
      </c>
      <c r="AG251" t="s">
        <v>1091</v>
      </c>
      <c r="AI251" t="s">
        <v>90</v>
      </c>
      <c r="AJ251">
        <v>32.390192999999996</v>
      </c>
      <c r="AK251">
        <v>-110.710319</v>
      </c>
      <c r="AL251">
        <v>3</v>
      </c>
      <c r="AN251">
        <v>2138</v>
      </c>
      <c r="AP251">
        <v>2138</v>
      </c>
      <c r="AQ251">
        <v>2152.6055980000001</v>
      </c>
      <c r="AT251">
        <v>14</v>
      </c>
      <c r="AU251">
        <v>5</v>
      </c>
      <c r="AV251">
        <v>2022</v>
      </c>
      <c r="AW251">
        <v>2438038</v>
      </c>
      <c r="AX251">
        <v>2438038</v>
      </c>
      <c r="AY251" t="s">
        <v>106</v>
      </c>
      <c r="AZ251" t="s">
        <v>92</v>
      </c>
      <c r="BA251" t="s">
        <v>107</v>
      </c>
      <c r="BB251" t="s">
        <v>1139</v>
      </c>
      <c r="BC251" t="s">
        <v>97</v>
      </c>
      <c r="BE251" t="s">
        <v>96</v>
      </c>
      <c r="BG251" t="s">
        <v>1081</v>
      </c>
      <c r="BI251" t="s">
        <v>98</v>
      </c>
      <c r="BJ251" t="s">
        <v>1116</v>
      </c>
      <c r="BL251" t="s">
        <v>412</v>
      </c>
    </row>
    <row r="252" spans="1:64" hidden="1" x14ac:dyDescent="0.2">
      <c r="A252">
        <v>1128</v>
      </c>
      <c r="B252">
        <v>4027015302</v>
      </c>
      <c r="C252" t="s">
        <v>101</v>
      </c>
      <c r="D252" t="s">
        <v>2167</v>
      </c>
      <c r="E252" t="s">
        <v>65</v>
      </c>
      <c r="F252" t="s">
        <v>66</v>
      </c>
      <c r="G252" t="s">
        <v>67</v>
      </c>
      <c r="H252" t="s">
        <v>68</v>
      </c>
      <c r="I252" t="s">
        <v>176</v>
      </c>
      <c r="J252" t="s">
        <v>177</v>
      </c>
      <c r="K252" t="s">
        <v>1817</v>
      </c>
      <c r="M252" t="s">
        <v>72</v>
      </c>
      <c r="N252" t="s">
        <v>1818</v>
      </c>
      <c r="O252" t="s">
        <v>1817</v>
      </c>
      <c r="P252" t="s">
        <v>1819</v>
      </c>
      <c r="Q252" t="s">
        <v>75</v>
      </c>
      <c r="R252" t="s">
        <v>2168</v>
      </c>
      <c r="S252" t="s">
        <v>873</v>
      </c>
      <c r="T252" t="s">
        <v>78</v>
      </c>
      <c r="U252" t="s">
        <v>1822</v>
      </c>
      <c r="V252" t="s">
        <v>80</v>
      </c>
      <c r="W252" s="1">
        <v>44696</v>
      </c>
      <c r="X252" t="s">
        <v>1859</v>
      </c>
      <c r="Y252" t="s">
        <v>2169</v>
      </c>
      <c r="Z252" t="s">
        <v>83</v>
      </c>
      <c r="AA252">
        <v>1</v>
      </c>
      <c r="AB252" t="s">
        <v>677</v>
      </c>
      <c r="AC252">
        <v>0</v>
      </c>
      <c r="AD252" t="s">
        <v>128</v>
      </c>
      <c r="AE252" t="s">
        <v>86</v>
      </c>
      <c r="AF252" t="s">
        <v>146</v>
      </c>
      <c r="AG252" t="s">
        <v>2170</v>
      </c>
      <c r="AI252" t="s">
        <v>90</v>
      </c>
      <c r="AJ252">
        <v>32.422614000000003</v>
      </c>
      <c r="AK252">
        <v>-110.73336399999999</v>
      </c>
      <c r="AL252">
        <v>174</v>
      </c>
      <c r="AP252">
        <v>2419.8365840000001</v>
      </c>
      <c r="AQ252">
        <v>2419.8365840000001</v>
      </c>
      <c r="AT252">
        <v>15</v>
      </c>
      <c r="AU252">
        <v>5</v>
      </c>
      <c r="AV252">
        <v>2022</v>
      </c>
      <c r="AW252">
        <v>2437967</v>
      </c>
      <c r="AX252">
        <v>2437967</v>
      </c>
      <c r="AY252" t="s">
        <v>106</v>
      </c>
      <c r="AZ252" t="s">
        <v>92</v>
      </c>
      <c r="BA252" t="s">
        <v>107</v>
      </c>
      <c r="BB252" t="s">
        <v>2171</v>
      </c>
      <c r="BC252" t="s">
        <v>97</v>
      </c>
      <c r="BE252" t="s">
        <v>96</v>
      </c>
      <c r="BG252" t="s">
        <v>1865</v>
      </c>
      <c r="BI252" t="s">
        <v>98</v>
      </c>
      <c r="BJ252" t="s">
        <v>2172</v>
      </c>
      <c r="BL252" t="s">
        <v>412</v>
      </c>
    </row>
    <row r="253" spans="1:64" hidden="1" x14ac:dyDescent="0.2">
      <c r="A253">
        <v>1115</v>
      </c>
      <c r="B253">
        <v>4027015315</v>
      </c>
      <c r="C253" t="s">
        <v>101</v>
      </c>
      <c r="D253" t="s">
        <v>2202</v>
      </c>
      <c r="E253" t="s">
        <v>65</v>
      </c>
      <c r="F253" t="s">
        <v>66</v>
      </c>
      <c r="G253" t="s">
        <v>67</v>
      </c>
      <c r="H253" t="s">
        <v>68</v>
      </c>
      <c r="I253" t="s">
        <v>176</v>
      </c>
      <c r="J253" t="s">
        <v>177</v>
      </c>
      <c r="K253" t="s">
        <v>178</v>
      </c>
      <c r="M253" t="s">
        <v>72</v>
      </c>
      <c r="N253" t="s">
        <v>179</v>
      </c>
      <c r="O253" t="s">
        <v>178</v>
      </c>
      <c r="P253" t="s">
        <v>180</v>
      </c>
      <c r="Q253" t="s">
        <v>75</v>
      </c>
      <c r="R253" t="s">
        <v>2168</v>
      </c>
      <c r="S253" t="s">
        <v>2203</v>
      </c>
      <c r="T253" t="s">
        <v>78</v>
      </c>
      <c r="U253" t="s">
        <v>1822</v>
      </c>
      <c r="V253" t="s">
        <v>80</v>
      </c>
      <c r="W253" s="1">
        <v>44696</v>
      </c>
      <c r="X253" t="s">
        <v>1859</v>
      </c>
      <c r="Y253" t="s">
        <v>2204</v>
      </c>
      <c r="Z253" t="s">
        <v>83</v>
      </c>
      <c r="AA253">
        <v>1</v>
      </c>
      <c r="AB253" t="s">
        <v>677</v>
      </c>
      <c r="AC253">
        <v>0</v>
      </c>
      <c r="AD253" t="s">
        <v>128</v>
      </c>
      <c r="AE253" t="s">
        <v>86</v>
      </c>
      <c r="AF253" t="s">
        <v>146</v>
      </c>
      <c r="AG253" t="s">
        <v>2205</v>
      </c>
      <c r="AI253" t="s">
        <v>90</v>
      </c>
      <c r="AJ253">
        <v>32.422614000000003</v>
      </c>
      <c r="AK253">
        <v>-110.73336399999999</v>
      </c>
      <c r="AL253">
        <v>174</v>
      </c>
      <c r="AP253">
        <v>2419.8365840000001</v>
      </c>
      <c r="AQ253">
        <v>2419.8365840000001</v>
      </c>
      <c r="AT253">
        <v>15</v>
      </c>
      <c r="AU253">
        <v>5</v>
      </c>
      <c r="AV253">
        <v>2022</v>
      </c>
      <c r="AW253">
        <v>2438038</v>
      </c>
      <c r="AX253">
        <v>2438038</v>
      </c>
      <c r="AY253" t="s">
        <v>106</v>
      </c>
      <c r="AZ253" t="s">
        <v>92</v>
      </c>
      <c r="BA253" t="s">
        <v>107</v>
      </c>
      <c r="BB253" t="s">
        <v>2206</v>
      </c>
      <c r="BC253" t="s">
        <v>97</v>
      </c>
      <c r="BE253" t="s">
        <v>96</v>
      </c>
      <c r="BG253" t="s">
        <v>1865</v>
      </c>
      <c r="BI253" t="s">
        <v>98</v>
      </c>
      <c r="BJ253" t="s">
        <v>1906</v>
      </c>
      <c r="BL253" t="s">
        <v>412</v>
      </c>
    </row>
    <row r="254" spans="1:64" hidden="1" x14ac:dyDescent="0.2">
      <c r="A254">
        <v>954</v>
      </c>
      <c r="B254">
        <v>4027015476</v>
      </c>
      <c r="C254" t="s">
        <v>101</v>
      </c>
      <c r="D254" t="s">
        <v>1147</v>
      </c>
      <c r="E254" t="s">
        <v>65</v>
      </c>
      <c r="F254" t="s">
        <v>66</v>
      </c>
      <c r="G254" t="s">
        <v>67</v>
      </c>
      <c r="H254" t="s">
        <v>68</v>
      </c>
      <c r="I254" t="s">
        <v>350</v>
      </c>
      <c r="J254" t="s">
        <v>351</v>
      </c>
      <c r="K254" t="s">
        <v>352</v>
      </c>
      <c r="M254" t="s">
        <v>72</v>
      </c>
      <c r="N254" t="s">
        <v>353</v>
      </c>
      <c r="O254" t="s">
        <v>352</v>
      </c>
      <c r="P254" t="s">
        <v>180</v>
      </c>
      <c r="Q254" t="s">
        <v>75</v>
      </c>
      <c r="R254" t="s">
        <v>814</v>
      </c>
      <c r="S254" t="s">
        <v>1143</v>
      </c>
      <c r="T254" t="s">
        <v>78</v>
      </c>
      <c r="U254" t="s">
        <v>646</v>
      </c>
      <c r="V254" t="s">
        <v>80</v>
      </c>
      <c r="W254" s="1">
        <v>44695</v>
      </c>
      <c r="X254" t="s">
        <v>647</v>
      </c>
      <c r="Y254" t="s">
        <v>1144</v>
      </c>
      <c r="Z254" t="s">
        <v>83</v>
      </c>
      <c r="AA254">
        <v>1</v>
      </c>
      <c r="AB254" t="s">
        <v>657</v>
      </c>
      <c r="AD254" t="s">
        <v>343</v>
      </c>
      <c r="AE254" t="s">
        <v>145</v>
      </c>
      <c r="AF254" t="s">
        <v>146</v>
      </c>
      <c r="AG254" t="s">
        <v>765</v>
      </c>
      <c r="AI254" t="s">
        <v>90</v>
      </c>
      <c r="AJ254">
        <v>32.390300000000003</v>
      </c>
      <c r="AK254">
        <v>-110.710455</v>
      </c>
      <c r="AL254">
        <v>3</v>
      </c>
      <c r="AN254">
        <v>2140</v>
      </c>
      <c r="AP254">
        <v>2140</v>
      </c>
      <c r="AQ254">
        <v>2157.6699979999999</v>
      </c>
      <c r="AT254">
        <v>14</v>
      </c>
      <c r="AU254">
        <v>5</v>
      </c>
      <c r="AV254">
        <v>2022</v>
      </c>
      <c r="AW254">
        <v>4972385</v>
      </c>
      <c r="AX254">
        <v>2437431</v>
      </c>
      <c r="AY254" t="s">
        <v>106</v>
      </c>
      <c r="AZ254" t="s">
        <v>92</v>
      </c>
      <c r="BA254" t="s">
        <v>107</v>
      </c>
      <c r="BB254" t="s">
        <v>1148</v>
      </c>
      <c r="BC254" t="s">
        <v>97</v>
      </c>
      <c r="BE254" t="s">
        <v>96</v>
      </c>
      <c r="BG254" t="s">
        <v>1081</v>
      </c>
      <c r="BI254" t="s">
        <v>98</v>
      </c>
      <c r="BJ254" t="s">
        <v>1099</v>
      </c>
      <c r="BL254" t="s">
        <v>412</v>
      </c>
    </row>
    <row r="255" spans="1:64" hidden="1" x14ac:dyDescent="0.2">
      <c r="A255">
        <v>1112</v>
      </c>
      <c r="B255">
        <v>4027015318</v>
      </c>
      <c r="C255" t="s">
        <v>101</v>
      </c>
      <c r="D255" t="s">
        <v>2209</v>
      </c>
      <c r="E255" t="s">
        <v>65</v>
      </c>
      <c r="F255" t="s">
        <v>66</v>
      </c>
      <c r="G255" t="s">
        <v>67</v>
      </c>
      <c r="H255" t="s">
        <v>68</v>
      </c>
      <c r="I255" t="s">
        <v>350</v>
      </c>
      <c r="J255" t="s">
        <v>351</v>
      </c>
      <c r="K255" t="s">
        <v>352</v>
      </c>
      <c r="M255" t="s">
        <v>72</v>
      </c>
      <c r="N255" t="s">
        <v>353</v>
      </c>
      <c r="O255" t="s">
        <v>352</v>
      </c>
      <c r="P255" t="s">
        <v>180</v>
      </c>
      <c r="Q255" t="s">
        <v>75</v>
      </c>
      <c r="R255" t="s">
        <v>2168</v>
      </c>
      <c r="S255" t="s">
        <v>2210</v>
      </c>
      <c r="T255" t="s">
        <v>78</v>
      </c>
      <c r="U255" t="s">
        <v>1822</v>
      </c>
      <c r="V255" t="s">
        <v>80</v>
      </c>
      <c r="W255" s="1">
        <v>44696</v>
      </c>
      <c r="X255" t="s">
        <v>1859</v>
      </c>
      <c r="Y255" t="s">
        <v>2211</v>
      </c>
      <c r="Z255" t="s">
        <v>83</v>
      </c>
      <c r="AA255">
        <v>1</v>
      </c>
      <c r="AB255" t="s">
        <v>677</v>
      </c>
      <c r="AC255">
        <v>0</v>
      </c>
      <c r="AD255" t="s">
        <v>128</v>
      </c>
      <c r="AE255" t="s">
        <v>145</v>
      </c>
      <c r="AF255" t="s">
        <v>146</v>
      </c>
      <c r="AG255" t="s">
        <v>765</v>
      </c>
      <c r="AI255" t="s">
        <v>90</v>
      </c>
      <c r="AJ255">
        <v>32.422614000000003</v>
      </c>
      <c r="AK255">
        <v>-110.73336399999999</v>
      </c>
      <c r="AL255">
        <v>174</v>
      </c>
      <c r="AP255">
        <v>2419.8365840000001</v>
      </c>
      <c r="AQ255">
        <v>2419.8365840000001</v>
      </c>
      <c r="AT255">
        <v>15</v>
      </c>
      <c r="AU255">
        <v>5</v>
      </c>
      <c r="AV255">
        <v>2022</v>
      </c>
      <c r="AW255">
        <v>4972385</v>
      </c>
      <c r="AX255">
        <v>2437431</v>
      </c>
      <c r="AY255" t="s">
        <v>106</v>
      </c>
      <c r="AZ255" t="s">
        <v>92</v>
      </c>
      <c r="BA255" t="s">
        <v>107</v>
      </c>
      <c r="BB255" t="s">
        <v>2212</v>
      </c>
      <c r="BC255" t="s">
        <v>97</v>
      </c>
      <c r="BE255" t="s">
        <v>96</v>
      </c>
      <c r="BG255" t="s">
        <v>1865</v>
      </c>
      <c r="BI255" t="s">
        <v>98</v>
      </c>
      <c r="BJ255" t="s">
        <v>2213</v>
      </c>
      <c r="BL255" t="s">
        <v>412</v>
      </c>
    </row>
    <row r="256" spans="1:64" x14ac:dyDescent="0.2">
      <c r="A256">
        <v>176</v>
      </c>
      <c r="B256">
        <v>4403382464</v>
      </c>
      <c r="C256" t="s">
        <v>101</v>
      </c>
      <c r="D256" t="s">
        <v>637</v>
      </c>
      <c r="E256" t="s">
        <v>65</v>
      </c>
      <c r="F256" t="s">
        <v>66</v>
      </c>
      <c r="G256" t="s">
        <v>67</v>
      </c>
      <c r="H256" t="s">
        <v>68</v>
      </c>
      <c r="I256" t="s">
        <v>176</v>
      </c>
      <c r="J256" t="s">
        <v>177</v>
      </c>
      <c r="K256" t="s">
        <v>178</v>
      </c>
      <c r="M256" t="s">
        <v>72</v>
      </c>
      <c r="N256" t="s">
        <v>179</v>
      </c>
      <c r="O256" t="s">
        <v>178</v>
      </c>
      <c r="P256" t="s">
        <v>180</v>
      </c>
      <c r="Q256" t="s">
        <v>75</v>
      </c>
      <c r="R256" t="s">
        <v>354</v>
      </c>
      <c r="S256" t="s">
        <v>632</v>
      </c>
      <c r="T256" t="s">
        <v>78</v>
      </c>
      <c r="U256" t="s">
        <v>79</v>
      </c>
      <c r="V256" t="s">
        <v>80</v>
      </c>
      <c r="W256" s="1">
        <v>45116</v>
      </c>
      <c r="X256" t="s">
        <v>356</v>
      </c>
      <c r="Y256" t="s">
        <v>633</v>
      </c>
      <c r="Z256" t="s">
        <v>83</v>
      </c>
      <c r="AA256">
        <v>1</v>
      </c>
      <c r="AB256" t="s">
        <v>385</v>
      </c>
      <c r="AC256">
        <v>0</v>
      </c>
      <c r="AD256" t="s">
        <v>119</v>
      </c>
      <c r="AE256" t="s">
        <v>145</v>
      </c>
      <c r="AF256" t="s">
        <v>402</v>
      </c>
      <c r="AG256" t="s">
        <v>344</v>
      </c>
      <c r="AI256" t="s">
        <v>90</v>
      </c>
      <c r="AJ256">
        <v>32.372857000000003</v>
      </c>
      <c r="AK256">
        <v>-110.70119099999999</v>
      </c>
      <c r="AL256">
        <v>3</v>
      </c>
      <c r="AN256">
        <v>1896</v>
      </c>
      <c r="AP256">
        <v>1896</v>
      </c>
      <c r="AQ256">
        <v>1911.37922</v>
      </c>
      <c r="AT256">
        <v>9</v>
      </c>
      <c r="AU256">
        <v>7</v>
      </c>
      <c r="AV256">
        <v>2023</v>
      </c>
      <c r="AW256">
        <v>2438038</v>
      </c>
      <c r="AX256">
        <v>2438038</v>
      </c>
      <c r="AY256" t="s">
        <v>106</v>
      </c>
      <c r="AZ256" t="s">
        <v>92</v>
      </c>
      <c r="BA256" t="s">
        <v>107</v>
      </c>
      <c r="BB256" t="s">
        <v>638</v>
      </c>
      <c r="BC256" t="s">
        <v>95</v>
      </c>
      <c r="BD256" s="1">
        <v>45116</v>
      </c>
      <c r="BE256" t="s">
        <v>96</v>
      </c>
      <c r="BG256" t="s">
        <v>363</v>
      </c>
      <c r="BI256" t="s">
        <v>98</v>
      </c>
      <c r="BJ256" t="s">
        <v>639</v>
      </c>
      <c r="BL256" t="s">
        <v>412</v>
      </c>
    </row>
    <row r="257" spans="1:64" hidden="1" x14ac:dyDescent="0.2">
      <c r="A257">
        <v>960</v>
      </c>
      <c r="B257">
        <v>4027015470</v>
      </c>
      <c r="C257" t="s">
        <v>101</v>
      </c>
      <c r="D257" t="s">
        <v>1155</v>
      </c>
      <c r="E257" t="s">
        <v>65</v>
      </c>
      <c r="F257" t="s">
        <v>66</v>
      </c>
      <c r="G257" t="s">
        <v>67</v>
      </c>
      <c r="H257" t="s">
        <v>68</v>
      </c>
      <c r="I257" t="s">
        <v>176</v>
      </c>
      <c r="J257" t="s">
        <v>177</v>
      </c>
      <c r="K257" t="s">
        <v>178</v>
      </c>
      <c r="M257" t="s">
        <v>72</v>
      </c>
      <c r="N257" t="s">
        <v>179</v>
      </c>
      <c r="O257" t="s">
        <v>178</v>
      </c>
      <c r="P257" t="s">
        <v>180</v>
      </c>
      <c r="Q257" t="s">
        <v>75</v>
      </c>
      <c r="R257" t="s">
        <v>977</v>
      </c>
      <c r="S257" t="s">
        <v>1150</v>
      </c>
      <c r="T257" t="s">
        <v>78</v>
      </c>
      <c r="U257" t="s">
        <v>646</v>
      </c>
      <c r="V257" t="s">
        <v>80</v>
      </c>
      <c r="W257" s="1">
        <v>44695</v>
      </c>
      <c r="X257" t="s">
        <v>647</v>
      </c>
      <c r="Y257" t="s">
        <v>1151</v>
      </c>
      <c r="Z257" t="s">
        <v>83</v>
      </c>
      <c r="AA257">
        <v>1</v>
      </c>
      <c r="AB257" t="s">
        <v>657</v>
      </c>
      <c r="AD257" t="s">
        <v>343</v>
      </c>
      <c r="AE257" t="s">
        <v>145</v>
      </c>
      <c r="AF257" t="s">
        <v>146</v>
      </c>
      <c r="AG257" t="s">
        <v>765</v>
      </c>
      <c r="AI257" t="s">
        <v>90</v>
      </c>
      <c r="AJ257">
        <v>32.389400000000002</v>
      </c>
      <c r="AK257">
        <v>-110.708213</v>
      </c>
      <c r="AN257">
        <v>2102</v>
      </c>
      <c r="AP257">
        <v>2102</v>
      </c>
      <c r="AQ257">
        <v>2145.8576670000002</v>
      </c>
      <c r="AT257">
        <v>14</v>
      </c>
      <c r="AU257">
        <v>5</v>
      </c>
      <c r="AV257">
        <v>2022</v>
      </c>
      <c r="AW257">
        <v>2438038</v>
      </c>
      <c r="AX257">
        <v>2438038</v>
      </c>
      <c r="AY257" t="s">
        <v>106</v>
      </c>
      <c r="AZ257" t="s">
        <v>92</v>
      </c>
      <c r="BA257" t="s">
        <v>107</v>
      </c>
      <c r="BB257" t="s">
        <v>1156</v>
      </c>
      <c r="BC257" t="s">
        <v>97</v>
      </c>
      <c r="BE257" t="s">
        <v>96</v>
      </c>
      <c r="BG257" t="s">
        <v>1081</v>
      </c>
      <c r="BI257" t="s">
        <v>98</v>
      </c>
      <c r="BJ257" t="s">
        <v>1157</v>
      </c>
      <c r="BL257" t="s">
        <v>110</v>
      </c>
    </row>
    <row r="258" spans="1:64" hidden="1" x14ac:dyDescent="0.2">
      <c r="A258">
        <v>1051</v>
      </c>
      <c r="B258">
        <v>4027015379</v>
      </c>
      <c r="C258" t="s">
        <v>101</v>
      </c>
      <c r="D258" t="s">
        <v>2216</v>
      </c>
      <c r="E258" t="s">
        <v>65</v>
      </c>
      <c r="F258" t="s">
        <v>66</v>
      </c>
      <c r="G258" t="s">
        <v>67</v>
      </c>
      <c r="H258" t="s">
        <v>68</v>
      </c>
      <c r="I258" t="s">
        <v>176</v>
      </c>
      <c r="J258" t="s">
        <v>177</v>
      </c>
      <c r="K258" t="s">
        <v>178</v>
      </c>
      <c r="M258" t="s">
        <v>72</v>
      </c>
      <c r="N258" t="s">
        <v>179</v>
      </c>
      <c r="O258" t="s">
        <v>178</v>
      </c>
      <c r="P258" t="s">
        <v>180</v>
      </c>
      <c r="Q258" t="s">
        <v>75</v>
      </c>
      <c r="R258" t="s">
        <v>2168</v>
      </c>
      <c r="S258" t="s">
        <v>978</v>
      </c>
      <c r="T258" t="s">
        <v>78</v>
      </c>
      <c r="U258" t="s">
        <v>1822</v>
      </c>
      <c r="V258" t="s">
        <v>80</v>
      </c>
      <c r="W258" s="1">
        <v>44696</v>
      </c>
      <c r="X258" t="s">
        <v>1859</v>
      </c>
      <c r="Y258" t="s">
        <v>2217</v>
      </c>
      <c r="Z258" t="s">
        <v>83</v>
      </c>
      <c r="AA258">
        <v>1</v>
      </c>
      <c r="AB258" t="s">
        <v>677</v>
      </c>
      <c r="AC258">
        <v>0</v>
      </c>
      <c r="AD258" t="s">
        <v>128</v>
      </c>
      <c r="AE258" t="s">
        <v>86</v>
      </c>
      <c r="AF258" t="s">
        <v>146</v>
      </c>
      <c r="AG258" t="s">
        <v>2218</v>
      </c>
      <c r="AI258" t="s">
        <v>90</v>
      </c>
      <c r="AJ258">
        <v>32.42268</v>
      </c>
      <c r="AK258">
        <v>-110.733845</v>
      </c>
      <c r="AN258">
        <v>2423</v>
      </c>
      <c r="AP258">
        <v>2423</v>
      </c>
      <c r="AQ258">
        <v>2422.149152</v>
      </c>
      <c r="AT258">
        <v>15</v>
      </c>
      <c r="AU258">
        <v>5</v>
      </c>
      <c r="AV258">
        <v>2022</v>
      </c>
      <c r="AW258">
        <v>2438038</v>
      </c>
      <c r="AX258">
        <v>2438038</v>
      </c>
      <c r="AY258" t="s">
        <v>106</v>
      </c>
      <c r="AZ258" t="s">
        <v>92</v>
      </c>
      <c r="BA258" t="s">
        <v>107</v>
      </c>
      <c r="BB258" t="s">
        <v>2219</v>
      </c>
      <c r="BC258" t="s">
        <v>97</v>
      </c>
      <c r="BE258" t="s">
        <v>96</v>
      </c>
      <c r="BG258" t="s">
        <v>1865</v>
      </c>
      <c r="BI258" t="s">
        <v>98</v>
      </c>
      <c r="BJ258" t="s">
        <v>2220</v>
      </c>
      <c r="BL258" t="s">
        <v>412</v>
      </c>
    </row>
    <row r="259" spans="1:64" hidden="1" x14ac:dyDescent="0.2">
      <c r="A259">
        <v>976</v>
      </c>
      <c r="B259">
        <v>4027015454</v>
      </c>
      <c r="C259" t="s">
        <v>101</v>
      </c>
      <c r="D259" t="s">
        <v>1163</v>
      </c>
      <c r="E259" t="s">
        <v>65</v>
      </c>
      <c r="F259" t="s">
        <v>66</v>
      </c>
      <c r="G259" t="s">
        <v>67</v>
      </c>
      <c r="H259" t="s">
        <v>68</v>
      </c>
      <c r="I259" t="s">
        <v>176</v>
      </c>
      <c r="J259" t="s">
        <v>177</v>
      </c>
      <c r="K259" t="s">
        <v>178</v>
      </c>
      <c r="M259" t="s">
        <v>72</v>
      </c>
      <c r="N259" t="s">
        <v>179</v>
      </c>
      <c r="O259" t="s">
        <v>178</v>
      </c>
      <c r="P259" t="s">
        <v>180</v>
      </c>
      <c r="Q259" t="s">
        <v>75</v>
      </c>
      <c r="R259" t="s">
        <v>977</v>
      </c>
      <c r="S259" t="s">
        <v>1159</v>
      </c>
      <c r="T259" t="s">
        <v>78</v>
      </c>
      <c r="U259" t="s">
        <v>646</v>
      </c>
      <c r="V259" t="s">
        <v>80</v>
      </c>
      <c r="W259" s="1">
        <v>44695</v>
      </c>
      <c r="X259" t="s">
        <v>647</v>
      </c>
      <c r="Y259" t="s">
        <v>1160</v>
      </c>
      <c r="Z259" t="s">
        <v>83</v>
      </c>
      <c r="AA259">
        <v>1</v>
      </c>
      <c r="AB259" t="s">
        <v>657</v>
      </c>
      <c r="AD259" t="s">
        <v>343</v>
      </c>
      <c r="AE259" t="s">
        <v>86</v>
      </c>
      <c r="AF259" t="s">
        <v>146</v>
      </c>
      <c r="AG259" t="s">
        <v>1161</v>
      </c>
      <c r="AI259" t="s">
        <v>90</v>
      </c>
      <c r="AJ259">
        <v>32.389332000000003</v>
      </c>
      <c r="AK259">
        <v>-110.708237</v>
      </c>
      <c r="AN259">
        <v>2102</v>
      </c>
      <c r="AP259">
        <v>2102</v>
      </c>
      <c r="AQ259">
        <v>2147.401249</v>
      </c>
      <c r="AT259">
        <v>14</v>
      </c>
      <c r="AU259">
        <v>5</v>
      </c>
      <c r="AV259">
        <v>2022</v>
      </c>
      <c r="AW259">
        <v>2438038</v>
      </c>
      <c r="AX259">
        <v>2438038</v>
      </c>
      <c r="AY259" t="s">
        <v>106</v>
      </c>
      <c r="AZ259" t="s">
        <v>92</v>
      </c>
      <c r="BA259" t="s">
        <v>107</v>
      </c>
      <c r="BB259" t="s">
        <v>1164</v>
      </c>
      <c r="BC259" t="s">
        <v>97</v>
      </c>
      <c r="BE259" t="s">
        <v>96</v>
      </c>
      <c r="BG259" t="s">
        <v>1081</v>
      </c>
      <c r="BI259" t="s">
        <v>98</v>
      </c>
      <c r="BJ259" t="s">
        <v>975</v>
      </c>
      <c r="BL259" t="s">
        <v>110</v>
      </c>
    </row>
    <row r="260" spans="1:64" hidden="1" x14ac:dyDescent="0.2">
      <c r="A260">
        <v>1048</v>
      </c>
      <c r="B260">
        <v>4027015382</v>
      </c>
      <c r="C260" t="s">
        <v>101</v>
      </c>
      <c r="D260" t="s">
        <v>2226</v>
      </c>
      <c r="E260" t="s">
        <v>65</v>
      </c>
      <c r="F260" t="s">
        <v>66</v>
      </c>
      <c r="G260" t="s">
        <v>67</v>
      </c>
      <c r="H260" t="s">
        <v>68</v>
      </c>
      <c r="I260" t="s">
        <v>350</v>
      </c>
      <c r="J260" t="s">
        <v>351</v>
      </c>
      <c r="K260" t="s">
        <v>352</v>
      </c>
      <c r="M260" t="s">
        <v>72</v>
      </c>
      <c r="N260" t="s">
        <v>353</v>
      </c>
      <c r="O260" t="s">
        <v>352</v>
      </c>
      <c r="P260" t="s">
        <v>180</v>
      </c>
      <c r="Q260" t="s">
        <v>75</v>
      </c>
      <c r="R260" t="s">
        <v>2168</v>
      </c>
      <c r="S260" t="s">
        <v>987</v>
      </c>
      <c r="T260" t="s">
        <v>78</v>
      </c>
      <c r="U260" t="s">
        <v>1822</v>
      </c>
      <c r="V260" t="s">
        <v>80</v>
      </c>
      <c r="W260" s="1">
        <v>44696</v>
      </c>
      <c r="X260" t="s">
        <v>1859</v>
      </c>
      <c r="Y260" t="s">
        <v>2227</v>
      </c>
      <c r="Z260" t="s">
        <v>83</v>
      </c>
      <c r="AA260">
        <v>1</v>
      </c>
      <c r="AB260" t="s">
        <v>677</v>
      </c>
      <c r="AC260">
        <v>0</v>
      </c>
      <c r="AD260" t="s">
        <v>128</v>
      </c>
      <c r="AE260" t="s">
        <v>86</v>
      </c>
      <c r="AF260" t="s">
        <v>146</v>
      </c>
      <c r="AG260" t="s">
        <v>1034</v>
      </c>
      <c r="AI260" t="s">
        <v>90</v>
      </c>
      <c r="AJ260">
        <v>32.423360000000002</v>
      </c>
      <c r="AK260">
        <v>-110.733923</v>
      </c>
      <c r="AN260">
        <v>2424</v>
      </c>
      <c r="AP260">
        <v>2424</v>
      </c>
      <c r="AQ260">
        <v>2409.295623</v>
      </c>
      <c r="AT260">
        <v>15</v>
      </c>
      <c r="AU260">
        <v>5</v>
      </c>
      <c r="AV260">
        <v>2022</v>
      </c>
      <c r="AW260">
        <v>4972385</v>
      </c>
      <c r="AX260">
        <v>2437431</v>
      </c>
      <c r="AY260" t="s">
        <v>106</v>
      </c>
      <c r="AZ260" t="s">
        <v>92</v>
      </c>
      <c r="BA260" t="s">
        <v>107</v>
      </c>
      <c r="BB260" t="s">
        <v>2228</v>
      </c>
      <c r="BC260" t="s">
        <v>97</v>
      </c>
      <c r="BE260" t="s">
        <v>96</v>
      </c>
      <c r="BG260" t="s">
        <v>1865</v>
      </c>
      <c r="BI260" t="s">
        <v>98</v>
      </c>
      <c r="BJ260" t="s">
        <v>2225</v>
      </c>
      <c r="BL260" t="s">
        <v>110</v>
      </c>
    </row>
    <row r="261" spans="1:64" hidden="1" x14ac:dyDescent="0.2">
      <c r="A261">
        <v>957</v>
      </c>
      <c r="B261">
        <v>4027015473</v>
      </c>
      <c r="C261" t="s">
        <v>101</v>
      </c>
      <c r="D261" t="s">
        <v>1170</v>
      </c>
      <c r="E261" t="s">
        <v>65</v>
      </c>
      <c r="F261" t="s">
        <v>66</v>
      </c>
      <c r="G261" t="s">
        <v>67</v>
      </c>
      <c r="H261" t="s">
        <v>68</v>
      </c>
      <c r="I261" t="s">
        <v>350</v>
      </c>
      <c r="J261" t="s">
        <v>351</v>
      </c>
      <c r="K261" t="s">
        <v>352</v>
      </c>
      <c r="M261" t="s">
        <v>72</v>
      </c>
      <c r="N261" t="s">
        <v>353</v>
      </c>
      <c r="O261" t="s">
        <v>352</v>
      </c>
      <c r="P261" t="s">
        <v>180</v>
      </c>
      <c r="Q261" t="s">
        <v>75</v>
      </c>
      <c r="R261" t="s">
        <v>977</v>
      </c>
      <c r="S261" t="s">
        <v>1166</v>
      </c>
      <c r="T261" t="s">
        <v>78</v>
      </c>
      <c r="U261" t="s">
        <v>646</v>
      </c>
      <c r="V261" t="s">
        <v>80</v>
      </c>
      <c r="W261" s="1">
        <v>44695</v>
      </c>
      <c r="X261" t="s">
        <v>647</v>
      </c>
      <c r="Y261" t="s">
        <v>1167</v>
      </c>
      <c r="Z261" t="s">
        <v>83</v>
      </c>
      <c r="AA261">
        <v>1</v>
      </c>
      <c r="AB261" t="s">
        <v>657</v>
      </c>
      <c r="AD261" t="s">
        <v>343</v>
      </c>
      <c r="AE261" t="s">
        <v>86</v>
      </c>
      <c r="AF261" t="s">
        <v>146</v>
      </c>
      <c r="AG261" t="s">
        <v>1168</v>
      </c>
      <c r="AI261" t="s">
        <v>90</v>
      </c>
      <c r="AJ261">
        <v>32.389265000000002</v>
      </c>
      <c r="AK261">
        <v>-110.708297</v>
      </c>
      <c r="AN261">
        <v>2102</v>
      </c>
      <c r="AP261">
        <v>2102</v>
      </c>
      <c r="AQ261">
        <v>2148.2529119999999</v>
      </c>
      <c r="AT261">
        <v>14</v>
      </c>
      <c r="AU261">
        <v>5</v>
      </c>
      <c r="AV261">
        <v>2022</v>
      </c>
      <c r="AW261">
        <v>4972385</v>
      </c>
      <c r="AX261">
        <v>2437431</v>
      </c>
      <c r="AY261" t="s">
        <v>106</v>
      </c>
      <c r="AZ261" t="s">
        <v>92</v>
      </c>
      <c r="BA261" t="s">
        <v>107</v>
      </c>
      <c r="BB261" t="s">
        <v>1171</v>
      </c>
      <c r="BC261" t="s">
        <v>97</v>
      </c>
      <c r="BE261" t="s">
        <v>96</v>
      </c>
      <c r="BG261" t="s">
        <v>1081</v>
      </c>
      <c r="BI261" t="s">
        <v>98</v>
      </c>
      <c r="BJ261" t="s">
        <v>966</v>
      </c>
      <c r="BL261" t="s">
        <v>110</v>
      </c>
    </row>
    <row r="262" spans="1:64" hidden="1" x14ac:dyDescent="0.2">
      <c r="A262">
        <v>17</v>
      </c>
      <c r="B262">
        <v>4403382623</v>
      </c>
      <c r="C262" t="s">
        <v>101</v>
      </c>
      <c r="D262" t="s">
        <v>1189</v>
      </c>
      <c r="E262" t="s">
        <v>65</v>
      </c>
      <c r="F262" t="s">
        <v>66</v>
      </c>
      <c r="G262" t="s">
        <v>67</v>
      </c>
      <c r="H262" t="s">
        <v>68</v>
      </c>
      <c r="I262" t="s">
        <v>176</v>
      </c>
      <c r="J262" t="s">
        <v>1173</v>
      </c>
      <c r="K262" t="s">
        <v>1174</v>
      </c>
      <c r="M262" t="s">
        <v>72</v>
      </c>
      <c r="N262" t="s">
        <v>1175</v>
      </c>
      <c r="O262" t="s">
        <v>1174</v>
      </c>
      <c r="P262" t="s">
        <v>1176</v>
      </c>
      <c r="Q262" t="s">
        <v>75</v>
      </c>
      <c r="R262" t="s">
        <v>1177</v>
      </c>
      <c r="S262" t="s">
        <v>1178</v>
      </c>
      <c r="T262" t="s">
        <v>78</v>
      </c>
      <c r="U262" t="s">
        <v>646</v>
      </c>
      <c r="V262" t="s">
        <v>1179</v>
      </c>
      <c r="W262" s="1">
        <v>45108</v>
      </c>
      <c r="X262" t="s">
        <v>1180</v>
      </c>
      <c r="Y262" t="s">
        <v>1181</v>
      </c>
      <c r="Z262" t="s">
        <v>83</v>
      </c>
      <c r="AA262">
        <v>1</v>
      </c>
      <c r="AB262" t="s">
        <v>367</v>
      </c>
      <c r="AD262" t="s">
        <v>116</v>
      </c>
      <c r="AE262" t="s">
        <v>145</v>
      </c>
      <c r="AF262" t="s">
        <v>402</v>
      </c>
      <c r="AG262" t="s">
        <v>1183</v>
      </c>
      <c r="AH262" t="s">
        <v>1190</v>
      </c>
      <c r="AI262" t="s">
        <v>90</v>
      </c>
      <c r="AJ262">
        <v>32.448915</v>
      </c>
      <c r="AK262">
        <v>-110.73759200000001</v>
      </c>
      <c r="AN262">
        <v>2078</v>
      </c>
      <c r="AP262">
        <v>2078</v>
      </c>
      <c r="AQ262">
        <v>2083.4699999999998</v>
      </c>
      <c r="AT262">
        <v>1</v>
      </c>
      <c r="AU262">
        <v>7</v>
      </c>
      <c r="AV262">
        <v>2023</v>
      </c>
      <c r="AW262">
        <v>2437874</v>
      </c>
      <c r="AX262">
        <v>2437874</v>
      </c>
      <c r="AY262" t="s">
        <v>106</v>
      </c>
      <c r="AZ262" t="s">
        <v>92</v>
      </c>
      <c r="BA262" t="s">
        <v>107</v>
      </c>
      <c r="BB262" t="s">
        <v>1191</v>
      </c>
      <c r="BC262" t="s">
        <v>1186</v>
      </c>
      <c r="BD262" s="1">
        <v>45108</v>
      </c>
      <c r="BE262" t="s">
        <v>96</v>
      </c>
      <c r="BG262" t="s">
        <v>1187</v>
      </c>
      <c r="BI262" t="s">
        <v>98</v>
      </c>
      <c r="BJ262" t="s">
        <v>1192</v>
      </c>
      <c r="BL262" t="s">
        <v>110</v>
      </c>
    </row>
    <row r="263" spans="1:64" hidden="1" x14ac:dyDescent="0.2">
      <c r="A263">
        <v>182</v>
      </c>
      <c r="B263">
        <v>4403382458</v>
      </c>
      <c r="C263" t="s">
        <v>101</v>
      </c>
      <c r="D263" t="s">
        <v>1193</v>
      </c>
      <c r="E263" t="s">
        <v>65</v>
      </c>
      <c r="F263" t="s">
        <v>66</v>
      </c>
      <c r="G263" t="s">
        <v>67</v>
      </c>
      <c r="H263" t="s">
        <v>68</v>
      </c>
      <c r="I263" t="s">
        <v>176</v>
      </c>
      <c r="J263" t="s">
        <v>1173</v>
      </c>
      <c r="K263" t="s">
        <v>1174</v>
      </c>
      <c r="M263" t="s">
        <v>72</v>
      </c>
      <c r="N263" t="s">
        <v>1175</v>
      </c>
      <c r="O263" t="s">
        <v>1174</v>
      </c>
      <c r="P263" t="s">
        <v>1176</v>
      </c>
      <c r="Q263" t="s">
        <v>75</v>
      </c>
      <c r="R263" t="s">
        <v>1177</v>
      </c>
      <c r="S263" t="s">
        <v>1178</v>
      </c>
      <c r="T263" t="s">
        <v>78</v>
      </c>
      <c r="U263" t="s">
        <v>646</v>
      </c>
      <c r="V263" t="s">
        <v>1179</v>
      </c>
      <c r="W263" s="1">
        <v>45108</v>
      </c>
      <c r="X263" t="s">
        <v>1180</v>
      </c>
      <c r="Y263" t="s">
        <v>1181</v>
      </c>
      <c r="Z263" t="s">
        <v>83</v>
      </c>
      <c r="AA263">
        <v>1</v>
      </c>
      <c r="AB263" t="s">
        <v>372</v>
      </c>
      <c r="AD263" t="s">
        <v>134</v>
      </c>
      <c r="AE263" t="s">
        <v>145</v>
      </c>
      <c r="AF263" t="s">
        <v>402</v>
      </c>
      <c r="AG263" t="s">
        <v>1183</v>
      </c>
      <c r="AH263" t="s">
        <v>1194</v>
      </c>
      <c r="AI263" t="s">
        <v>90</v>
      </c>
      <c r="AJ263">
        <v>32.448915</v>
      </c>
      <c r="AK263">
        <v>-110.73759200000001</v>
      </c>
      <c r="AN263">
        <v>2078</v>
      </c>
      <c r="AP263">
        <v>2078</v>
      </c>
      <c r="AQ263">
        <v>2083.4699999999998</v>
      </c>
      <c r="AT263">
        <v>1</v>
      </c>
      <c r="AU263">
        <v>7</v>
      </c>
      <c r="AV263">
        <v>2023</v>
      </c>
      <c r="AW263">
        <v>2437874</v>
      </c>
      <c r="AX263">
        <v>2437874</v>
      </c>
      <c r="AY263" t="s">
        <v>106</v>
      </c>
      <c r="AZ263" t="s">
        <v>92</v>
      </c>
      <c r="BA263" t="s">
        <v>107</v>
      </c>
      <c r="BB263" t="s">
        <v>1195</v>
      </c>
      <c r="BC263" t="s">
        <v>1186</v>
      </c>
      <c r="BD263" s="1">
        <v>45108</v>
      </c>
      <c r="BE263" t="s">
        <v>96</v>
      </c>
      <c r="BG263" t="s">
        <v>1187</v>
      </c>
      <c r="BI263" t="s">
        <v>98</v>
      </c>
      <c r="BJ263" t="s">
        <v>1196</v>
      </c>
      <c r="BL263" t="s">
        <v>110</v>
      </c>
    </row>
    <row r="264" spans="1:64" hidden="1" x14ac:dyDescent="0.2">
      <c r="A264">
        <v>155</v>
      </c>
      <c r="B264">
        <v>4403382485</v>
      </c>
      <c r="C264" t="s">
        <v>101</v>
      </c>
      <c r="D264" t="s">
        <v>1197</v>
      </c>
      <c r="E264" t="s">
        <v>65</v>
      </c>
      <c r="F264" t="s">
        <v>66</v>
      </c>
      <c r="G264" t="s">
        <v>67</v>
      </c>
      <c r="H264" t="s">
        <v>68</v>
      </c>
      <c r="I264" t="s">
        <v>176</v>
      </c>
      <c r="J264" t="s">
        <v>1173</v>
      </c>
      <c r="K264" t="s">
        <v>1174</v>
      </c>
      <c r="M264" t="s">
        <v>72</v>
      </c>
      <c r="N264" t="s">
        <v>1175</v>
      </c>
      <c r="O264" t="s">
        <v>1174</v>
      </c>
      <c r="P264" t="s">
        <v>1176</v>
      </c>
      <c r="Q264" t="s">
        <v>75</v>
      </c>
      <c r="R264" t="s">
        <v>1177</v>
      </c>
      <c r="S264" t="s">
        <v>1178</v>
      </c>
      <c r="T264" t="s">
        <v>78</v>
      </c>
      <c r="U264" t="s">
        <v>646</v>
      </c>
      <c r="V264" t="s">
        <v>1179</v>
      </c>
      <c r="W264" s="1">
        <v>45108</v>
      </c>
      <c r="X264" t="s">
        <v>1180</v>
      </c>
      <c r="Y264" t="s">
        <v>1181</v>
      </c>
      <c r="Z264" t="s">
        <v>83</v>
      </c>
      <c r="AA264">
        <v>1</v>
      </c>
      <c r="AB264" t="s">
        <v>367</v>
      </c>
      <c r="AD264" t="s">
        <v>112</v>
      </c>
      <c r="AE264" t="s">
        <v>145</v>
      </c>
      <c r="AF264" t="s">
        <v>402</v>
      </c>
      <c r="AG264" t="s">
        <v>1183</v>
      </c>
      <c r="AH264" t="s">
        <v>1190</v>
      </c>
      <c r="AI264" t="s">
        <v>90</v>
      </c>
      <c r="AJ264">
        <v>32.448915</v>
      </c>
      <c r="AK264">
        <v>-110.73759200000001</v>
      </c>
      <c r="AN264">
        <v>2078</v>
      </c>
      <c r="AP264">
        <v>2078</v>
      </c>
      <c r="AQ264">
        <v>2083.4699999999998</v>
      </c>
      <c r="AT264">
        <v>1</v>
      </c>
      <c r="AU264">
        <v>7</v>
      </c>
      <c r="AV264">
        <v>2023</v>
      </c>
      <c r="AW264">
        <v>2437874</v>
      </c>
      <c r="AX264">
        <v>2437874</v>
      </c>
      <c r="AY264" t="s">
        <v>106</v>
      </c>
      <c r="AZ264" t="s">
        <v>92</v>
      </c>
      <c r="BA264" t="s">
        <v>107</v>
      </c>
      <c r="BB264" t="s">
        <v>1198</v>
      </c>
      <c r="BC264" t="s">
        <v>1186</v>
      </c>
      <c r="BD264" s="1">
        <v>45108</v>
      </c>
      <c r="BE264" t="s">
        <v>96</v>
      </c>
      <c r="BG264" t="s">
        <v>1187</v>
      </c>
      <c r="BI264" t="s">
        <v>98</v>
      </c>
      <c r="BJ264" t="s">
        <v>1199</v>
      </c>
      <c r="BL264" t="s">
        <v>110</v>
      </c>
    </row>
    <row r="265" spans="1:64" hidden="1" x14ac:dyDescent="0.2">
      <c r="A265">
        <v>158</v>
      </c>
      <c r="B265">
        <v>4403382482</v>
      </c>
      <c r="C265" t="s">
        <v>101</v>
      </c>
      <c r="D265" t="s">
        <v>1200</v>
      </c>
      <c r="E265" t="s">
        <v>65</v>
      </c>
      <c r="F265" t="s">
        <v>66</v>
      </c>
      <c r="G265" t="s">
        <v>67</v>
      </c>
      <c r="H265" t="s">
        <v>68</v>
      </c>
      <c r="I265" t="s">
        <v>176</v>
      </c>
      <c r="J265" t="s">
        <v>1173</v>
      </c>
      <c r="K265" t="s">
        <v>1174</v>
      </c>
      <c r="M265" t="s">
        <v>72</v>
      </c>
      <c r="N265" t="s">
        <v>1175</v>
      </c>
      <c r="O265" t="s">
        <v>1174</v>
      </c>
      <c r="P265" t="s">
        <v>1176</v>
      </c>
      <c r="Q265" t="s">
        <v>75</v>
      </c>
      <c r="R265" t="s">
        <v>1177</v>
      </c>
      <c r="S265" t="s">
        <v>1178</v>
      </c>
      <c r="T265" t="s">
        <v>78</v>
      </c>
      <c r="U265" t="s">
        <v>646</v>
      </c>
      <c r="V265" t="s">
        <v>1179</v>
      </c>
      <c r="W265" s="1">
        <v>45108</v>
      </c>
      <c r="X265" t="s">
        <v>1180</v>
      </c>
      <c r="Y265" t="s">
        <v>1181</v>
      </c>
      <c r="Z265" t="s">
        <v>83</v>
      </c>
      <c r="AA265">
        <v>1</v>
      </c>
      <c r="AB265" t="s">
        <v>367</v>
      </c>
      <c r="AD265" t="s">
        <v>139</v>
      </c>
      <c r="AE265" t="s">
        <v>145</v>
      </c>
      <c r="AF265" t="s">
        <v>402</v>
      </c>
      <c r="AG265" t="s">
        <v>1183</v>
      </c>
      <c r="AH265" t="s">
        <v>1190</v>
      </c>
      <c r="AI265" t="s">
        <v>90</v>
      </c>
      <c r="AJ265">
        <v>32.448915</v>
      </c>
      <c r="AK265">
        <v>-110.73759200000001</v>
      </c>
      <c r="AN265">
        <v>2078</v>
      </c>
      <c r="AP265">
        <v>2078</v>
      </c>
      <c r="AQ265">
        <v>2083.4699999999998</v>
      </c>
      <c r="AT265">
        <v>1</v>
      </c>
      <c r="AU265">
        <v>7</v>
      </c>
      <c r="AV265">
        <v>2023</v>
      </c>
      <c r="AW265">
        <v>2437874</v>
      </c>
      <c r="AX265">
        <v>2437874</v>
      </c>
      <c r="AY265" t="s">
        <v>106</v>
      </c>
      <c r="AZ265" t="s">
        <v>92</v>
      </c>
      <c r="BA265" t="s">
        <v>107</v>
      </c>
      <c r="BB265" t="s">
        <v>1201</v>
      </c>
      <c r="BC265" t="s">
        <v>1186</v>
      </c>
      <c r="BD265" s="1">
        <v>45108</v>
      </c>
      <c r="BE265" t="s">
        <v>96</v>
      </c>
      <c r="BG265" t="s">
        <v>1187</v>
      </c>
      <c r="BI265" t="s">
        <v>98</v>
      </c>
      <c r="BJ265" t="s">
        <v>1202</v>
      </c>
      <c r="BL265" t="s">
        <v>110</v>
      </c>
    </row>
    <row r="266" spans="1:64" hidden="1" x14ac:dyDescent="0.2">
      <c r="A266">
        <v>160</v>
      </c>
      <c r="B266">
        <v>4403382480</v>
      </c>
      <c r="C266" t="s">
        <v>101</v>
      </c>
      <c r="D266" t="s">
        <v>1203</v>
      </c>
      <c r="E266" t="s">
        <v>65</v>
      </c>
      <c r="F266" t="s">
        <v>66</v>
      </c>
      <c r="G266" t="s">
        <v>67</v>
      </c>
      <c r="H266" t="s">
        <v>68</v>
      </c>
      <c r="I266" t="s">
        <v>176</v>
      </c>
      <c r="J266" t="s">
        <v>1173</v>
      </c>
      <c r="K266" t="s">
        <v>1174</v>
      </c>
      <c r="M266" t="s">
        <v>72</v>
      </c>
      <c r="N266" t="s">
        <v>1175</v>
      </c>
      <c r="O266" t="s">
        <v>1174</v>
      </c>
      <c r="P266" t="s">
        <v>1176</v>
      </c>
      <c r="Q266" t="s">
        <v>75</v>
      </c>
      <c r="R266" t="s">
        <v>1177</v>
      </c>
      <c r="S266" t="s">
        <v>1178</v>
      </c>
      <c r="T266" t="s">
        <v>78</v>
      </c>
      <c r="U266" t="s">
        <v>646</v>
      </c>
      <c r="V266" t="s">
        <v>1179</v>
      </c>
      <c r="W266" s="1">
        <v>45108</v>
      </c>
      <c r="X266" t="s">
        <v>1180</v>
      </c>
      <c r="Y266" t="s">
        <v>1181</v>
      </c>
      <c r="Z266" t="s">
        <v>83</v>
      </c>
      <c r="AA266">
        <v>1</v>
      </c>
      <c r="AB266" t="s">
        <v>367</v>
      </c>
      <c r="AD266" t="s">
        <v>123</v>
      </c>
      <c r="AE266" t="s">
        <v>145</v>
      </c>
      <c r="AF266" t="s">
        <v>402</v>
      </c>
      <c r="AG266" t="s">
        <v>1183</v>
      </c>
      <c r="AH266" t="s">
        <v>1190</v>
      </c>
      <c r="AI266" t="s">
        <v>90</v>
      </c>
      <c r="AJ266">
        <v>32.448915</v>
      </c>
      <c r="AK266">
        <v>-110.73759200000001</v>
      </c>
      <c r="AN266">
        <v>2078</v>
      </c>
      <c r="AP266">
        <v>2078</v>
      </c>
      <c r="AQ266">
        <v>2083.4699999999998</v>
      </c>
      <c r="AT266">
        <v>1</v>
      </c>
      <c r="AU266">
        <v>7</v>
      </c>
      <c r="AV266">
        <v>2023</v>
      </c>
      <c r="AW266">
        <v>2437874</v>
      </c>
      <c r="AX266">
        <v>2437874</v>
      </c>
      <c r="AY266" t="s">
        <v>106</v>
      </c>
      <c r="AZ266" t="s">
        <v>92</v>
      </c>
      <c r="BA266" t="s">
        <v>107</v>
      </c>
      <c r="BB266" t="s">
        <v>1204</v>
      </c>
      <c r="BC266" t="s">
        <v>1186</v>
      </c>
      <c r="BD266" s="1">
        <v>45108</v>
      </c>
      <c r="BE266" t="s">
        <v>96</v>
      </c>
      <c r="BG266" t="s">
        <v>1187</v>
      </c>
      <c r="BI266" t="s">
        <v>98</v>
      </c>
      <c r="BJ266" t="s">
        <v>1205</v>
      </c>
      <c r="BL266" t="s">
        <v>110</v>
      </c>
    </row>
    <row r="267" spans="1:64" hidden="1" x14ac:dyDescent="0.2">
      <c r="A267">
        <v>161</v>
      </c>
      <c r="B267">
        <v>4403382479</v>
      </c>
      <c r="C267" t="s">
        <v>101</v>
      </c>
      <c r="D267" t="s">
        <v>1206</v>
      </c>
      <c r="E267" t="s">
        <v>65</v>
      </c>
      <c r="F267" t="s">
        <v>66</v>
      </c>
      <c r="G267" t="s">
        <v>67</v>
      </c>
      <c r="H267" t="s">
        <v>68</v>
      </c>
      <c r="I267" t="s">
        <v>176</v>
      </c>
      <c r="J267" t="s">
        <v>1173</v>
      </c>
      <c r="K267" t="s">
        <v>1174</v>
      </c>
      <c r="M267" t="s">
        <v>72</v>
      </c>
      <c r="N267" t="s">
        <v>1175</v>
      </c>
      <c r="O267" t="s">
        <v>1174</v>
      </c>
      <c r="P267" t="s">
        <v>1176</v>
      </c>
      <c r="Q267" t="s">
        <v>75</v>
      </c>
      <c r="R267" t="s">
        <v>1177</v>
      </c>
      <c r="S267" t="s">
        <v>1178</v>
      </c>
      <c r="T267" t="s">
        <v>78</v>
      </c>
      <c r="U267" t="s">
        <v>646</v>
      </c>
      <c r="V267" t="s">
        <v>1179</v>
      </c>
      <c r="W267" s="1">
        <v>45108</v>
      </c>
      <c r="X267" t="s">
        <v>1180</v>
      </c>
      <c r="Y267" t="s">
        <v>1181</v>
      </c>
      <c r="Z267" t="s">
        <v>83</v>
      </c>
      <c r="AA267">
        <v>1</v>
      </c>
      <c r="AB267" t="s">
        <v>367</v>
      </c>
      <c r="AD267" t="s">
        <v>1207</v>
      </c>
      <c r="AE267" t="s">
        <v>145</v>
      </c>
      <c r="AF267" t="s">
        <v>402</v>
      </c>
      <c r="AG267" t="s">
        <v>1183</v>
      </c>
      <c r="AH267" t="s">
        <v>1190</v>
      </c>
      <c r="AI267" t="s">
        <v>90</v>
      </c>
      <c r="AJ267">
        <v>32.448915</v>
      </c>
      <c r="AK267">
        <v>-110.73759200000001</v>
      </c>
      <c r="AN267">
        <v>2078</v>
      </c>
      <c r="AP267">
        <v>2078</v>
      </c>
      <c r="AQ267">
        <v>2083.4699999999998</v>
      </c>
      <c r="AT267">
        <v>1</v>
      </c>
      <c r="AU267">
        <v>7</v>
      </c>
      <c r="AV267">
        <v>2023</v>
      </c>
      <c r="AW267">
        <v>2437874</v>
      </c>
      <c r="AX267">
        <v>2437874</v>
      </c>
      <c r="AY267" t="s">
        <v>106</v>
      </c>
      <c r="AZ267" t="s">
        <v>92</v>
      </c>
      <c r="BA267" t="s">
        <v>107</v>
      </c>
      <c r="BB267" t="s">
        <v>1208</v>
      </c>
      <c r="BC267" t="s">
        <v>1186</v>
      </c>
      <c r="BD267" s="1">
        <v>45108</v>
      </c>
      <c r="BE267" t="s">
        <v>96</v>
      </c>
      <c r="BG267" t="s">
        <v>1187</v>
      </c>
      <c r="BI267" t="s">
        <v>98</v>
      </c>
      <c r="BJ267" t="s">
        <v>1205</v>
      </c>
      <c r="BL267" t="s">
        <v>110</v>
      </c>
    </row>
    <row r="268" spans="1:64" hidden="1" x14ac:dyDescent="0.2">
      <c r="A268">
        <v>512</v>
      </c>
      <c r="B268">
        <v>4136459447</v>
      </c>
      <c r="C268" t="s">
        <v>101</v>
      </c>
      <c r="D268" t="s">
        <v>5307</v>
      </c>
      <c r="E268" t="s">
        <v>65</v>
      </c>
      <c r="F268" t="s">
        <v>66</v>
      </c>
      <c r="G268" t="s">
        <v>67</v>
      </c>
      <c r="H268" t="s">
        <v>68</v>
      </c>
      <c r="I268" t="s">
        <v>176</v>
      </c>
      <c r="J268" t="s">
        <v>177</v>
      </c>
      <c r="K268" t="s">
        <v>3925</v>
      </c>
      <c r="M268" t="s">
        <v>72</v>
      </c>
      <c r="N268" t="s">
        <v>3926</v>
      </c>
      <c r="O268" t="s">
        <v>3925</v>
      </c>
      <c r="P268" t="s">
        <v>1176</v>
      </c>
      <c r="Q268" t="s">
        <v>75</v>
      </c>
      <c r="R268" t="s">
        <v>5008</v>
      </c>
      <c r="S268" t="s">
        <v>5308</v>
      </c>
      <c r="T268" t="s">
        <v>78</v>
      </c>
      <c r="U268" t="s">
        <v>5009</v>
      </c>
      <c r="V268" t="s">
        <v>80</v>
      </c>
      <c r="W268" s="1">
        <v>44905</v>
      </c>
      <c r="X268" t="s">
        <v>5010</v>
      </c>
      <c r="Y268" t="s">
        <v>5309</v>
      </c>
      <c r="Z268" t="s">
        <v>83</v>
      </c>
      <c r="AA268">
        <v>1</v>
      </c>
      <c r="AB268" t="s">
        <v>5310</v>
      </c>
      <c r="AC268">
        <v>0</v>
      </c>
      <c r="AD268" t="s">
        <v>128</v>
      </c>
      <c r="AE268" t="s">
        <v>86</v>
      </c>
      <c r="AF268" t="s">
        <v>146</v>
      </c>
      <c r="AG268" t="s">
        <v>5311</v>
      </c>
      <c r="AI268" t="s">
        <v>90</v>
      </c>
      <c r="AJ268">
        <v>32.313585000000003</v>
      </c>
      <c r="AK268">
        <v>-110.712704</v>
      </c>
      <c r="AL268">
        <v>3</v>
      </c>
      <c r="AN268">
        <v>1173</v>
      </c>
      <c r="AP268">
        <v>1173</v>
      </c>
      <c r="AQ268">
        <v>1173.459032</v>
      </c>
      <c r="AT268">
        <v>10</v>
      </c>
      <c r="AU268">
        <v>12</v>
      </c>
      <c r="AV268">
        <v>2022</v>
      </c>
      <c r="AW268">
        <v>2437981</v>
      </c>
      <c r="AX268">
        <v>2437981</v>
      </c>
      <c r="AY268" t="s">
        <v>106</v>
      </c>
      <c r="AZ268" t="s">
        <v>92</v>
      </c>
      <c r="BA268" t="s">
        <v>107</v>
      </c>
      <c r="BB268" t="s">
        <v>5312</v>
      </c>
      <c r="BC268" t="s">
        <v>5313</v>
      </c>
      <c r="BD268" s="1">
        <v>44905</v>
      </c>
      <c r="BE268" t="s">
        <v>96</v>
      </c>
      <c r="BG268" t="s">
        <v>5314</v>
      </c>
      <c r="BI268" t="s">
        <v>98</v>
      </c>
      <c r="BJ268" t="s">
        <v>1653</v>
      </c>
      <c r="BL268" t="s">
        <v>110</v>
      </c>
    </row>
    <row r="269" spans="1:64" hidden="1" x14ac:dyDescent="0.2">
      <c r="A269">
        <v>14</v>
      </c>
      <c r="B269">
        <v>4403382626</v>
      </c>
      <c r="C269" t="s">
        <v>101</v>
      </c>
      <c r="D269" t="s">
        <v>1213</v>
      </c>
      <c r="E269" t="s">
        <v>65</v>
      </c>
      <c r="F269" t="s">
        <v>66</v>
      </c>
      <c r="G269" t="s">
        <v>67</v>
      </c>
      <c r="H269" t="s">
        <v>68</v>
      </c>
      <c r="I269" t="s">
        <v>176</v>
      </c>
      <c r="J269" t="s">
        <v>1173</v>
      </c>
      <c r="K269" t="s">
        <v>1174</v>
      </c>
      <c r="M269" t="s">
        <v>72</v>
      </c>
      <c r="N269" t="s">
        <v>1175</v>
      </c>
      <c r="O269" t="s">
        <v>1174</v>
      </c>
      <c r="P269" t="s">
        <v>1176</v>
      </c>
      <c r="Q269" t="s">
        <v>75</v>
      </c>
      <c r="R269" t="s">
        <v>1177</v>
      </c>
      <c r="S269" t="s">
        <v>1178</v>
      </c>
      <c r="T269" t="s">
        <v>78</v>
      </c>
      <c r="U269" t="s">
        <v>646</v>
      </c>
      <c r="V269" t="s">
        <v>1179</v>
      </c>
      <c r="W269" s="1">
        <v>45108</v>
      </c>
      <c r="X269" t="s">
        <v>1180</v>
      </c>
      <c r="Y269" t="s">
        <v>1181</v>
      </c>
      <c r="Z269" t="s">
        <v>83</v>
      </c>
      <c r="AA269">
        <v>1</v>
      </c>
      <c r="AB269" t="s">
        <v>367</v>
      </c>
      <c r="AD269" t="s">
        <v>104</v>
      </c>
      <c r="AE269" t="s">
        <v>145</v>
      </c>
      <c r="AF269" t="s">
        <v>402</v>
      </c>
      <c r="AG269" t="s">
        <v>1183</v>
      </c>
      <c r="AH269" t="s">
        <v>1190</v>
      </c>
      <c r="AI269" t="s">
        <v>90</v>
      </c>
      <c r="AJ269">
        <v>32.448915</v>
      </c>
      <c r="AK269">
        <v>-110.73759200000001</v>
      </c>
      <c r="AN269">
        <v>2078</v>
      </c>
      <c r="AP269">
        <v>2078</v>
      </c>
      <c r="AQ269">
        <v>2083.4699999999998</v>
      </c>
      <c r="AT269">
        <v>1</v>
      </c>
      <c r="AU269">
        <v>7</v>
      </c>
      <c r="AV269">
        <v>2023</v>
      </c>
      <c r="AW269">
        <v>2437874</v>
      </c>
      <c r="AX269">
        <v>2437874</v>
      </c>
      <c r="AY269" t="s">
        <v>106</v>
      </c>
      <c r="AZ269" t="s">
        <v>92</v>
      </c>
      <c r="BA269" t="s">
        <v>107</v>
      </c>
      <c r="BB269" t="s">
        <v>1214</v>
      </c>
      <c r="BC269" t="s">
        <v>1186</v>
      </c>
      <c r="BD269" s="1">
        <v>45108</v>
      </c>
      <c r="BE269" t="s">
        <v>96</v>
      </c>
      <c r="BG269" t="s">
        <v>1187</v>
      </c>
      <c r="BI269" t="s">
        <v>98</v>
      </c>
      <c r="BJ269" t="s">
        <v>1215</v>
      </c>
      <c r="BL269" t="s">
        <v>110</v>
      </c>
    </row>
    <row r="270" spans="1:64" hidden="1" x14ac:dyDescent="0.2">
      <c r="A270">
        <v>39</v>
      </c>
      <c r="B270">
        <v>4403382601</v>
      </c>
      <c r="C270" t="s">
        <v>101</v>
      </c>
      <c r="D270" t="s">
        <v>1223</v>
      </c>
      <c r="E270" t="s">
        <v>65</v>
      </c>
      <c r="F270" t="s">
        <v>66</v>
      </c>
      <c r="G270" t="s">
        <v>67</v>
      </c>
      <c r="H270" t="s">
        <v>68</v>
      </c>
      <c r="I270" t="s">
        <v>176</v>
      </c>
      <c r="J270" t="s">
        <v>1173</v>
      </c>
      <c r="K270" t="s">
        <v>1174</v>
      </c>
      <c r="M270" t="s">
        <v>72</v>
      </c>
      <c r="N270" t="s">
        <v>1175</v>
      </c>
      <c r="O270" t="s">
        <v>1174</v>
      </c>
      <c r="P270" t="s">
        <v>1176</v>
      </c>
      <c r="Q270" t="s">
        <v>75</v>
      </c>
      <c r="R270" t="s">
        <v>1177</v>
      </c>
      <c r="S270" t="s">
        <v>1178</v>
      </c>
      <c r="T270" t="s">
        <v>78</v>
      </c>
      <c r="U270" t="s">
        <v>646</v>
      </c>
      <c r="V270" t="s">
        <v>1179</v>
      </c>
      <c r="W270" s="1">
        <v>45108</v>
      </c>
      <c r="X270" t="s">
        <v>1180</v>
      </c>
      <c r="Y270" t="s">
        <v>1217</v>
      </c>
      <c r="Z270" t="s">
        <v>83</v>
      </c>
      <c r="AA270">
        <v>1</v>
      </c>
      <c r="AB270" t="s">
        <v>1224</v>
      </c>
      <c r="AD270" t="s">
        <v>378</v>
      </c>
      <c r="AE270" t="s">
        <v>145</v>
      </c>
      <c r="AF270" t="s">
        <v>402</v>
      </c>
      <c r="AG270" t="s">
        <v>1183</v>
      </c>
      <c r="AH270" t="s">
        <v>1190</v>
      </c>
      <c r="AI270" t="s">
        <v>90</v>
      </c>
      <c r="AJ270">
        <v>32.448915</v>
      </c>
      <c r="AK270">
        <v>-110.73759200000001</v>
      </c>
      <c r="AN270">
        <v>2078</v>
      </c>
      <c r="AP270">
        <v>2078</v>
      </c>
      <c r="AQ270">
        <v>2083.4699999999998</v>
      </c>
      <c r="AT270">
        <v>1</v>
      </c>
      <c r="AU270">
        <v>7</v>
      </c>
      <c r="AV270">
        <v>2023</v>
      </c>
      <c r="AW270">
        <v>2437874</v>
      </c>
      <c r="AX270">
        <v>2437874</v>
      </c>
      <c r="AY270" t="s">
        <v>106</v>
      </c>
      <c r="AZ270" t="s">
        <v>92</v>
      </c>
      <c r="BA270" t="s">
        <v>107</v>
      </c>
      <c r="BB270" t="s">
        <v>1225</v>
      </c>
      <c r="BC270" t="s">
        <v>1186</v>
      </c>
      <c r="BD270" s="1">
        <v>45108</v>
      </c>
      <c r="BE270" t="s">
        <v>96</v>
      </c>
      <c r="BG270" t="s">
        <v>1187</v>
      </c>
      <c r="BI270" t="s">
        <v>98</v>
      </c>
      <c r="BJ270" t="s">
        <v>1226</v>
      </c>
      <c r="BL270" t="s">
        <v>110</v>
      </c>
    </row>
    <row r="271" spans="1:64" hidden="1" x14ac:dyDescent="0.2">
      <c r="A271">
        <v>36</v>
      </c>
      <c r="B271">
        <v>4403382604</v>
      </c>
      <c r="C271" t="s">
        <v>101</v>
      </c>
      <c r="D271" t="s">
        <v>1227</v>
      </c>
      <c r="E271" t="s">
        <v>65</v>
      </c>
      <c r="F271" t="s">
        <v>66</v>
      </c>
      <c r="G271" t="s">
        <v>67</v>
      </c>
      <c r="H271" t="s">
        <v>68</v>
      </c>
      <c r="I271" t="s">
        <v>176</v>
      </c>
      <c r="J271" t="s">
        <v>1173</v>
      </c>
      <c r="K271" t="s">
        <v>1174</v>
      </c>
      <c r="M271" t="s">
        <v>72</v>
      </c>
      <c r="N271" t="s">
        <v>1175</v>
      </c>
      <c r="O271" t="s">
        <v>1174</v>
      </c>
      <c r="P271" t="s">
        <v>1176</v>
      </c>
      <c r="Q271" t="s">
        <v>75</v>
      </c>
      <c r="R271" t="s">
        <v>1177</v>
      </c>
      <c r="S271" t="s">
        <v>615</v>
      </c>
      <c r="T271" t="s">
        <v>78</v>
      </c>
      <c r="U271" t="s">
        <v>646</v>
      </c>
      <c r="V271" t="s">
        <v>1179</v>
      </c>
      <c r="W271" s="1">
        <v>45108</v>
      </c>
      <c r="X271" t="s">
        <v>1180</v>
      </c>
      <c r="Y271" t="s">
        <v>1217</v>
      </c>
      <c r="Z271" t="s">
        <v>83</v>
      </c>
      <c r="AA271">
        <v>1</v>
      </c>
      <c r="AB271" t="s">
        <v>367</v>
      </c>
      <c r="AD271" t="s">
        <v>104</v>
      </c>
      <c r="AE271" t="s">
        <v>145</v>
      </c>
      <c r="AF271" t="s">
        <v>402</v>
      </c>
      <c r="AG271" t="s">
        <v>1219</v>
      </c>
      <c r="AH271" t="s">
        <v>1228</v>
      </c>
      <c r="AI271" t="s">
        <v>90</v>
      </c>
      <c r="AJ271">
        <v>32.449221000000001</v>
      </c>
      <c r="AK271">
        <v>-110.737668</v>
      </c>
      <c r="AN271">
        <v>2078</v>
      </c>
      <c r="AP271">
        <v>2078</v>
      </c>
      <c r="AQ271">
        <v>2088.6641009999998</v>
      </c>
      <c r="AT271">
        <v>1</v>
      </c>
      <c r="AU271">
        <v>7</v>
      </c>
      <c r="AV271">
        <v>2023</v>
      </c>
      <c r="AW271">
        <v>2437874</v>
      </c>
      <c r="AX271">
        <v>2437874</v>
      </c>
      <c r="AY271" t="s">
        <v>106</v>
      </c>
      <c r="AZ271" t="s">
        <v>92</v>
      </c>
      <c r="BA271" t="s">
        <v>107</v>
      </c>
      <c r="BB271" t="s">
        <v>1229</v>
      </c>
      <c r="BC271" t="s">
        <v>1186</v>
      </c>
      <c r="BD271" s="1">
        <v>45108</v>
      </c>
      <c r="BE271" t="s">
        <v>96</v>
      </c>
      <c r="BG271" t="s">
        <v>1187</v>
      </c>
      <c r="BI271" t="s">
        <v>98</v>
      </c>
      <c r="BJ271" t="s">
        <v>1230</v>
      </c>
      <c r="BL271" t="s">
        <v>110</v>
      </c>
    </row>
    <row r="272" spans="1:64" hidden="1" x14ac:dyDescent="0.2">
      <c r="A272">
        <v>20</v>
      </c>
      <c r="B272">
        <v>4403382620</v>
      </c>
      <c r="C272" t="s">
        <v>101</v>
      </c>
      <c r="D272" t="s">
        <v>1231</v>
      </c>
      <c r="E272" t="s">
        <v>65</v>
      </c>
      <c r="F272" t="s">
        <v>66</v>
      </c>
      <c r="G272" t="s">
        <v>67</v>
      </c>
      <c r="H272" t="s">
        <v>68</v>
      </c>
      <c r="I272" t="s">
        <v>176</v>
      </c>
      <c r="J272" t="s">
        <v>1173</v>
      </c>
      <c r="K272" t="s">
        <v>1174</v>
      </c>
      <c r="M272" t="s">
        <v>72</v>
      </c>
      <c r="N272" t="s">
        <v>1175</v>
      </c>
      <c r="O272" t="s">
        <v>1174</v>
      </c>
      <c r="P272" t="s">
        <v>1176</v>
      </c>
      <c r="Q272" t="s">
        <v>75</v>
      </c>
      <c r="R272" t="s">
        <v>1177</v>
      </c>
      <c r="S272" t="s">
        <v>615</v>
      </c>
      <c r="T272" t="s">
        <v>78</v>
      </c>
      <c r="U272" t="s">
        <v>646</v>
      </c>
      <c r="V272" t="s">
        <v>1179</v>
      </c>
      <c r="W272" s="1">
        <v>45108</v>
      </c>
      <c r="X272" t="s">
        <v>1180</v>
      </c>
      <c r="Y272" t="s">
        <v>1217</v>
      </c>
      <c r="Z272" t="s">
        <v>83</v>
      </c>
      <c r="AA272">
        <v>1</v>
      </c>
      <c r="AB272" t="s">
        <v>367</v>
      </c>
      <c r="AD272" t="s">
        <v>139</v>
      </c>
      <c r="AE272" t="s">
        <v>145</v>
      </c>
      <c r="AF272" t="s">
        <v>402</v>
      </c>
      <c r="AG272" t="s">
        <v>1219</v>
      </c>
      <c r="AH272" t="s">
        <v>1228</v>
      </c>
      <c r="AI272" t="s">
        <v>90</v>
      </c>
      <c r="AJ272">
        <v>32.449221000000001</v>
      </c>
      <c r="AK272">
        <v>-110.737668</v>
      </c>
      <c r="AN272">
        <v>2078</v>
      </c>
      <c r="AP272">
        <v>2078</v>
      </c>
      <c r="AQ272">
        <v>2088.6641009999998</v>
      </c>
      <c r="AT272">
        <v>1</v>
      </c>
      <c r="AU272">
        <v>7</v>
      </c>
      <c r="AV272">
        <v>2023</v>
      </c>
      <c r="AW272">
        <v>2437874</v>
      </c>
      <c r="AX272">
        <v>2437874</v>
      </c>
      <c r="AY272" t="s">
        <v>106</v>
      </c>
      <c r="AZ272" t="s">
        <v>92</v>
      </c>
      <c r="BA272" t="s">
        <v>107</v>
      </c>
      <c r="BB272" t="s">
        <v>1232</v>
      </c>
      <c r="BC272" t="s">
        <v>1186</v>
      </c>
      <c r="BD272" s="1">
        <v>45108</v>
      </c>
      <c r="BE272" t="s">
        <v>96</v>
      </c>
      <c r="BG272" t="s">
        <v>1187</v>
      </c>
      <c r="BI272" t="s">
        <v>98</v>
      </c>
      <c r="BJ272" t="s">
        <v>114</v>
      </c>
      <c r="BL272" t="s">
        <v>110</v>
      </c>
    </row>
    <row r="273" spans="1:64" hidden="1" x14ac:dyDescent="0.2">
      <c r="A273">
        <v>23</v>
      </c>
      <c r="B273">
        <v>4403382617</v>
      </c>
      <c r="C273" t="s">
        <v>101</v>
      </c>
      <c r="D273" t="s">
        <v>1233</v>
      </c>
      <c r="E273" t="s">
        <v>65</v>
      </c>
      <c r="F273" t="s">
        <v>66</v>
      </c>
      <c r="G273" t="s">
        <v>67</v>
      </c>
      <c r="H273" t="s">
        <v>68</v>
      </c>
      <c r="I273" t="s">
        <v>176</v>
      </c>
      <c r="J273" t="s">
        <v>1173</v>
      </c>
      <c r="K273" t="s">
        <v>1174</v>
      </c>
      <c r="M273" t="s">
        <v>72</v>
      </c>
      <c r="N273" t="s">
        <v>1175</v>
      </c>
      <c r="O273" t="s">
        <v>1174</v>
      </c>
      <c r="P273" t="s">
        <v>1176</v>
      </c>
      <c r="Q273" t="s">
        <v>75</v>
      </c>
      <c r="R273" t="s">
        <v>1177</v>
      </c>
      <c r="S273" t="s">
        <v>615</v>
      </c>
      <c r="T273" t="s">
        <v>78</v>
      </c>
      <c r="U273" t="s">
        <v>646</v>
      </c>
      <c r="V273" t="s">
        <v>1179</v>
      </c>
      <c r="W273" s="1">
        <v>45108</v>
      </c>
      <c r="X273" t="s">
        <v>1180</v>
      </c>
      <c r="Y273" t="s">
        <v>1217</v>
      </c>
      <c r="Z273" t="s">
        <v>83</v>
      </c>
      <c r="AA273">
        <v>1</v>
      </c>
      <c r="AB273" t="s">
        <v>372</v>
      </c>
      <c r="AD273" t="s">
        <v>134</v>
      </c>
      <c r="AE273" t="s">
        <v>145</v>
      </c>
      <c r="AF273" t="s">
        <v>402</v>
      </c>
      <c r="AG273" t="s">
        <v>1219</v>
      </c>
      <c r="AH273" t="s">
        <v>1234</v>
      </c>
      <c r="AI273" t="s">
        <v>90</v>
      </c>
      <c r="AJ273">
        <v>32.449221000000001</v>
      </c>
      <c r="AK273">
        <v>-110.737668</v>
      </c>
      <c r="AN273">
        <v>2078</v>
      </c>
      <c r="AP273">
        <v>2078</v>
      </c>
      <c r="AQ273">
        <v>2088.6641009999998</v>
      </c>
      <c r="AT273">
        <v>1</v>
      </c>
      <c r="AU273">
        <v>7</v>
      </c>
      <c r="AV273">
        <v>2023</v>
      </c>
      <c r="AW273">
        <v>2437874</v>
      </c>
      <c r="AX273">
        <v>2437874</v>
      </c>
      <c r="AY273" t="s">
        <v>106</v>
      </c>
      <c r="AZ273" t="s">
        <v>92</v>
      </c>
      <c r="BA273" t="s">
        <v>107</v>
      </c>
      <c r="BB273" t="s">
        <v>1235</v>
      </c>
      <c r="BC273" t="s">
        <v>1186</v>
      </c>
      <c r="BD273" s="1">
        <v>45108</v>
      </c>
      <c r="BE273" t="s">
        <v>96</v>
      </c>
      <c r="BG273" t="s">
        <v>1187</v>
      </c>
      <c r="BI273" t="s">
        <v>98</v>
      </c>
      <c r="BJ273" t="s">
        <v>1192</v>
      </c>
      <c r="BL273" t="s">
        <v>110</v>
      </c>
    </row>
    <row r="274" spans="1:64" hidden="1" x14ac:dyDescent="0.2">
      <c r="A274">
        <v>527</v>
      </c>
      <c r="B274">
        <v>4136459432</v>
      </c>
      <c r="C274" t="s">
        <v>101</v>
      </c>
      <c r="D274" t="s">
        <v>5320</v>
      </c>
      <c r="E274" t="s">
        <v>65</v>
      </c>
      <c r="F274" t="s">
        <v>66</v>
      </c>
      <c r="G274" t="s">
        <v>67</v>
      </c>
      <c r="H274" t="s">
        <v>68</v>
      </c>
      <c r="I274" t="s">
        <v>176</v>
      </c>
      <c r="J274" t="s">
        <v>177</v>
      </c>
      <c r="K274" t="s">
        <v>3925</v>
      </c>
      <c r="M274" t="s">
        <v>72</v>
      </c>
      <c r="N274" t="s">
        <v>3926</v>
      </c>
      <c r="O274" t="s">
        <v>3925</v>
      </c>
      <c r="P274" t="s">
        <v>1176</v>
      </c>
      <c r="Q274" t="s">
        <v>75</v>
      </c>
      <c r="R274" t="s">
        <v>5008</v>
      </c>
      <c r="S274" t="s">
        <v>615</v>
      </c>
      <c r="T274" t="s">
        <v>78</v>
      </c>
      <c r="U274" t="s">
        <v>5009</v>
      </c>
      <c r="V274" t="s">
        <v>80</v>
      </c>
      <c r="W274" s="1">
        <v>44905</v>
      </c>
      <c r="X274" t="s">
        <v>5010</v>
      </c>
      <c r="Y274" t="s">
        <v>5318</v>
      </c>
      <c r="Z274" t="s">
        <v>83</v>
      </c>
      <c r="AA274">
        <v>1</v>
      </c>
      <c r="AB274" t="s">
        <v>5310</v>
      </c>
      <c r="AC274">
        <v>0</v>
      </c>
      <c r="AD274" t="s">
        <v>128</v>
      </c>
      <c r="AE274" t="s">
        <v>145</v>
      </c>
      <c r="AF274" t="s">
        <v>146</v>
      </c>
      <c r="AG274" t="s">
        <v>980</v>
      </c>
      <c r="AI274" t="s">
        <v>90</v>
      </c>
      <c r="AJ274">
        <v>32.313108999999997</v>
      </c>
      <c r="AK274">
        <v>-110.71263500000001</v>
      </c>
      <c r="AL274">
        <v>3</v>
      </c>
      <c r="AN274">
        <v>1170</v>
      </c>
      <c r="AP274">
        <v>1170</v>
      </c>
      <c r="AQ274">
        <v>1167.4931979999999</v>
      </c>
      <c r="AT274">
        <v>10</v>
      </c>
      <c r="AU274">
        <v>12</v>
      </c>
      <c r="AV274">
        <v>2022</v>
      </c>
      <c r="AW274">
        <v>2437981</v>
      </c>
      <c r="AX274">
        <v>2437981</v>
      </c>
      <c r="AY274" t="s">
        <v>106</v>
      </c>
      <c r="AZ274" t="s">
        <v>92</v>
      </c>
      <c r="BA274" t="s">
        <v>107</v>
      </c>
      <c r="BB274" t="s">
        <v>5321</v>
      </c>
      <c r="BC274" t="s">
        <v>5313</v>
      </c>
      <c r="BD274" s="1">
        <v>44905</v>
      </c>
      <c r="BE274" t="s">
        <v>96</v>
      </c>
      <c r="BG274" t="s">
        <v>5314</v>
      </c>
      <c r="BI274" t="s">
        <v>98</v>
      </c>
      <c r="BJ274" t="s">
        <v>1663</v>
      </c>
      <c r="BL274" t="s">
        <v>110</v>
      </c>
    </row>
    <row r="275" spans="1:64" x14ac:dyDescent="0.2">
      <c r="A275">
        <v>800</v>
      </c>
      <c r="B275">
        <v>4070420427</v>
      </c>
      <c r="C275" t="s">
        <v>101</v>
      </c>
      <c r="D275" t="s">
        <v>2686</v>
      </c>
      <c r="E275" t="s">
        <v>65</v>
      </c>
      <c r="F275" t="s">
        <v>66</v>
      </c>
      <c r="G275" t="s">
        <v>67</v>
      </c>
      <c r="H275" t="s">
        <v>68</v>
      </c>
      <c r="I275" t="s">
        <v>176</v>
      </c>
      <c r="J275" t="s">
        <v>177</v>
      </c>
      <c r="K275" t="s">
        <v>1817</v>
      </c>
      <c r="M275" t="s">
        <v>72</v>
      </c>
      <c r="N275" t="s">
        <v>1818</v>
      </c>
      <c r="O275" t="s">
        <v>1817</v>
      </c>
      <c r="P275" t="s">
        <v>1819</v>
      </c>
      <c r="Q275" t="s">
        <v>75</v>
      </c>
      <c r="R275" t="s">
        <v>2238</v>
      </c>
      <c r="S275" t="s">
        <v>1150</v>
      </c>
      <c r="T275" t="s">
        <v>78</v>
      </c>
      <c r="U275" t="s">
        <v>1822</v>
      </c>
      <c r="V275" t="s">
        <v>1179</v>
      </c>
      <c r="W275" s="1">
        <v>44813</v>
      </c>
      <c r="X275" t="s">
        <v>1823</v>
      </c>
      <c r="Y275" t="s">
        <v>2684</v>
      </c>
      <c r="Z275" t="s">
        <v>83</v>
      </c>
      <c r="AA275">
        <v>1</v>
      </c>
      <c r="AB275" t="s">
        <v>103</v>
      </c>
      <c r="AC275">
        <v>0</v>
      </c>
      <c r="AD275" t="s">
        <v>119</v>
      </c>
      <c r="AE275" t="s">
        <v>86</v>
      </c>
      <c r="AF275" t="s">
        <v>146</v>
      </c>
      <c r="AI275" t="s">
        <v>90</v>
      </c>
      <c r="AJ275">
        <v>32.439954</v>
      </c>
      <c r="AK275">
        <v>-110.78934</v>
      </c>
      <c r="AL275">
        <v>3</v>
      </c>
      <c r="AN275">
        <v>2758</v>
      </c>
      <c r="AP275">
        <v>2758</v>
      </c>
      <c r="AQ275">
        <v>2769.2549389999999</v>
      </c>
      <c r="AT275">
        <v>9</v>
      </c>
      <c r="AU275">
        <v>9</v>
      </c>
      <c r="AV275">
        <v>2022</v>
      </c>
      <c r="AW275">
        <v>2437967</v>
      </c>
      <c r="AX275">
        <v>2437967</v>
      </c>
      <c r="AY275" t="s">
        <v>106</v>
      </c>
      <c r="AZ275" t="s">
        <v>92</v>
      </c>
      <c r="BA275" t="s">
        <v>107</v>
      </c>
      <c r="BB275" t="s">
        <v>2687</v>
      </c>
      <c r="BC275" t="s">
        <v>2245</v>
      </c>
      <c r="BE275" t="s">
        <v>96</v>
      </c>
      <c r="BG275" t="s">
        <v>2246</v>
      </c>
      <c r="BI275" t="s">
        <v>98</v>
      </c>
      <c r="BJ275" t="s">
        <v>761</v>
      </c>
      <c r="BL275" t="s">
        <v>110</v>
      </c>
    </row>
    <row r="276" spans="1:64" hidden="1" x14ac:dyDescent="0.2">
      <c r="A276">
        <v>3</v>
      </c>
      <c r="B276">
        <v>4403382637</v>
      </c>
      <c r="C276" t="s">
        <v>101</v>
      </c>
      <c r="D276" t="s">
        <v>1242</v>
      </c>
      <c r="E276" t="s">
        <v>65</v>
      </c>
      <c r="F276" t="s">
        <v>66</v>
      </c>
      <c r="G276" t="s">
        <v>67</v>
      </c>
      <c r="H276" t="s">
        <v>68</v>
      </c>
      <c r="I276" t="s">
        <v>176</v>
      </c>
      <c r="J276" t="s">
        <v>1173</v>
      </c>
      <c r="K276" t="s">
        <v>1174</v>
      </c>
      <c r="M276" t="s">
        <v>72</v>
      </c>
      <c r="N276" t="s">
        <v>1175</v>
      </c>
      <c r="O276" t="s">
        <v>1174</v>
      </c>
      <c r="P276" t="s">
        <v>1176</v>
      </c>
      <c r="Q276" t="s">
        <v>75</v>
      </c>
      <c r="R276" t="s">
        <v>1177</v>
      </c>
      <c r="S276" t="s">
        <v>615</v>
      </c>
      <c r="T276" t="s">
        <v>78</v>
      </c>
      <c r="U276" t="s">
        <v>646</v>
      </c>
      <c r="V276" t="s">
        <v>1179</v>
      </c>
      <c r="W276" s="1">
        <v>45108</v>
      </c>
      <c r="X276" t="s">
        <v>1180</v>
      </c>
      <c r="Y276" t="s">
        <v>1217</v>
      </c>
      <c r="Z276" t="s">
        <v>83</v>
      </c>
      <c r="AA276">
        <v>1</v>
      </c>
      <c r="AB276" t="s">
        <v>367</v>
      </c>
      <c r="AD276" t="s">
        <v>116</v>
      </c>
      <c r="AE276" t="s">
        <v>145</v>
      </c>
      <c r="AF276" t="s">
        <v>402</v>
      </c>
      <c r="AG276" t="s">
        <v>1219</v>
      </c>
      <c r="AH276" t="s">
        <v>1228</v>
      </c>
      <c r="AI276" t="s">
        <v>90</v>
      </c>
      <c r="AJ276">
        <v>32.449221000000001</v>
      </c>
      <c r="AK276">
        <v>-110.737668</v>
      </c>
      <c r="AN276">
        <v>2078</v>
      </c>
      <c r="AP276">
        <v>2078</v>
      </c>
      <c r="AQ276">
        <v>2088.6641009999998</v>
      </c>
      <c r="AT276">
        <v>1</v>
      </c>
      <c r="AU276">
        <v>7</v>
      </c>
      <c r="AV276">
        <v>2023</v>
      </c>
      <c r="AW276">
        <v>2437874</v>
      </c>
      <c r="AX276">
        <v>2437874</v>
      </c>
      <c r="AY276" t="s">
        <v>106</v>
      </c>
      <c r="AZ276" t="s">
        <v>92</v>
      </c>
      <c r="BA276" t="s">
        <v>107</v>
      </c>
      <c r="BB276" t="s">
        <v>1243</v>
      </c>
      <c r="BC276" t="s">
        <v>1186</v>
      </c>
      <c r="BD276" s="1">
        <v>45108</v>
      </c>
      <c r="BE276" t="s">
        <v>96</v>
      </c>
      <c r="BG276" t="s">
        <v>1187</v>
      </c>
      <c r="BI276" t="s">
        <v>98</v>
      </c>
      <c r="BJ276" t="s">
        <v>1244</v>
      </c>
      <c r="BL276" t="s">
        <v>110</v>
      </c>
    </row>
    <row r="277" spans="1:64" hidden="1" x14ac:dyDescent="0.2">
      <c r="A277">
        <v>5</v>
      </c>
      <c r="B277">
        <v>4403382635</v>
      </c>
      <c r="C277" t="s">
        <v>101</v>
      </c>
      <c r="D277" t="s">
        <v>1245</v>
      </c>
      <c r="E277" t="s">
        <v>65</v>
      </c>
      <c r="F277" t="s">
        <v>66</v>
      </c>
      <c r="G277" t="s">
        <v>67</v>
      </c>
      <c r="H277" t="s">
        <v>68</v>
      </c>
      <c r="I277" t="s">
        <v>176</v>
      </c>
      <c r="J277" t="s">
        <v>1173</v>
      </c>
      <c r="K277" t="s">
        <v>1174</v>
      </c>
      <c r="M277" t="s">
        <v>72</v>
      </c>
      <c r="N277" t="s">
        <v>1175</v>
      </c>
      <c r="O277" t="s">
        <v>1174</v>
      </c>
      <c r="P277" t="s">
        <v>1176</v>
      </c>
      <c r="Q277" t="s">
        <v>75</v>
      </c>
      <c r="R277" t="s">
        <v>1177</v>
      </c>
      <c r="S277" t="s">
        <v>615</v>
      </c>
      <c r="T277" t="s">
        <v>78</v>
      </c>
      <c r="U277" t="s">
        <v>646</v>
      </c>
      <c r="V277" t="s">
        <v>1179</v>
      </c>
      <c r="W277" s="1">
        <v>45108</v>
      </c>
      <c r="X277" t="s">
        <v>1180</v>
      </c>
      <c r="Y277" t="s">
        <v>1217</v>
      </c>
      <c r="Z277" t="s">
        <v>83</v>
      </c>
      <c r="AA277">
        <v>1</v>
      </c>
      <c r="AB277" t="s">
        <v>367</v>
      </c>
      <c r="AD277" t="s">
        <v>112</v>
      </c>
      <c r="AE277" t="s">
        <v>145</v>
      </c>
      <c r="AF277" t="s">
        <v>402</v>
      </c>
      <c r="AG277" t="s">
        <v>1219</v>
      </c>
      <c r="AH277" t="s">
        <v>1228</v>
      </c>
      <c r="AI277" t="s">
        <v>90</v>
      </c>
      <c r="AJ277">
        <v>32.449221000000001</v>
      </c>
      <c r="AK277">
        <v>-110.737668</v>
      </c>
      <c r="AN277">
        <v>2078</v>
      </c>
      <c r="AP277">
        <v>2078</v>
      </c>
      <c r="AQ277">
        <v>2088.6641009999998</v>
      </c>
      <c r="AT277">
        <v>1</v>
      </c>
      <c r="AU277">
        <v>7</v>
      </c>
      <c r="AV277">
        <v>2023</v>
      </c>
      <c r="AW277">
        <v>2437874</v>
      </c>
      <c r="AX277">
        <v>2437874</v>
      </c>
      <c r="AY277" t="s">
        <v>106</v>
      </c>
      <c r="AZ277" t="s">
        <v>92</v>
      </c>
      <c r="BA277" t="s">
        <v>107</v>
      </c>
      <c r="BB277" t="s">
        <v>1246</v>
      </c>
      <c r="BC277" t="s">
        <v>1186</v>
      </c>
      <c r="BD277" s="1">
        <v>45108</v>
      </c>
      <c r="BE277" t="s">
        <v>96</v>
      </c>
      <c r="BG277" t="s">
        <v>1187</v>
      </c>
      <c r="BI277" t="s">
        <v>98</v>
      </c>
      <c r="BJ277" t="s">
        <v>1212</v>
      </c>
      <c r="BL277" t="s">
        <v>110</v>
      </c>
    </row>
    <row r="278" spans="1:64" hidden="1" x14ac:dyDescent="0.2">
      <c r="A278">
        <v>6</v>
      </c>
      <c r="B278">
        <v>4403382634</v>
      </c>
      <c r="C278" t="s">
        <v>101</v>
      </c>
      <c r="D278" t="s">
        <v>1247</v>
      </c>
      <c r="E278" t="s">
        <v>65</v>
      </c>
      <c r="F278" t="s">
        <v>66</v>
      </c>
      <c r="G278" t="s">
        <v>67</v>
      </c>
      <c r="H278" t="s">
        <v>68</v>
      </c>
      <c r="I278" t="s">
        <v>176</v>
      </c>
      <c r="J278" t="s">
        <v>1173</v>
      </c>
      <c r="K278" t="s">
        <v>1174</v>
      </c>
      <c r="M278" t="s">
        <v>72</v>
      </c>
      <c r="N278" t="s">
        <v>1175</v>
      </c>
      <c r="O278" t="s">
        <v>1174</v>
      </c>
      <c r="P278" t="s">
        <v>1176</v>
      </c>
      <c r="Q278" t="s">
        <v>75</v>
      </c>
      <c r="R278" t="s">
        <v>1177</v>
      </c>
      <c r="S278" t="s">
        <v>615</v>
      </c>
      <c r="T278" t="s">
        <v>78</v>
      </c>
      <c r="U278" t="s">
        <v>646</v>
      </c>
      <c r="V278" t="s">
        <v>1179</v>
      </c>
      <c r="W278" s="1">
        <v>45108</v>
      </c>
      <c r="X278" t="s">
        <v>1180</v>
      </c>
      <c r="Y278" t="s">
        <v>1217</v>
      </c>
      <c r="Z278" t="s">
        <v>83</v>
      </c>
      <c r="AA278">
        <v>1</v>
      </c>
      <c r="AB278" t="s">
        <v>367</v>
      </c>
      <c r="AD278" t="s">
        <v>123</v>
      </c>
      <c r="AE278" t="s">
        <v>145</v>
      </c>
      <c r="AF278" t="s">
        <v>402</v>
      </c>
      <c r="AG278" t="s">
        <v>1219</v>
      </c>
      <c r="AH278" t="s">
        <v>1228</v>
      </c>
      <c r="AI278" t="s">
        <v>90</v>
      </c>
      <c r="AJ278">
        <v>32.449221000000001</v>
      </c>
      <c r="AK278">
        <v>-110.737668</v>
      </c>
      <c r="AN278">
        <v>2078</v>
      </c>
      <c r="AP278">
        <v>2078</v>
      </c>
      <c r="AQ278">
        <v>2088.6641009999998</v>
      </c>
      <c r="AT278">
        <v>1</v>
      </c>
      <c r="AU278">
        <v>7</v>
      </c>
      <c r="AV278">
        <v>2023</v>
      </c>
      <c r="AW278">
        <v>2437874</v>
      </c>
      <c r="AX278">
        <v>2437874</v>
      </c>
      <c r="AY278" t="s">
        <v>106</v>
      </c>
      <c r="AZ278" t="s">
        <v>92</v>
      </c>
      <c r="BA278" t="s">
        <v>107</v>
      </c>
      <c r="BB278" t="s">
        <v>1248</v>
      </c>
      <c r="BC278" t="s">
        <v>1186</v>
      </c>
      <c r="BD278" s="1">
        <v>45108</v>
      </c>
      <c r="BE278" t="s">
        <v>96</v>
      </c>
      <c r="BG278" t="s">
        <v>1187</v>
      </c>
      <c r="BI278" t="s">
        <v>98</v>
      </c>
      <c r="BJ278" t="s">
        <v>1249</v>
      </c>
      <c r="BL278" t="s">
        <v>110</v>
      </c>
    </row>
    <row r="279" spans="1:64" hidden="1" x14ac:dyDescent="0.2">
      <c r="A279">
        <v>32</v>
      </c>
      <c r="B279">
        <v>4403382608</v>
      </c>
      <c r="C279" t="s">
        <v>101</v>
      </c>
      <c r="D279" t="s">
        <v>1261</v>
      </c>
      <c r="E279" t="s">
        <v>65</v>
      </c>
      <c r="F279" t="s">
        <v>66</v>
      </c>
      <c r="G279" t="s">
        <v>67</v>
      </c>
      <c r="H279" t="s">
        <v>68</v>
      </c>
      <c r="I279" t="s">
        <v>176</v>
      </c>
      <c r="J279" t="s">
        <v>1251</v>
      </c>
      <c r="K279" t="s">
        <v>1252</v>
      </c>
      <c r="M279" t="s">
        <v>72</v>
      </c>
      <c r="N279" t="s">
        <v>1253</v>
      </c>
      <c r="O279" t="s">
        <v>1252</v>
      </c>
      <c r="P279" t="s">
        <v>1254</v>
      </c>
      <c r="Q279" t="s">
        <v>75</v>
      </c>
      <c r="R279" t="s">
        <v>1177</v>
      </c>
      <c r="S279" t="s">
        <v>399</v>
      </c>
      <c r="T279" t="s">
        <v>78</v>
      </c>
      <c r="U279" t="s">
        <v>646</v>
      </c>
      <c r="V279" t="s">
        <v>1179</v>
      </c>
      <c r="W279" s="1">
        <v>45108</v>
      </c>
      <c r="X279" t="s">
        <v>1180</v>
      </c>
      <c r="Y279" t="s">
        <v>1255</v>
      </c>
      <c r="Z279" t="s">
        <v>83</v>
      </c>
      <c r="AA279">
        <v>1</v>
      </c>
      <c r="AB279" t="s">
        <v>367</v>
      </c>
      <c r="AD279" t="s">
        <v>104</v>
      </c>
      <c r="AE279" t="s">
        <v>86</v>
      </c>
      <c r="AF279" t="s">
        <v>359</v>
      </c>
      <c r="AG279" t="s">
        <v>1257</v>
      </c>
      <c r="AH279" t="s">
        <v>1262</v>
      </c>
      <c r="AI279" t="s">
        <v>90</v>
      </c>
      <c r="AJ279">
        <v>32.449544000000003</v>
      </c>
      <c r="AK279">
        <v>-110.737343</v>
      </c>
      <c r="AN279">
        <v>2083</v>
      </c>
      <c r="AP279">
        <v>2083</v>
      </c>
      <c r="AQ279">
        <v>2091.4263340000002</v>
      </c>
      <c r="AT279">
        <v>1</v>
      </c>
      <c r="AU279">
        <v>7</v>
      </c>
      <c r="AV279">
        <v>2023</v>
      </c>
      <c r="AW279">
        <v>2438156</v>
      </c>
      <c r="AX279">
        <v>2438156</v>
      </c>
      <c r="AY279" t="s">
        <v>106</v>
      </c>
      <c r="AZ279" t="s">
        <v>92</v>
      </c>
      <c r="BA279" t="s">
        <v>107</v>
      </c>
      <c r="BB279" t="s">
        <v>1263</v>
      </c>
      <c r="BC279" t="s">
        <v>1186</v>
      </c>
      <c r="BD279" s="1">
        <v>45108</v>
      </c>
      <c r="BE279" t="s">
        <v>96</v>
      </c>
      <c r="BG279" t="s">
        <v>1187</v>
      </c>
      <c r="BI279" t="s">
        <v>98</v>
      </c>
      <c r="BJ279" t="s">
        <v>1264</v>
      </c>
      <c r="BL279" t="s">
        <v>110</v>
      </c>
    </row>
    <row r="280" spans="1:64" hidden="1" x14ac:dyDescent="0.2">
      <c r="A280">
        <v>529</v>
      </c>
      <c r="B280">
        <v>4136459430</v>
      </c>
      <c r="C280" t="s">
        <v>101</v>
      </c>
      <c r="D280" t="s">
        <v>5322</v>
      </c>
      <c r="E280" t="s">
        <v>65</v>
      </c>
      <c r="F280" t="s">
        <v>66</v>
      </c>
      <c r="G280" t="s">
        <v>67</v>
      </c>
      <c r="H280" t="s">
        <v>68</v>
      </c>
      <c r="I280" t="s">
        <v>176</v>
      </c>
      <c r="J280" t="s">
        <v>177</v>
      </c>
      <c r="K280" t="s">
        <v>3925</v>
      </c>
      <c r="M280" t="s">
        <v>72</v>
      </c>
      <c r="N280" t="s">
        <v>3926</v>
      </c>
      <c r="O280" t="s">
        <v>3925</v>
      </c>
      <c r="P280" t="s">
        <v>1176</v>
      </c>
      <c r="Q280" t="s">
        <v>75</v>
      </c>
      <c r="R280" t="s">
        <v>5008</v>
      </c>
      <c r="S280" t="s">
        <v>399</v>
      </c>
      <c r="T280" t="s">
        <v>78</v>
      </c>
      <c r="U280" t="s">
        <v>5009</v>
      </c>
      <c r="V280" t="s">
        <v>80</v>
      </c>
      <c r="W280" s="1">
        <v>44905</v>
      </c>
      <c r="X280" t="s">
        <v>5010</v>
      </c>
      <c r="Y280" t="s">
        <v>5323</v>
      </c>
      <c r="Z280" t="s">
        <v>83</v>
      </c>
      <c r="AA280">
        <v>1</v>
      </c>
      <c r="AB280" t="s">
        <v>5310</v>
      </c>
      <c r="AC280">
        <v>0</v>
      </c>
      <c r="AD280" t="s">
        <v>128</v>
      </c>
      <c r="AE280" t="s">
        <v>145</v>
      </c>
      <c r="AF280" t="s">
        <v>146</v>
      </c>
      <c r="AG280" t="s">
        <v>980</v>
      </c>
      <c r="AI280" t="s">
        <v>90</v>
      </c>
      <c r="AJ280">
        <v>32.312998</v>
      </c>
      <c r="AK280">
        <v>-110.71261800000001</v>
      </c>
      <c r="AL280">
        <v>3</v>
      </c>
      <c r="AN280">
        <v>1166</v>
      </c>
      <c r="AP280">
        <v>1166</v>
      </c>
      <c r="AQ280">
        <v>1165.8391790000001</v>
      </c>
      <c r="AT280">
        <v>10</v>
      </c>
      <c r="AU280">
        <v>12</v>
      </c>
      <c r="AV280">
        <v>2022</v>
      </c>
      <c r="AW280">
        <v>2437981</v>
      </c>
      <c r="AX280">
        <v>2437981</v>
      </c>
      <c r="AY280" t="s">
        <v>106</v>
      </c>
      <c r="AZ280" t="s">
        <v>92</v>
      </c>
      <c r="BA280" t="s">
        <v>107</v>
      </c>
      <c r="BB280" t="s">
        <v>5324</v>
      </c>
      <c r="BC280" t="s">
        <v>5313</v>
      </c>
      <c r="BD280" s="1">
        <v>44905</v>
      </c>
      <c r="BE280" t="s">
        <v>96</v>
      </c>
      <c r="BG280" t="s">
        <v>5314</v>
      </c>
      <c r="BI280" t="s">
        <v>98</v>
      </c>
      <c r="BJ280" t="s">
        <v>2393</v>
      </c>
      <c r="BL280" t="s">
        <v>110</v>
      </c>
    </row>
    <row r="281" spans="1:64" hidden="1" x14ac:dyDescent="0.2">
      <c r="A281">
        <v>45</v>
      </c>
      <c r="B281">
        <v>4403382595</v>
      </c>
      <c r="C281" t="s">
        <v>101</v>
      </c>
      <c r="D281" t="s">
        <v>1268</v>
      </c>
      <c r="E281" t="s">
        <v>65</v>
      </c>
      <c r="F281" t="s">
        <v>66</v>
      </c>
      <c r="G281" t="s">
        <v>67</v>
      </c>
      <c r="H281" t="s">
        <v>68</v>
      </c>
      <c r="I281" t="s">
        <v>176</v>
      </c>
      <c r="J281" t="s">
        <v>1251</v>
      </c>
      <c r="K281" t="s">
        <v>1252</v>
      </c>
      <c r="M281" t="s">
        <v>72</v>
      </c>
      <c r="N281" t="s">
        <v>1253</v>
      </c>
      <c r="O281" t="s">
        <v>1252</v>
      </c>
      <c r="P281" t="s">
        <v>1254</v>
      </c>
      <c r="Q281" t="s">
        <v>75</v>
      </c>
      <c r="R281" t="s">
        <v>1177</v>
      </c>
      <c r="S281" t="s">
        <v>399</v>
      </c>
      <c r="T281" t="s">
        <v>78</v>
      </c>
      <c r="U281" t="s">
        <v>646</v>
      </c>
      <c r="V281" t="s">
        <v>1179</v>
      </c>
      <c r="W281" s="1">
        <v>45108</v>
      </c>
      <c r="X281" t="s">
        <v>1180</v>
      </c>
      <c r="Y281" t="s">
        <v>1255</v>
      </c>
      <c r="Z281" t="s">
        <v>83</v>
      </c>
      <c r="AA281">
        <v>1</v>
      </c>
      <c r="AB281" t="s">
        <v>367</v>
      </c>
      <c r="AD281" t="s">
        <v>116</v>
      </c>
      <c r="AE281" t="s">
        <v>86</v>
      </c>
      <c r="AF281" t="s">
        <v>359</v>
      </c>
      <c r="AG281" t="s">
        <v>1257</v>
      </c>
      <c r="AH281" t="s">
        <v>1262</v>
      </c>
      <c r="AI281" t="s">
        <v>90</v>
      </c>
      <c r="AJ281">
        <v>32.449544000000003</v>
      </c>
      <c r="AK281">
        <v>-110.737343</v>
      </c>
      <c r="AN281">
        <v>2083</v>
      </c>
      <c r="AP281">
        <v>2083</v>
      </c>
      <c r="AQ281">
        <v>2091.4263340000002</v>
      </c>
      <c r="AT281">
        <v>1</v>
      </c>
      <c r="AU281">
        <v>7</v>
      </c>
      <c r="AV281">
        <v>2023</v>
      </c>
      <c r="AW281">
        <v>2438156</v>
      </c>
      <c r="AX281">
        <v>2438156</v>
      </c>
      <c r="AY281" t="s">
        <v>106</v>
      </c>
      <c r="AZ281" t="s">
        <v>92</v>
      </c>
      <c r="BA281" t="s">
        <v>107</v>
      </c>
      <c r="BB281" t="s">
        <v>1269</v>
      </c>
      <c r="BC281" t="s">
        <v>1186</v>
      </c>
      <c r="BD281" s="1">
        <v>45108</v>
      </c>
      <c r="BE281" t="s">
        <v>96</v>
      </c>
      <c r="BG281" t="s">
        <v>1187</v>
      </c>
      <c r="BI281" t="s">
        <v>98</v>
      </c>
      <c r="BJ281" t="s">
        <v>1226</v>
      </c>
      <c r="BL281" t="s">
        <v>110</v>
      </c>
    </row>
    <row r="282" spans="1:64" hidden="1" x14ac:dyDescent="0.2">
      <c r="A282">
        <v>48</v>
      </c>
      <c r="B282">
        <v>4403382592</v>
      </c>
      <c r="C282" t="s">
        <v>101</v>
      </c>
      <c r="D282" t="s">
        <v>1270</v>
      </c>
      <c r="E282" t="s">
        <v>65</v>
      </c>
      <c r="F282" t="s">
        <v>66</v>
      </c>
      <c r="G282" t="s">
        <v>67</v>
      </c>
      <c r="H282" t="s">
        <v>68</v>
      </c>
      <c r="I282" t="s">
        <v>176</v>
      </c>
      <c r="J282" t="s">
        <v>1251</v>
      </c>
      <c r="K282" t="s">
        <v>1252</v>
      </c>
      <c r="M282" t="s">
        <v>72</v>
      </c>
      <c r="N282" t="s">
        <v>1253</v>
      </c>
      <c r="O282" t="s">
        <v>1252</v>
      </c>
      <c r="P282" t="s">
        <v>1254</v>
      </c>
      <c r="Q282" t="s">
        <v>75</v>
      </c>
      <c r="R282" t="s">
        <v>1177</v>
      </c>
      <c r="S282" t="s">
        <v>399</v>
      </c>
      <c r="T282" t="s">
        <v>78</v>
      </c>
      <c r="U282" t="s">
        <v>646</v>
      </c>
      <c r="V282" t="s">
        <v>1179</v>
      </c>
      <c r="W282" s="1">
        <v>45108</v>
      </c>
      <c r="X282" t="s">
        <v>1180</v>
      </c>
      <c r="Y282" t="s">
        <v>1255</v>
      </c>
      <c r="Z282" t="s">
        <v>83</v>
      </c>
      <c r="AA282">
        <v>1</v>
      </c>
      <c r="AB282" t="s">
        <v>367</v>
      </c>
      <c r="AD282" t="s">
        <v>112</v>
      </c>
      <c r="AE282" t="s">
        <v>86</v>
      </c>
      <c r="AF282" t="s">
        <v>359</v>
      </c>
      <c r="AG282" t="s">
        <v>1257</v>
      </c>
      <c r="AH282" t="s">
        <v>1262</v>
      </c>
      <c r="AI282" t="s">
        <v>90</v>
      </c>
      <c r="AJ282">
        <v>32.449544000000003</v>
      </c>
      <c r="AK282">
        <v>-110.737343</v>
      </c>
      <c r="AN282">
        <v>2083</v>
      </c>
      <c r="AP282">
        <v>2083</v>
      </c>
      <c r="AQ282">
        <v>2091.4263340000002</v>
      </c>
      <c r="AT282">
        <v>1</v>
      </c>
      <c r="AU282">
        <v>7</v>
      </c>
      <c r="AV282">
        <v>2023</v>
      </c>
      <c r="AW282">
        <v>2438156</v>
      </c>
      <c r="AX282">
        <v>2438156</v>
      </c>
      <c r="AY282" t="s">
        <v>106</v>
      </c>
      <c r="AZ282" t="s">
        <v>92</v>
      </c>
      <c r="BA282" t="s">
        <v>107</v>
      </c>
      <c r="BB282" t="s">
        <v>1271</v>
      </c>
      <c r="BC282" t="s">
        <v>1186</v>
      </c>
      <c r="BD282" s="1">
        <v>45108</v>
      </c>
      <c r="BE282" t="s">
        <v>96</v>
      </c>
      <c r="BG282" t="s">
        <v>1187</v>
      </c>
      <c r="BI282" t="s">
        <v>98</v>
      </c>
      <c r="BJ282" t="s">
        <v>1226</v>
      </c>
      <c r="BL282" t="s">
        <v>110</v>
      </c>
    </row>
    <row r="283" spans="1:64" hidden="1" x14ac:dyDescent="0.2">
      <c r="A283">
        <v>51</v>
      </c>
      <c r="B283">
        <v>4403382589</v>
      </c>
      <c r="C283" t="s">
        <v>101</v>
      </c>
      <c r="D283" t="s">
        <v>1272</v>
      </c>
      <c r="E283" t="s">
        <v>65</v>
      </c>
      <c r="F283" t="s">
        <v>66</v>
      </c>
      <c r="G283" t="s">
        <v>67</v>
      </c>
      <c r="H283" t="s">
        <v>68</v>
      </c>
      <c r="I283" t="s">
        <v>176</v>
      </c>
      <c r="J283" t="s">
        <v>1251</v>
      </c>
      <c r="K283" t="s">
        <v>1252</v>
      </c>
      <c r="M283" t="s">
        <v>72</v>
      </c>
      <c r="N283" t="s">
        <v>1253</v>
      </c>
      <c r="O283" t="s">
        <v>1252</v>
      </c>
      <c r="P283" t="s">
        <v>1254</v>
      </c>
      <c r="Q283" t="s">
        <v>75</v>
      </c>
      <c r="R283" t="s">
        <v>1177</v>
      </c>
      <c r="S283" t="s">
        <v>399</v>
      </c>
      <c r="T283" t="s">
        <v>78</v>
      </c>
      <c r="U283" t="s">
        <v>646</v>
      </c>
      <c r="V283" t="s">
        <v>1179</v>
      </c>
      <c r="W283" s="1">
        <v>45108</v>
      </c>
      <c r="X283" t="s">
        <v>1180</v>
      </c>
      <c r="Y283" t="s">
        <v>1255</v>
      </c>
      <c r="Z283" t="s">
        <v>83</v>
      </c>
      <c r="AA283">
        <v>1</v>
      </c>
      <c r="AB283" t="s">
        <v>367</v>
      </c>
      <c r="AD283" t="s">
        <v>123</v>
      </c>
      <c r="AE283" t="s">
        <v>86</v>
      </c>
      <c r="AF283" t="s">
        <v>359</v>
      </c>
      <c r="AG283" t="s">
        <v>1257</v>
      </c>
      <c r="AH283" t="s">
        <v>1262</v>
      </c>
      <c r="AI283" t="s">
        <v>90</v>
      </c>
      <c r="AJ283">
        <v>32.449544000000003</v>
      </c>
      <c r="AK283">
        <v>-110.737343</v>
      </c>
      <c r="AN283">
        <v>2083</v>
      </c>
      <c r="AP283">
        <v>2083</v>
      </c>
      <c r="AQ283">
        <v>2091.4263340000002</v>
      </c>
      <c r="AT283">
        <v>1</v>
      </c>
      <c r="AU283">
        <v>7</v>
      </c>
      <c r="AV283">
        <v>2023</v>
      </c>
      <c r="AW283">
        <v>2438156</v>
      </c>
      <c r="AX283">
        <v>2438156</v>
      </c>
      <c r="AY283" t="s">
        <v>106</v>
      </c>
      <c r="AZ283" t="s">
        <v>92</v>
      </c>
      <c r="BA283" t="s">
        <v>107</v>
      </c>
      <c r="BB283" t="s">
        <v>1273</v>
      </c>
      <c r="BC283" t="s">
        <v>1186</v>
      </c>
      <c r="BD283" s="1">
        <v>45108</v>
      </c>
      <c r="BE283" t="s">
        <v>96</v>
      </c>
      <c r="BG283" t="s">
        <v>1187</v>
      </c>
      <c r="BI283" t="s">
        <v>98</v>
      </c>
      <c r="BJ283" t="s">
        <v>1274</v>
      </c>
      <c r="BL283" t="s">
        <v>110</v>
      </c>
    </row>
    <row r="284" spans="1:64" hidden="1" x14ac:dyDescent="0.2">
      <c r="A284">
        <v>54</v>
      </c>
      <c r="B284">
        <v>4403382586</v>
      </c>
      <c r="C284" t="s">
        <v>101</v>
      </c>
      <c r="D284" t="s">
        <v>1275</v>
      </c>
      <c r="E284" t="s">
        <v>65</v>
      </c>
      <c r="F284" t="s">
        <v>66</v>
      </c>
      <c r="G284" t="s">
        <v>67</v>
      </c>
      <c r="H284" t="s">
        <v>68</v>
      </c>
      <c r="I284" t="s">
        <v>176</v>
      </c>
      <c r="J284" t="s">
        <v>1251</v>
      </c>
      <c r="K284" t="s">
        <v>1252</v>
      </c>
      <c r="M284" t="s">
        <v>72</v>
      </c>
      <c r="N284" t="s">
        <v>1253</v>
      </c>
      <c r="O284" t="s">
        <v>1252</v>
      </c>
      <c r="P284" t="s">
        <v>1254</v>
      </c>
      <c r="Q284" t="s">
        <v>75</v>
      </c>
      <c r="R284" t="s">
        <v>1177</v>
      </c>
      <c r="S284" t="s">
        <v>399</v>
      </c>
      <c r="T284" t="s">
        <v>78</v>
      </c>
      <c r="U284" t="s">
        <v>646</v>
      </c>
      <c r="V284" t="s">
        <v>1179</v>
      </c>
      <c r="W284" s="1">
        <v>45108</v>
      </c>
      <c r="X284" t="s">
        <v>1180</v>
      </c>
      <c r="Y284" t="s">
        <v>1255</v>
      </c>
      <c r="Z284" t="s">
        <v>83</v>
      </c>
      <c r="AA284">
        <v>1</v>
      </c>
      <c r="AB284" t="s">
        <v>367</v>
      </c>
      <c r="AD284" t="s">
        <v>139</v>
      </c>
      <c r="AE284" t="s">
        <v>86</v>
      </c>
      <c r="AF284" t="s">
        <v>359</v>
      </c>
      <c r="AG284" t="s">
        <v>1257</v>
      </c>
      <c r="AH284" t="s">
        <v>1262</v>
      </c>
      <c r="AI284" t="s">
        <v>90</v>
      </c>
      <c r="AJ284">
        <v>32.449544000000003</v>
      </c>
      <c r="AK284">
        <v>-110.737343</v>
      </c>
      <c r="AN284">
        <v>2083</v>
      </c>
      <c r="AP284">
        <v>2083</v>
      </c>
      <c r="AQ284">
        <v>2091.4263340000002</v>
      </c>
      <c r="AT284">
        <v>1</v>
      </c>
      <c r="AU284">
        <v>7</v>
      </c>
      <c r="AV284">
        <v>2023</v>
      </c>
      <c r="AW284">
        <v>2438156</v>
      </c>
      <c r="AX284">
        <v>2438156</v>
      </c>
      <c r="AY284" t="s">
        <v>106</v>
      </c>
      <c r="AZ284" t="s">
        <v>92</v>
      </c>
      <c r="BA284" t="s">
        <v>107</v>
      </c>
      <c r="BB284" t="s">
        <v>1276</v>
      </c>
      <c r="BC284" t="s">
        <v>1186</v>
      </c>
      <c r="BD284" s="1">
        <v>45108</v>
      </c>
      <c r="BE284" t="s">
        <v>96</v>
      </c>
      <c r="BG284" t="s">
        <v>1187</v>
      </c>
      <c r="BI284" t="s">
        <v>98</v>
      </c>
      <c r="BJ284" t="s">
        <v>109</v>
      </c>
      <c r="BL284" t="s">
        <v>110</v>
      </c>
    </row>
    <row r="285" spans="1:64" hidden="1" x14ac:dyDescent="0.2">
      <c r="A285">
        <v>56</v>
      </c>
      <c r="B285">
        <v>4403382584</v>
      </c>
      <c r="C285" t="s">
        <v>101</v>
      </c>
      <c r="D285" t="s">
        <v>1277</v>
      </c>
      <c r="E285" t="s">
        <v>65</v>
      </c>
      <c r="F285" t="s">
        <v>66</v>
      </c>
      <c r="G285" t="s">
        <v>67</v>
      </c>
      <c r="H285" t="s">
        <v>68</v>
      </c>
      <c r="I285" t="s">
        <v>176</v>
      </c>
      <c r="J285" t="s">
        <v>1251</v>
      </c>
      <c r="K285" t="s">
        <v>1252</v>
      </c>
      <c r="M285" t="s">
        <v>72</v>
      </c>
      <c r="N285" t="s">
        <v>1253</v>
      </c>
      <c r="O285" t="s">
        <v>1252</v>
      </c>
      <c r="P285" t="s">
        <v>1254</v>
      </c>
      <c r="Q285" t="s">
        <v>75</v>
      </c>
      <c r="R285" t="s">
        <v>1177</v>
      </c>
      <c r="S285" t="s">
        <v>399</v>
      </c>
      <c r="T285" t="s">
        <v>78</v>
      </c>
      <c r="U285" t="s">
        <v>646</v>
      </c>
      <c r="V285" t="s">
        <v>1179</v>
      </c>
      <c r="W285" s="1">
        <v>45108</v>
      </c>
      <c r="X285" t="s">
        <v>1180</v>
      </c>
      <c r="Y285" t="s">
        <v>1255</v>
      </c>
      <c r="Z285" t="s">
        <v>83</v>
      </c>
      <c r="AA285">
        <v>1</v>
      </c>
      <c r="AB285" t="s">
        <v>372</v>
      </c>
      <c r="AD285" t="s">
        <v>134</v>
      </c>
      <c r="AE285" t="s">
        <v>86</v>
      </c>
      <c r="AF285" t="s">
        <v>359</v>
      </c>
      <c r="AG285" t="s">
        <v>1257</v>
      </c>
      <c r="AH285" t="s">
        <v>1278</v>
      </c>
      <c r="AI285" t="s">
        <v>90</v>
      </c>
      <c r="AJ285">
        <v>32.449544000000003</v>
      </c>
      <c r="AK285">
        <v>-110.737343</v>
      </c>
      <c r="AN285">
        <v>2083</v>
      </c>
      <c r="AP285">
        <v>2083</v>
      </c>
      <c r="AQ285">
        <v>2091.4263340000002</v>
      </c>
      <c r="AT285">
        <v>1</v>
      </c>
      <c r="AU285">
        <v>7</v>
      </c>
      <c r="AV285">
        <v>2023</v>
      </c>
      <c r="AW285">
        <v>2438156</v>
      </c>
      <c r="AX285">
        <v>2438156</v>
      </c>
      <c r="AY285" t="s">
        <v>106</v>
      </c>
      <c r="AZ285" t="s">
        <v>92</v>
      </c>
      <c r="BA285" t="s">
        <v>107</v>
      </c>
      <c r="BB285" t="s">
        <v>1279</v>
      </c>
      <c r="BC285" t="s">
        <v>1186</v>
      </c>
      <c r="BD285" s="1">
        <v>45108</v>
      </c>
      <c r="BE285" t="s">
        <v>96</v>
      </c>
      <c r="BG285" t="s">
        <v>1187</v>
      </c>
      <c r="BI285" t="s">
        <v>98</v>
      </c>
      <c r="BJ285" t="s">
        <v>1230</v>
      </c>
      <c r="BL285" t="s">
        <v>110</v>
      </c>
    </row>
    <row r="286" spans="1:64" hidden="1" x14ac:dyDescent="0.2">
      <c r="A286">
        <v>71</v>
      </c>
      <c r="B286">
        <v>4403382569</v>
      </c>
      <c r="C286" t="s">
        <v>101</v>
      </c>
      <c r="D286" t="s">
        <v>1288</v>
      </c>
      <c r="E286" t="s">
        <v>65</v>
      </c>
      <c r="F286" t="s">
        <v>66</v>
      </c>
      <c r="G286" t="s">
        <v>67</v>
      </c>
      <c r="H286" t="s">
        <v>68</v>
      </c>
      <c r="I286" t="s">
        <v>176</v>
      </c>
      <c r="J286" t="s">
        <v>1173</v>
      </c>
      <c r="K286" t="s">
        <v>1174</v>
      </c>
      <c r="M286" t="s">
        <v>72</v>
      </c>
      <c r="N286" t="s">
        <v>1175</v>
      </c>
      <c r="O286" t="s">
        <v>1174</v>
      </c>
      <c r="P286" t="s">
        <v>1176</v>
      </c>
      <c r="Q286" t="s">
        <v>75</v>
      </c>
      <c r="R286" t="s">
        <v>1177</v>
      </c>
      <c r="S286" t="s">
        <v>1281</v>
      </c>
      <c r="T286" t="s">
        <v>78</v>
      </c>
      <c r="U286" t="s">
        <v>646</v>
      </c>
      <c r="V286" t="s">
        <v>1179</v>
      </c>
      <c r="W286" s="1">
        <v>45108</v>
      </c>
      <c r="X286" t="s">
        <v>1180</v>
      </c>
      <c r="Y286" t="s">
        <v>1282</v>
      </c>
      <c r="Z286" t="s">
        <v>83</v>
      </c>
      <c r="AA286">
        <v>1</v>
      </c>
      <c r="AB286" t="s">
        <v>367</v>
      </c>
      <c r="AD286" t="s">
        <v>139</v>
      </c>
      <c r="AE286" t="s">
        <v>86</v>
      </c>
      <c r="AF286" t="s">
        <v>359</v>
      </c>
      <c r="AG286" t="s">
        <v>1284</v>
      </c>
      <c r="AH286" t="s">
        <v>1289</v>
      </c>
      <c r="AI286" t="s">
        <v>90</v>
      </c>
      <c r="AJ286">
        <v>32.450783999999999</v>
      </c>
      <c r="AK286">
        <v>-110.73687700000001</v>
      </c>
      <c r="AL286">
        <v>3</v>
      </c>
      <c r="AN286">
        <v>2062</v>
      </c>
      <c r="AP286">
        <v>2062</v>
      </c>
      <c r="AQ286">
        <v>2063.628236</v>
      </c>
      <c r="AT286">
        <v>1</v>
      </c>
      <c r="AU286">
        <v>7</v>
      </c>
      <c r="AV286">
        <v>2023</v>
      </c>
      <c r="AW286">
        <v>2437874</v>
      </c>
      <c r="AX286">
        <v>2437874</v>
      </c>
      <c r="AY286" t="s">
        <v>106</v>
      </c>
      <c r="AZ286" t="s">
        <v>92</v>
      </c>
      <c r="BA286" t="s">
        <v>107</v>
      </c>
      <c r="BB286" t="s">
        <v>1290</v>
      </c>
      <c r="BC286" t="s">
        <v>1186</v>
      </c>
      <c r="BD286" s="1">
        <v>45108</v>
      </c>
      <c r="BE286" t="s">
        <v>96</v>
      </c>
      <c r="BG286" t="s">
        <v>1187</v>
      </c>
      <c r="BI286" t="s">
        <v>98</v>
      </c>
      <c r="BJ286" t="s">
        <v>121</v>
      </c>
      <c r="BL286" t="s">
        <v>412</v>
      </c>
    </row>
    <row r="287" spans="1:64" hidden="1" x14ac:dyDescent="0.2">
      <c r="A287">
        <v>445</v>
      </c>
      <c r="B287">
        <v>4136459514</v>
      </c>
      <c r="C287" t="s">
        <v>101</v>
      </c>
      <c r="D287" t="s">
        <v>5332</v>
      </c>
      <c r="E287" t="s">
        <v>65</v>
      </c>
      <c r="F287" t="s">
        <v>66</v>
      </c>
      <c r="G287" t="s">
        <v>67</v>
      </c>
      <c r="H287" t="s">
        <v>68</v>
      </c>
      <c r="I287" t="s">
        <v>69</v>
      </c>
      <c r="J287" t="s">
        <v>70</v>
      </c>
      <c r="K287" t="s">
        <v>71</v>
      </c>
      <c r="M287" t="s">
        <v>72</v>
      </c>
      <c r="N287" t="s">
        <v>73</v>
      </c>
      <c r="O287" t="s">
        <v>71</v>
      </c>
      <c r="P287" t="s">
        <v>74</v>
      </c>
      <c r="Q287" t="s">
        <v>75</v>
      </c>
      <c r="R287" t="s">
        <v>5008</v>
      </c>
      <c r="S287" t="s">
        <v>5329</v>
      </c>
      <c r="T287" t="s">
        <v>78</v>
      </c>
      <c r="U287" t="s">
        <v>5009</v>
      </c>
      <c r="V287" t="s">
        <v>80</v>
      </c>
      <c r="W287" s="1">
        <v>44905</v>
      </c>
      <c r="X287" t="s">
        <v>5010</v>
      </c>
      <c r="Y287" t="s">
        <v>5330</v>
      </c>
      <c r="Z287" t="s">
        <v>83</v>
      </c>
      <c r="AA287">
        <v>1</v>
      </c>
      <c r="AB287" t="s">
        <v>5310</v>
      </c>
      <c r="AC287">
        <v>0</v>
      </c>
      <c r="AD287" t="s">
        <v>128</v>
      </c>
      <c r="AE287" t="s">
        <v>145</v>
      </c>
      <c r="AF287" t="s">
        <v>146</v>
      </c>
      <c r="AG287" t="s">
        <v>980</v>
      </c>
      <c r="AI287" t="s">
        <v>90</v>
      </c>
      <c r="AJ287">
        <v>32.313468</v>
      </c>
      <c r="AK287">
        <v>-110.714268</v>
      </c>
      <c r="AL287">
        <v>3</v>
      </c>
      <c r="AP287">
        <v>1186.727999</v>
      </c>
      <c r="AQ287">
        <v>1186.727999</v>
      </c>
      <c r="AT287">
        <v>10</v>
      </c>
      <c r="AU287">
        <v>12</v>
      </c>
      <c r="AV287">
        <v>2022</v>
      </c>
      <c r="AW287">
        <v>2439581</v>
      </c>
      <c r="AX287">
        <v>2439581</v>
      </c>
      <c r="AY287" t="s">
        <v>106</v>
      </c>
      <c r="AZ287" t="s">
        <v>92</v>
      </c>
      <c r="BA287" t="s">
        <v>107</v>
      </c>
      <c r="BB287" t="s">
        <v>5333</v>
      </c>
      <c r="BC287" t="s">
        <v>5313</v>
      </c>
      <c r="BD287" s="1">
        <v>44905</v>
      </c>
      <c r="BE287" t="s">
        <v>96</v>
      </c>
      <c r="BG287" t="s">
        <v>5314</v>
      </c>
      <c r="BI287" t="s">
        <v>98</v>
      </c>
      <c r="BJ287" t="s">
        <v>5334</v>
      </c>
      <c r="BL287" t="s">
        <v>412</v>
      </c>
    </row>
    <row r="288" spans="1:64" hidden="1" x14ac:dyDescent="0.2">
      <c r="A288">
        <v>81</v>
      </c>
      <c r="B288">
        <v>4403382559</v>
      </c>
      <c r="C288" t="s">
        <v>101</v>
      </c>
      <c r="D288" t="s">
        <v>1294</v>
      </c>
      <c r="E288" t="s">
        <v>65</v>
      </c>
      <c r="F288" t="s">
        <v>66</v>
      </c>
      <c r="G288" t="s">
        <v>67</v>
      </c>
      <c r="H288" t="s">
        <v>68</v>
      </c>
      <c r="I288" t="s">
        <v>176</v>
      </c>
      <c r="J288" t="s">
        <v>1173</v>
      </c>
      <c r="K288" t="s">
        <v>1174</v>
      </c>
      <c r="M288" t="s">
        <v>72</v>
      </c>
      <c r="N288" t="s">
        <v>1175</v>
      </c>
      <c r="O288" t="s">
        <v>1174</v>
      </c>
      <c r="P288" t="s">
        <v>1176</v>
      </c>
      <c r="Q288" t="s">
        <v>75</v>
      </c>
      <c r="R288" t="s">
        <v>1177</v>
      </c>
      <c r="S288" t="s">
        <v>1281</v>
      </c>
      <c r="T288" t="s">
        <v>78</v>
      </c>
      <c r="U288" t="s">
        <v>646</v>
      </c>
      <c r="V288" t="s">
        <v>1179</v>
      </c>
      <c r="W288" s="1">
        <v>45108</v>
      </c>
      <c r="X288" t="s">
        <v>1180</v>
      </c>
      <c r="Y288" t="s">
        <v>1282</v>
      </c>
      <c r="Z288" t="s">
        <v>83</v>
      </c>
      <c r="AA288">
        <v>1</v>
      </c>
      <c r="AB288" t="s">
        <v>372</v>
      </c>
      <c r="AD288" t="s">
        <v>134</v>
      </c>
      <c r="AE288" t="s">
        <v>86</v>
      </c>
      <c r="AF288" t="s">
        <v>359</v>
      </c>
      <c r="AG288" t="s">
        <v>1284</v>
      </c>
      <c r="AH288" t="s">
        <v>1295</v>
      </c>
      <c r="AI288" t="s">
        <v>90</v>
      </c>
      <c r="AJ288">
        <v>32.450783999999999</v>
      </c>
      <c r="AK288">
        <v>-110.73687700000001</v>
      </c>
      <c r="AL288">
        <v>3</v>
      </c>
      <c r="AN288">
        <v>2062</v>
      </c>
      <c r="AP288">
        <v>2062</v>
      </c>
      <c r="AQ288">
        <v>2063.628236</v>
      </c>
      <c r="AT288">
        <v>1</v>
      </c>
      <c r="AU288">
        <v>7</v>
      </c>
      <c r="AV288">
        <v>2023</v>
      </c>
      <c r="AW288">
        <v>2437874</v>
      </c>
      <c r="AX288">
        <v>2437874</v>
      </c>
      <c r="AY288" t="s">
        <v>106</v>
      </c>
      <c r="AZ288" t="s">
        <v>92</v>
      </c>
      <c r="BA288" t="s">
        <v>107</v>
      </c>
      <c r="BB288" t="s">
        <v>1296</v>
      </c>
      <c r="BC288" t="s">
        <v>1186</v>
      </c>
      <c r="BD288" s="1">
        <v>45108</v>
      </c>
      <c r="BE288" t="s">
        <v>96</v>
      </c>
      <c r="BG288" t="s">
        <v>1187</v>
      </c>
      <c r="BI288" t="s">
        <v>98</v>
      </c>
      <c r="BJ288" t="s">
        <v>171</v>
      </c>
      <c r="BL288" t="s">
        <v>412</v>
      </c>
    </row>
    <row r="289" spans="1:64" hidden="1" x14ac:dyDescent="0.2">
      <c r="A289">
        <v>63</v>
      </c>
      <c r="B289">
        <v>4403382577</v>
      </c>
      <c r="C289" t="s">
        <v>101</v>
      </c>
      <c r="D289" t="s">
        <v>1297</v>
      </c>
      <c r="E289" t="s">
        <v>65</v>
      </c>
      <c r="F289" t="s">
        <v>66</v>
      </c>
      <c r="G289" t="s">
        <v>67</v>
      </c>
      <c r="H289" t="s">
        <v>68</v>
      </c>
      <c r="I289" t="s">
        <v>176</v>
      </c>
      <c r="J289" t="s">
        <v>1173</v>
      </c>
      <c r="K289" t="s">
        <v>1174</v>
      </c>
      <c r="M289" t="s">
        <v>72</v>
      </c>
      <c r="N289" t="s">
        <v>1175</v>
      </c>
      <c r="O289" t="s">
        <v>1174</v>
      </c>
      <c r="P289" t="s">
        <v>1176</v>
      </c>
      <c r="Q289" t="s">
        <v>75</v>
      </c>
      <c r="R289" t="s">
        <v>1177</v>
      </c>
      <c r="S289" t="s">
        <v>1281</v>
      </c>
      <c r="T289" t="s">
        <v>78</v>
      </c>
      <c r="U289" t="s">
        <v>646</v>
      </c>
      <c r="V289" t="s">
        <v>1179</v>
      </c>
      <c r="W289" s="1">
        <v>45108</v>
      </c>
      <c r="X289" t="s">
        <v>1180</v>
      </c>
      <c r="Y289" t="s">
        <v>1282</v>
      </c>
      <c r="Z289" t="s">
        <v>83</v>
      </c>
      <c r="AA289">
        <v>1</v>
      </c>
      <c r="AB289" t="s">
        <v>367</v>
      </c>
      <c r="AD289" t="s">
        <v>104</v>
      </c>
      <c r="AE289" t="s">
        <v>86</v>
      </c>
      <c r="AF289" t="s">
        <v>359</v>
      </c>
      <c r="AG289" t="s">
        <v>1284</v>
      </c>
      <c r="AH289" t="s">
        <v>1289</v>
      </c>
      <c r="AI289" t="s">
        <v>90</v>
      </c>
      <c r="AJ289">
        <v>32.450783999999999</v>
      </c>
      <c r="AK289">
        <v>-110.73687700000001</v>
      </c>
      <c r="AL289">
        <v>3</v>
      </c>
      <c r="AN289">
        <v>2062</v>
      </c>
      <c r="AP289">
        <v>2062</v>
      </c>
      <c r="AQ289">
        <v>2063.628236</v>
      </c>
      <c r="AT289">
        <v>1</v>
      </c>
      <c r="AU289">
        <v>7</v>
      </c>
      <c r="AV289">
        <v>2023</v>
      </c>
      <c r="AW289">
        <v>2437874</v>
      </c>
      <c r="AX289">
        <v>2437874</v>
      </c>
      <c r="AY289" t="s">
        <v>106</v>
      </c>
      <c r="AZ289" t="s">
        <v>92</v>
      </c>
      <c r="BA289" t="s">
        <v>107</v>
      </c>
      <c r="BB289" t="s">
        <v>1298</v>
      </c>
      <c r="BC289" t="s">
        <v>1186</v>
      </c>
      <c r="BD289" s="1">
        <v>45108</v>
      </c>
      <c r="BE289" t="s">
        <v>96</v>
      </c>
      <c r="BG289" t="s">
        <v>1187</v>
      </c>
      <c r="BI289" t="s">
        <v>98</v>
      </c>
      <c r="BJ289" t="s">
        <v>1299</v>
      </c>
      <c r="BL289" t="s">
        <v>412</v>
      </c>
    </row>
    <row r="290" spans="1:64" hidden="1" x14ac:dyDescent="0.2">
      <c r="A290">
        <v>65</v>
      </c>
      <c r="B290">
        <v>4403382575</v>
      </c>
      <c r="C290" t="s">
        <v>101</v>
      </c>
      <c r="D290" t="s">
        <v>1300</v>
      </c>
      <c r="E290" t="s">
        <v>65</v>
      </c>
      <c r="F290" t="s">
        <v>66</v>
      </c>
      <c r="G290" t="s">
        <v>67</v>
      </c>
      <c r="H290" t="s">
        <v>68</v>
      </c>
      <c r="I290" t="s">
        <v>176</v>
      </c>
      <c r="J290" t="s">
        <v>1173</v>
      </c>
      <c r="K290" t="s">
        <v>1174</v>
      </c>
      <c r="M290" t="s">
        <v>72</v>
      </c>
      <c r="N290" t="s">
        <v>1175</v>
      </c>
      <c r="O290" t="s">
        <v>1174</v>
      </c>
      <c r="P290" t="s">
        <v>1176</v>
      </c>
      <c r="Q290" t="s">
        <v>75</v>
      </c>
      <c r="R290" t="s">
        <v>1177</v>
      </c>
      <c r="S290" t="s">
        <v>1281</v>
      </c>
      <c r="T290" t="s">
        <v>78</v>
      </c>
      <c r="U290" t="s">
        <v>646</v>
      </c>
      <c r="V290" t="s">
        <v>1179</v>
      </c>
      <c r="W290" s="1">
        <v>45108</v>
      </c>
      <c r="X290" t="s">
        <v>1180</v>
      </c>
      <c r="Y290" t="s">
        <v>1282</v>
      </c>
      <c r="Z290" t="s">
        <v>83</v>
      </c>
      <c r="AA290">
        <v>1</v>
      </c>
      <c r="AB290" t="s">
        <v>367</v>
      </c>
      <c r="AD290" t="s">
        <v>116</v>
      </c>
      <c r="AE290" t="s">
        <v>86</v>
      </c>
      <c r="AF290" t="s">
        <v>359</v>
      </c>
      <c r="AG290" t="s">
        <v>1284</v>
      </c>
      <c r="AH290" t="s">
        <v>1289</v>
      </c>
      <c r="AI290" t="s">
        <v>90</v>
      </c>
      <c r="AJ290">
        <v>32.450783999999999</v>
      </c>
      <c r="AK290">
        <v>-110.73687700000001</v>
      </c>
      <c r="AL290">
        <v>3</v>
      </c>
      <c r="AN290">
        <v>2062</v>
      </c>
      <c r="AP290">
        <v>2062</v>
      </c>
      <c r="AQ290">
        <v>2063.628236</v>
      </c>
      <c r="AT290">
        <v>1</v>
      </c>
      <c r="AU290">
        <v>7</v>
      </c>
      <c r="AV290">
        <v>2023</v>
      </c>
      <c r="AW290">
        <v>2437874</v>
      </c>
      <c r="AX290">
        <v>2437874</v>
      </c>
      <c r="AY290" t="s">
        <v>106</v>
      </c>
      <c r="AZ290" t="s">
        <v>92</v>
      </c>
      <c r="BA290" t="s">
        <v>107</v>
      </c>
      <c r="BB290" t="s">
        <v>1301</v>
      </c>
      <c r="BC290" t="s">
        <v>1186</v>
      </c>
      <c r="BD290" s="1">
        <v>45108</v>
      </c>
      <c r="BE290" t="s">
        <v>96</v>
      </c>
      <c r="BG290" t="s">
        <v>1187</v>
      </c>
      <c r="BI290" t="s">
        <v>98</v>
      </c>
      <c r="BJ290" t="s">
        <v>161</v>
      </c>
      <c r="BL290" t="s">
        <v>412</v>
      </c>
    </row>
    <row r="291" spans="1:64" hidden="1" x14ac:dyDescent="0.2">
      <c r="A291">
        <v>67</v>
      </c>
      <c r="B291">
        <v>4403382573</v>
      </c>
      <c r="C291" t="s">
        <v>101</v>
      </c>
      <c r="D291" t="s">
        <v>1302</v>
      </c>
      <c r="E291" t="s">
        <v>65</v>
      </c>
      <c r="F291" t="s">
        <v>66</v>
      </c>
      <c r="G291" t="s">
        <v>67</v>
      </c>
      <c r="H291" t="s">
        <v>68</v>
      </c>
      <c r="I291" t="s">
        <v>176</v>
      </c>
      <c r="J291" t="s">
        <v>1173</v>
      </c>
      <c r="K291" t="s">
        <v>1174</v>
      </c>
      <c r="M291" t="s">
        <v>72</v>
      </c>
      <c r="N291" t="s">
        <v>1175</v>
      </c>
      <c r="O291" t="s">
        <v>1174</v>
      </c>
      <c r="P291" t="s">
        <v>1176</v>
      </c>
      <c r="Q291" t="s">
        <v>75</v>
      </c>
      <c r="R291" t="s">
        <v>1177</v>
      </c>
      <c r="S291" t="s">
        <v>1281</v>
      </c>
      <c r="T291" t="s">
        <v>78</v>
      </c>
      <c r="U291" t="s">
        <v>646</v>
      </c>
      <c r="V291" t="s">
        <v>1179</v>
      </c>
      <c r="W291" s="1">
        <v>45108</v>
      </c>
      <c r="X291" t="s">
        <v>1180</v>
      </c>
      <c r="Y291" t="s">
        <v>1282</v>
      </c>
      <c r="Z291" t="s">
        <v>83</v>
      </c>
      <c r="AA291">
        <v>1</v>
      </c>
      <c r="AB291" t="s">
        <v>367</v>
      </c>
      <c r="AD291" t="s">
        <v>112</v>
      </c>
      <c r="AE291" t="s">
        <v>86</v>
      </c>
      <c r="AF291" t="s">
        <v>359</v>
      </c>
      <c r="AG291" t="s">
        <v>1284</v>
      </c>
      <c r="AH291" t="s">
        <v>1289</v>
      </c>
      <c r="AI291" t="s">
        <v>90</v>
      </c>
      <c r="AJ291">
        <v>32.450783999999999</v>
      </c>
      <c r="AK291">
        <v>-110.73687700000001</v>
      </c>
      <c r="AL291">
        <v>3</v>
      </c>
      <c r="AN291">
        <v>2062</v>
      </c>
      <c r="AP291">
        <v>2062</v>
      </c>
      <c r="AQ291">
        <v>2063.628236</v>
      </c>
      <c r="AT291">
        <v>1</v>
      </c>
      <c r="AU291">
        <v>7</v>
      </c>
      <c r="AV291">
        <v>2023</v>
      </c>
      <c r="AW291">
        <v>2437874</v>
      </c>
      <c r="AX291">
        <v>2437874</v>
      </c>
      <c r="AY291" t="s">
        <v>106</v>
      </c>
      <c r="AZ291" t="s">
        <v>92</v>
      </c>
      <c r="BA291" t="s">
        <v>107</v>
      </c>
      <c r="BB291" t="s">
        <v>1303</v>
      </c>
      <c r="BC291" t="s">
        <v>1186</v>
      </c>
      <c r="BD291" s="1">
        <v>45108</v>
      </c>
      <c r="BE291" t="s">
        <v>96</v>
      </c>
      <c r="BG291" t="s">
        <v>1187</v>
      </c>
      <c r="BI291" t="s">
        <v>98</v>
      </c>
      <c r="BJ291" t="s">
        <v>1304</v>
      </c>
      <c r="BL291" t="s">
        <v>412</v>
      </c>
    </row>
    <row r="292" spans="1:64" hidden="1" x14ac:dyDescent="0.2">
      <c r="A292">
        <v>69</v>
      </c>
      <c r="B292">
        <v>4403382571</v>
      </c>
      <c r="C292" t="s">
        <v>101</v>
      </c>
      <c r="D292" t="s">
        <v>1305</v>
      </c>
      <c r="E292" t="s">
        <v>65</v>
      </c>
      <c r="F292" t="s">
        <v>66</v>
      </c>
      <c r="G292" t="s">
        <v>67</v>
      </c>
      <c r="H292" t="s">
        <v>68</v>
      </c>
      <c r="I292" t="s">
        <v>176</v>
      </c>
      <c r="J292" t="s">
        <v>1173</v>
      </c>
      <c r="K292" t="s">
        <v>1174</v>
      </c>
      <c r="M292" t="s">
        <v>72</v>
      </c>
      <c r="N292" t="s">
        <v>1175</v>
      </c>
      <c r="O292" t="s">
        <v>1174</v>
      </c>
      <c r="P292" t="s">
        <v>1176</v>
      </c>
      <c r="Q292" t="s">
        <v>75</v>
      </c>
      <c r="R292" t="s">
        <v>1177</v>
      </c>
      <c r="S292" t="s">
        <v>1281</v>
      </c>
      <c r="T292" t="s">
        <v>78</v>
      </c>
      <c r="U292" t="s">
        <v>646</v>
      </c>
      <c r="V292" t="s">
        <v>1179</v>
      </c>
      <c r="W292" s="1">
        <v>45108</v>
      </c>
      <c r="X292" t="s">
        <v>1180</v>
      </c>
      <c r="Y292" t="s">
        <v>1282</v>
      </c>
      <c r="Z292" t="s">
        <v>83</v>
      </c>
      <c r="AA292">
        <v>1</v>
      </c>
      <c r="AB292" t="s">
        <v>367</v>
      </c>
      <c r="AD292" t="s">
        <v>123</v>
      </c>
      <c r="AE292" t="s">
        <v>86</v>
      </c>
      <c r="AF292" t="s">
        <v>359</v>
      </c>
      <c r="AG292" t="s">
        <v>1284</v>
      </c>
      <c r="AH292" t="s">
        <v>1289</v>
      </c>
      <c r="AI292" t="s">
        <v>90</v>
      </c>
      <c r="AJ292">
        <v>32.450783999999999</v>
      </c>
      <c r="AK292">
        <v>-110.73687700000001</v>
      </c>
      <c r="AL292">
        <v>3</v>
      </c>
      <c r="AN292">
        <v>2062</v>
      </c>
      <c r="AP292">
        <v>2062</v>
      </c>
      <c r="AQ292">
        <v>2063.628236</v>
      </c>
      <c r="AT292">
        <v>1</v>
      </c>
      <c r="AU292">
        <v>7</v>
      </c>
      <c r="AV292">
        <v>2023</v>
      </c>
      <c r="AW292">
        <v>2437874</v>
      </c>
      <c r="AX292">
        <v>2437874</v>
      </c>
      <c r="AY292" t="s">
        <v>106</v>
      </c>
      <c r="AZ292" t="s">
        <v>92</v>
      </c>
      <c r="BA292" t="s">
        <v>107</v>
      </c>
      <c r="BB292" t="s">
        <v>1306</v>
      </c>
      <c r="BC292" t="s">
        <v>1186</v>
      </c>
      <c r="BD292" s="1">
        <v>45108</v>
      </c>
      <c r="BE292" t="s">
        <v>96</v>
      </c>
      <c r="BG292" t="s">
        <v>1187</v>
      </c>
      <c r="BI292" t="s">
        <v>98</v>
      </c>
      <c r="BJ292" t="s">
        <v>1230</v>
      </c>
      <c r="BL292" t="s">
        <v>412</v>
      </c>
    </row>
    <row r="293" spans="1:64" hidden="1" x14ac:dyDescent="0.2">
      <c r="A293">
        <v>88</v>
      </c>
      <c r="B293">
        <v>4403382552</v>
      </c>
      <c r="C293" t="s">
        <v>101</v>
      </c>
      <c r="D293" t="s">
        <v>1314</v>
      </c>
      <c r="E293" t="s">
        <v>65</v>
      </c>
      <c r="F293" t="s">
        <v>66</v>
      </c>
      <c r="G293" t="s">
        <v>67</v>
      </c>
      <c r="H293" t="s">
        <v>68</v>
      </c>
      <c r="I293" t="s">
        <v>176</v>
      </c>
      <c r="J293" t="s">
        <v>1251</v>
      </c>
      <c r="K293" t="s">
        <v>1252</v>
      </c>
      <c r="M293" t="s">
        <v>72</v>
      </c>
      <c r="N293" t="s">
        <v>1253</v>
      </c>
      <c r="O293" t="s">
        <v>1252</v>
      </c>
      <c r="P293" t="s">
        <v>1254</v>
      </c>
      <c r="Q293" t="s">
        <v>75</v>
      </c>
      <c r="R293" t="s">
        <v>1177</v>
      </c>
      <c r="S293" t="s">
        <v>547</v>
      </c>
      <c r="T293" t="s">
        <v>78</v>
      </c>
      <c r="U293" t="s">
        <v>646</v>
      </c>
      <c r="V293" t="s">
        <v>1179</v>
      </c>
      <c r="W293" s="1">
        <v>45108</v>
      </c>
      <c r="X293" t="s">
        <v>1180</v>
      </c>
      <c r="Y293" t="s">
        <v>1308</v>
      </c>
      <c r="Z293" t="s">
        <v>83</v>
      </c>
      <c r="AA293">
        <v>1</v>
      </c>
      <c r="AB293" t="s">
        <v>367</v>
      </c>
      <c r="AD293" t="s">
        <v>139</v>
      </c>
      <c r="AE293" t="s">
        <v>145</v>
      </c>
      <c r="AF293" t="s">
        <v>402</v>
      </c>
      <c r="AG293" t="s">
        <v>1310</v>
      </c>
      <c r="AH293" t="s">
        <v>1315</v>
      </c>
      <c r="AI293" t="s">
        <v>90</v>
      </c>
      <c r="AJ293">
        <v>32.449865000000003</v>
      </c>
      <c r="AK293">
        <v>-110.738021</v>
      </c>
      <c r="AL293">
        <v>3</v>
      </c>
      <c r="AN293">
        <v>2089</v>
      </c>
      <c r="AP293">
        <v>2089</v>
      </c>
      <c r="AQ293">
        <v>2094.0279999999998</v>
      </c>
      <c r="AT293">
        <v>1</v>
      </c>
      <c r="AU293">
        <v>7</v>
      </c>
      <c r="AV293">
        <v>2023</v>
      </c>
      <c r="AW293">
        <v>2438156</v>
      </c>
      <c r="AX293">
        <v>2438156</v>
      </c>
      <c r="AY293" t="s">
        <v>106</v>
      </c>
      <c r="AZ293" t="s">
        <v>92</v>
      </c>
      <c r="BA293" t="s">
        <v>107</v>
      </c>
      <c r="BB293" t="s">
        <v>1316</v>
      </c>
      <c r="BC293" t="s">
        <v>1186</v>
      </c>
      <c r="BD293" s="1">
        <v>45108</v>
      </c>
      <c r="BE293" t="s">
        <v>96</v>
      </c>
      <c r="BG293" t="s">
        <v>1187</v>
      </c>
      <c r="BI293" t="s">
        <v>98</v>
      </c>
      <c r="BJ293" t="s">
        <v>1317</v>
      </c>
      <c r="BL293" t="s">
        <v>110</v>
      </c>
    </row>
    <row r="294" spans="1:64" hidden="1" x14ac:dyDescent="0.2">
      <c r="A294">
        <v>90</v>
      </c>
      <c r="B294">
        <v>4403382550</v>
      </c>
      <c r="C294" t="s">
        <v>101</v>
      </c>
      <c r="D294" t="s">
        <v>1318</v>
      </c>
      <c r="E294" t="s">
        <v>65</v>
      </c>
      <c r="F294" t="s">
        <v>66</v>
      </c>
      <c r="G294" t="s">
        <v>67</v>
      </c>
      <c r="H294" t="s">
        <v>68</v>
      </c>
      <c r="I294" t="s">
        <v>176</v>
      </c>
      <c r="J294" t="s">
        <v>1251</v>
      </c>
      <c r="K294" t="s">
        <v>1252</v>
      </c>
      <c r="M294" t="s">
        <v>72</v>
      </c>
      <c r="N294" t="s">
        <v>1253</v>
      </c>
      <c r="O294" t="s">
        <v>1252</v>
      </c>
      <c r="P294" t="s">
        <v>1254</v>
      </c>
      <c r="Q294" t="s">
        <v>75</v>
      </c>
      <c r="R294" t="s">
        <v>1177</v>
      </c>
      <c r="S294" t="s">
        <v>547</v>
      </c>
      <c r="T294" t="s">
        <v>78</v>
      </c>
      <c r="U294" t="s">
        <v>646</v>
      </c>
      <c r="V294" t="s">
        <v>1179</v>
      </c>
      <c r="W294" s="1">
        <v>45108</v>
      </c>
      <c r="X294" t="s">
        <v>1180</v>
      </c>
      <c r="Y294" t="s">
        <v>1308</v>
      </c>
      <c r="Z294" t="s">
        <v>83</v>
      </c>
      <c r="AA294">
        <v>1</v>
      </c>
      <c r="AB294" t="s">
        <v>367</v>
      </c>
      <c r="AD294" t="s">
        <v>1319</v>
      </c>
      <c r="AE294" t="s">
        <v>145</v>
      </c>
      <c r="AF294" t="s">
        <v>402</v>
      </c>
      <c r="AG294" t="s">
        <v>1310</v>
      </c>
      <c r="AH294" t="s">
        <v>1320</v>
      </c>
      <c r="AI294" t="s">
        <v>90</v>
      </c>
      <c r="AJ294">
        <v>32.449865000000003</v>
      </c>
      <c r="AK294">
        <v>-110.738021</v>
      </c>
      <c r="AL294">
        <v>3</v>
      </c>
      <c r="AN294">
        <v>2089</v>
      </c>
      <c r="AP294">
        <v>2089</v>
      </c>
      <c r="AQ294">
        <v>2094.0279999999998</v>
      </c>
      <c r="AT294">
        <v>1</v>
      </c>
      <c r="AU294">
        <v>7</v>
      </c>
      <c r="AV294">
        <v>2023</v>
      </c>
      <c r="AW294">
        <v>2438156</v>
      </c>
      <c r="AX294">
        <v>2438156</v>
      </c>
      <c r="AY294" t="s">
        <v>106</v>
      </c>
      <c r="AZ294" t="s">
        <v>92</v>
      </c>
      <c r="BA294" t="s">
        <v>107</v>
      </c>
      <c r="BB294" t="s">
        <v>1321</v>
      </c>
      <c r="BC294" t="s">
        <v>1186</v>
      </c>
      <c r="BD294" s="1">
        <v>45108</v>
      </c>
      <c r="BE294" t="s">
        <v>96</v>
      </c>
      <c r="BG294" t="s">
        <v>1187</v>
      </c>
      <c r="BI294" t="s">
        <v>98</v>
      </c>
      <c r="BJ294" t="s">
        <v>1322</v>
      </c>
      <c r="BL294" t="s">
        <v>110</v>
      </c>
    </row>
    <row r="295" spans="1:64" hidden="1" x14ac:dyDescent="0.2">
      <c r="A295">
        <v>439</v>
      </c>
      <c r="B295">
        <v>4136459520</v>
      </c>
      <c r="C295" t="s">
        <v>101</v>
      </c>
      <c r="D295" t="s">
        <v>5338</v>
      </c>
      <c r="E295" t="s">
        <v>65</v>
      </c>
      <c r="F295" t="s">
        <v>66</v>
      </c>
      <c r="G295" t="s">
        <v>67</v>
      </c>
      <c r="H295" t="s">
        <v>68</v>
      </c>
      <c r="I295" t="s">
        <v>69</v>
      </c>
      <c r="J295" t="s">
        <v>70</v>
      </c>
      <c r="K295" t="s">
        <v>71</v>
      </c>
      <c r="M295" t="s">
        <v>72</v>
      </c>
      <c r="N295" t="s">
        <v>73</v>
      </c>
      <c r="O295" t="s">
        <v>71</v>
      </c>
      <c r="P295" t="s">
        <v>74</v>
      </c>
      <c r="Q295" t="s">
        <v>75</v>
      </c>
      <c r="R295" t="s">
        <v>5008</v>
      </c>
      <c r="S295" t="s">
        <v>1584</v>
      </c>
      <c r="T295" t="s">
        <v>78</v>
      </c>
      <c r="U295" t="s">
        <v>5009</v>
      </c>
      <c r="V295" t="s">
        <v>80</v>
      </c>
      <c r="W295" s="1">
        <v>44905</v>
      </c>
      <c r="X295" t="s">
        <v>5010</v>
      </c>
      <c r="Y295" t="s">
        <v>5336</v>
      </c>
      <c r="Z295" t="s">
        <v>83</v>
      </c>
      <c r="AA295">
        <v>1</v>
      </c>
      <c r="AB295" t="s">
        <v>5310</v>
      </c>
      <c r="AC295">
        <v>0</v>
      </c>
      <c r="AD295" t="s">
        <v>128</v>
      </c>
      <c r="AE295" t="s">
        <v>145</v>
      </c>
      <c r="AF295" t="s">
        <v>146</v>
      </c>
      <c r="AG295" t="s">
        <v>980</v>
      </c>
      <c r="AI295" t="s">
        <v>90</v>
      </c>
      <c r="AJ295">
        <v>32.313738000000001</v>
      </c>
      <c r="AK295">
        <v>-110.712772</v>
      </c>
      <c r="AL295">
        <v>3</v>
      </c>
      <c r="AN295">
        <v>1173</v>
      </c>
      <c r="AP295">
        <v>1173</v>
      </c>
      <c r="AQ295">
        <v>1177.636798</v>
      </c>
      <c r="AT295">
        <v>10</v>
      </c>
      <c r="AU295">
        <v>12</v>
      </c>
      <c r="AV295">
        <v>2022</v>
      </c>
      <c r="AW295">
        <v>2439581</v>
      </c>
      <c r="AX295">
        <v>2439581</v>
      </c>
      <c r="AY295" t="s">
        <v>106</v>
      </c>
      <c r="AZ295" t="s">
        <v>92</v>
      </c>
      <c r="BA295" t="s">
        <v>107</v>
      </c>
      <c r="BB295" t="s">
        <v>5339</v>
      </c>
      <c r="BC295" t="s">
        <v>5313</v>
      </c>
      <c r="BD295" s="1">
        <v>44905</v>
      </c>
      <c r="BE295" t="s">
        <v>96</v>
      </c>
      <c r="BG295" t="s">
        <v>5314</v>
      </c>
      <c r="BI295" t="s">
        <v>98</v>
      </c>
      <c r="BJ295" t="s">
        <v>2819</v>
      </c>
      <c r="BL295" t="s">
        <v>110</v>
      </c>
    </row>
    <row r="296" spans="1:64" hidden="1" x14ac:dyDescent="0.2">
      <c r="A296">
        <v>75</v>
      </c>
      <c r="B296">
        <v>4403382565</v>
      </c>
      <c r="C296" t="s">
        <v>101</v>
      </c>
      <c r="D296" t="s">
        <v>1326</v>
      </c>
      <c r="E296" t="s">
        <v>65</v>
      </c>
      <c r="F296" t="s">
        <v>66</v>
      </c>
      <c r="G296" t="s">
        <v>67</v>
      </c>
      <c r="H296" t="s">
        <v>68</v>
      </c>
      <c r="I296" t="s">
        <v>176</v>
      </c>
      <c r="J296" t="s">
        <v>1251</v>
      </c>
      <c r="K296" t="s">
        <v>1252</v>
      </c>
      <c r="M296" t="s">
        <v>72</v>
      </c>
      <c r="N296" t="s">
        <v>1253</v>
      </c>
      <c r="O296" t="s">
        <v>1252</v>
      </c>
      <c r="P296" t="s">
        <v>1254</v>
      </c>
      <c r="Q296" t="s">
        <v>75</v>
      </c>
      <c r="R296" t="s">
        <v>1177</v>
      </c>
      <c r="S296" t="s">
        <v>547</v>
      </c>
      <c r="T296" t="s">
        <v>78</v>
      </c>
      <c r="U296" t="s">
        <v>646</v>
      </c>
      <c r="V296" t="s">
        <v>1179</v>
      </c>
      <c r="W296" s="1">
        <v>45108</v>
      </c>
      <c r="X296" t="s">
        <v>1180</v>
      </c>
      <c r="Y296" t="s">
        <v>1308</v>
      </c>
      <c r="Z296" t="s">
        <v>83</v>
      </c>
      <c r="AA296">
        <v>1</v>
      </c>
      <c r="AB296" t="s">
        <v>367</v>
      </c>
      <c r="AD296" t="s">
        <v>104</v>
      </c>
      <c r="AE296" t="s">
        <v>145</v>
      </c>
      <c r="AF296" t="s">
        <v>402</v>
      </c>
      <c r="AG296" t="s">
        <v>1310</v>
      </c>
      <c r="AH296" t="s">
        <v>1315</v>
      </c>
      <c r="AI296" t="s">
        <v>90</v>
      </c>
      <c r="AJ296">
        <v>32.449865000000003</v>
      </c>
      <c r="AK296">
        <v>-110.738021</v>
      </c>
      <c r="AL296">
        <v>3</v>
      </c>
      <c r="AN296">
        <v>2089</v>
      </c>
      <c r="AP296">
        <v>2089</v>
      </c>
      <c r="AQ296">
        <v>2094.0279999999998</v>
      </c>
      <c r="AT296">
        <v>1</v>
      </c>
      <c r="AU296">
        <v>7</v>
      </c>
      <c r="AV296">
        <v>2023</v>
      </c>
      <c r="AW296">
        <v>2438156</v>
      </c>
      <c r="AX296">
        <v>2438156</v>
      </c>
      <c r="AY296" t="s">
        <v>106</v>
      </c>
      <c r="AZ296" t="s">
        <v>92</v>
      </c>
      <c r="BA296" t="s">
        <v>107</v>
      </c>
      <c r="BB296" t="s">
        <v>1327</v>
      </c>
      <c r="BC296" t="s">
        <v>1186</v>
      </c>
      <c r="BD296" s="1">
        <v>45108</v>
      </c>
      <c r="BE296" t="s">
        <v>96</v>
      </c>
      <c r="BG296" t="s">
        <v>1187</v>
      </c>
      <c r="BI296" t="s">
        <v>98</v>
      </c>
      <c r="BJ296" t="s">
        <v>109</v>
      </c>
      <c r="BL296" t="s">
        <v>110</v>
      </c>
    </row>
    <row r="297" spans="1:64" hidden="1" x14ac:dyDescent="0.2">
      <c r="A297">
        <v>77</v>
      </c>
      <c r="B297">
        <v>4403382563</v>
      </c>
      <c r="C297" t="s">
        <v>101</v>
      </c>
      <c r="D297" t="s">
        <v>1328</v>
      </c>
      <c r="E297" t="s">
        <v>65</v>
      </c>
      <c r="F297" t="s">
        <v>66</v>
      </c>
      <c r="G297" t="s">
        <v>67</v>
      </c>
      <c r="H297" t="s">
        <v>68</v>
      </c>
      <c r="I297" t="s">
        <v>176</v>
      </c>
      <c r="J297" t="s">
        <v>1251</v>
      </c>
      <c r="K297" t="s">
        <v>1252</v>
      </c>
      <c r="M297" t="s">
        <v>72</v>
      </c>
      <c r="N297" t="s">
        <v>1253</v>
      </c>
      <c r="O297" t="s">
        <v>1252</v>
      </c>
      <c r="P297" t="s">
        <v>1254</v>
      </c>
      <c r="Q297" t="s">
        <v>75</v>
      </c>
      <c r="R297" t="s">
        <v>1177</v>
      </c>
      <c r="S297" t="s">
        <v>547</v>
      </c>
      <c r="T297" t="s">
        <v>78</v>
      </c>
      <c r="U297" t="s">
        <v>646</v>
      </c>
      <c r="V297" t="s">
        <v>1179</v>
      </c>
      <c r="W297" s="1">
        <v>45108</v>
      </c>
      <c r="X297" t="s">
        <v>1180</v>
      </c>
      <c r="Y297" t="s">
        <v>1308</v>
      </c>
      <c r="Z297" t="s">
        <v>83</v>
      </c>
      <c r="AA297">
        <v>1</v>
      </c>
      <c r="AB297" t="s">
        <v>367</v>
      </c>
      <c r="AD297" t="s">
        <v>116</v>
      </c>
      <c r="AE297" t="s">
        <v>145</v>
      </c>
      <c r="AF297" t="s">
        <v>402</v>
      </c>
      <c r="AG297" t="s">
        <v>1310</v>
      </c>
      <c r="AH297" t="s">
        <v>1315</v>
      </c>
      <c r="AI297" t="s">
        <v>90</v>
      </c>
      <c r="AJ297">
        <v>32.449865000000003</v>
      </c>
      <c r="AK297">
        <v>-110.738021</v>
      </c>
      <c r="AL297">
        <v>3</v>
      </c>
      <c r="AN297">
        <v>2089</v>
      </c>
      <c r="AP297">
        <v>2089</v>
      </c>
      <c r="AQ297">
        <v>2094.0279999999998</v>
      </c>
      <c r="AT297">
        <v>1</v>
      </c>
      <c r="AU297">
        <v>7</v>
      </c>
      <c r="AV297">
        <v>2023</v>
      </c>
      <c r="AW297">
        <v>2438156</v>
      </c>
      <c r="AX297">
        <v>2438156</v>
      </c>
      <c r="AY297" t="s">
        <v>106</v>
      </c>
      <c r="AZ297" t="s">
        <v>92</v>
      </c>
      <c r="BA297" t="s">
        <v>107</v>
      </c>
      <c r="BB297" t="s">
        <v>1329</v>
      </c>
      <c r="BC297" t="s">
        <v>1186</v>
      </c>
      <c r="BD297" s="1">
        <v>45108</v>
      </c>
      <c r="BE297" t="s">
        <v>96</v>
      </c>
      <c r="BG297" t="s">
        <v>1187</v>
      </c>
      <c r="BI297" t="s">
        <v>98</v>
      </c>
      <c r="BJ297" t="s">
        <v>171</v>
      </c>
      <c r="BL297" t="s">
        <v>110</v>
      </c>
    </row>
    <row r="298" spans="1:64" x14ac:dyDescent="0.2">
      <c r="A298">
        <v>736</v>
      </c>
      <c r="B298">
        <v>4070420501</v>
      </c>
      <c r="C298" t="s">
        <v>101</v>
      </c>
      <c r="D298" t="s">
        <v>2724</v>
      </c>
      <c r="E298" t="s">
        <v>65</v>
      </c>
      <c r="F298" t="s">
        <v>66</v>
      </c>
      <c r="G298" t="s">
        <v>67</v>
      </c>
      <c r="H298" t="s">
        <v>68</v>
      </c>
      <c r="I298" t="s">
        <v>176</v>
      </c>
      <c r="J298" t="s">
        <v>177</v>
      </c>
      <c r="K298" t="s">
        <v>1817</v>
      </c>
      <c r="M298" t="s">
        <v>72</v>
      </c>
      <c r="N298" t="s">
        <v>1818</v>
      </c>
      <c r="O298" t="s">
        <v>1817</v>
      </c>
      <c r="P298" t="s">
        <v>1819</v>
      </c>
      <c r="Q298" t="s">
        <v>75</v>
      </c>
      <c r="R298" t="s">
        <v>2238</v>
      </c>
      <c r="S298" t="s">
        <v>1125</v>
      </c>
      <c r="T298" t="s">
        <v>78</v>
      </c>
      <c r="U298" t="s">
        <v>1822</v>
      </c>
      <c r="V298" t="s">
        <v>80</v>
      </c>
      <c r="W298" s="1">
        <v>44813</v>
      </c>
      <c r="X298" t="s">
        <v>1823</v>
      </c>
      <c r="Y298" t="s">
        <v>2722</v>
      </c>
      <c r="Z298" t="s">
        <v>83</v>
      </c>
      <c r="AA298">
        <v>1</v>
      </c>
      <c r="AB298" t="s">
        <v>103</v>
      </c>
      <c r="AC298">
        <v>0</v>
      </c>
      <c r="AD298" t="s">
        <v>119</v>
      </c>
      <c r="AE298" t="s">
        <v>86</v>
      </c>
      <c r="AF298" t="s">
        <v>146</v>
      </c>
      <c r="AI298" t="s">
        <v>90</v>
      </c>
      <c r="AJ298">
        <v>32.442048999999997</v>
      </c>
      <c r="AK298">
        <v>-110.787525</v>
      </c>
      <c r="AL298">
        <v>3</v>
      </c>
      <c r="AN298">
        <v>2738</v>
      </c>
      <c r="AP298">
        <v>2738</v>
      </c>
      <c r="AQ298">
        <v>2775.0005230000002</v>
      </c>
      <c r="AT298">
        <v>9</v>
      </c>
      <c r="AU298">
        <v>9</v>
      </c>
      <c r="AV298">
        <v>2022</v>
      </c>
      <c r="AW298">
        <v>2437967</v>
      </c>
      <c r="AX298">
        <v>2437967</v>
      </c>
      <c r="AY298" t="s">
        <v>106</v>
      </c>
      <c r="AZ298" t="s">
        <v>92</v>
      </c>
      <c r="BA298" t="s">
        <v>107</v>
      </c>
      <c r="BB298" t="s">
        <v>2725</v>
      </c>
      <c r="BC298" t="s">
        <v>2245</v>
      </c>
      <c r="BE298" t="s">
        <v>96</v>
      </c>
      <c r="BG298" t="s">
        <v>2246</v>
      </c>
      <c r="BI298" t="s">
        <v>98</v>
      </c>
      <c r="BJ298" t="s">
        <v>1575</v>
      </c>
      <c r="BL298" t="s">
        <v>412</v>
      </c>
    </row>
    <row r="299" spans="1:64" hidden="1" x14ac:dyDescent="0.2">
      <c r="A299">
        <v>100</v>
      </c>
      <c r="B299">
        <v>4403382540</v>
      </c>
      <c r="C299" t="s">
        <v>101</v>
      </c>
      <c r="D299" t="s">
        <v>1333</v>
      </c>
      <c r="E299" t="s">
        <v>65</v>
      </c>
      <c r="F299" t="s">
        <v>66</v>
      </c>
      <c r="G299" t="s">
        <v>67</v>
      </c>
      <c r="H299" t="s">
        <v>68</v>
      </c>
      <c r="I299" t="s">
        <v>176</v>
      </c>
      <c r="J299" t="s">
        <v>1251</v>
      </c>
      <c r="K299" t="s">
        <v>1252</v>
      </c>
      <c r="M299" t="s">
        <v>72</v>
      </c>
      <c r="N299" t="s">
        <v>1253</v>
      </c>
      <c r="O299" t="s">
        <v>1252</v>
      </c>
      <c r="P299" t="s">
        <v>1254</v>
      </c>
      <c r="Q299" t="s">
        <v>75</v>
      </c>
      <c r="R299" t="s">
        <v>1177</v>
      </c>
      <c r="S299" t="s">
        <v>547</v>
      </c>
      <c r="T299" t="s">
        <v>78</v>
      </c>
      <c r="U299" t="s">
        <v>646</v>
      </c>
      <c r="V299" t="s">
        <v>1179</v>
      </c>
      <c r="W299" s="1">
        <v>45108</v>
      </c>
      <c r="X299" t="s">
        <v>1180</v>
      </c>
      <c r="Y299" t="s">
        <v>1308</v>
      </c>
      <c r="Z299" t="s">
        <v>83</v>
      </c>
      <c r="AA299">
        <v>1</v>
      </c>
      <c r="AB299" t="s">
        <v>372</v>
      </c>
      <c r="AD299" t="s">
        <v>134</v>
      </c>
      <c r="AE299" t="s">
        <v>145</v>
      </c>
      <c r="AF299" t="s">
        <v>402</v>
      </c>
      <c r="AG299" t="s">
        <v>1310</v>
      </c>
      <c r="AH299" t="s">
        <v>1334</v>
      </c>
      <c r="AI299" t="s">
        <v>90</v>
      </c>
      <c r="AJ299">
        <v>32.449865000000003</v>
      </c>
      <c r="AK299">
        <v>-110.738021</v>
      </c>
      <c r="AL299">
        <v>3</v>
      </c>
      <c r="AN299">
        <v>2089</v>
      </c>
      <c r="AP299">
        <v>2089</v>
      </c>
      <c r="AQ299">
        <v>2094.0279999999998</v>
      </c>
      <c r="AT299">
        <v>1</v>
      </c>
      <c r="AU299">
        <v>7</v>
      </c>
      <c r="AV299">
        <v>2023</v>
      </c>
      <c r="AW299">
        <v>2438156</v>
      </c>
      <c r="AX299">
        <v>2438156</v>
      </c>
      <c r="AY299" t="s">
        <v>106</v>
      </c>
      <c r="AZ299" t="s">
        <v>92</v>
      </c>
      <c r="BA299" t="s">
        <v>107</v>
      </c>
      <c r="BB299" t="s">
        <v>1335</v>
      </c>
      <c r="BC299" t="s">
        <v>1186</v>
      </c>
      <c r="BD299" s="1">
        <v>45108</v>
      </c>
      <c r="BE299" t="s">
        <v>96</v>
      </c>
      <c r="BG299" t="s">
        <v>1187</v>
      </c>
      <c r="BI299" t="s">
        <v>98</v>
      </c>
      <c r="BJ299" t="s">
        <v>240</v>
      </c>
      <c r="BL299" t="s">
        <v>110</v>
      </c>
    </row>
    <row r="300" spans="1:64" hidden="1" x14ac:dyDescent="0.2">
      <c r="A300">
        <v>102</v>
      </c>
      <c r="B300">
        <v>4403382538</v>
      </c>
      <c r="C300" t="s">
        <v>101</v>
      </c>
      <c r="D300" t="s">
        <v>1336</v>
      </c>
      <c r="E300" t="s">
        <v>65</v>
      </c>
      <c r="F300" t="s">
        <v>66</v>
      </c>
      <c r="G300" t="s">
        <v>67</v>
      </c>
      <c r="H300" t="s">
        <v>68</v>
      </c>
      <c r="I300" t="s">
        <v>176</v>
      </c>
      <c r="J300" t="s">
        <v>1251</v>
      </c>
      <c r="K300" t="s">
        <v>1252</v>
      </c>
      <c r="M300" t="s">
        <v>72</v>
      </c>
      <c r="N300" t="s">
        <v>1253</v>
      </c>
      <c r="O300" t="s">
        <v>1252</v>
      </c>
      <c r="P300" t="s">
        <v>1254</v>
      </c>
      <c r="Q300" t="s">
        <v>75</v>
      </c>
      <c r="R300" t="s">
        <v>1177</v>
      </c>
      <c r="S300" t="s">
        <v>547</v>
      </c>
      <c r="T300" t="s">
        <v>78</v>
      </c>
      <c r="U300" t="s">
        <v>646</v>
      </c>
      <c r="V300" t="s">
        <v>1179</v>
      </c>
      <c r="W300" s="1">
        <v>45108</v>
      </c>
      <c r="X300" t="s">
        <v>1180</v>
      </c>
      <c r="Y300" t="s">
        <v>1308</v>
      </c>
      <c r="Z300" t="s">
        <v>83</v>
      </c>
      <c r="AA300">
        <v>1</v>
      </c>
      <c r="AB300" t="s">
        <v>1337</v>
      </c>
      <c r="AD300" t="s">
        <v>378</v>
      </c>
      <c r="AE300" t="s">
        <v>145</v>
      </c>
      <c r="AF300" t="s">
        <v>402</v>
      </c>
      <c r="AG300" t="s">
        <v>1310</v>
      </c>
      <c r="AH300" t="s">
        <v>1315</v>
      </c>
      <c r="AI300" t="s">
        <v>90</v>
      </c>
      <c r="AJ300">
        <v>32.449865000000003</v>
      </c>
      <c r="AK300">
        <v>-110.738021</v>
      </c>
      <c r="AL300">
        <v>3</v>
      </c>
      <c r="AN300">
        <v>2089</v>
      </c>
      <c r="AP300">
        <v>2089</v>
      </c>
      <c r="AQ300">
        <v>2094.0279999999998</v>
      </c>
      <c r="AT300">
        <v>1</v>
      </c>
      <c r="AU300">
        <v>7</v>
      </c>
      <c r="AV300">
        <v>2023</v>
      </c>
      <c r="AW300">
        <v>2438156</v>
      </c>
      <c r="AX300">
        <v>2438156</v>
      </c>
      <c r="AY300" t="s">
        <v>106</v>
      </c>
      <c r="AZ300" t="s">
        <v>92</v>
      </c>
      <c r="BA300" t="s">
        <v>107</v>
      </c>
      <c r="BB300" t="s">
        <v>1338</v>
      </c>
      <c r="BC300" t="s">
        <v>1186</v>
      </c>
      <c r="BD300" s="1">
        <v>45108</v>
      </c>
      <c r="BE300" t="s">
        <v>96</v>
      </c>
      <c r="BG300" t="s">
        <v>1187</v>
      </c>
      <c r="BI300" t="s">
        <v>98</v>
      </c>
      <c r="BJ300" t="s">
        <v>1339</v>
      </c>
      <c r="BL300" t="s">
        <v>110</v>
      </c>
    </row>
    <row r="301" spans="1:64" hidden="1" x14ac:dyDescent="0.2">
      <c r="A301">
        <v>84</v>
      </c>
      <c r="B301">
        <v>4403382556</v>
      </c>
      <c r="C301" t="s">
        <v>101</v>
      </c>
      <c r="D301" t="s">
        <v>1340</v>
      </c>
      <c r="E301" t="s">
        <v>65</v>
      </c>
      <c r="F301" t="s">
        <v>66</v>
      </c>
      <c r="G301" t="s">
        <v>67</v>
      </c>
      <c r="H301" t="s">
        <v>68</v>
      </c>
      <c r="I301" t="s">
        <v>176</v>
      </c>
      <c r="J301" t="s">
        <v>1251</v>
      </c>
      <c r="K301" t="s">
        <v>1252</v>
      </c>
      <c r="M301" t="s">
        <v>72</v>
      </c>
      <c r="N301" t="s">
        <v>1253</v>
      </c>
      <c r="O301" t="s">
        <v>1252</v>
      </c>
      <c r="P301" t="s">
        <v>1254</v>
      </c>
      <c r="Q301" t="s">
        <v>75</v>
      </c>
      <c r="R301" t="s">
        <v>1177</v>
      </c>
      <c r="S301" t="s">
        <v>547</v>
      </c>
      <c r="T301" t="s">
        <v>78</v>
      </c>
      <c r="U301" t="s">
        <v>646</v>
      </c>
      <c r="V301" t="s">
        <v>1179</v>
      </c>
      <c r="W301" s="1">
        <v>45108</v>
      </c>
      <c r="X301" t="s">
        <v>1180</v>
      </c>
      <c r="Y301" t="s">
        <v>1308</v>
      </c>
      <c r="Z301" t="s">
        <v>83</v>
      </c>
      <c r="AA301">
        <v>1</v>
      </c>
      <c r="AB301" t="s">
        <v>367</v>
      </c>
      <c r="AD301" t="s">
        <v>112</v>
      </c>
      <c r="AE301" t="s">
        <v>145</v>
      </c>
      <c r="AF301" t="s">
        <v>402</v>
      </c>
      <c r="AG301" t="s">
        <v>1310</v>
      </c>
      <c r="AH301" t="s">
        <v>1315</v>
      </c>
      <c r="AI301" t="s">
        <v>90</v>
      </c>
      <c r="AJ301">
        <v>32.449865000000003</v>
      </c>
      <c r="AK301">
        <v>-110.738021</v>
      </c>
      <c r="AL301">
        <v>3</v>
      </c>
      <c r="AN301">
        <v>2089</v>
      </c>
      <c r="AP301">
        <v>2089</v>
      </c>
      <c r="AQ301">
        <v>2094.0279999999998</v>
      </c>
      <c r="AT301">
        <v>1</v>
      </c>
      <c r="AU301">
        <v>7</v>
      </c>
      <c r="AV301">
        <v>2023</v>
      </c>
      <c r="AW301">
        <v>2438156</v>
      </c>
      <c r="AX301">
        <v>2438156</v>
      </c>
      <c r="AY301" t="s">
        <v>106</v>
      </c>
      <c r="AZ301" t="s">
        <v>92</v>
      </c>
      <c r="BA301" t="s">
        <v>107</v>
      </c>
      <c r="BB301" t="s">
        <v>1341</v>
      </c>
      <c r="BC301" t="s">
        <v>1186</v>
      </c>
      <c r="BD301" s="1">
        <v>45108</v>
      </c>
      <c r="BE301" t="s">
        <v>96</v>
      </c>
      <c r="BG301" t="s">
        <v>1187</v>
      </c>
      <c r="BI301" t="s">
        <v>98</v>
      </c>
      <c r="BJ301" t="s">
        <v>1342</v>
      </c>
      <c r="BL301" t="s">
        <v>110</v>
      </c>
    </row>
    <row r="302" spans="1:64" hidden="1" x14ac:dyDescent="0.2">
      <c r="A302">
        <v>86</v>
      </c>
      <c r="B302">
        <v>4403382554</v>
      </c>
      <c r="C302" t="s">
        <v>101</v>
      </c>
      <c r="D302" t="s">
        <v>1343</v>
      </c>
      <c r="E302" t="s">
        <v>65</v>
      </c>
      <c r="F302" t="s">
        <v>66</v>
      </c>
      <c r="G302" t="s">
        <v>67</v>
      </c>
      <c r="H302" t="s">
        <v>68</v>
      </c>
      <c r="I302" t="s">
        <v>176</v>
      </c>
      <c r="J302" t="s">
        <v>1251</v>
      </c>
      <c r="K302" t="s">
        <v>1252</v>
      </c>
      <c r="M302" t="s">
        <v>72</v>
      </c>
      <c r="N302" t="s">
        <v>1253</v>
      </c>
      <c r="O302" t="s">
        <v>1252</v>
      </c>
      <c r="P302" t="s">
        <v>1254</v>
      </c>
      <c r="Q302" t="s">
        <v>75</v>
      </c>
      <c r="R302" t="s">
        <v>1177</v>
      </c>
      <c r="S302" t="s">
        <v>547</v>
      </c>
      <c r="T302" t="s">
        <v>78</v>
      </c>
      <c r="U302" t="s">
        <v>646</v>
      </c>
      <c r="V302" t="s">
        <v>1179</v>
      </c>
      <c r="W302" s="1">
        <v>45108</v>
      </c>
      <c r="X302" t="s">
        <v>1180</v>
      </c>
      <c r="Y302" t="s">
        <v>1308</v>
      </c>
      <c r="Z302" t="s">
        <v>83</v>
      </c>
      <c r="AA302">
        <v>1</v>
      </c>
      <c r="AB302" t="s">
        <v>367</v>
      </c>
      <c r="AD302" t="s">
        <v>123</v>
      </c>
      <c r="AE302" t="s">
        <v>145</v>
      </c>
      <c r="AF302" t="s">
        <v>402</v>
      </c>
      <c r="AG302" t="s">
        <v>1310</v>
      </c>
      <c r="AH302" t="s">
        <v>1315</v>
      </c>
      <c r="AI302" t="s">
        <v>90</v>
      </c>
      <c r="AJ302">
        <v>32.449865000000003</v>
      </c>
      <c r="AK302">
        <v>-110.738021</v>
      </c>
      <c r="AL302">
        <v>3</v>
      </c>
      <c r="AN302">
        <v>2089</v>
      </c>
      <c r="AP302">
        <v>2089</v>
      </c>
      <c r="AQ302">
        <v>2094.0279999999998</v>
      </c>
      <c r="AT302">
        <v>1</v>
      </c>
      <c r="AU302">
        <v>7</v>
      </c>
      <c r="AV302">
        <v>2023</v>
      </c>
      <c r="AW302">
        <v>2438156</v>
      </c>
      <c r="AX302">
        <v>2438156</v>
      </c>
      <c r="AY302" t="s">
        <v>106</v>
      </c>
      <c r="AZ302" t="s">
        <v>92</v>
      </c>
      <c r="BA302" t="s">
        <v>107</v>
      </c>
      <c r="BB302" t="s">
        <v>1344</v>
      </c>
      <c r="BC302" t="s">
        <v>1186</v>
      </c>
      <c r="BD302" s="1">
        <v>45108</v>
      </c>
      <c r="BE302" t="s">
        <v>96</v>
      </c>
      <c r="BG302" t="s">
        <v>1187</v>
      </c>
      <c r="BI302" t="s">
        <v>98</v>
      </c>
      <c r="BJ302" t="s">
        <v>1345</v>
      </c>
      <c r="BL302" t="s">
        <v>110</v>
      </c>
    </row>
    <row r="303" spans="1:64" hidden="1" x14ac:dyDescent="0.2">
      <c r="A303">
        <v>92</v>
      </c>
      <c r="B303">
        <v>4403382548</v>
      </c>
      <c r="C303" t="s">
        <v>101</v>
      </c>
      <c r="D303" t="s">
        <v>1346</v>
      </c>
      <c r="E303" t="s">
        <v>65</v>
      </c>
      <c r="F303" t="s">
        <v>66</v>
      </c>
      <c r="G303" t="s">
        <v>67</v>
      </c>
      <c r="H303" t="s">
        <v>68</v>
      </c>
      <c r="I303" t="s">
        <v>176</v>
      </c>
      <c r="J303" t="s">
        <v>773</v>
      </c>
      <c r="K303" t="s">
        <v>1347</v>
      </c>
      <c r="M303" t="s">
        <v>72</v>
      </c>
      <c r="N303" t="s">
        <v>1348</v>
      </c>
      <c r="O303" t="s">
        <v>1347</v>
      </c>
      <c r="P303" t="s">
        <v>1349</v>
      </c>
      <c r="Q303" t="s">
        <v>75</v>
      </c>
      <c r="R303" t="s">
        <v>1177</v>
      </c>
      <c r="S303" t="s">
        <v>494</v>
      </c>
      <c r="T303" t="s">
        <v>78</v>
      </c>
      <c r="U303" t="s">
        <v>646</v>
      </c>
      <c r="V303" t="s">
        <v>1179</v>
      </c>
      <c r="W303" s="1">
        <v>45108</v>
      </c>
      <c r="X303" t="s">
        <v>1180</v>
      </c>
      <c r="Y303" t="s">
        <v>1350</v>
      </c>
      <c r="Z303" t="s">
        <v>83</v>
      </c>
      <c r="AA303">
        <v>1</v>
      </c>
      <c r="AB303" t="s">
        <v>367</v>
      </c>
      <c r="AD303" t="s">
        <v>343</v>
      </c>
      <c r="AE303" t="s">
        <v>86</v>
      </c>
      <c r="AF303" t="s">
        <v>402</v>
      </c>
      <c r="AG303" t="s">
        <v>1351</v>
      </c>
      <c r="AI303" t="s">
        <v>90</v>
      </c>
      <c r="AJ303">
        <v>32.449136000000003</v>
      </c>
      <c r="AK303">
        <v>-110.737852</v>
      </c>
      <c r="AL303">
        <v>3</v>
      </c>
      <c r="AN303">
        <v>2064</v>
      </c>
      <c r="AP303">
        <v>2064</v>
      </c>
      <c r="AQ303">
        <v>2087.2102989999998</v>
      </c>
      <c r="AT303">
        <v>1</v>
      </c>
      <c r="AU303">
        <v>7</v>
      </c>
      <c r="AV303">
        <v>2023</v>
      </c>
      <c r="AW303">
        <v>2438454</v>
      </c>
      <c r="AX303">
        <v>2438454</v>
      </c>
      <c r="AY303" t="s">
        <v>106</v>
      </c>
      <c r="AZ303" t="s">
        <v>92</v>
      </c>
      <c r="BA303" t="s">
        <v>107</v>
      </c>
      <c r="BB303" t="s">
        <v>1352</v>
      </c>
      <c r="BC303" t="s">
        <v>1186</v>
      </c>
      <c r="BD303" s="1">
        <v>45108</v>
      </c>
      <c r="BE303" t="s">
        <v>96</v>
      </c>
      <c r="BG303" t="s">
        <v>1187</v>
      </c>
      <c r="BI303" t="s">
        <v>98</v>
      </c>
      <c r="BJ303" t="s">
        <v>230</v>
      </c>
      <c r="BL303" t="s">
        <v>412</v>
      </c>
    </row>
    <row r="304" spans="1:64" hidden="1" x14ac:dyDescent="0.2">
      <c r="A304">
        <v>236</v>
      </c>
      <c r="B304">
        <v>4403382404</v>
      </c>
      <c r="C304" t="s">
        <v>101</v>
      </c>
      <c r="D304" t="s">
        <v>1361</v>
      </c>
      <c r="E304" t="s">
        <v>65</v>
      </c>
      <c r="F304" t="s">
        <v>66</v>
      </c>
      <c r="G304" t="s">
        <v>67</v>
      </c>
      <c r="H304" t="s">
        <v>68</v>
      </c>
      <c r="I304" t="s">
        <v>176</v>
      </c>
      <c r="J304" t="s">
        <v>177</v>
      </c>
      <c r="K304" t="s">
        <v>178</v>
      </c>
      <c r="M304" t="s">
        <v>72</v>
      </c>
      <c r="N304" t="s">
        <v>179</v>
      </c>
      <c r="O304" t="s">
        <v>178</v>
      </c>
      <c r="P304" t="s">
        <v>180</v>
      </c>
      <c r="Q304" t="s">
        <v>75</v>
      </c>
      <c r="R304" t="s">
        <v>1177</v>
      </c>
      <c r="S304" t="s">
        <v>1354</v>
      </c>
      <c r="T304" t="s">
        <v>78</v>
      </c>
      <c r="U304" t="s">
        <v>646</v>
      </c>
      <c r="V304" t="s">
        <v>1179</v>
      </c>
      <c r="W304" s="1">
        <v>45108</v>
      </c>
      <c r="X304" t="s">
        <v>1180</v>
      </c>
      <c r="Y304" t="s">
        <v>1355</v>
      </c>
      <c r="Z304" t="s">
        <v>83</v>
      </c>
      <c r="AA304">
        <v>1</v>
      </c>
      <c r="AB304" t="s">
        <v>367</v>
      </c>
      <c r="AD304" t="s">
        <v>112</v>
      </c>
      <c r="AE304" t="s">
        <v>145</v>
      </c>
      <c r="AF304" t="s">
        <v>402</v>
      </c>
      <c r="AG304" t="s">
        <v>1357</v>
      </c>
      <c r="AH304" t="s">
        <v>1362</v>
      </c>
      <c r="AI304" t="s">
        <v>90</v>
      </c>
      <c r="AJ304">
        <v>32.450465999999999</v>
      </c>
      <c r="AK304">
        <v>-110.736558</v>
      </c>
      <c r="AL304">
        <v>3</v>
      </c>
      <c r="AN304">
        <v>2065</v>
      </c>
      <c r="AP304">
        <v>2065</v>
      </c>
      <c r="AQ304">
        <v>2065.2448300000001</v>
      </c>
      <c r="AT304">
        <v>1</v>
      </c>
      <c r="AU304">
        <v>7</v>
      </c>
      <c r="AV304">
        <v>2023</v>
      </c>
      <c r="AW304">
        <v>2438038</v>
      </c>
      <c r="AX304">
        <v>2438038</v>
      </c>
      <c r="AY304" t="s">
        <v>106</v>
      </c>
      <c r="AZ304" t="s">
        <v>92</v>
      </c>
      <c r="BA304" t="s">
        <v>107</v>
      </c>
      <c r="BB304" t="s">
        <v>1363</v>
      </c>
      <c r="BC304" t="s">
        <v>1186</v>
      </c>
      <c r="BD304" s="1">
        <v>45108</v>
      </c>
      <c r="BE304" t="s">
        <v>96</v>
      </c>
      <c r="BG304" t="s">
        <v>1187</v>
      </c>
      <c r="BI304" t="s">
        <v>98</v>
      </c>
      <c r="BJ304" t="s">
        <v>1364</v>
      </c>
      <c r="BL304" t="s">
        <v>412</v>
      </c>
    </row>
    <row r="305" spans="1:64" hidden="1" x14ac:dyDescent="0.2">
      <c r="A305">
        <v>432</v>
      </c>
      <c r="B305">
        <v>4136459527</v>
      </c>
      <c r="C305" t="s">
        <v>101</v>
      </c>
      <c r="D305" t="s">
        <v>5345</v>
      </c>
      <c r="E305" t="s">
        <v>65</v>
      </c>
      <c r="F305" t="s">
        <v>66</v>
      </c>
      <c r="G305" t="s">
        <v>67</v>
      </c>
      <c r="H305" t="s">
        <v>68</v>
      </c>
      <c r="I305" t="s">
        <v>176</v>
      </c>
      <c r="J305" t="s">
        <v>177</v>
      </c>
      <c r="K305" t="s">
        <v>3925</v>
      </c>
      <c r="M305" t="s">
        <v>72</v>
      </c>
      <c r="N305" t="s">
        <v>3926</v>
      </c>
      <c r="O305" t="s">
        <v>3925</v>
      </c>
      <c r="P305" t="s">
        <v>1176</v>
      </c>
      <c r="Q305" t="s">
        <v>75</v>
      </c>
      <c r="R305" t="s">
        <v>5008</v>
      </c>
      <c r="S305" t="s">
        <v>5341</v>
      </c>
      <c r="T305" t="s">
        <v>78</v>
      </c>
      <c r="U305" t="s">
        <v>5009</v>
      </c>
      <c r="V305" t="s">
        <v>80</v>
      </c>
      <c r="W305" s="1">
        <v>44905</v>
      </c>
      <c r="X305" t="s">
        <v>5010</v>
      </c>
      <c r="Y305" t="s">
        <v>5342</v>
      </c>
      <c r="Z305" t="s">
        <v>83</v>
      </c>
      <c r="AA305">
        <v>1</v>
      </c>
      <c r="AB305" t="s">
        <v>5310</v>
      </c>
      <c r="AC305">
        <v>0</v>
      </c>
      <c r="AD305" t="s">
        <v>128</v>
      </c>
      <c r="AE305" t="s">
        <v>86</v>
      </c>
      <c r="AF305" t="s">
        <v>146</v>
      </c>
      <c r="AG305" t="s">
        <v>5343</v>
      </c>
      <c r="AI305" t="s">
        <v>90</v>
      </c>
      <c r="AJ305">
        <v>32.314228</v>
      </c>
      <c r="AK305">
        <v>-110.71380600000001</v>
      </c>
      <c r="AL305">
        <v>3</v>
      </c>
      <c r="AN305">
        <v>1173</v>
      </c>
      <c r="AP305">
        <v>1173</v>
      </c>
      <c r="AQ305">
        <v>1207.793598</v>
      </c>
      <c r="AT305">
        <v>10</v>
      </c>
      <c r="AU305">
        <v>12</v>
      </c>
      <c r="AV305">
        <v>2022</v>
      </c>
      <c r="AW305">
        <v>2437981</v>
      </c>
      <c r="AX305">
        <v>2437981</v>
      </c>
      <c r="AY305" t="s">
        <v>106</v>
      </c>
      <c r="AZ305" t="s">
        <v>92</v>
      </c>
      <c r="BA305" t="s">
        <v>107</v>
      </c>
      <c r="BB305" t="s">
        <v>5346</v>
      </c>
      <c r="BC305" t="s">
        <v>5313</v>
      </c>
      <c r="BD305" s="1">
        <v>44905</v>
      </c>
      <c r="BE305" t="s">
        <v>96</v>
      </c>
      <c r="BG305" t="s">
        <v>5314</v>
      </c>
      <c r="BI305" t="s">
        <v>98</v>
      </c>
      <c r="BJ305" t="s">
        <v>2771</v>
      </c>
      <c r="BL305" t="s">
        <v>110</v>
      </c>
    </row>
    <row r="306" spans="1:64" x14ac:dyDescent="0.2">
      <c r="A306">
        <v>763</v>
      </c>
      <c r="B306">
        <v>4070420474</v>
      </c>
      <c r="C306" t="s">
        <v>101</v>
      </c>
      <c r="D306" t="s">
        <v>2745</v>
      </c>
      <c r="E306" t="s">
        <v>65</v>
      </c>
      <c r="F306" t="s">
        <v>66</v>
      </c>
      <c r="G306" t="s">
        <v>67</v>
      </c>
      <c r="H306" t="s">
        <v>68</v>
      </c>
      <c r="I306" t="s">
        <v>176</v>
      </c>
      <c r="J306" t="s">
        <v>773</v>
      </c>
      <c r="K306" t="s">
        <v>774</v>
      </c>
      <c r="M306" t="s">
        <v>72</v>
      </c>
      <c r="N306" t="s">
        <v>775</v>
      </c>
      <c r="O306" t="s">
        <v>774</v>
      </c>
      <c r="P306" t="s">
        <v>776</v>
      </c>
      <c r="Q306" t="s">
        <v>75</v>
      </c>
      <c r="R306" t="s">
        <v>2238</v>
      </c>
      <c r="S306" t="s">
        <v>2741</v>
      </c>
      <c r="T306" t="s">
        <v>78</v>
      </c>
      <c r="U306" t="s">
        <v>1822</v>
      </c>
      <c r="V306" t="s">
        <v>80</v>
      </c>
      <c r="W306" s="1">
        <v>44813</v>
      </c>
      <c r="X306" t="s">
        <v>1823</v>
      </c>
      <c r="Y306" t="s">
        <v>2742</v>
      </c>
      <c r="Z306" t="s">
        <v>83</v>
      </c>
      <c r="AA306">
        <v>1</v>
      </c>
      <c r="AB306" t="s">
        <v>103</v>
      </c>
      <c r="AC306">
        <v>0</v>
      </c>
      <c r="AD306" t="s">
        <v>119</v>
      </c>
      <c r="AE306" t="s">
        <v>86</v>
      </c>
      <c r="AF306" t="s">
        <v>146</v>
      </c>
      <c r="AI306" t="s">
        <v>90</v>
      </c>
      <c r="AJ306">
        <v>32.442059999999998</v>
      </c>
      <c r="AK306">
        <v>-110.787481</v>
      </c>
      <c r="AL306">
        <v>3</v>
      </c>
      <c r="AN306">
        <v>2737</v>
      </c>
      <c r="AP306">
        <v>2737</v>
      </c>
      <c r="AQ306">
        <v>2773.8057610000001</v>
      </c>
      <c r="AT306">
        <v>9</v>
      </c>
      <c r="AU306">
        <v>9</v>
      </c>
      <c r="AV306">
        <v>2022</v>
      </c>
      <c r="AW306">
        <v>2438447</v>
      </c>
      <c r="AX306">
        <v>2438447</v>
      </c>
      <c r="AY306" t="s">
        <v>106</v>
      </c>
      <c r="AZ306" t="s">
        <v>92</v>
      </c>
      <c r="BA306" t="s">
        <v>107</v>
      </c>
      <c r="BB306" t="s">
        <v>2746</v>
      </c>
      <c r="BC306" t="s">
        <v>2245</v>
      </c>
      <c r="BE306" t="s">
        <v>96</v>
      </c>
      <c r="BG306" t="s">
        <v>2246</v>
      </c>
      <c r="BI306" t="s">
        <v>98</v>
      </c>
      <c r="BJ306" t="s">
        <v>1017</v>
      </c>
      <c r="BL306" t="s">
        <v>412</v>
      </c>
    </row>
    <row r="307" spans="1:64" hidden="1" x14ac:dyDescent="0.2">
      <c r="A307">
        <v>97</v>
      </c>
      <c r="B307">
        <v>4403382543</v>
      </c>
      <c r="C307" t="s">
        <v>101</v>
      </c>
      <c r="D307" t="s">
        <v>1372</v>
      </c>
      <c r="E307" t="s">
        <v>65</v>
      </c>
      <c r="F307" t="s">
        <v>66</v>
      </c>
      <c r="G307" t="s">
        <v>67</v>
      </c>
      <c r="H307" t="s">
        <v>68</v>
      </c>
      <c r="I307" t="s">
        <v>176</v>
      </c>
      <c r="J307" t="s">
        <v>177</v>
      </c>
      <c r="K307" t="s">
        <v>178</v>
      </c>
      <c r="M307" t="s">
        <v>72</v>
      </c>
      <c r="N307" t="s">
        <v>179</v>
      </c>
      <c r="O307" t="s">
        <v>178</v>
      </c>
      <c r="P307" t="s">
        <v>180</v>
      </c>
      <c r="Q307" t="s">
        <v>75</v>
      </c>
      <c r="R307" t="s">
        <v>1177</v>
      </c>
      <c r="S307" t="s">
        <v>1354</v>
      </c>
      <c r="T307" t="s">
        <v>78</v>
      </c>
      <c r="U307" t="s">
        <v>646</v>
      </c>
      <c r="V307" t="s">
        <v>1179</v>
      </c>
      <c r="W307" s="1">
        <v>45108</v>
      </c>
      <c r="X307" t="s">
        <v>1180</v>
      </c>
      <c r="Y307" t="s">
        <v>1355</v>
      </c>
      <c r="Z307" t="s">
        <v>83</v>
      </c>
      <c r="AA307">
        <v>1</v>
      </c>
      <c r="AB307" t="s">
        <v>367</v>
      </c>
      <c r="AD307" t="s">
        <v>104</v>
      </c>
      <c r="AE307" t="s">
        <v>145</v>
      </c>
      <c r="AF307" t="s">
        <v>402</v>
      </c>
      <c r="AG307" t="s">
        <v>1357</v>
      </c>
      <c r="AH307" t="s">
        <v>1362</v>
      </c>
      <c r="AI307" t="s">
        <v>90</v>
      </c>
      <c r="AJ307">
        <v>32.450465999999999</v>
      </c>
      <c r="AK307">
        <v>-110.736558</v>
      </c>
      <c r="AL307">
        <v>3</v>
      </c>
      <c r="AN307">
        <v>2065</v>
      </c>
      <c r="AP307">
        <v>2065</v>
      </c>
      <c r="AQ307">
        <v>2065.2448300000001</v>
      </c>
      <c r="AT307">
        <v>1</v>
      </c>
      <c r="AU307">
        <v>7</v>
      </c>
      <c r="AV307">
        <v>2023</v>
      </c>
      <c r="AW307">
        <v>2438038</v>
      </c>
      <c r="AX307">
        <v>2438038</v>
      </c>
      <c r="AY307" t="s">
        <v>106</v>
      </c>
      <c r="AZ307" t="s">
        <v>92</v>
      </c>
      <c r="BA307" t="s">
        <v>107</v>
      </c>
      <c r="BB307" t="s">
        <v>1373</v>
      </c>
      <c r="BC307" t="s">
        <v>1186</v>
      </c>
      <c r="BD307" s="1">
        <v>45108</v>
      </c>
      <c r="BE307" t="s">
        <v>96</v>
      </c>
      <c r="BG307" t="s">
        <v>1187</v>
      </c>
      <c r="BI307" t="s">
        <v>98</v>
      </c>
      <c r="BJ307" t="s">
        <v>1322</v>
      </c>
      <c r="BL307" t="s">
        <v>412</v>
      </c>
    </row>
    <row r="308" spans="1:64" hidden="1" x14ac:dyDescent="0.2">
      <c r="A308">
        <v>253</v>
      </c>
      <c r="B308">
        <v>4403382385</v>
      </c>
      <c r="C308" t="s">
        <v>101</v>
      </c>
      <c r="D308" t="s">
        <v>1374</v>
      </c>
      <c r="E308" t="s">
        <v>65</v>
      </c>
      <c r="F308" t="s">
        <v>66</v>
      </c>
      <c r="G308" t="s">
        <v>67</v>
      </c>
      <c r="H308" t="s">
        <v>68</v>
      </c>
      <c r="I308" t="s">
        <v>176</v>
      </c>
      <c r="J308" t="s">
        <v>177</v>
      </c>
      <c r="K308" t="s">
        <v>178</v>
      </c>
      <c r="M308" t="s">
        <v>72</v>
      </c>
      <c r="N308" t="s">
        <v>179</v>
      </c>
      <c r="O308" t="s">
        <v>178</v>
      </c>
      <c r="P308" t="s">
        <v>180</v>
      </c>
      <c r="Q308" t="s">
        <v>75</v>
      </c>
      <c r="R308" t="s">
        <v>1177</v>
      </c>
      <c r="S308" t="s">
        <v>1354</v>
      </c>
      <c r="T308" t="s">
        <v>78</v>
      </c>
      <c r="U308" t="s">
        <v>646</v>
      </c>
      <c r="V308" t="s">
        <v>1179</v>
      </c>
      <c r="W308" s="1">
        <v>45108</v>
      </c>
      <c r="X308" t="s">
        <v>1180</v>
      </c>
      <c r="Y308" t="s">
        <v>1355</v>
      </c>
      <c r="Z308" t="s">
        <v>83</v>
      </c>
      <c r="AA308">
        <v>1</v>
      </c>
      <c r="AB308" t="s">
        <v>367</v>
      </c>
      <c r="AD308" t="s">
        <v>139</v>
      </c>
      <c r="AE308" t="s">
        <v>145</v>
      </c>
      <c r="AF308" t="s">
        <v>402</v>
      </c>
      <c r="AG308" t="s">
        <v>1357</v>
      </c>
      <c r="AH308" t="s">
        <v>1362</v>
      </c>
      <c r="AI308" t="s">
        <v>90</v>
      </c>
      <c r="AJ308">
        <v>32.450465999999999</v>
      </c>
      <c r="AK308">
        <v>-110.736558</v>
      </c>
      <c r="AL308">
        <v>3</v>
      </c>
      <c r="AN308">
        <v>2065</v>
      </c>
      <c r="AP308">
        <v>2065</v>
      </c>
      <c r="AQ308">
        <v>2065.2448300000001</v>
      </c>
      <c r="AT308">
        <v>1</v>
      </c>
      <c r="AU308">
        <v>7</v>
      </c>
      <c r="AV308">
        <v>2023</v>
      </c>
      <c r="AW308">
        <v>2438038</v>
      </c>
      <c r="AX308">
        <v>2438038</v>
      </c>
      <c r="AY308" t="s">
        <v>106</v>
      </c>
      <c r="AZ308" t="s">
        <v>92</v>
      </c>
      <c r="BA308" t="s">
        <v>107</v>
      </c>
      <c r="BB308" t="s">
        <v>1375</v>
      </c>
      <c r="BC308" t="s">
        <v>1186</v>
      </c>
      <c r="BD308" s="1">
        <v>45108</v>
      </c>
      <c r="BE308" t="s">
        <v>96</v>
      </c>
      <c r="BG308" t="s">
        <v>1187</v>
      </c>
      <c r="BI308" t="s">
        <v>98</v>
      </c>
      <c r="BJ308" t="s">
        <v>1376</v>
      </c>
      <c r="BL308" t="s">
        <v>412</v>
      </c>
    </row>
    <row r="309" spans="1:64" hidden="1" x14ac:dyDescent="0.2">
      <c r="A309">
        <v>255</v>
      </c>
      <c r="B309">
        <v>4403382383</v>
      </c>
      <c r="C309" t="s">
        <v>101</v>
      </c>
      <c r="D309" t="s">
        <v>1377</v>
      </c>
      <c r="E309" t="s">
        <v>65</v>
      </c>
      <c r="F309" t="s">
        <v>66</v>
      </c>
      <c r="G309" t="s">
        <v>67</v>
      </c>
      <c r="H309" t="s">
        <v>68</v>
      </c>
      <c r="I309" t="s">
        <v>176</v>
      </c>
      <c r="J309" t="s">
        <v>177</v>
      </c>
      <c r="K309" t="s">
        <v>178</v>
      </c>
      <c r="M309" t="s">
        <v>72</v>
      </c>
      <c r="N309" t="s">
        <v>179</v>
      </c>
      <c r="O309" t="s">
        <v>178</v>
      </c>
      <c r="P309" t="s">
        <v>180</v>
      </c>
      <c r="Q309" t="s">
        <v>75</v>
      </c>
      <c r="R309" t="s">
        <v>1177</v>
      </c>
      <c r="S309" t="s">
        <v>1354</v>
      </c>
      <c r="T309" t="s">
        <v>78</v>
      </c>
      <c r="U309" t="s">
        <v>646</v>
      </c>
      <c r="V309" t="s">
        <v>1179</v>
      </c>
      <c r="W309" s="1">
        <v>45108</v>
      </c>
      <c r="X309" t="s">
        <v>1180</v>
      </c>
      <c r="Y309" t="s">
        <v>1355</v>
      </c>
      <c r="Z309" t="s">
        <v>83</v>
      </c>
      <c r="AA309">
        <v>1</v>
      </c>
      <c r="AB309" t="s">
        <v>372</v>
      </c>
      <c r="AD309" t="s">
        <v>134</v>
      </c>
      <c r="AE309" t="s">
        <v>145</v>
      </c>
      <c r="AF309" t="s">
        <v>402</v>
      </c>
      <c r="AG309" t="s">
        <v>1357</v>
      </c>
      <c r="AH309" t="s">
        <v>1378</v>
      </c>
      <c r="AI309" t="s">
        <v>90</v>
      </c>
      <c r="AJ309">
        <v>32.450465999999999</v>
      </c>
      <c r="AK309">
        <v>-110.736558</v>
      </c>
      <c r="AL309">
        <v>3</v>
      </c>
      <c r="AN309">
        <v>2065</v>
      </c>
      <c r="AP309">
        <v>2065</v>
      </c>
      <c r="AQ309">
        <v>2065.2448300000001</v>
      </c>
      <c r="AT309">
        <v>1</v>
      </c>
      <c r="AU309">
        <v>7</v>
      </c>
      <c r="AV309">
        <v>2023</v>
      </c>
      <c r="AW309">
        <v>2438038</v>
      </c>
      <c r="AX309">
        <v>2438038</v>
      </c>
      <c r="AY309" t="s">
        <v>106</v>
      </c>
      <c r="AZ309" t="s">
        <v>92</v>
      </c>
      <c r="BA309" t="s">
        <v>107</v>
      </c>
      <c r="BB309" t="s">
        <v>1379</v>
      </c>
      <c r="BC309" t="s">
        <v>1186</v>
      </c>
      <c r="BD309" s="1">
        <v>45108</v>
      </c>
      <c r="BE309" t="s">
        <v>96</v>
      </c>
      <c r="BG309" t="s">
        <v>1187</v>
      </c>
      <c r="BI309" t="s">
        <v>98</v>
      </c>
      <c r="BJ309" t="s">
        <v>1380</v>
      </c>
      <c r="BL309" t="s">
        <v>412</v>
      </c>
    </row>
    <row r="310" spans="1:64" hidden="1" x14ac:dyDescent="0.2">
      <c r="A310">
        <v>257</v>
      </c>
      <c r="B310">
        <v>4403382381</v>
      </c>
      <c r="C310" t="s">
        <v>101</v>
      </c>
      <c r="D310" t="s">
        <v>1381</v>
      </c>
      <c r="E310" t="s">
        <v>65</v>
      </c>
      <c r="F310" t="s">
        <v>66</v>
      </c>
      <c r="G310" t="s">
        <v>67</v>
      </c>
      <c r="H310" t="s">
        <v>68</v>
      </c>
      <c r="I310" t="s">
        <v>176</v>
      </c>
      <c r="J310" t="s">
        <v>177</v>
      </c>
      <c r="K310" t="s">
        <v>178</v>
      </c>
      <c r="M310" t="s">
        <v>72</v>
      </c>
      <c r="N310" t="s">
        <v>179</v>
      </c>
      <c r="O310" t="s">
        <v>178</v>
      </c>
      <c r="P310" t="s">
        <v>180</v>
      </c>
      <c r="Q310" t="s">
        <v>75</v>
      </c>
      <c r="R310" t="s">
        <v>1177</v>
      </c>
      <c r="S310" t="s">
        <v>1354</v>
      </c>
      <c r="T310" t="s">
        <v>78</v>
      </c>
      <c r="U310" t="s">
        <v>646</v>
      </c>
      <c r="V310" t="s">
        <v>1179</v>
      </c>
      <c r="W310" s="1">
        <v>45108</v>
      </c>
      <c r="X310" t="s">
        <v>1180</v>
      </c>
      <c r="Y310" t="s">
        <v>1355</v>
      </c>
      <c r="Z310" t="s">
        <v>83</v>
      </c>
      <c r="AA310">
        <v>1</v>
      </c>
      <c r="AB310" t="s">
        <v>434</v>
      </c>
      <c r="AD310" t="s">
        <v>378</v>
      </c>
      <c r="AE310" t="s">
        <v>145</v>
      </c>
      <c r="AF310" t="s">
        <v>402</v>
      </c>
      <c r="AG310" t="s">
        <v>1357</v>
      </c>
      <c r="AH310" t="s">
        <v>1362</v>
      </c>
      <c r="AI310" t="s">
        <v>90</v>
      </c>
      <c r="AJ310">
        <v>32.450465999999999</v>
      </c>
      <c r="AK310">
        <v>-110.736558</v>
      </c>
      <c r="AL310">
        <v>3</v>
      </c>
      <c r="AN310">
        <v>2065</v>
      </c>
      <c r="AP310">
        <v>2065</v>
      </c>
      <c r="AQ310">
        <v>2065.2448300000001</v>
      </c>
      <c r="AT310">
        <v>1</v>
      </c>
      <c r="AU310">
        <v>7</v>
      </c>
      <c r="AV310">
        <v>2023</v>
      </c>
      <c r="AW310">
        <v>2438038</v>
      </c>
      <c r="AX310">
        <v>2438038</v>
      </c>
      <c r="AY310" t="s">
        <v>106</v>
      </c>
      <c r="AZ310" t="s">
        <v>92</v>
      </c>
      <c r="BA310" t="s">
        <v>107</v>
      </c>
      <c r="BB310" t="s">
        <v>1382</v>
      </c>
      <c r="BC310" t="s">
        <v>1186</v>
      </c>
      <c r="BD310" s="1">
        <v>45108</v>
      </c>
      <c r="BE310" t="s">
        <v>96</v>
      </c>
      <c r="BG310" t="s">
        <v>1187</v>
      </c>
      <c r="BI310" t="s">
        <v>98</v>
      </c>
      <c r="BJ310" t="s">
        <v>1364</v>
      </c>
      <c r="BL310" t="s">
        <v>412</v>
      </c>
    </row>
    <row r="311" spans="1:64" hidden="1" x14ac:dyDescent="0.2">
      <c r="A311">
        <v>234</v>
      </c>
      <c r="B311">
        <v>4403382406</v>
      </c>
      <c r="C311" t="s">
        <v>101</v>
      </c>
      <c r="D311" t="s">
        <v>1383</v>
      </c>
      <c r="E311" t="s">
        <v>65</v>
      </c>
      <c r="F311" t="s">
        <v>66</v>
      </c>
      <c r="G311" t="s">
        <v>67</v>
      </c>
      <c r="H311" t="s">
        <v>68</v>
      </c>
      <c r="I311" t="s">
        <v>176</v>
      </c>
      <c r="J311" t="s">
        <v>177</v>
      </c>
      <c r="K311" t="s">
        <v>178</v>
      </c>
      <c r="M311" t="s">
        <v>72</v>
      </c>
      <c r="N311" t="s">
        <v>179</v>
      </c>
      <c r="O311" t="s">
        <v>178</v>
      </c>
      <c r="P311" t="s">
        <v>180</v>
      </c>
      <c r="Q311" t="s">
        <v>75</v>
      </c>
      <c r="R311" t="s">
        <v>1177</v>
      </c>
      <c r="S311" t="s">
        <v>1354</v>
      </c>
      <c r="T311" t="s">
        <v>78</v>
      </c>
      <c r="U311" t="s">
        <v>646</v>
      </c>
      <c r="V311" t="s">
        <v>1179</v>
      </c>
      <c r="W311" s="1">
        <v>45108</v>
      </c>
      <c r="X311" t="s">
        <v>1180</v>
      </c>
      <c r="Y311" t="s">
        <v>1355</v>
      </c>
      <c r="Z311" t="s">
        <v>83</v>
      </c>
      <c r="AA311">
        <v>1</v>
      </c>
      <c r="AB311" t="s">
        <v>367</v>
      </c>
      <c r="AD311" t="s">
        <v>116</v>
      </c>
      <c r="AE311" t="s">
        <v>145</v>
      </c>
      <c r="AF311" t="s">
        <v>402</v>
      </c>
      <c r="AG311" t="s">
        <v>1357</v>
      </c>
      <c r="AH311" t="s">
        <v>1362</v>
      </c>
      <c r="AI311" t="s">
        <v>90</v>
      </c>
      <c r="AJ311">
        <v>32.450465999999999</v>
      </c>
      <c r="AK311">
        <v>-110.736558</v>
      </c>
      <c r="AL311">
        <v>3</v>
      </c>
      <c r="AN311">
        <v>2065</v>
      </c>
      <c r="AP311">
        <v>2065</v>
      </c>
      <c r="AQ311">
        <v>2065.2448300000001</v>
      </c>
      <c r="AT311">
        <v>1</v>
      </c>
      <c r="AU311">
        <v>7</v>
      </c>
      <c r="AV311">
        <v>2023</v>
      </c>
      <c r="AW311">
        <v>2438038</v>
      </c>
      <c r="AX311">
        <v>2438038</v>
      </c>
      <c r="AY311" t="s">
        <v>106</v>
      </c>
      <c r="AZ311" t="s">
        <v>92</v>
      </c>
      <c r="BA311" t="s">
        <v>107</v>
      </c>
      <c r="BB311" t="s">
        <v>1384</v>
      </c>
      <c r="BC311" t="s">
        <v>1186</v>
      </c>
      <c r="BD311" s="1">
        <v>45108</v>
      </c>
      <c r="BE311" t="s">
        <v>96</v>
      </c>
      <c r="BG311" t="s">
        <v>1187</v>
      </c>
      <c r="BI311" t="s">
        <v>98</v>
      </c>
      <c r="BJ311" t="s">
        <v>1385</v>
      </c>
      <c r="BL311" t="s">
        <v>412</v>
      </c>
    </row>
    <row r="312" spans="1:64" hidden="1" x14ac:dyDescent="0.2">
      <c r="A312">
        <v>238</v>
      </c>
      <c r="B312">
        <v>4403382401</v>
      </c>
      <c r="C312" t="s">
        <v>101</v>
      </c>
      <c r="D312" t="s">
        <v>1386</v>
      </c>
      <c r="E312" t="s">
        <v>65</v>
      </c>
      <c r="F312" t="s">
        <v>66</v>
      </c>
      <c r="G312" t="s">
        <v>67</v>
      </c>
      <c r="H312" t="s">
        <v>68</v>
      </c>
      <c r="I312" t="s">
        <v>176</v>
      </c>
      <c r="J312" t="s">
        <v>177</v>
      </c>
      <c r="K312" t="s">
        <v>178</v>
      </c>
      <c r="M312" t="s">
        <v>72</v>
      </c>
      <c r="N312" t="s">
        <v>179</v>
      </c>
      <c r="O312" t="s">
        <v>178</v>
      </c>
      <c r="P312" t="s">
        <v>180</v>
      </c>
      <c r="Q312" t="s">
        <v>75</v>
      </c>
      <c r="R312" t="s">
        <v>1177</v>
      </c>
      <c r="S312" t="s">
        <v>1354</v>
      </c>
      <c r="T312" t="s">
        <v>78</v>
      </c>
      <c r="U312" t="s">
        <v>646</v>
      </c>
      <c r="V312" t="s">
        <v>1179</v>
      </c>
      <c r="W312" s="1">
        <v>45108</v>
      </c>
      <c r="X312" t="s">
        <v>1180</v>
      </c>
      <c r="Y312" t="s">
        <v>1355</v>
      </c>
      <c r="Z312" t="s">
        <v>83</v>
      </c>
      <c r="AA312">
        <v>1</v>
      </c>
      <c r="AB312" t="s">
        <v>367</v>
      </c>
      <c r="AD312" t="s">
        <v>123</v>
      </c>
      <c r="AE312" t="s">
        <v>145</v>
      </c>
      <c r="AF312" t="s">
        <v>402</v>
      </c>
      <c r="AG312" t="s">
        <v>1357</v>
      </c>
      <c r="AH312" t="s">
        <v>1362</v>
      </c>
      <c r="AI312" t="s">
        <v>90</v>
      </c>
      <c r="AJ312">
        <v>32.450465999999999</v>
      </c>
      <c r="AK312">
        <v>-110.736558</v>
      </c>
      <c r="AL312">
        <v>3</v>
      </c>
      <c r="AN312">
        <v>2065</v>
      </c>
      <c r="AP312">
        <v>2065</v>
      </c>
      <c r="AQ312">
        <v>2065.2448300000001</v>
      </c>
      <c r="AT312">
        <v>1</v>
      </c>
      <c r="AU312">
        <v>7</v>
      </c>
      <c r="AV312">
        <v>2023</v>
      </c>
      <c r="AW312">
        <v>2438038</v>
      </c>
      <c r="AX312">
        <v>2438038</v>
      </c>
      <c r="AY312" t="s">
        <v>106</v>
      </c>
      <c r="AZ312" t="s">
        <v>92</v>
      </c>
      <c r="BA312" t="s">
        <v>107</v>
      </c>
      <c r="BB312" t="s">
        <v>1387</v>
      </c>
      <c r="BC312" t="s">
        <v>1186</v>
      </c>
      <c r="BD312" s="1">
        <v>45108</v>
      </c>
      <c r="BE312" t="s">
        <v>96</v>
      </c>
      <c r="BG312" t="s">
        <v>1187</v>
      </c>
      <c r="BI312" t="s">
        <v>98</v>
      </c>
      <c r="BJ312" t="s">
        <v>1388</v>
      </c>
      <c r="BL312" t="s">
        <v>412</v>
      </c>
    </row>
    <row r="313" spans="1:64" hidden="1" x14ac:dyDescent="0.2">
      <c r="A313">
        <v>240</v>
      </c>
      <c r="B313">
        <v>4403382398</v>
      </c>
      <c r="C313" t="s">
        <v>101</v>
      </c>
      <c r="D313" t="s">
        <v>1397</v>
      </c>
      <c r="E313" t="s">
        <v>65</v>
      </c>
      <c r="F313" t="s">
        <v>66</v>
      </c>
      <c r="G313" t="s">
        <v>67</v>
      </c>
      <c r="H313" t="s">
        <v>68</v>
      </c>
      <c r="I313" t="s">
        <v>176</v>
      </c>
      <c r="J313" t="s">
        <v>177</v>
      </c>
      <c r="K313" t="s">
        <v>178</v>
      </c>
      <c r="M313" t="s">
        <v>72</v>
      </c>
      <c r="N313" t="s">
        <v>179</v>
      </c>
      <c r="O313" t="s">
        <v>178</v>
      </c>
      <c r="P313" t="s">
        <v>180</v>
      </c>
      <c r="Q313" t="s">
        <v>75</v>
      </c>
      <c r="R313" t="s">
        <v>1177</v>
      </c>
      <c r="S313" t="s">
        <v>1390</v>
      </c>
      <c r="T313" t="s">
        <v>78</v>
      </c>
      <c r="U313" t="s">
        <v>646</v>
      </c>
      <c r="V313" t="s">
        <v>1179</v>
      </c>
      <c r="W313" s="1">
        <v>45108</v>
      </c>
      <c r="X313" t="s">
        <v>1180</v>
      </c>
      <c r="Y313" t="s">
        <v>1391</v>
      </c>
      <c r="Z313" t="s">
        <v>83</v>
      </c>
      <c r="AA313">
        <v>1</v>
      </c>
      <c r="AB313" t="s">
        <v>367</v>
      </c>
      <c r="AD313" t="s">
        <v>104</v>
      </c>
      <c r="AE313" t="s">
        <v>86</v>
      </c>
      <c r="AF313" t="s">
        <v>402</v>
      </c>
      <c r="AG313" t="s">
        <v>1393</v>
      </c>
      <c r="AH313" t="s">
        <v>1398</v>
      </c>
      <c r="AI313" t="s">
        <v>90</v>
      </c>
      <c r="AJ313">
        <v>32.450394000000003</v>
      </c>
      <c r="AK313">
        <v>-110.736435</v>
      </c>
      <c r="AL313">
        <v>3</v>
      </c>
      <c r="AN313">
        <v>2067</v>
      </c>
      <c r="AP313">
        <v>2067</v>
      </c>
      <c r="AQ313">
        <v>2064.0276349999999</v>
      </c>
      <c r="AT313">
        <v>1</v>
      </c>
      <c r="AU313">
        <v>7</v>
      </c>
      <c r="AV313">
        <v>2023</v>
      </c>
      <c r="AW313">
        <v>2438038</v>
      </c>
      <c r="AX313">
        <v>2438038</v>
      </c>
      <c r="AY313" t="s">
        <v>106</v>
      </c>
      <c r="AZ313" t="s">
        <v>92</v>
      </c>
      <c r="BA313" t="s">
        <v>107</v>
      </c>
      <c r="BB313" t="s">
        <v>1399</v>
      </c>
      <c r="BC313" t="s">
        <v>1186</v>
      </c>
      <c r="BD313" s="1">
        <v>45108</v>
      </c>
      <c r="BE313" t="s">
        <v>96</v>
      </c>
      <c r="BG313" t="s">
        <v>1187</v>
      </c>
      <c r="BI313" t="s">
        <v>98</v>
      </c>
      <c r="BJ313" t="s">
        <v>1400</v>
      </c>
      <c r="BL313" t="s">
        <v>412</v>
      </c>
    </row>
    <row r="314" spans="1:64" hidden="1" x14ac:dyDescent="0.2">
      <c r="A314">
        <v>243</v>
      </c>
      <c r="B314">
        <v>4403382395</v>
      </c>
      <c r="C314" t="s">
        <v>101</v>
      </c>
      <c r="D314" t="s">
        <v>1401</v>
      </c>
      <c r="E314" t="s">
        <v>65</v>
      </c>
      <c r="F314" t="s">
        <v>66</v>
      </c>
      <c r="G314" t="s">
        <v>67</v>
      </c>
      <c r="H314" t="s">
        <v>68</v>
      </c>
      <c r="I314" t="s">
        <v>176</v>
      </c>
      <c r="J314" t="s">
        <v>177</v>
      </c>
      <c r="K314" t="s">
        <v>178</v>
      </c>
      <c r="M314" t="s">
        <v>72</v>
      </c>
      <c r="N314" t="s">
        <v>179</v>
      </c>
      <c r="O314" t="s">
        <v>178</v>
      </c>
      <c r="P314" t="s">
        <v>180</v>
      </c>
      <c r="Q314" t="s">
        <v>75</v>
      </c>
      <c r="R314" t="s">
        <v>1177</v>
      </c>
      <c r="S314" t="s">
        <v>1390</v>
      </c>
      <c r="T314" t="s">
        <v>78</v>
      </c>
      <c r="U314" t="s">
        <v>646</v>
      </c>
      <c r="V314" t="s">
        <v>1179</v>
      </c>
      <c r="W314" s="1">
        <v>45108</v>
      </c>
      <c r="X314" t="s">
        <v>1180</v>
      </c>
      <c r="Y314" t="s">
        <v>1391</v>
      </c>
      <c r="Z314" t="s">
        <v>83</v>
      </c>
      <c r="AA314">
        <v>1</v>
      </c>
      <c r="AB314" t="s">
        <v>367</v>
      </c>
      <c r="AD314" t="s">
        <v>116</v>
      </c>
      <c r="AE314" t="s">
        <v>86</v>
      </c>
      <c r="AF314" t="s">
        <v>402</v>
      </c>
      <c r="AG314" t="s">
        <v>1393</v>
      </c>
      <c r="AH314" t="s">
        <v>1398</v>
      </c>
      <c r="AI314" t="s">
        <v>90</v>
      </c>
      <c r="AJ314">
        <v>32.450394000000003</v>
      </c>
      <c r="AK314">
        <v>-110.736435</v>
      </c>
      <c r="AL314">
        <v>3</v>
      </c>
      <c r="AN314">
        <v>2067</v>
      </c>
      <c r="AP314">
        <v>2067</v>
      </c>
      <c r="AQ314">
        <v>2064.0276349999999</v>
      </c>
      <c r="AT314">
        <v>1</v>
      </c>
      <c r="AU314">
        <v>7</v>
      </c>
      <c r="AV314">
        <v>2023</v>
      </c>
      <c r="AW314">
        <v>2438038</v>
      </c>
      <c r="AX314">
        <v>2438038</v>
      </c>
      <c r="AY314" t="s">
        <v>106</v>
      </c>
      <c r="AZ314" t="s">
        <v>92</v>
      </c>
      <c r="BA314" t="s">
        <v>107</v>
      </c>
      <c r="BB314" t="s">
        <v>1402</v>
      </c>
      <c r="BC314" t="s">
        <v>1186</v>
      </c>
      <c r="BD314" s="1">
        <v>45108</v>
      </c>
      <c r="BE314" t="s">
        <v>96</v>
      </c>
      <c r="BG314" t="s">
        <v>1187</v>
      </c>
      <c r="BI314" t="s">
        <v>98</v>
      </c>
      <c r="BJ314" t="s">
        <v>1388</v>
      </c>
      <c r="BL314" t="s">
        <v>412</v>
      </c>
    </row>
    <row r="315" spans="1:64" hidden="1" x14ac:dyDescent="0.2">
      <c r="A315">
        <v>246</v>
      </c>
      <c r="B315">
        <v>4403382392</v>
      </c>
      <c r="C315" t="s">
        <v>101</v>
      </c>
      <c r="D315" t="s">
        <v>1403</v>
      </c>
      <c r="E315" t="s">
        <v>65</v>
      </c>
      <c r="F315" t="s">
        <v>66</v>
      </c>
      <c r="G315" t="s">
        <v>67</v>
      </c>
      <c r="H315" t="s">
        <v>68</v>
      </c>
      <c r="I315" t="s">
        <v>176</v>
      </c>
      <c r="J315" t="s">
        <v>177</v>
      </c>
      <c r="K315" t="s">
        <v>178</v>
      </c>
      <c r="M315" t="s">
        <v>72</v>
      </c>
      <c r="N315" t="s">
        <v>179</v>
      </c>
      <c r="O315" t="s">
        <v>178</v>
      </c>
      <c r="P315" t="s">
        <v>180</v>
      </c>
      <c r="Q315" t="s">
        <v>75</v>
      </c>
      <c r="R315" t="s">
        <v>1177</v>
      </c>
      <c r="S315" t="s">
        <v>1390</v>
      </c>
      <c r="T315" t="s">
        <v>78</v>
      </c>
      <c r="U315" t="s">
        <v>646</v>
      </c>
      <c r="V315" t="s">
        <v>1179</v>
      </c>
      <c r="W315" s="1">
        <v>45108</v>
      </c>
      <c r="X315" t="s">
        <v>1180</v>
      </c>
      <c r="Y315" t="s">
        <v>1391</v>
      </c>
      <c r="Z315" t="s">
        <v>83</v>
      </c>
      <c r="AA315">
        <v>1</v>
      </c>
      <c r="AB315" t="s">
        <v>367</v>
      </c>
      <c r="AD315" t="s">
        <v>112</v>
      </c>
      <c r="AE315" t="s">
        <v>86</v>
      </c>
      <c r="AF315" t="s">
        <v>402</v>
      </c>
      <c r="AG315" t="s">
        <v>1393</v>
      </c>
      <c r="AH315" t="s">
        <v>1398</v>
      </c>
      <c r="AI315" t="s">
        <v>90</v>
      </c>
      <c r="AJ315">
        <v>32.450394000000003</v>
      </c>
      <c r="AK315">
        <v>-110.736435</v>
      </c>
      <c r="AL315">
        <v>3</v>
      </c>
      <c r="AN315">
        <v>2067</v>
      </c>
      <c r="AP315">
        <v>2067</v>
      </c>
      <c r="AQ315">
        <v>2064.0276349999999</v>
      </c>
      <c r="AT315">
        <v>1</v>
      </c>
      <c r="AU315">
        <v>7</v>
      </c>
      <c r="AV315">
        <v>2023</v>
      </c>
      <c r="AW315">
        <v>2438038</v>
      </c>
      <c r="AX315">
        <v>2438038</v>
      </c>
      <c r="AY315" t="s">
        <v>106</v>
      </c>
      <c r="AZ315" t="s">
        <v>92</v>
      </c>
      <c r="BA315" t="s">
        <v>107</v>
      </c>
      <c r="BB315" t="s">
        <v>1404</v>
      </c>
      <c r="BC315" t="s">
        <v>1186</v>
      </c>
      <c r="BD315" s="1">
        <v>45108</v>
      </c>
      <c r="BE315" t="s">
        <v>96</v>
      </c>
      <c r="BG315" t="s">
        <v>1187</v>
      </c>
      <c r="BI315" t="s">
        <v>98</v>
      </c>
      <c r="BJ315" t="s">
        <v>1380</v>
      </c>
      <c r="BL315" t="s">
        <v>412</v>
      </c>
    </row>
    <row r="316" spans="1:64" hidden="1" x14ac:dyDescent="0.2">
      <c r="A316">
        <v>248</v>
      </c>
      <c r="B316">
        <v>4403382390</v>
      </c>
      <c r="C316" t="s">
        <v>101</v>
      </c>
      <c r="D316" t="s">
        <v>1405</v>
      </c>
      <c r="E316" t="s">
        <v>65</v>
      </c>
      <c r="F316" t="s">
        <v>66</v>
      </c>
      <c r="G316" t="s">
        <v>67</v>
      </c>
      <c r="H316" t="s">
        <v>68</v>
      </c>
      <c r="I316" t="s">
        <v>176</v>
      </c>
      <c r="J316" t="s">
        <v>177</v>
      </c>
      <c r="K316" t="s">
        <v>178</v>
      </c>
      <c r="M316" t="s">
        <v>72</v>
      </c>
      <c r="N316" t="s">
        <v>179</v>
      </c>
      <c r="O316" t="s">
        <v>178</v>
      </c>
      <c r="P316" t="s">
        <v>180</v>
      </c>
      <c r="Q316" t="s">
        <v>75</v>
      </c>
      <c r="R316" t="s">
        <v>1177</v>
      </c>
      <c r="S316" t="s">
        <v>1390</v>
      </c>
      <c r="T316" t="s">
        <v>78</v>
      </c>
      <c r="U316" t="s">
        <v>646</v>
      </c>
      <c r="V316" t="s">
        <v>1179</v>
      </c>
      <c r="W316" s="1">
        <v>45108</v>
      </c>
      <c r="X316" t="s">
        <v>1180</v>
      </c>
      <c r="Y316" t="s">
        <v>1391</v>
      </c>
      <c r="Z316" t="s">
        <v>83</v>
      </c>
      <c r="AA316">
        <v>1</v>
      </c>
      <c r="AB316" t="s">
        <v>367</v>
      </c>
      <c r="AD316" t="s">
        <v>123</v>
      </c>
      <c r="AE316" t="s">
        <v>86</v>
      </c>
      <c r="AF316" t="s">
        <v>402</v>
      </c>
      <c r="AG316" t="s">
        <v>1393</v>
      </c>
      <c r="AH316" t="s">
        <v>1398</v>
      </c>
      <c r="AI316" t="s">
        <v>90</v>
      </c>
      <c r="AJ316">
        <v>32.450394000000003</v>
      </c>
      <c r="AK316">
        <v>-110.736435</v>
      </c>
      <c r="AL316">
        <v>3</v>
      </c>
      <c r="AN316">
        <v>2067</v>
      </c>
      <c r="AP316">
        <v>2067</v>
      </c>
      <c r="AQ316">
        <v>2064.0276349999999</v>
      </c>
      <c r="AT316">
        <v>1</v>
      </c>
      <c r="AU316">
        <v>7</v>
      </c>
      <c r="AV316">
        <v>2023</v>
      </c>
      <c r="AW316">
        <v>2438038</v>
      </c>
      <c r="AX316">
        <v>2438038</v>
      </c>
      <c r="AY316" t="s">
        <v>106</v>
      </c>
      <c r="AZ316" t="s">
        <v>92</v>
      </c>
      <c r="BA316" t="s">
        <v>107</v>
      </c>
      <c r="BB316" t="s">
        <v>1406</v>
      </c>
      <c r="BC316" t="s">
        <v>1186</v>
      </c>
      <c r="BD316" s="1">
        <v>45108</v>
      </c>
      <c r="BE316" t="s">
        <v>96</v>
      </c>
      <c r="BG316" t="s">
        <v>1187</v>
      </c>
      <c r="BI316" t="s">
        <v>98</v>
      </c>
      <c r="BJ316" t="s">
        <v>1380</v>
      </c>
      <c r="BL316" t="s">
        <v>412</v>
      </c>
    </row>
    <row r="317" spans="1:64" x14ac:dyDescent="0.2">
      <c r="A317">
        <v>894</v>
      </c>
      <c r="B317">
        <v>4070420329</v>
      </c>
      <c r="C317" t="s">
        <v>101</v>
      </c>
      <c r="D317" t="s">
        <v>2904</v>
      </c>
      <c r="E317" t="s">
        <v>65</v>
      </c>
      <c r="F317" t="s">
        <v>66</v>
      </c>
      <c r="G317" t="s">
        <v>67</v>
      </c>
      <c r="H317" t="s">
        <v>68</v>
      </c>
      <c r="I317" t="s">
        <v>176</v>
      </c>
      <c r="J317" t="s">
        <v>177</v>
      </c>
      <c r="K317" t="s">
        <v>178</v>
      </c>
      <c r="M317" t="s">
        <v>72</v>
      </c>
      <c r="N317" t="s">
        <v>179</v>
      </c>
      <c r="O317" t="s">
        <v>178</v>
      </c>
      <c r="P317" t="s">
        <v>180</v>
      </c>
      <c r="Q317" t="s">
        <v>75</v>
      </c>
      <c r="R317" t="s">
        <v>2806</v>
      </c>
      <c r="S317" t="s">
        <v>777</v>
      </c>
      <c r="T317" t="s">
        <v>78</v>
      </c>
      <c r="U317" t="s">
        <v>1822</v>
      </c>
      <c r="V317" t="s">
        <v>80</v>
      </c>
      <c r="W317" s="1">
        <v>44814</v>
      </c>
      <c r="X317" t="s">
        <v>2778</v>
      </c>
      <c r="Y317" t="s">
        <v>2905</v>
      </c>
      <c r="Z317" t="s">
        <v>83</v>
      </c>
      <c r="AA317">
        <v>1</v>
      </c>
      <c r="AB317" t="s">
        <v>103</v>
      </c>
      <c r="AC317">
        <v>0</v>
      </c>
      <c r="AD317" t="s">
        <v>119</v>
      </c>
      <c r="AE317" t="s">
        <v>86</v>
      </c>
      <c r="AF317" t="s">
        <v>146</v>
      </c>
      <c r="AI317" t="s">
        <v>90</v>
      </c>
      <c r="AJ317">
        <v>32.453581</v>
      </c>
      <c r="AK317">
        <v>-110.745073</v>
      </c>
      <c r="AL317">
        <v>3</v>
      </c>
      <c r="AN317">
        <v>2197</v>
      </c>
      <c r="AP317">
        <v>2197</v>
      </c>
      <c r="AQ317">
        <v>2208.4560849999998</v>
      </c>
      <c r="AT317">
        <v>10</v>
      </c>
      <c r="AU317">
        <v>9</v>
      </c>
      <c r="AV317">
        <v>2022</v>
      </c>
      <c r="AW317">
        <v>2438038</v>
      </c>
      <c r="AX317">
        <v>2438038</v>
      </c>
      <c r="AY317" t="s">
        <v>106</v>
      </c>
      <c r="AZ317" t="s">
        <v>92</v>
      </c>
      <c r="BA317" t="s">
        <v>107</v>
      </c>
      <c r="BB317" t="s">
        <v>2906</v>
      </c>
      <c r="BC317" t="s">
        <v>2245</v>
      </c>
      <c r="BE317" t="s">
        <v>96</v>
      </c>
      <c r="BG317" t="s">
        <v>2811</v>
      </c>
      <c r="BI317" t="s">
        <v>98</v>
      </c>
      <c r="BJ317" t="s">
        <v>2907</v>
      </c>
      <c r="BL317" t="s">
        <v>412</v>
      </c>
    </row>
    <row r="318" spans="1:64" x14ac:dyDescent="0.2">
      <c r="A318">
        <v>897</v>
      </c>
      <c r="B318">
        <v>4070420326</v>
      </c>
      <c r="C318" t="s">
        <v>101</v>
      </c>
      <c r="D318" t="s">
        <v>2928</v>
      </c>
      <c r="E318" t="s">
        <v>65</v>
      </c>
      <c r="F318" t="s">
        <v>66</v>
      </c>
      <c r="G318" t="s">
        <v>67</v>
      </c>
      <c r="H318" t="s">
        <v>68</v>
      </c>
      <c r="I318" t="s">
        <v>176</v>
      </c>
      <c r="J318" t="s">
        <v>177</v>
      </c>
      <c r="K318" t="s">
        <v>178</v>
      </c>
      <c r="M318" t="s">
        <v>72</v>
      </c>
      <c r="N318" t="s">
        <v>179</v>
      </c>
      <c r="O318" t="s">
        <v>178</v>
      </c>
      <c r="P318" t="s">
        <v>180</v>
      </c>
      <c r="Q318" t="s">
        <v>75</v>
      </c>
      <c r="R318" t="s">
        <v>2806</v>
      </c>
      <c r="S318" t="s">
        <v>2929</v>
      </c>
      <c r="T318" t="s">
        <v>78</v>
      </c>
      <c r="U318" t="s">
        <v>1822</v>
      </c>
      <c r="V318" t="s">
        <v>80</v>
      </c>
      <c r="W318" s="1">
        <v>44814</v>
      </c>
      <c r="X318" t="s">
        <v>2778</v>
      </c>
      <c r="Y318" t="s">
        <v>2930</v>
      </c>
      <c r="Z318" t="s">
        <v>83</v>
      </c>
      <c r="AA318">
        <v>1</v>
      </c>
      <c r="AB318" t="s">
        <v>103</v>
      </c>
      <c r="AC318">
        <v>0</v>
      </c>
      <c r="AD318" t="s">
        <v>119</v>
      </c>
      <c r="AE318" t="s">
        <v>86</v>
      </c>
      <c r="AF318" t="s">
        <v>281</v>
      </c>
      <c r="AI318" t="s">
        <v>90</v>
      </c>
      <c r="AJ318">
        <v>32.453733999999997</v>
      </c>
      <c r="AK318">
        <v>-110.745186</v>
      </c>
      <c r="AL318">
        <v>3</v>
      </c>
      <c r="AN318">
        <v>2195</v>
      </c>
      <c r="AP318">
        <v>2195</v>
      </c>
      <c r="AQ318">
        <v>2210.772121</v>
      </c>
      <c r="AT318">
        <v>10</v>
      </c>
      <c r="AU318">
        <v>9</v>
      </c>
      <c r="AV318">
        <v>2022</v>
      </c>
      <c r="AW318">
        <v>2438038</v>
      </c>
      <c r="AX318">
        <v>2438038</v>
      </c>
      <c r="AY318" t="s">
        <v>106</v>
      </c>
      <c r="AZ318" t="s">
        <v>92</v>
      </c>
      <c r="BA318" t="s">
        <v>107</v>
      </c>
      <c r="BB318" t="s">
        <v>2931</v>
      </c>
      <c r="BC318" t="s">
        <v>2245</v>
      </c>
      <c r="BE318" t="s">
        <v>96</v>
      </c>
      <c r="BG318" t="s">
        <v>2811</v>
      </c>
      <c r="BI318" t="s">
        <v>98</v>
      </c>
      <c r="BJ318" t="s">
        <v>2932</v>
      </c>
      <c r="BL318" t="s">
        <v>412</v>
      </c>
    </row>
    <row r="319" spans="1:64" hidden="1" x14ac:dyDescent="0.2">
      <c r="A319">
        <v>283</v>
      </c>
      <c r="B319">
        <v>4403382355</v>
      </c>
      <c r="C319" t="s">
        <v>101</v>
      </c>
      <c r="D319" t="s">
        <v>1413</v>
      </c>
      <c r="E319" t="s">
        <v>65</v>
      </c>
      <c r="F319" t="s">
        <v>66</v>
      </c>
      <c r="G319" t="s">
        <v>67</v>
      </c>
      <c r="H319" t="s">
        <v>68</v>
      </c>
      <c r="I319" t="s">
        <v>176</v>
      </c>
      <c r="J319" t="s">
        <v>177</v>
      </c>
      <c r="K319" t="s">
        <v>178</v>
      </c>
      <c r="M319" t="s">
        <v>72</v>
      </c>
      <c r="N319" t="s">
        <v>179</v>
      </c>
      <c r="O319" t="s">
        <v>178</v>
      </c>
      <c r="P319" t="s">
        <v>180</v>
      </c>
      <c r="Q319" t="s">
        <v>75</v>
      </c>
      <c r="R319" t="s">
        <v>1177</v>
      </c>
      <c r="S319" t="s">
        <v>1390</v>
      </c>
      <c r="T319" t="s">
        <v>78</v>
      </c>
      <c r="U319" t="s">
        <v>646</v>
      </c>
      <c r="V319" t="s">
        <v>1179</v>
      </c>
      <c r="W319" s="1">
        <v>45108</v>
      </c>
      <c r="X319" t="s">
        <v>1180</v>
      </c>
      <c r="Y319" t="s">
        <v>1391</v>
      </c>
      <c r="Z319" t="s">
        <v>83</v>
      </c>
      <c r="AA319">
        <v>1</v>
      </c>
      <c r="AB319" t="s">
        <v>372</v>
      </c>
      <c r="AD319" t="s">
        <v>134</v>
      </c>
      <c r="AE319" t="s">
        <v>86</v>
      </c>
      <c r="AF319" t="s">
        <v>402</v>
      </c>
      <c r="AG319" t="s">
        <v>1393</v>
      </c>
      <c r="AH319" t="s">
        <v>1414</v>
      </c>
      <c r="AI319" t="s">
        <v>90</v>
      </c>
      <c r="AJ319">
        <v>32.450394000000003</v>
      </c>
      <c r="AK319">
        <v>-110.736435</v>
      </c>
      <c r="AL319">
        <v>3</v>
      </c>
      <c r="AN319">
        <v>2067</v>
      </c>
      <c r="AP319">
        <v>2067</v>
      </c>
      <c r="AQ319">
        <v>2064.0276349999999</v>
      </c>
      <c r="AT319">
        <v>1</v>
      </c>
      <c r="AU319">
        <v>7</v>
      </c>
      <c r="AV319">
        <v>2023</v>
      </c>
      <c r="AW319">
        <v>2438038</v>
      </c>
      <c r="AX319">
        <v>2438038</v>
      </c>
      <c r="AY319" t="s">
        <v>106</v>
      </c>
      <c r="AZ319" t="s">
        <v>92</v>
      </c>
      <c r="BA319" t="s">
        <v>107</v>
      </c>
      <c r="BB319" t="s">
        <v>1415</v>
      </c>
      <c r="BC319" t="s">
        <v>1186</v>
      </c>
      <c r="BD319" s="1">
        <v>45108</v>
      </c>
      <c r="BE319" t="s">
        <v>96</v>
      </c>
      <c r="BG319" t="s">
        <v>1187</v>
      </c>
      <c r="BI319" t="s">
        <v>98</v>
      </c>
      <c r="BJ319" t="s">
        <v>1416</v>
      </c>
      <c r="BL319" t="s">
        <v>412</v>
      </c>
    </row>
    <row r="320" spans="1:64" hidden="1" x14ac:dyDescent="0.2">
      <c r="A320">
        <v>427</v>
      </c>
      <c r="B320">
        <v>4136459532</v>
      </c>
      <c r="C320" t="s">
        <v>101</v>
      </c>
      <c r="D320" t="s">
        <v>5351</v>
      </c>
      <c r="E320" t="s">
        <v>65</v>
      </c>
      <c r="F320" t="s">
        <v>66</v>
      </c>
      <c r="G320" t="s">
        <v>67</v>
      </c>
      <c r="H320" t="s">
        <v>68</v>
      </c>
      <c r="I320" t="s">
        <v>176</v>
      </c>
      <c r="J320" t="s">
        <v>177</v>
      </c>
      <c r="K320" t="s">
        <v>3925</v>
      </c>
      <c r="M320" t="s">
        <v>72</v>
      </c>
      <c r="N320" t="s">
        <v>3926</v>
      </c>
      <c r="O320" t="s">
        <v>3925</v>
      </c>
      <c r="P320" t="s">
        <v>1176</v>
      </c>
      <c r="Q320" t="s">
        <v>75</v>
      </c>
      <c r="R320" t="s">
        <v>5008</v>
      </c>
      <c r="S320" t="s">
        <v>1472</v>
      </c>
      <c r="T320" t="s">
        <v>78</v>
      </c>
      <c r="U320" t="s">
        <v>5009</v>
      </c>
      <c r="V320" t="s">
        <v>80</v>
      </c>
      <c r="W320" s="1">
        <v>44905</v>
      </c>
      <c r="X320" t="s">
        <v>5010</v>
      </c>
      <c r="Y320" t="s">
        <v>5348</v>
      </c>
      <c r="Z320" t="s">
        <v>83</v>
      </c>
      <c r="AA320">
        <v>1</v>
      </c>
      <c r="AB320" t="s">
        <v>5310</v>
      </c>
      <c r="AC320">
        <v>0</v>
      </c>
      <c r="AD320" t="s">
        <v>128</v>
      </c>
      <c r="AE320" t="s">
        <v>86</v>
      </c>
      <c r="AF320" t="s">
        <v>146</v>
      </c>
      <c r="AG320" t="s">
        <v>5343</v>
      </c>
      <c r="AI320" t="s">
        <v>90</v>
      </c>
      <c r="AJ320">
        <v>32.314069000000003</v>
      </c>
      <c r="AK320">
        <v>-110.713464</v>
      </c>
      <c r="AL320">
        <v>3</v>
      </c>
      <c r="AN320">
        <v>1173</v>
      </c>
      <c r="AP320">
        <v>1173</v>
      </c>
      <c r="AQ320">
        <v>1195.292633</v>
      </c>
      <c r="AT320">
        <v>10</v>
      </c>
      <c r="AU320">
        <v>12</v>
      </c>
      <c r="AV320">
        <v>2022</v>
      </c>
      <c r="AW320">
        <v>2437981</v>
      </c>
      <c r="AX320">
        <v>2437981</v>
      </c>
      <c r="AY320" t="s">
        <v>106</v>
      </c>
      <c r="AZ320" t="s">
        <v>92</v>
      </c>
      <c r="BA320" t="s">
        <v>107</v>
      </c>
      <c r="BB320" t="s">
        <v>5352</v>
      </c>
      <c r="BC320" t="s">
        <v>5313</v>
      </c>
      <c r="BD320" s="1">
        <v>44905</v>
      </c>
      <c r="BE320" t="s">
        <v>96</v>
      </c>
      <c r="BG320" t="s">
        <v>5314</v>
      </c>
      <c r="BI320" t="s">
        <v>98</v>
      </c>
      <c r="BJ320" t="s">
        <v>5350</v>
      </c>
      <c r="BL320" t="s">
        <v>110</v>
      </c>
    </row>
    <row r="321" spans="1:64" hidden="1" x14ac:dyDescent="0.2">
      <c r="A321">
        <v>259</v>
      </c>
      <c r="B321">
        <v>4403382379</v>
      </c>
      <c r="C321" t="s">
        <v>101</v>
      </c>
      <c r="D321" t="s">
        <v>1421</v>
      </c>
      <c r="E321" t="s">
        <v>65</v>
      </c>
      <c r="F321" t="s">
        <v>66</v>
      </c>
      <c r="G321" t="s">
        <v>67</v>
      </c>
      <c r="H321" t="s">
        <v>68</v>
      </c>
      <c r="I321" t="s">
        <v>176</v>
      </c>
      <c r="J321" t="s">
        <v>177</v>
      </c>
      <c r="K321" t="s">
        <v>178</v>
      </c>
      <c r="M321" t="s">
        <v>72</v>
      </c>
      <c r="N321" t="s">
        <v>179</v>
      </c>
      <c r="O321" t="s">
        <v>178</v>
      </c>
      <c r="P321" t="s">
        <v>180</v>
      </c>
      <c r="Q321" t="s">
        <v>75</v>
      </c>
      <c r="R321" t="s">
        <v>1177</v>
      </c>
      <c r="S321" t="s">
        <v>1390</v>
      </c>
      <c r="T321" t="s">
        <v>78</v>
      </c>
      <c r="U321" t="s">
        <v>646</v>
      </c>
      <c r="V321" t="s">
        <v>1179</v>
      </c>
      <c r="W321" s="1">
        <v>45108</v>
      </c>
      <c r="X321" t="s">
        <v>1180</v>
      </c>
      <c r="Y321" t="s">
        <v>1391</v>
      </c>
      <c r="Z321" t="s">
        <v>83</v>
      </c>
      <c r="AA321">
        <v>1</v>
      </c>
      <c r="AB321" t="s">
        <v>367</v>
      </c>
      <c r="AD321" t="s">
        <v>139</v>
      </c>
      <c r="AE321" t="s">
        <v>86</v>
      </c>
      <c r="AF321" t="s">
        <v>402</v>
      </c>
      <c r="AG321" t="s">
        <v>1393</v>
      </c>
      <c r="AH321" t="s">
        <v>1398</v>
      </c>
      <c r="AI321" t="s">
        <v>90</v>
      </c>
      <c r="AJ321">
        <v>32.450394000000003</v>
      </c>
      <c r="AK321">
        <v>-110.736435</v>
      </c>
      <c r="AL321">
        <v>3</v>
      </c>
      <c r="AN321">
        <v>2067</v>
      </c>
      <c r="AP321">
        <v>2067</v>
      </c>
      <c r="AQ321">
        <v>2064.0276349999999</v>
      </c>
      <c r="AT321">
        <v>1</v>
      </c>
      <c r="AU321">
        <v>7</v>
      </c>
      <c r="AV321">
        <v>2023</v>
      </c>
      <c r="AW321">
        <v>2438038</v>
      </c>
      <c r="AX321">
        <v>2438038</v>
      </c>
      <c r="AY321" t="s">
        <v>106</v>
      </c>
      <c r="AZ321" t="s">
        <v>92</v>
      </c>
      <c r="BA321" t="s">
        <v>107</v>
      </c>
      <c r="BB321" t="s">
        <v>1422</v>
      </c>
      <c r="BC321" t="s">
        <v>1186</v>
      </c>
      <c r="BD321" s="1">
        <v>45108</v>
      </c>
      <c r="BE321" t="s">
        <v>96</v>
      </c>
      <c r="BG321" t="s">
        <v>1187</v>
      </c>
      <c r="BI321" t="s">
        <v>98</v>
      </c>
      <c r="BJ321" t="s">
        <v>1423</v>
      </c>
      <c r="BL321" t="s">
        <v>412</v>
      </c>
    </row>
    <row r="322" spans="1:64" hidden="1" x14ac:dyDescent="0.2">
      <c r="A322">
        <v>474</v>
      </c>
      <c r="B322">
        <v>4136459485</v>
      </c>
      <c r="C322" t="s">
        <v>101</v>
      </c>
      <c r="D322" t="s">
        <v>5359</v>
      </c>
      <c r="E322" t="s">
        <v>65</v>
      </c>
      <c r="F322" t="s">
        <v>66</v>
      </c>
      <c r="G322" t="s">
        <v>67</v>
      </c>
      <c r="H322" t="s">
        <v>68</v>
      </c>
      <c r="I322" t="s">
        <v>69</v>
      </c>
      <c r="J322" t="s">
        <v>70</v>
      </c>
      <c r="K322" t="s">
        <v>4195</v>
      </c>
      <c r="M322" t="s">
        <v>72</v>
      </c>
      <c r="N322" t="s">
        <v>4196</v>
      </c>
      <c r="O322" t="s">
        <v>4195</v>
      </c>
      <c r="P322" t="s">
        <v>4197</v>
      </c>
      <c r="Q322" t="s">
        <v>75</v>
      </c>
      <c r="R322" t="s">
        <v>5008</v>
      </c>
      <c r="S322" t="s">
        <v>3391</v>
      </c>
      <c r="T322" t="s">
        <v>78</v>
      </c>
      <c r="U322" t="s">
        <v>5009</v>
      </c>
      <c r="V322" t="s">
        <v>80</v>
      </c>
      <c r="W322" s="1">
        <v>44905</v>
      </c>
      <c r="X322" t="s">
        <v>5010</v>
      </c>
      <c r="Y322" t="s">
        <v>5357</v>
      </c>
      <c r="Z322" t="s">
        <v>83</v>
      </c>
      <c r="AA322">
        <v>1</v>
      </c>
      <c r="AB322" t="s">
        <v>5310</v>
      </c>
      <c r="AC322">
        <v>0</v>
      </c>
      <c r="AD322" t="s">
        <v>128</v>
      </c>
      <c r="AE322" t="s">
        <v>145</v>
      </c>
      <c r="AF322" t="s">
        <v>146</v>
      </c>
      <c r="AG322" t="s">
        <v>765</v>
      </c>
      <c r="AI322" t="s">
        <v>90</v>
      </c>
      <c r="AJ322">
        <v>32.314100000000003</v>
      </c>
      <c r="AK322">
        <v>-110.71374299999999</v>
      </c>
      <c r="AL322">
        <v>3</v>
      </c>
      <c r="AN322">
        <v>1173</v>
      </c>
      <c r="AP322">
        <v>1173</v>
      </c>
      <c r="AQ322">
        <v>1202.979198</v>
      </c>
      <c r="AT322">
        <v>10</v>
      </c>
      <c r="AU322">
        <v>12</v>
      </c>
      <c r="AV322">
        <v>2022</v>
      </c>
      <c r="AW322">
        <v>2439589</v>
      </c>
      <c r="AX322">
        <v>2439589</v>
      </c>
      <c r="AY322" t="s">
        <v>106</v>
      </c>
      <c r="AZ322" t="s">
        <v>92</v>
      </c>
      <c r="BA322" t="s">
        <v>107</v>
      </c>
      <c r="BB322" t="s">
        <v>5360</v>
      </c>
      <c r="BC322" t="s">
        <v>5313</v>
      </c>
      <c r="BD322" s="1">
        <v>44905</v>
      </c>
      <c r="BE322" t="s">
        <v>96</v>
      </c>
      <c r="BG322" t="s">
        <v>5314</v>
      </c>
      <c r="BI322" t="s">
        <v>98</v>
      </c>
      <c r="BJ322" t="s">
        <v>2860</v>
      </c>
      <c r="BL322" t="s">
        <v>110</v>
      </c>
    </row>
    <row r="323" spans="1:64" hidden="1" x14ac:dyDescent="0.2">
      <c r="A323">
        <v>265</v>
      </c>
      <c r="B323">
        <v>4403382373</v>
      </c>
      <c r="C323" t="s">
        <v>101</v>
      </c>
      <c r="D323" t="s">
        <v>1436</v>
      </c>
      <c r="E323" t="s">
        <v>65</v>
      </c>
      <c r="F323" t="s">
        <v>66</v>
      </c>
      <c r="G323" t="s">
        <v>67</v>
      </c>
      <c r="H323" t="s">
        <v>68</v>
      </c>
      <c r="I323" t="s">
        <v>176</v>
      </c>
      <c r="J323" t="s">
        <v>177</v>
      </c>
      <c r="K323" t="s">
        <v>178</v>
      </c>
      <c r="M323" t="s">
        <v>72</v>
      </c>
      <c r="N323" t="s">
        <v>179</v>
      </c>
      <c r="O323" t="s">
        <v>178</v>
      </c>
      <c r="P323" t="s">
        <v>180</v>
      </c>
      <c r="Q323" t="s">
        <v>75</v>
      </c>
      <c r="R323" t="s">
        <v>1177</v>
      </c>
      <c r="S323" t="s">
        <v>1425</v>
      </c>
      <c r="T323" t="s">
        <v>78</v>
      </c>
      <c r="U323" t="s">
        <v>646</v>
      </c>
      <c r="V323" t="s">
        <v>1179</v>
      </c>
      <c r="W323" s="1">
        <v>45108</v>
      </c>
      <c r="X323" t="s">
        <v>1180</v>
      </c>
      <c r="Y323" t="s">
        <v>1426</v>
      </c>
      <c r="Z323" t="s">
        <v>83</v>
      </c>
      <c r="AA323">
        <v>1</v>
      </c>
      <c r="AB323" t="s">
        <v>367</v>
      </c>
      <c r="AD323" t="s">
        <v>104</v>
      </c>
      <c r="AE323" t="s">
        <v>145</v>
      </c>
      <c r="AF323" t="s">
        <v>402</v>
      </c>
      <c r="AG323" t="s">
        <v>1428</v>
      </c>
      <c r="AH323" t="s">
        <v>1437</v>
      </c>
      <c r="AI323" t="s">
        <v>90</v>
      </c>
      <c r="AJ323">
        <v>32.450868999999997</v>
      </c>
      <c r="AK323">
        <v>-110.736958</v>
      </c>
      <c r="AL323">
        <v>3</v>
      </c>
      <c r="AN323">
        <v>2055</v>
      </c>
      <c r="AP323">
        <v>2055</v>
      </c>
      <c r="AQ323">
        <v>2062.4493339999999</v>
      </c>
      <c r="AT323">
        <v>1</v>
      </c>
      <c r="AU323">
        <v>7</v>
      </c>
      <c r="AV323">
        <v>2023</v>
      </c>
      <c r="AW323">
        <v>2438038</v>
      </c>
      <c r="AX323">
        <v>2438038</v>
      </c>
      <c r="AY323" t="s">
        <v>106</v>
      </c>
      <c r="AZ323" t="s">
        <v>92</v>
      </c>
      <c r="BA323" t="s">
        <v>107</v>
      </c>
      <c r="BB323" t="s">
        <v>1438</v>
      </c>
      <c r="BC323" t="s">
        <v>1186</v>
      </c>
      <c r="BD323" s="1">
        <v>45108</v>
      </c>
      <c r="BE323" t="s">
        <v>96</v>
      </c>
      <c r="BG323" t="s">
        <v>1187</v>
      </c>
      <c r="BI323" t="s">
        <v>98</v>
      </c>
      <c r="BJ323" t="s">
        <v>1420</v>
      </c>
      <c r="BL323" t="s">
        <v>412</v>
      </c>
    </row>
    <row r="324" spans="1:64" hidden="1" x14ac:dyDescent="0.2">
      <c r="A324">
        <v>268</v>
      </c>
      <c r="B324">
        <v>4403382370</v>
      </c>
      <c r="C324" t="s">
        <v>101</v>
      </c>
      <c r="D324" t="s">
        <v>1439</v>
      </c>
      <c r="E324" t="s">
        <v>65</v>
      </c>
      <c r="F324" t="s">
        <v>66</v>
      </c>
      <c r="G324" t="s">
        <v>67</v>
      </c>
      <c r="H324" t="s">
        <v>68</v>
      </c>
      <c r="I324" t="s">
        <v>176</v>
      </c>
      <c r="J324" t="s">
        <v>177</v>
      </c>
      <c r="K324" t="s">
        <v>178</v>
      </c>
      <c r="M324" t="s">
        <v>72</v>
      </c>
      <c r="N324" t="s">
        <v>179</v>
      </c>
      <c r="O324" t="s">
        <v>178</v>
      </c>
      <c r="P324" t="s">
        <v>180</v>
      </c>
      <c r="Q324" t="s">
        <v>75</v>
      </c>
      <c r="R324" t="s">
        <v>1177</v>
      </c>
      <c r="S324" t="s">
        <v>1425</v>
      </c>
      <c r="T324" t="s">
        <v>78</v>
      </c>
      <c r="U324" t="s">
        <v>646</v>
      </c>
      <c r="V324" t="s">
        <v>1179</v>
      </c>
      <c r="W324" s="1">
        <v>45108</v>
      </c>
      <c r="X324" t="s">
        <v>1180</v>
      </c>
      <c r="Y324" t="s">
        <v>1426</v>
      </c>
      <c r="Z324" t="s">
        <v>83</v>
      </c>
      <c r="AA324">
        <v>1</v>
      </c>
      <c r="AB324" t="s">
        <v>367</v>
      </c>
      <c r="AD324" t="s">
        <v>116</v>
      </c>
      <c r="AE324" t="s">
        <v>145</v>
      </c>
      <c r="AF324" t="s">
        <v>402</v>
      </c>
      <c r="AG324" t="s">
        <v>1428</v>
      </c>
      <c r="AH324" t="s">
        <v>1437</v>
      </c>
      <c r="AI324" t="s">
        <v>90</v>
      </c>
      <c r="AJ324">
        <v>32.450868999999997</v>
      </c>
      <c r="AK324">
        <v>-110.736958</v>
      </c>
      <c r="AL324">
        <v>3</v>
      </c>
      <c r="AN324">
        <v>2055</v>
      </c>
      <c r="AP324">
        <v>2055</v>
      </c>
      <c r="AQ324">
        <v>2062.4493339999999</v>
      </c>
      <c r="AT324">
        <v>1</v>
      </c>
      <c r="AU324">
        <v>7</v>
      </c>
      <c r="AV324">
        <v>2023</v>
      </c>
      <c r="AW324">
        <v>2438038</v>
      </c>
      <c r="AX324">
        <v>2438038</v>
      </c>
      <c r="AY324" t="s">
        <v>106</v>
      </c>
      <c r="AZ324" t="s">
        <v>92</v>
      </c>
      <c r="BA324" t="s">
        <v>107</v>
      </c>
      <c r="BB324" t="s">
        <v>1440</v>
      </c>
      <c r="BC324" t="s">
        <v>1186</v>
      </c>
      <c r="BD324" s="1">
        <v>45108</v>
      </c>
      <c r="BE324" t="s">
        <v>96</v>
      </c>
      <c r="BG324" t="s">
        <v>1187</v>
      </c>
      <c r="BI324" t="s">
        <v>98</v>
      </c>
      <c r="BJ324" t="s">
        <v>1441</v>
      </c>
      <c r="BL324" t="s">
        <v>412</v>
      </c>
    </row>
    <row r="325" spans="1:64" hidden="1" x14ac:dyDescent="0.2">
      <c r="A325">
        <v>271</v>
      </c>
      <c r="B325">
        <v>4403382367</v>
      </c>
      <c r="C325" t="s">
        <v>101</v>
      </c>
      <c r="D325" t="s">
        <v>1442</v>
      </c>
      <c r="E325" t="s">
        <v>65</v>
      </c>
      <c r="F325" t="s">
        <v>66</v>
      </c>
      <c r="G325" t="s">
        <v>67</v>
      </c>
      <c r="H325" t="s">
        <v>68</v>
      </c>
      <c r="I325" t="s">
        <v>176</v>
      </c>
      <c r="J325" t="s">
        <v>177</v>
      </c>
      <c r="K325" t="s">
        <v>178</v>
      </c>
      <c r="M325" t="s">
        <v>72</v>
      </c>
      <c r="N325" t="s">
        <v>179</v>
      </c>
      <c r="O325" t="s">
        <v>178</v>
      </c>
      <c r="P325" t="s">
        <v>180</v>
      </c>
      <c r="Q325" t="s">
        <v>75</v>
      </c>
      <c r="R325" t="s">
        <v>1177</v>
      </c>
      <c r="S325" t="s">
        <v>1425</v>
      </c>
      <c r="T325" t="s">
        <v>78</v>
      </c>
      <c r="U325" t="s">
        <v>646</v>
      </c>
      <c r="V325" t="s">
        <v>1179</v>
      </c>
      <c r="W325" s="1">
        <v>45108</v>
      </c>
      <c r="X325" t="s">
        <v>1180</v>
      </c>
      <c r="Y325" t="s">
        <v>1426</v>
      </c>
      <c r="Z325" t="s">
        <v>83</v>
      </c>
      <c r="AA325">
        <v>1</v>
      </c>
      <c r="AB325" t="s">
        <v>367</v>
      </c>
      <c r="AD325" t="s">
        <v>112</v>
      </c>
      <c r="AE325" t="s">
        <v>145</v>
      </c>
      <c r="AF325" t="s">
        <v>402</v>
      </c>
      <c r="AG325" t="s">
        <v>1428</v>
      </c>
      <c r="AH325" t="s">
        <v>1437</v>
      </c>
      <c r="AI325" t="s">
        <v>90</v>
      </c>
      <c r="AJ325">
        <v>32.450868999999997</v>
      </c>
      <c r="AK325">
        <v>-110.736958</v>
      </c>
      <c r="AL325">
        <v>3</v>
      </c>
      <c r="AN325">
        <v>2055</v>
      </c>
      <c r="AP325">
        <v>2055</v>
      </c>
      <c r="AQ325">
        <v>2062.4493339999999</v>
      </c>
      <c r="AT325">
        <v>1</v>
      </c>
      <c r="AU325">
        <v>7</v>
      </c>
      <c r="AV325">
        <v>2023</v>
      </c>
      <c r="AW325">
        <v>2438038</v>
      </c>
      <c r="AX325">
        <v>2438038</v>
      </c>
      <c r="AY325" t="s">
        <v>106</v>
      </c>
      <c r="AZ325" t="s">
        <v>92</v>
      </c>
      <c r="BA325" t="s">
        <v>107</v>
      </c>
      <c r="BB325" t="s">
        <v>1443</v>
      </c>
      <c r="BC325" t="s">
        <v>1186</v>
      </c>
      <c r="BD325" s="1">
        <v>45108</v>
      </c>
      <c r="BE325" t="s">
        <v>96</v>
      </c>
      <c r="BG325" t="s">
        <v>1187</v>
      </c>
      <c r="BI325" t="s">
        <v>98</v>
      </c>
      <c r="BJ325" t="s">
        <v>1400</v>
      </c>
      <c r="BL325" t="s">
        <v>412</v>
      </c>
    </row>
    <row r="326" spans="1:64" hidden="1" x14ac:dyDescent="0.2">
      <c r="A326">
        <v>273</v>
      </c>
      <c r="B326">
        <v>4403382365</v>
      </c>
      <c r="C326" t="s">
        <v>101</v>
      </c>
      <c r="D326" t="s">
        <v>1444</v>
      </c>
      <c r="E326" t="s">
        <v>65</v>
      </c>
      <c r="F326" t="s">
        <v>66</v>
      </c>
      <c r="G326" t="s">
        <v>67</v>
      </c>
      <c r="H326" t="s">
        <v>68</v>
      </c>
      <c r="I326" t="s">
        <v>176</v>
      </c>
      <c r="J326" t="s">
        <v>177</v>
      </c>
      <c r="K326" t="s">
        <v>178</v>
      </c>
      <c r="M326" t="s">
        <v>72</v>
      </c>
      <c r="N326" t="s">
        <v>179</v>
      </c>
      <c r="O326" t="s">
        <v>178</v>
      </c>
      <c r="P326" t="s">
        <v>180</v>
      </c>
      <c r="Q326" t="s">
        <v>75</v>
      </c>
      <c r="R326" t="s">
        <v>1177</v>
      </c>
      <c r="S326" t="s">
        <v>1425</v>
      </c>
      <c r="T326" t="s">
        <v>78</v>
      </c>
      <c r="U326" t="s">
        <v>646</v>
      </c>
      <c r="V326" t="s">
        <v>1179</v>
      </c>
      <c r="W326" s="1">
        <v>45108</v>
      </c>
      <c r="X326" t="s">
        <v>1180</v>
      </c>
      <c r="Y326" t="s">
        <v>1426</v>
      </c>
      <c r="Z326" t="s">
        <v>83</v>
      </c>
      <c r="AA326">
        <v>1</v>
      </c>
      <c r="AB326" t="s">
        <v>367</v>
      </c>
      <c r="AD326" t="s">
        <v>123</v>
      </c>
      <c r="AE326" t="s">
        <v>145</v>
      </c>
      <c r="AF326" t="s">
        <v>402</v>
      </c>
      <c r="AG326" t="s">
        <v>1428</v>
      </c>
      <c r="AH326" t="s">
        <v>1437</v>
      </c>
      <c r="AI326" t="s">
        <v>90</v>
      </c>
      <c r="AJ326">
        <v>32.450868999999997</v>
      </c>
      <c r="AK326">
        <v>-110.736958</v>
      </c>
      <c r="AL326">
        <v>3</v>
      </c>
      <c r="AN326">
        <v>2055</v>
      </c>
      <c r="AP326">
        <v>2055</v>
      </c>
      <c r="AQ326">
        <v>2062.4493339999999</v>
      </c>
      <c r="AT326">
        <v>1</v>
      </c>
      <c r="AU326">
        <v>7</v>
      </c>
      <c r="AV326">
        <v>2023</v>
      </c>
      <c r="AW326">
        <v>2438038</v>
      </c>
      <c r="AX326">
        <v>2438038</v>
      </c>
      <c r="AY326" t="s">
        <v>106</v>
      </c>
      <c r="AZ326" t="s">
        <v>92</v>
      </c>
      <c r="BA326" t="s">
        <v>107</v>
      </c>
      <c r="BB326" t="s">
        <v>1445</v>
      </c>
      <c r="BC326" t="s">
        <v>1186</v>
      </c>
      <c r="BD326" s="1">
        <v>45108</v>
      </c>
      <c r="BE326" t="s">
        <v>96</v>
      </c>
      <c r="BG326" t="s">
        <v>1187</v>
      </c>
      <c r="BI326" t="s">
        <v>98</v>
      </c>
      <c r="BJ326" t="s">
        <v>1446</v>
      </c>
      <c r="BL326" t="s">
        <v>412</v>
      </c>
    </row>
    <row r="327" spans="1:64" hidden="1" x14ac:dyDescent="0.2">
      <c r="A327">
        <v>305</v>
      </c>
      <c r="B327">
        <v>4403382333</v>
      </c>
      <c r="C327" t="s">
        <v>101</v>
      </c>
      <c r="D327" t="s">
        <v>1447</v>
      </c>
      <c r="E327" t="s">
        <v>65</v>
      </c>
      <c r="F327" t="s">
        <v>66</v>
      </c>
      <c r="G327" t="s">
        <v>67</v>
      </c>
      <c r="H327" t="s">
        <v>68</v>
      </c>
      <c r="I327" t="s">
        <v>176</v>
      </c>
      <c r="J327" t="s">
        <v>177</v>
      </c>
      <c r="K327" t="s">
        <v>178</v>
      </c>
      <c r="M327" t="s">
        <v>72</v>
      </c>
      <c r="N327" t="s">
        <v>179</v>
      </c>
      <c r="O327" t="s">
        <v>178</v>
      </c>
      <c r="P327" t="s">
        <v>180</v>
      </c>
      <c r="Q327" t="s">
        <v>75</v>
      </c>
      <c r="R327" t="s">
        <v>1177</v>
      </c>
      <c r="S327" t="s">
        <v>1425</v>
      </c>
      <c r="T327" t="s">
        <v>78</v>
      </c>
      <c r="U327" t="s">
        <v>646</v>
      </c>
      <c r="V327" t="s">
        <v>1179</v>
      </c>
      <c r="W327" s="1">
        <v>45108</v>
      </c>
      <c r="X327" t="s">
        <v>1180</v>
      </c>
      <c r="Y327" t="s">
        <v>1426</v>
      </c>
      <c r="Z327" t="s">
        <v>83</v>
      </c>
      <c r="AA327">
        <v>1</v>
      </c>
      <c r="AB327" t="s">
        <v>367</v>
      </c>
      <c r="AD327" t="s">
        <v>139</v>
      </c>
      <c r="AE327" t="s">
        <v>145</v>
      </c>
      <c r="AF327" t="s">
        <v>402</v>
      </c>
      <c r="AG327" t="s">
        <v>1428</v>
      </c>
      <c r="AH327" t="s">
        <v>1437</v>
      </c>
      <c r="AI327" t="s">
        <v>90</v>
      </c>
      <c r="AJ327">
        <v>32.450868999999997</v>
      </c>
      <c r="AK327">
        <v>-110.736958</v>
      </c>
      <c r="AL327">
        <v>3</v>
      </c>
      <c r="AN327">
        <v>2055</v>
      </c>
      <c r="AP327">
        <v>2055</v>
      </c>
      <c r="AQ327">
        <v>2062.4493339999999</v>
      </c>
      <c r="AT327">
        <v>1</v>
      </c>
      <c r="AU327">
        <v>7</v>
      </c>
      <c r="AV327">
        <v>2023</v>
      </c>
      <c r="AW327">
        <v>2438038</v>
      </c>
      <c r="AX327">
        <v>2438038</v>
      </c>
      <c r="AY327" t="s">
        <v>106</v>
      </c>
      <c r="AZ327" t="s">
        <v>92</v>
      </c>
      <c r="BA327" t="s">
        <v>107</v>
      </c>
      <c r="BB327" t="s">
        <v>1448</v>
      </c>
      <c r="BC327" t="s">
        <v>1186</v>
      </c>
      <c r="BD327" s="1">
        <v>45108</v>
      </c>
      <c r="BE327" t="s">
        <v>96</v>
      </c>
      <c r="BG327" t="s">
        <v>1187</v>
      </c>
      <c r="BI327" t="s">
        <v>98</v>
      </c>
      <c r="BJ327" t="s">
        <v>1449</v>
      </c>
      <c r="BL327" t="s">
        <v>412</v>
      </c>
    </row>
    <row r="328" spans="1:64" x14ac:dyDescent="0.2">
      <c r="A328">
        <v>917</v>
      </c>
      <c r="B328">
        <v>4070420303</v>
      </c>
      <c r="C328" t="s">
        <v>101</v>
      </c>
      <c r="D328" t="s">
        <v>2948</v>
      </c>
      <c r="E328" t="s">
        <v>65</v>
      </c>
      <c r="F328" t="s">
        <v>66</v>
      </c>
      <c r="G328" t="s">
        <v>67</v>
      </c>
      <c r="H328" t="s">
        <v>68</v>
      </c>
      <c r="I328" t="s">
        <v>176</v>
      </c>
      <c r="J328" t="s">
        <v>177</v>
      </c>
      <c r="K328" t="s">
        <v>178</v>
      </c>
      <c r="M328" t="s">
        <v>72</v>
      </c>
      <c r="N328" t="s">
        <v>179</v>
      </c>
      <c r="O328" t="s">
        <v>178</v>
      </c>
      <c r="P328" t="s">
        <v>180</v>
      </c>
      <c r="Q328" t="s">
        <v>75</v>
      </c>
      <c r="R328" t="s">
        <v>2806</v>
      </c>
      <c r="S328" t="s">
        <v>2944</v>
      </c>
      <c r="T328" t="s">
        <v>78</v>
      </c>
      <c r="U328" t="s">
        <v>1822</v>
      </c>
      <c r="V328" t="s">
        <v>80</v>
      </c>
      <c r="W328" s="1">
        <v>44814</v>
      </c>
      <c r="X328" t="s">
        <v>2778</v>
      </c>
      <c r="Y328" t="s">
        <v>2945</v>
      </c>
      <c r="Z328" t="s">
        <v>83</v>
      </c>
      <c r="AA328">
        <v>1</v>
      </c>
      <c r="AB328" t="s">
        <v>103</v>
      </c>
      <c r="AC328">
        <v>0</v>
      </c>
      <c r="AD328" t="s">
        <v>119</v>
      </c>
      <c r="AE328" t="s">
        <v>86</v>
      </c>
      <c r="AF328" t="s">
        <v>146</v>
      </c>
      <c r="AI328" t="s">
        <v>90</v>
      </c>
      <c r="AJ328">
        <v>32.453822000000002</v>
      </c>
      <c r="AK328">
        <v>-110.745199</v>
      </c>
      <c r="AL328">
        <v>3</v>
      </c>
      <c r="AN328">
        <v>2191</v>
      </c>
      <c r="AP328">
        <v>2191</v>
      </c>
      <c r="AQ328">
        <v>2210.86996</v>
      </c>
      <c r="AT328">
        <v>10</v>
      </c>
      <c r="AU328">
        <v>9</v>
      </c>
      <c r="AV328">
        <v>2022</v>
      </c>
      <c r="AW328">
        <v>2438038</v>
      </c>
      <c r="AX328">
        <v>2438038</v>
      </c>
      <c r="AY328" t="s">
        <v>106</v>
      </c>
      <c r="AZ328" t="s">
        <v>92</v>
      </c>
      <c r="BA328" t="s">
        <v>107</v>
      </c>
      <c r="BB328" t="s">
        <v>2949</v>
      </c>
      <c r="BC328" t="s">
        <v>2245</v>
      </c>
      <c r="BE328" t="s">
        <v>96</v>
      </c>
      <c r="BG328" t="s">
        <v>2811</v>
      </c>
      <c r="BI328" t="s">
        <v>98</v>
      </c>
      <c r="BJ328" t="s">
        <v>2947</v>
      </c>
      <c r="BL328" t="s">
        <v>412</v>
      </c>
    </row>
    <row r="329" spans="1:64" hidden="1" x14ac:dyDescent="0.2">
      <c r="A329">
        <v>310</v>
      </c>
      <c r="B329">
        <v>4403382328</v>
      </c>
      <c r="C329" t="s">
        <v>101</v>
      </c>
      <c r="D329" t="s">
        <v>1454</v>
      </c>
      <c r="E329" t="s">
        <v>65</v>
      </c>
      <c r="F329" t="s">
        <v>66</v>
      </c>
      <c r="G329" t="s">
        <v>67</v>
      </c>
      <c r="H329" t="s">
        <v>68</v>
      </c>
      <c r="I329" t="s">
        <v>176</v>
      </c>
      <c r="J329" t="s">
        <v>177</v>
      </c>
      <c r="K329" t="s">
        <v>178</v>
      </c>
      <c r="M329" t="s">
        <v>72</v>
      </c>
      <c r="N329" t="s">
        <v>179</v>
      </c>
      <c r="O329" t="s">
        <v>178</v>
      </c>
      <c r="P329" t="s">
        <v>180</v>
      </c>
      <c r="Q329" t="s">
        <v>75</v>
      </c>
      <c r="R329" t="s">
        <v>1177</v>
      </c>
      <c r="S329" t="s">
        <v>1425</v>
      </c>
      <c r="T329" t="s">
        <v>78</v>
      </c>
      <c r="U329" t="s">
        <v>646</v>
      </c>
      <c r="V329" t="s">
        <v>1179</v>
      </c>
      <c r="W329" s="1">
        <v>45108</v>
      </c>
      <c r="X329" t="s">
        <v>1180</v>
      </c>
      <c r="Y329" t="s">
        <v>1426</v>
      </c>
      <c r="Z329" t="s">
        <v>83</v>
      </c>
      <c r="AA329">
        <v>1</v>
      </c>
      <c r="AB329" t="s">
        <v>372</v>
      </c>
      <c r="AD329" t="s">
        <v>134</v>
      </c>
      <c r="AE329" t="s">
        <v>145</v>
      </c>
      <c r="AF329" t="s">
        <v>402</v>
      </c>
      <c r="AG329" t="s">
        <v>1428</v>
      </c>
      <c r="AH329" t="s">
        <v>1455</v>
      </c>
      <c r="AI329" t="s">
        <v>90</v>
      </c>
      <c r="AJ329">
        <v>32.450868999999997</v>
      </c>
      <c r="AK329">
        <v>-110.736958</v>
      </c>
      <c r="AL329">
        <v>3</v>
      </c>
      <c r="AN329">
        <v>2055</v>
      </c>
      <c r="AP329">
        <v>2055</v>
      </c>
      <c r="AQ329">
        <v>2062.4493339999999</v>
      </c>
      <c r="AT329">
        <v>1</v>
      </c>
      <c r="AU329">
        <v>7</v>
      </c>
      <c r="AV329">
        <v>2023</v>
      </c>
      <c r="AW329">
        <v>2438038</v>
      </c>
      <c r="AX329">
        <v>2438038</v>
      </c>
      <c r="AY329" t="s">
        <v>106</v>
      </c>
      <c r="AZ329" t="s">
        <v>92</v>
      </c>
      <c r="BA329" t="s">
        <v>107</v>
      </c>
      <c r="BB329" t="s">
        <v>1456</v>
      </c>
      <c r="BC329" t="s">
        <v>1186</v>
      </c>
      <c r="BD329" s="1">
        <v>45108</v>
      </c>
      <c r="BE329" t="s">
        <v>96</v>
      </c>
      <c r="BG329" t="s">
        <v>1187</v>
      </c>
      <c r="BI329" t="s">
        <v>98</v>
      </c>
      <c r="BJ329" t="s">
        <v>812</v>
      </c>
      <c r="BL329" t="s">
        <v>412</v>
      </c>
    </row>
    <row r="330" spans="1:64" hidden="1" x14ac:dyDescent="0.2">
      <c r="A330">
        <v>313</v>
      </c>
      <c r="B330">
        <v>4403382325</v>
      </c>
      <c r="C330" t="s">
        <v>101</v>
      </c>
      <c r="D330" t="s">
        <v>1457</v>
      </c>
      <c r="E330" t="s">
        <v>65</v>
      </c>
      <c r="F330" t="s">
        <v>66</v>
      </c>
      <c r="G330" t="s">
        <v>67</v>
      </c>
      <c r="H330" t="s">
        <v>68</v>
      </c>
      <c r="I330" t="s">
        <v>176</v>
      </c>
      <c r="J330" t="s">
        <v>177</v>
      </c>
      <c r="K330" t="s">
        <v>178</v>
      </c>
      <c r="M330" t="s">
        <v>72</v>
      </c>
      <c r="N330" t="s">
        <v>179</v>
      </c>
      <c r="O330" t="s">
        <v>178</v>
      </c>
      <c r="P330" t="s">
        <v>180</v>
      </c>
      <c r="Q330" t="s">
        <v>75</v>
      </c>
      <c r="R330" t="s">
        <v>1177</v>
      </c>
      <c r="S330" t="s">
        <v>1458</v>
      </c>
      <c r="T330" t="s">
        <v>78</v>
      </c>
      <c r="U330" t="s">
        <v>646</v>
      </c>
      <c r="V330" t="s">
        <v>1179</v>
      </c>
      <c r="W330" s="1">
        <v>45108</v>
      </c>
      <c r="X330" t="s">
        <v>1180</v>
      </c>
      <c r="Y330" t="s">
        <v>1459</v>
      </c>
      <c r="Z330" t="s">
        <v>83</v>
      </c>
      <c r="AA330">
        <v>1</v>
      </c>
      <c r="AB330" t="s">
        <v>1460</v>
      </c>
      <c r="AD330" t="s">
        <v>343</v>
      </c>
      <c r="AE330" t="s">
        <v>145</v>
      </c>
      <c r="AF330" t="s">
        <v>402</v>
      </c>
      <c r="AG330" t="s">
        <v>344</v>
      </c>
      <c r="AI330" t="s">
        <v>90</v>
      </c>
      <c r="AJ330">
        <v>32.449593999999998</v>
      </c>
      <c r="AK330">
        <v>-110.73868</v>
      </c>
      <c r="AL330">
        <v>3</v>
      </c>
      <c r="AN330">
        <v>2088</v>
      </c>
      <c r="AP330">
        <v>2088</v>
      </c>
      <c r="AQ330">
        <v>2088.5207999999998</v>
      </c>
      <c r="AT330">
        <v>1</v>
      </c>
      <c r="AU330">
        <v>7</v>
      </c>
      <c r="AV330">
        <v>2023</v>
      </c>
      <c r="AW330">
        <v>2438038</v>
      </c>
      <c r="AX330">
        <v>2438038</v>
      </c>
      <c r="AY330" t="s">
        <v>106</v>
      </c>
      <c r="AZ330" t="s">
        <v>92</v>
      </c>
      <c r="BA330" t="s">
        <v>107</v>
      </c>
      <c r="BB330" t="s">
        <v>1461</v>
      </c>
      <c r="BC330" t="s">
        <v>1186</v>
      </c>
      <c r="BD330" s="1">
        <v>45108</v>
      </c>
      <c r="BE330" t="s">
        <v>96</v>
      </c>
      <c r="BG330" t="s">
        <v>1187</v>
      </c>
      <c r="BI330" t="s">
        <v>98</v>
      </c>
      <c r="BJ330" t="s">
        <v>1441</v>
      </c>
      <c r="BK330" t="s">
        <v>365</v>
      </c>
      <c r="BL330" t="s">
        <v>110</v>
      </c>
    </row>
    <row r="331" spans="1:64" hidden="1" x14ac:dyDescent="0.2">
      <c r="A331">
        <v>468</v>
      </c>
      <c r="B331">
        <v>4136459491</v>
      </c>
      <c r="C331" t="s">
        <v>101</v>
      </c>
      <c r="D331" t="s">
        <v>5364</v>
      </c>
      <c r="E331" t="s">
        <v>65</v>
      </c>
      <c r="F331" t="s">
        <v>66</v>
      </c>
      <c r="G331" t="s">
        <v>67</v>
      </c>
      <c r="H331" t="s">
        <v>68</v>
      </c>
      <c r="I331" t="s">
        <v>69</v>
      </c>
      <c r="J331" t="s">
        <v>70</v>
      </c>
      <c r="K331" t="s">
        <v>4195</v>
      </c>
      <c r="M331" t="s">
        <v>72</v>
      </c>
      <c r="N331" t="s">
        <v>4196</v>
      </c>
      <c r="O331" t="s">
        <v>4195</v>
      </c>
      <c r="P331" t="s">
        <v>4197</v>
      </c>
      <c r="Q331" t="s">
        <v>75</v>
      </c>
      <c r="R331" t="s">
        <v>5008</v>
      </c>
      <c r="S331" t="s">
        <v>1557</v>
      </c>
      <c r="T331" t="s">
        <v>78</v>
      </c>
      <c r="U331" t="s">
        <v>5009</v>
      </c>
      <c r="V331" t="s">
        <v>80</v>
      </c>
      <c r="W331" s="1">
        <v>44905</v>
      </c>
      <c r="X331" t="s">
        <v>5010</v>
      </c>
      <c r="Y331" t="s">
        <v>5362</v>
      </c>
      <c r="Z331" t="s">
        <v>83</v>
      </c>
      <c r="AA331">
        <v>1</v>
      </c>
      <c r="AB331" t="s">
        <v>5310</v>
      </c>
      <c r="AC331">
        <v>0</v>
      </c>
      <c r="AD331" t="s">
        <v>128</v>
      </c>
      <c r="AE331" t="s">
        <v>145</v>
      </c>
      <c r="AF331" t="s">
        <v>281</v>
      </c>
      <c r="AG331" t="s">
        <v>980</v>
      </c>
      <c r="AI331" t="s">
        <v>90</v>
      </c>
      <c r="AJ331">
        <v>32.314273</v>
      </c>
      <c r="AK331">
        <v>-110.712406</v>
      </c>
      <c r="AL331">
        <v>3</v>
      </c>
      <c r="AN331">
        <v>1165</v>
      </c>
      <c r="AP331">
        <v>1165</v>
      </c>
      <c r="AQ331">
        <v>1182.031997</v>
      </c>
      <c r="AT331">
        <v>10</v>
      </c>
      <c r="AU331">
        <v>12</v>
      </c>
      <c r="AV331">
        <v>2022</v>
      </c>
      <c r="AW331">
        <v>2439589</v>
      </c>
      <c r="AX331">
        <v>2439589</v>
      </c>
      <c r="AY331" t="s">
        <v>106</v>
      </c>
      <c r="AZ331" t="s">
        <v>92</v>
      </c>
      <c r="BA331" t="s">
        <v>107</v>
      </c>
      <c r="BB331" t="s">
        <v>5365</v>
      </c>
      <c r="BC331" t="s">
        <v>5313</v>
      </c>
      <c r="BD331" s="1">
        <v>44905</v>
      </c>
      <c r="BE331" t="s">
        <v>96</v>
      </c>
      <c r="BG331" t="s">
        <v>5314</v>
      </c>
      <c r="BI331" t="s">
        <v>98</v>
      </c>
      <c r="BJ331" t="s">
        <v>1569</v>
      </c>
      <c r="BL331" t="s">
        <v>412</v>
      </c>
    </row>
    <row r="332" spans="1:64" hidden="1" x14ac:dyDescent="0.2">
      <c r="A332">
        <v>289</v>
      </c>
      <c r="B332">
        <v>4403382349</v>
      </c>
      <c r="C332" t="s">
        <v>101</v>
      </c>
      <c r="D332" t="s">
        <v>1464</v>
      </c>
      <c r="E332" t="s">
        <v>65</v>
      </c>
      <c r="F332" t="s">
        <v>66</v>
      </c>
      <c r="G332" t="s">
        <v>67</v>
      </c>
      <c r="H332" t="s">
        <v>68</v>
      </c>
      <c r="I332" t="s">
        <v>176</v>
      </c>
      <c r="J332" t="s">
        <v>177</v>
      </c>
      <c r="K332" t="s">
        <v>178</v>
      </c>
      <c r="M332" t="s">
        <v>72</v>
      </c>
      <c r="N332" t="s">
        <v>179</v>
      </c>
      <c r="O332" t="s">
        <v>178</v>
      </c>
      <c r="P332" t="s">
        <v>180</v>
      </c>
      <c r="Q332" t="s">
        <v>75</v>
      </c>
      <c r="R332" t="s">
        <v>1177</v>
      </c>
      <c r="S332" t="s">
        <v>538</v>
      </c>
      <c r="T332" t="s">
        <v>78</v>
      </c>
      <c r="U332" t="s">
        <v>646</v>
      </c>
      <c r="V332" t="s">
        <v>1179</v>
      </c>
      <c r="W332" s="1">
        <v>45108</v>
      </c>
      <c r="X332" t="s">
        <v>1180</v>
      </c>
      <c r="Y332" t="s">
        <v>1465</v>
      </c>
      <c r="Z332" t="s">
        <v>83</v>
      </c>
      <c r="AA332">
        <v>1</v>
      </c>
      <c r="AB332" t="s">
        <v>1466</v>
      </c>
      <c r="AD332" t="s">
        <v>343</v>
      </c>
      <c r="AE332" t="s">
        <v>86</v>
      </c>
      <c r="AF332" t="s">
        <v>402</v>
      </c>
      <c r="AG332" t="s">
        <v>1351</v>
      </c>
      <c r="AI332" t="s">
        <v>90</v>
      </c>
      <c r="AJ332">
        <v>32.449939000000001</v>
      </c>
      <c r="AK332">
        <v>-110.736221</v>
      </c>
      <c r="AL332">
        <v>3</v>
      </c>
      <c r="AN332">
        <v>2067</v>
      </c>
      <c r="AP332">
        <v>2067</v>
      </c>
      <c r="AQ332">
        <v>2071.206146</v>
      </c>
      <c r="AT332">
        <v>1</v>
      </c>
      <c r="AU332">
        <v>7</v>
      </c>
      <c r="AV332">
        <v>2023</v>
      </c>
      <c r="AW332">
        <v>2438038</v>
      </c>
      <c r="AX332">
        <v>2438038</v>
      </c>
      <c r="AY332" t="s">
        <v>106</v>
      </c>
      <c r="AZ332" t="s">
        <v>92</v>
      </c>
      <c r="BA332" t="s">
        <v>107</v>
      </c>
      <c r="BB332" t="s">
        <v>1467</v>
      </c>
      <c r="BC332" t="s">
        <v>1186</v>
      </c>
      <c r="BD332" s="1">
        <v>45108</v>
      </c>
      <c r="BE332" t="s">
        <v>96</v>
      </c>
      <c r="BG332" t="s">
        <v>1187</v>
      </c>
      <c r="BI332" t="s">
        <v>98</v>
      </c>
      <c r="BJ332" t="s">
        <v>1468</v>
      </c>
      <c r="BK332" t="s">
        <v>365</v>
      </c>
      <c r="BL332" t="s">
        <v>412</v>
      </c>
    </row>
    <row r="333" spans="1:64" hidden="1" x14ac:dyDescent="0.2">
      <c r="A333">
        <v>463</v>
      </c>
      <c r="B333">
        <v>4136459496</v>
      </c>
      <c r="C333" t="s">
        <v>101</v>
      </c>
      <c r="D333" t="s">
        <v>5368</v>
      </c>
      <c r="E333" t="s">
        <v>65</v>
      </c>
      <c r="F333" t="s">
        <v>66</v>
      </c>
      <c r="G333" t="s">
        <v>67</v>
      </c>
      <c r="H333" t="s">
        <v>68</v>
      </c>
      <c r="I333" t="s">
        <v>69</v>
      </c>
      <c r="J333" t="s">
        <v>70</v>
      </c>
      <c r="K333" t="s">
        <v>4195</v>
      </c>
      <c r="M333" t="s">
        <v>72</v>
      </c>
      <c r="N333" t="s">
        <v>4196</v>
      </c>
      <c r="O333" t="s">
        <v>4195</v>
      </c>
      <c r="P333" t="s">
        <v>4197</v>
      </c>
      <c r="Q333" t="s">
        <v>75</v>
      </c>
      <c r="R333" t="s">
        <v>5008</v>
      </c>
      <c r="S333" t="s">
        <v>5369</v>
      </c>
      <c r="T333" t="s">
        <v>78</v>
      </c>
      <c r="U333" t="s">
        <v>5009</v>
      </c>
      <c r="V333" t="s">
        <v>80</v>
      </c>
      <c r="W333" s="1">
        <v>44905</v>
      </c>
      <c r="X333" t="s">
        <v>5010</v>
      </c>
      <c r="Y333" t="s">
        <v>5370</v>
      </c>
      <c r="Z333" t="s">
        <v>83</v>
      </c>
      <c r="AA333">
        <v>1</v>
      </c>
      <c r="AB333" t="s">
        <v>5310</v>
      </c>
      <c r="AC333">
        <v>0</v>
      </c>
      <c r="AD333" t="s">
        <v>128</v>
      </c>
      <c r="AE333" t="s">
        <v>86</v>
      </c>
      <c r="AF333" t="s">
        <v>146</v>
      </c>
      <c r="AG333" t="s">
        <v>5371</v>
      </c>
      <c r="AI333" t="s">
        <v>90</v>
      </c>
      <c r="AJ333">
        <v>32.313761</v>
      </c>
      <c r="AK333">
        <v>-110.71426200000001</v>
      </c>
      <c r="AL333">
        <v>3</v>
      </c>
      <c r="AP333">
        <v>1197.0936079999999</v>
      </c>
      <c r="AQ333">
        <v>1197.0936079999999</v>
      </c>
      <c r="AT333">
        <v>10</v>
      </c>
      <c r="AU333">
        <v>12</v>
      </c>
      <c r="AV333">
        <v>2022</v>
      </c>
      <c r="AW333">
        <v>2439589</v>
      </c>
      <c r="AX333">
        <v>2439589</v>
      </c>
      <c r="AY333" t="s">
        <v>106</v>
      </c>
      <c r="AZ333" t="s">
        <v>92</v>
      </c>
      <c r="BA333" t="s">
        <v>107</v>
      </c>
      <c r="BB333" t="s">
        <v>5372</v>
      </c>
      <c r="BC333" t="s">
        <v>5313</v>
      </c>
      <c r="BD333" s="1">
        <v>44905</v>
      </c>
      <c r="BE333" t="s">
        <v>96</v>
      </c>
      <c r="BG333" t="s">
        <v>5314</v>
      </c>
      <c r="BI333" t="s">
        <v>98</v>
      </c>
      <c r="BJ333" t="s">
        <v>5373</v>
      </c>
      <c r="BL333" t="s">
        <v>412</v>
      </c>
    </row>
    <row r="334" spans="1:64" hidden="1" x14ac:dyDescent="0.2">
      <c r="A334">
        <v>295</v>
      </c>
      <c r="B334">
        <v>4403382343</v>
      </c>
      <c r="C334" t="s">
        <v>101</v>
      </c>
      <c r="D334" t="s">
        <v>1471</v>
      </c>
      <c r="E334" t="s">
        <v>65</v>
      </c>
      <c r="F334" t="s">
        <v>66</v>
      </c>
      <c r="G334" t="s">
        <v>67</v>
      </c>
      <c r="H334" t="s">
        <v>68</v>
      </c>
      <c r="I334" t="s">
        <v>176</v>
      </c>
      <c r="J334" t="s">
        <v>177</v>
      </c>
      <c r="K334" t="s">
        <v>178</v>
      </c>
      <c r="M334" t="s">
        <v>72</v>
      </c>
      <c r="N334" t="s">
        <v>179</v>
      </c>
      <c r="O334" t="s">
        <v>178</v>
      </c>
      <c r="P334" t="s">
        <v>180</v>
      </c>
      <c r="Q334" t="s">
        <v>75</v>
      </c>
      <c r="R334" t="s">
        <v>1177</v>
      </c>
      <c r="S334" t="s">
        <v>1472</v>
      </c>
      <c r="T334" t="s">
        <v>78</v>
      </c>
      <c r="U334" t="s">
        <v>646</v>
      </c>
      <c r="V334" t="s">
        <v>1179</v>
      </c>
      <c r="W334" s="1">
        <v>45108</v>
      </c>
      <c r="X334" t="s">
        <v>1180</v>
      </c>
      <c r="Y334" t="s">
        <v>1473</v>
      </c>
      <c r="Z334" t="s">
        <v>83</v>
      </c>
      <c r="AA334">
        <v>1</v>
      </c>
      <c r="AB334" t="s">
        <v>1474</v>
      </c>
      <c r="AD334" t="s">
        <v>343</v>
      </c>
      <c r="AE334" t="s">
        <v>86</v>
      </c>
      <c r="AF334" t="s">
        <v>402</v>
      </c>
      <c r="AG334" t="s">
        <v>1475</v>
      </c>
      <c r="AI334" t="s">
        <v>90</v>
      </c>
      <c r="AJ334">
        <v>32.449615000000001</v>
      </c>
      <c r="AK334">
        <v>-110.738681</v>
      </c>
      <c r="AL334">
        <v>3</v>
      </c>
      <c r="AN334">
        <v>2088</v>
      </c>
      <c r="AP334">
        <v>2088</v>
      </c>
      <c r="AQ334">
        <v>2089.0464000000002</v>
      </c>
      <c r="AT334">
        <v>1</v>
      </c>
      <c r="AU334">
        <v>7</v>
      </c>
      <c r="AV334">
        <v>2023</v>
      </c>
      <c r="AW334">
        <v>2438038</v>
      </c>
      <c r="AX334">
        <v>2438038</v>
      </c>
      <c r="AY334" t="s">
        <v>106</v>
      </c>
      <c r="AZ334" t="s">
        <v>92</v>
      </c>
      <c r="BA334" t="s">
        <v>107</v>
      </c>
      <c r="BB334" t="s">
        <v>1476</v>
      </c>
      <c r="BC334" t="s">
        <v>1186</v>
      </c>
      <c r="BD334" s="1">
        <v>45108</v>
      </c>
      <c r="BE334" t="s">
        <v>96</v>
      </c>
      <c r="BG334" t="s">
        <v>1187</v>
      </c>
      <c r="BI334" t="s">
        <v>98</v>
      </c>
      <c r="BJ334" t="s">
        <v>1477</v>
      </c>
      <c r="BK334" t="s">
        <v>365</v>
      </c>
      <c r="BL334" t="s">
        <v>110</v>
      </c>
    </row>
    <row r="335" spans="1:64" hidden="1" x14ac:dyDescent="0.2">
      <c r="A335">
        <v>455</v>
      </c>
      <c r="B335">
        <v>4136459504</v>
      </c>
      <c r="C335" t="s">
        <v>101</v>
      </c>
      <c r="D335" t="s">
        <v>5382</v>
      </c>
      <c r="E335" t="s">
        <v>65</v>
      </c>
      <c r="F335" t="s">
        <v>66</v>
      </c>
      <c r="G335" t="s">
        <v>67</v>
      </c>
      <c r="H335" t="s">
        <v>68</v>
      </c>
      <c r="I335" t="s">
        <v>69</v>
      </c>
      <c r="J335" t="s">
        <v>70</v>
      </c>
      <c r="K335" t="s">
        <v>4195</v>
      </c>
      <c r="M335" t="s">
        <v>72</v>
      </c>
      <c r="N335" t="s">
        <v>4196</v>
      </c>
      <c r="O335" t="s">
        <v>4195</v>
      </c>
      <c r="P335" t="s">
        <v>4197</v>
      </c>
      <c r="Q335" t="s">
        <v>75</v>
      </c>
      <c r="R335" t="s">
        <v>5008</v>
      </c>
      <c r="S335" t="s">
        <v>5379</v>
      </c>
      <c r="T335" t="s">
        <v>78</v>
      </c>
      <c r="U335" t="s">
        <v>5009</v>
      </c>
      <c r="V335" t="s">
        <v>80</v>
      </c>
      <c r="W335" s="1">
        <v>44905</v>
      </c>
      <c r="X335" t="s">
        <v>5010</v>
      </c>
      <c r="Y335" t="s">
        <v>5380</v>
      </c>
      <c r="Z335" t="s">
        <v>83</v>
      </c>
      <c r="AA335">
        <v>1</v>
      </c>
      <c r="AB335" t="s">
        <v>5310</v>
      </c>
      <c r="AC335">
        <v>0</v>
      </c>
      <c r="AD335" t="s">
        <v>128</v>
      </c>
      <c r="AE335" t="s">
        <v>145</v>
      </c>
      <c r="AF335" t="s">
        <v>281</v>
      </c>
      <c r="AG335" t="s">
        <v>980</v>
      </c>
      <c r="AI335" t="s">
        <v>90</v>
      </c>
      <c r="AJ335">
        <v>32.313980000000001</v>
      </c>
      <c r="AK335">
        <v>-110.714242</v>
      </c>
      <c r="AL335">
        <v>3</v>
      </c>
      <c r="AP335">
        <v>1204.6239989999999</v>
      </c>
      <c r="AQ335">
        <v>1204.6239989999999</v>
      </c>
      <c r="AT335">
        <v>10</v>
      </c>
      <c r="AU335">
        <v>12</v>
      </c>
      <c r="AV335">
        <v>2022</v>
      </c>
      <c r="AW335">
        <v>2439589</v>
      </c>
      <c r="AX335">
        <v>2439589</v>
      </c>
      <c r="AY335" t="s">
        <v>106</v>
      </c>
      <c r="AZ335" t="s">
        <v>92</v>
      </c>
      <c r="BA335" t="s">
        <v>107</v>
      </c>
      <c r="BB335" t="s">
        <v>5383</v>
      </c>
      <c r="BC335" t="s">
        <v>5313</v>
      </c>
      <c r="BD335" s="1">
        <v>44905</v>
      </c>
      <c r="BE335" t="s">
        <v>96</v>
      </c>
      <c r="BG335" t="s">
        <v>5314</v>
      </c>
      <c r="BI335" t="s">
        <v>98</v>
      </c>
      <c r="BJ335" t="s">
        <v>1789</v>
      </c>
      <c r="BL335" t="s">
        <v>412</v>
      </c>
    </row>
    <row r="336" spans="1:64" hidden="1" x14ac:dyDescent="0.2">
      <c r="A336">
        <v>300</v>
      </c>
      <c r="B336">
        <v>4403382338</v>
      </c>
      <c r="C336" t="s">
        <v>101</v>
      </c>
      <c r="D336" t="s">
        <v>1487</v>
      </c>
      <c r="E336" t="s">
        <v>65</v>
      </c>
      <c r="F336" t="s">
        <v>66</v>
      </c>
      <c r="G336" t="s">
        <v>67</v>
      </c>
      <c r="H336" t="s">
        <v>68</v>
      </c>
      <c r="I336" t="s">
        <v>176</v>
      </c>
      <c r="J336" t="s">
        <v>177</v>
      </c>
      <c r="K336" t="s">
        <v>178</v>
      </c>
      <c r="M336" t="s">
        <v>72</v>
      </c>
      <c r="N336" t="s">
        <v>179</v>
      </c>
      <c r="O336" t="s">
        <v>178</v>
      </c>
      <c r="P336" t="s">
        <v>180</v>
      </c>
      <c r="Q336" t="s">
        <v>75</v>
      </c>
      <c r="R336" t="s">
        <v>1177</v>
      </c>
      <c r="S336" t="s">
        <v>469</v>
      </c>
      <c r="T336" t="s">
        <v>78</v>
      </c>
      <c r="U336" t="s">
        <v>646</v>
      </c>
      <c r="V336" t="s">
        <v>1179</v>
      </c>
      <c r="W336" s="1">
        <v>45108</v>
      </c>
      <c r="X336" t="s">
        <v>1180</v>
      </c>
      <c r="Y336" t="s">
        <v>1481</v>
      </c>
      <c r="Z336" t="s">
        <v>83</v>
      </c>
      <c r="AA336">
        <v>1</v>
      </c>
      <c r="AB336" t="s">
        <v>367</v>
      </c>
      <c r="AD336" t="s">
        <v>343</v>
      </c>
      <c r="AE336" t="s">
        <v>86</v>
      </c>
      <c r="AF336" t="s">
        <v>402</v>
      </c>
      <c r="AG336" t="s">
        <v>1483</v>
      </c>
      <c r="AH336" t="s">
        <v>1488</v>
      </c>
      <c r="AI336" t="s">
        <v>90</v>
      </c>
      <c r="AJ336">
        <v>32.449679000000003</v>
      </c>
      <c r="AK336">
        <v>-110.736582</v>
      </c>
      <c r="AL336">
        <v>3</v>
      </c>
      <c r="AN336">
        <v>2075</v>
      </c>
      <c r="AP336">
        <v>2075</v>
      </c>
      <c r="AQ336">
        <v>2083.6500510000001</v>
      </c>
      <c r="AT336">
        <v>1</v>
      </c>
      <c r="AU336">
        <v>7</v>
      </c>
      <c r="AV336">
        <v>2023</v>
      </c>
      <c r="AW336">
        <v>2438038</v>
      </c>
      <c r="AX336">
        <v>2438038</v>
      </c>
      <c r="AY336" t="s">
        <v>106</v>
      </c>
      <c r="AZ336" t="s">
        <v>92</v>
      </c>
      <c r="BA336" t="s">
        <v>107</v>
      </c>
      <c r="BB336" t="s">
        <v>1489</v>
      </c>
      <c r="BC336" t="s">
        <v>1186</v>
      </c>
      <c r="BD336" s="1">
        <v>45108</v>
      </c>
      <c r="BE336" t="s">
        <v>96</v>
      </c>
      <c r="BG336" t="s">
        <v>1187</v>
      </c>
      <c r="BI336" t="s">
        <v>98</v>
      </c>
      <c r="BJ336" t="s">
        <v>1416</v>
      </c>
      <c r="BK336" t="s">
        <v>365</v>
      </c>
      <c r="BL336" t="s">
        <v>412</v>
      </c>
    </row>
    <row r="337" spans="1:64" hidden="1" x14ac:dyDescent="0.2">
      <c r="A337">
        <v>400</v>
      </c>
      <c r="B337">
        <v>4136459569</v>
      </c>
      <c r="C337" t="s">
        <v>101</v>
      </c>
      <c r="D337" t="s">
        <v>5389</v>
      </c>
      <c r="E337" t="s">
        <v>65</v>
      </c>
      <c r="F337" t="s">
        <v>66</v>
      </c>
      <c r="G337" t="s">
        <v>67</v>
      </c>
      <c r="H337" t="s">
        <v>68</v>
      </c>
      <c r="I337" t="s">
        <v>69</v>
      </c>
      <c r="J337" t="s">
        <v>70</v>
      </c>
      <c r="K337" t="s">
        <v>4195</v>
      </c>
      <c r="M337" t="s">
        <v>72</v>
      </c>
      <c r="N337" t="s">
        <v>4196</v>
      </c>
      <c r="O337" t="s">
        <v>4195</v>
      </c>
      <c r="P337" t="s">
        <v>4197</v>
      </c>
      <c r="Q337" t="s">
        <v>75</v>
      </c>
      <c r="R337" t="s">
        <v>5008</v>
      </c>
      <c r="S337" t="s">
        <v>1533</v>
      </c>
      <c r="T337" t="s">
        <v>78</v>
      </c>
      <c r="U337" t="s">
        <v>5009</v>
      </c>
      <c r="V337" t="s">
        <v>80</v>
      </c>
      <c r="W337" s="1">
        <v>44905</v>
      </c>
      <c r="X337" t="s">
        <v>5010</v>
      </c>
      <c r="Y337" t="s">
        <v>5387</v>
      </c>
      <c r="Z337" t="s">
        <v>83</v>
      </c>
      <c r="AA337">
        <v>1</v>
      </c>
      <c r="AB337" t="s">
        <v>5310</v>
      </c>
      <c r="AC337">
        <v>0</v>
      </c>
      <c r="AD337" t="s">
        <v>128</v>
      </c>
      <c r="AE337" t="s">
        <v>145</v>
      </c>
      <c r="AF337" t="s">
        <v>146</v>
      </c>
      <c r="AG337" t="s">
        <v>765</v>
      </c>
      <c r="AI337" t="s">
        <v>90</v>
      </c>
      <c r="AJ337">
        <v>32.314273999999997</v>
      </c>
      <c r="AK337">
        <v>-110.712423</v>
      </c>
      <c r="AL337">
        <v>3</v>
      </c>
      <c r="AN337">
        <v>1165</v>
      </c>
      <c r="AP337">
        <v>1165</v>
      </c>
      <c r="AQ337">
        <v>1182.427997</v>
      </c>
      <c r="AT337">
        <v>10</v>
      </c>
      <c r="AU337">
        <v>12</v>
      </c>
      <c r="AV337">
        <v>2022</v>
      </c>
      <c r="AW337">
        <v>2439589</v>
      </c>
      <c r="AX337">
        <v>2439589</v>
      </c>
      <c r="AY337" t="s">
        <v>106</v>
      </c>
      <c r="AZ337" t="s">
        <v>92</v>
      </c>
      <c r="BA337" t="s">
        <v>107</v>
      </c>
      <c r="BB337" t="s">
        <v>5390</v>
      </c>
      <c r="BC337" t="s">
        <v>5313</v>
      </c>
      <c r="BD337" s="1">
        <v>44905</v>
      </c>
      <c r="BE337" t="s">
        <v>96</v>
      </c>
      <c r="BG337" t="s">
        <v>5314</v>
      </c>
      <c r="BI337" t="s">
        <v>98</v>
      </c>
      <c r="BJ337" t="s">
        <v>3943</v>
      </c>
      <c r="BL337" t="s">
        <v>412</v>
      </c>
    </row>
    <row r="338" spans="1:64" hidden="1" x14ac:dyDescent="0.2">
      <c r="A338">
        <v>328</v>
      </c>
      <c r="B338">
        <v>4403382310</v>
      </c>
      <c r="C338" t="s">
        <v>101</v>
      </c>
      <c r="D338" t="s">
        <v>1493</v>
      </c>
      <c r="E338" t="s">
        <v>65</v>
      </c>
      <c r="F338" t="s">
        <v>66</v>
      </c>
      <c r="G338" t="s">
        <v>67</v>
      </c>
      <c r="H338" t="s">
        <v>68</v>
      </c>
      <c r="I338" t="s">
        <v>176</v>
      </c>
      <c r="J338" t="s">
        <v>177</v>
      </c>
      <c r="K338" t="s">
        <v>178</v>
      </c>
      <c r="M338" t="s">
        <v>72</v>
      </c>
      <c r="N338" t="s">
        <v>179</v>
      </c>
      <c r="O338" t="s">
        <v>178</v>
      </c>
      <c r="P338" t="s">
        <v>180</v>
      </c>
      <c r="Q338" t="s">
        <v>75</v>
      </c>
      <c r="R338" t="s">
        <v>1177</v>
      </c>
      <c r="S338" t="s">
        <v>469</v>
      </c>
      <c r="T338" t="s">
        <v>78</v>
      </c>
      <c r="U338" t="s">
        <v>646</v>
      </c>
      <c r="V338" t="s">
        <v>1179</v>
      </c>
      <c r="W338" s="1">
        <v>45108</v>
      </c>
      <c r="X338" t="s">
        <v>1180</v>
      </c>
      <c r="Y338" t="s">
        <v>1481</v>
      </c>
      <c r="Z338" t="s">
        <v>83</v>
      </c>
      <c r="AA338">
        <v>1</v>
      </c>
      <c r="AB338" t="s">
        <v>367</v>
      </c>
      <c r="AD338" t="s">
        <v>104</v>
      </c>
      <c r="AE338" t="s">
        <v>86</v>
      </c>
      <c r="AF338" t="s">
        <v>402</v>
      </c>
      <c r="AG338" t="s">
        <v>1483</v>
      </c>
      <c r="AH338" t="s">
        <v>1488</v>
      </c>
      <c r="AI338" t="s">
        <v>90</v>
      </c>
      <c r="AJ338">
        <v>32.449679000000003</v>
      </c>
      <c r="AK338">
        <v>-110.736582</v>
      </c>
      <c r="AL338">
        <v>3</v>
      </c>
      <c r="AN338">
        <v>2075</v>
      </c>
      <c r="AP338">
        <v>2075</v>
      </c>
      <c r="AQ338">
        <v>2083.6500510000001</v>
      </c>
      <c r="AT338">
        <v>1</v>
      </c>
      <c r="AU338">
        <v>7</v>
      </c>
      <c r="AV338">
        <v>2023</v>
      </c>
      <c r="AW338">
        <v>2438038</v>
      </c>
      <c r="AX338">
        <v>2438038</v>
      </c>
      <c r="AY338" t="s">
        <v>106</v>
      </c>
      <c r="AZ338" t="s">
        <v>92</v>
      </c>
      <c r="BA338" t="s">
        <v>107</v>
      </c>
      <c r="BB338" t="s">
        <v>1494</v>
      </c>
      <c r="BC338" t="s">
        <v>1186</v>
      </c>
      <c r="BD338" s="1">
        <v>45108</v>
      </c>
      <c r="BE338" t="s">
        <v>96</v>
      </c>
      <c r="BG338" t="s">
        <v>1187</v>
      </c>
      <c r="BI338" t="s">
        <v>98</v>
      </c>
      <c r="BJ338" t="s">
        <v>1495</v>
      </c>
      <c r="BL338" t="s">
        <v>412</v>
      </c>
    </row>
    <row r="339" spans="1:64" hidden="1" x14ac:dyDescent="0.2">
      <c r="A339">
        <v>330</v>
      </c>
      <c r="B339">
        <v>4403382308</v>
      </c>
      <c r="C339" t="s">
        <v>101</v>
      </c>
      <c r="D339" t="s">
        <v>1496</v>
      </c>
      <c r="E339" t="s">
        <v>65</v>
      </c>
      <c r="F339" t="s">
        <v>66</v>
      </c>
      <c r="G339" t="s">
        <v>67</v>
      </c>
      <c r="H339" t="s">
        <v>68</v>
      </c>
      <c r="I339" t="s">
        <v>176</v>
      </c>
      <c r="J339" t="s">
        <v>177</v>
      </c>
      <c r="K339" t="s">
        <v>178</v>
      </c>
      <c r="M339" t="s">
        <v>72</v>
      </c>
      <c r="N339" t="s">
        <v>179</v>
      </c>
      <c r="O339" t="s">
        <v>178</v>
      </c>
      <c r="P339" t="s">
        <v>180</v>
      </c>
      <c r="Q339" t="s">
        <v>75</v>
      </c>
      <c r="R339" t="s">
        <v>1177</v>
      </c>
      <c r="S339" t="s">
        <v>469</v>
      </c>
      <c r="T339" t="s">
        <v>78</v>
      </c>
      <c r="U339" t="s">
        <v>646</v>
      </c>
      <c r="V339" t="s">
        <v>1179</v>
      </c>
      <c r="W339" s="1">
        <v>45108</v>
      </c>
      <c r="X339" t="s">
        <v>1180</v>
      </c>
      <c r="Y339" t="s">
        <v>1481</v>
      </c>
      <c r="Z339" t="s">
        <v>83</v>
      </c>
      <c r="AA339">
        <v>1</v>
      </c>
      <c r="AB339" t="s">
        <v>367</v>
      </c>
      <c r="AD339" t="s">
        <v>116</v>
      </c>
      <c r="AE339" t="s">
        <v>86</v>
      </c>
      <c r="AF339" t="s">
        <v>402</v>
      </c>
      <c r="AG339" t="s">
        <v>1483</v>
      </c>
      <c r="AH339" t="s">
        <v>1488</v>
      </c>
      <c r="AI339" t="s">
        <v>90</v>
      </c>
      <c r="AJ339">
        <v>32.449679000000003</v>
      </c>
      <c r="AK339">
        <v>-110.736582</v>
      </c>
      <c r="AL339">
        <v>3</v>
      </c>
      <c r="AN339">
        <v>2075</v>
      </c>
      <c r="AP339">
        <v>2075</v>
      </c>
      <c r="AQ339">
        <v>2083.6500510000001</v>
      </c>
      <c r="AT339">
        <v>1</v>
      </c>
      <c r="AU339">
        <v>7</v>
      </c>
      <c r="AV339">
        <v>2023</v>
      </c>
      <c r="AW339">
        <v>2438038</v>
      </c>
      <c r="AX339">
        <v>2438038</v>
      </c>
      <c r="AY339" t="s">
        <v>106</v>
      </c>
      <c r="AZ339" t="s">
        <v>92</v>
      </c>
      <c r="BA339" t="s">
        <v>107</v>
      </c>
      <c r="BB339" t="s">
        <v>1497</v>
      </c>
      <c r="BC339" t="s">
        <v>1186</v>
      </c>
      <c r="BD339" s="1">
        <v>45108</v>
      </c>
      <c r="BE339" t="s">
        <v>96</v>
      </c>
      <c r="BG339" t="s">
        <v>1187</v>
      </c>
      <c r="BI339" t="s">
        <v>98</v>
      </c>
      <c r="BJ339" t="s">
        <v>1410</v>
      </c>
      <c r="BL339" t="s">
        <v>412</v>
      </c>
    </row>
    <row r="340" spans="1:64" hidden="1" x14ac:dyDescent="0.2">
      <c r="A340">
        <v>332</v>
      </c>
      <c r="B340">
        <v>4403382306</v>
      </c>
      <c r="C340" t="s">
        <v>101</v>
      </c>
      <c r="D340" t="s">
        <v>1498</v>
      </c>
      <c r="E340" t="s">
        <v>65</v>
      </c>
      <c r="F340" t="s">
        <v>66</v>
      </c>
      <c r="G340" t="s">
        <v>67</v>
      </c>
      <c r="H340" t="s">
        <v>68</v>
      </c>
      <c r="I340" t="s">
        <v>176</v>
      </c>
      <c r="J340" t="s">
        <v>177</v>
      </c>
      <c r="K340" t="s">
        <v>178</v>
      </c>
      <c r="M340" t="s">
        <v>72</v>
      </c>
      <c r="N340" t="s">
        <v>179</v>
      </c>
      <c r="O340" t="s">
        <v>178</v>
      </c>
      <c r="P340" t="s">
        <v>180</v>
      </c>
      <c r="Q340" t="s">
        <v>75</v>
      </c>
      <c r="R340" t="s">
        <v>1177</v>
      </c>
      <c r="S340" t="s">
        <v>469</v>
      </c>
      <c r="T340" t="s">
        <v>78</v>
      </c>
      <c r="U340" t="s">
        <v>646</v>
      </c>
      <c r="V340" t="s">
        <v>1179</v>
      </c>
      <c r="W340" s="1">
        <v>45108</v>
      </c>
      <c r="X340" t="s">
        <v>1180</v>
      </c>
      <c r="Y340" t="s">
        <v>1481</v>
      </c>
      <c r="Z340" t="s">
        <v>83</v>
      </c>
      <c r="AA340">
        <v>1</v>
      </c>
      <c r="AB340" t="s">
        <v>367</v>
      </c>
      <c r="AD340" t="s">
        <v>112</v>
      </c>
      <c r="AE340" t="s">
        <v>86</v>
      </c>
      <c r="AF340" t="s">
        <v>402</v>
      </c>
      <c r="AG340" t="s">
        <v>1483</v>
      </c>
      <c r="AH340" t="s">
        <v>1488</v>
      </c>
      <c r="AI340" t="s">
        <v>90</v>
      </c>
      <c r="AJ340">
        <v>32.449679000000003</v>
      </c>
      <c r="AK340">
        <v>-110.736582</v>
      </c>
      <c r="AL340">
        <v>3</v>
      </c>
      <c r="AN340">
        <v>2075</v>
      </c>
      <c r="AP340">
        <v>2075</v>
      </c>
      <c r="AQ340">
        <v>2083.6500510000001</v>
      </c>
      <c r="AT340">
        <v>1</v>
      </c>
      <c r="AU340">
        <v>7</v>
      </c>
      <c r="AV340">
        <v>2023</v>
      </c>
      <c r="AW340">
        <v>2438038</v>
      </c>
      <c r="AX340">
        <v>2438038</v>
      </c>
      <c r="AY340" t="s">
        <v>106</v>
      </c>
      <c r="AZ340" t="s">
        <v>92</v>
      </c>
      <c r="BA340" t="s">
        <v>107</v>
      </c>
      <c r="BB340" t="s">
        <v>1499</v>
      </c>
      <c r="BC340" t="s">
        <v>1186</v>
      </c>
      <c r="BD340" s="1">
        <v>45108</v>
      </c>
      <c r="BE340" t="s">
        <v>96</v>
      </c>
      <c r="BG340" t="s">
        <v>1187</v>
      </c>
      <c r="BI340" t="s">
        <v>98</v>
      </c>
      <c r="BJ340" t="s">
        <v>1244</v>
      </c>
      <c r="BL340" t="s">
        <v>412</v>
      </c>
    </row>
    <row r="341" spans="1:64" hidden="1" x14ac:dyDescent="0.2">
      <c r="A341">
        <v>334</v>
      </c>
      <c r="B341">
        <v>4403382304</v>
      </c>
      <c r="C341" t="s">
        <v>101</v>
      </c>
      <c r="D341" t="s">
        <v>1500</v>
      </c>
      <c r="E341" t="s">
        <v>65</v>
      </c>
      <c r="F341" t="s">
        <v>66</v>
      </c>
      <c r="G341" t="s">
        <v>67</v>
      </c>
      <c r="H341" t="s">
        <v>68</v>
      </c>
      <c r="I341" t="s">
        <v>176</v>
      </c>
      <c r="J341" t="s">
        <v>177</v>
      </c>
      <c r="K341" t="s">
        <v>178</v>
      </c>
      <c r="M341" t="s">
        <v>72</v>
      </c>
      <c r="N341" t="s">
        <v>179</v>
      </c>
      <c r="O341" t="s">
        <v>178</v>
      </c>
      <c r="P341" t="s">
        <v>180</v>
      </c>
      <c r="Q341" t="s">
        <v>75</v>
      </c>
      <c r="R341" t="s">
        <v>1177</v>
      </c>
      <c r="S341" t="s">
        <v>469</v>
      </c>
      <c r="T341" t="s">
        <v>78</v>
      </c>
      <c r="U341" t="s">
        <v>646</v>
      </c>
      <c r="V341" t="s">
        <v>1179</v>
      </c>
      <c r="W341" s="1">
        <v>45108</v>
      </c>
      <c r="X341" t="s">
        <v>1180</v>
      </c>
      <c r="Y341" t="s">
        <v>1481</v>
      </c>
      <c r="Z341" t="s">
        <v>83</v>
      </c>
      <c r="AA341">
        <v>1</v>
      </c>
      <c r="AB341" t="s">
        <v>367</v>
      </c>
      <c r="AD341" t="s">
        <v>123</v>
      </c>
      <c r="AE341" t="s">
        <v>86</v>
      </c>
      <c r="AF341" t="s">
        <v>402</v>
      </c>
      <c r="AG341" t="s">
        <v>1483</v>
      </c>
      <c r="AH341" t="s">
        <v>1488</v>
      </c>
      <c r="AI341" t="s">
        <v>90</v>
      </c>
      <c r="AJ341">
        <v>32.449679000000003</v>
      </c>
      <c r="AK341">
        <v>-110.736582</v>
      </c>
      <c r="AL341">
        <v>3</v>
      </c>
      <c r="AN341">
        <v>2075</v>
      </c>
      <c r="AP341">
        <v>2075</v>
      </c>
      <c r="AQ341">
        <v>2083.6500510000001</v>
      </c>
      <c r="AT341">
        <v>1</v>
      </c>
      <c r="AU341">
        <v>7</v>
      </c>
      <c r="AV341">
        <v>2023</v>
      </c>
      <c r="AW341">
        <v>2438038</v>
      </c>
      <c r="AX341">
        <v>2438038</v>
      </c>
      <c r="AY341" t="s">
        <v>106</v>
      </c>
      <c r="AZ341" t="s">
        <v>92</v>
      </c>
      <c r="BA341" t="s">
        <v>107</v>
      </c>
      <c r="BB341" t="s">
        <v>1501</v>
      </c>
      <c r="BC341" t="s">
        <v>1186</v>
      </c>
      <c r="BD341" s="1">
        <v>45108</v>
      </c>
      <c r="BE341" t="s">
        <v>96</v>
      </c>
      <c r="BG341" t="s">
        <v>1187</v>
      </c>
      <c r="BI341" t="s">
        <v>98</v>
      </c>
      <c r="BJ341" t="s">
        <v>1502</v>
      </c>
      <c r="BL341" t="s">
        <v>412</v>
      </c>
    </row>
    <row r="342" spans="1:64" hidden="1" x14ac:dyDescent="0.2">
      <c r="A342">
        <v>336</v>
      </c>
      <c r="B342">
        <v>4403382302</v>
      </c>
      <c r="C342" t="s">
        <v>101</v>
      </c>
      <c r="D342" t="s">
        <v>1503</v>
      </c>
      <c r="E342" t="s">
        <v>65</v>
      </c>
      <c r="F342" t="s">
        <v>66</v>
      </c>
      <c r="G342" t="s">
        <v>67</v>
      </c>
      <c r="H342" t="s">
        <v>68</v>
      </c>
      <c r="I342" t="s">
        <v>176</v>
      </c>
      <c r="J342" t="s">
        <v>177</v>
      </c>
      <c r="K342" t="s">
        <v>178</v>
      </c>
      <c r="M342" t="s">
        <v>72</v>
      </c>
      <c r="N342" t="s">
        <v>179</v>
      </c>
      <c r="O342" t="s">
        <v>178</v>
      </c>
      <c r="P342" t="s">
        <v>180</v>
      </c>
      <c r="Q342" t="s">
        <v>75</v>
      </c>
      <c r="R342" t="s">
        <v>1177</v>
      </c>
      <c r="S342" t="s">
        <v>469</v>
      </c>
      <c r="T342" t="s">
        <v>78</v>
      </c>
      <c r="U342" t="s">
        <v>646</v>
      </c>
      <c r="V342" t="s">
        <v>1179</v>
      </c>
      <c r="W342" s="1">
        <v>45108</v>
      </c>
      <c r="X342" t="s">
        <v>1180</v>
      </c>
      <c r="Y342" t="s">
        <v>1481</v>
      </c>
      <c r="Z342" t="s">
        <v>83</v>
      </c>
      <c r="AA342">
        <v>1</v>
      </c>
      <c r="AB342" t="s">
        <v>367</v>
      </c>
      <c r="AD342" t="s">
        <v>139</v>
      </c>
      <c r="AE342" t="s">
        <v>86</v>
      </c>
      <c r="AF342" t="s">
        <v>402</v>
      </c>
      <c r="AG342" t="s">
        <v>1483</v>
      </c>
      <c r="AH342" t="s">
        <v>1488</v>
      </c>
      <c r="AI342" t="s">
        <v>90</v>
      </c>
      <c r="AJ342">
        <v>32.449679000000003</v>
      </c>
      <c r="AK342">
        <v>-110.736582</v>
      </c>
      <c r="AL342">
        <v>3</v>
      </c>
      <c r="AN342">
        <v>2075</v>
      </c>
      <c r="AP342">
        <v>2075</v>
      </c>
      <c r="AQ342">
        <v>2083.6500510000001</v>
      </c>
      <c r="AT342">
        <v>1</v>
      </c>
      <c r="AU342">
        <v>7</v>
      </c>
      <c r="AV342">
        <v>2023</v>
      </c>
      <c r="AW342">
        <v>2438038</v>
      </c>
      <c r="AX342">
        <v>2438038</v>
      </c>
      <c r="AY342" t="s">
        <v>106</v>
      </c>
      <c r="AZ342" t="s">
        <v>92</v>
      </c>
      <c r="BA342" t="s">
        <v>107</v>
      </c>
      <c r="BB342" t="s">
        <v>1504</v>
      </c>
      <c r="BC342" t="s">
        <v>1186</v>
      </c>
      <c r="BD342" s="1">
        <v>45108</v>
      </c>
      <c r="BE342" t="s">
        <v>96</v>
      </c>
      <c r="BG342" t="s">
        <v>1187</v>
      </c>
      <c r="BI342" t="s">
        <v>98</v>
      </c>
      <c r="BJ342" t="s">
        <v>1249</v>
      </c>
      <c r="BL342" t="s">
        <v>412</v>
      </c>
    </row>
    <row r="343" spans="1:64" x14ac:dyDescent="0.2">
      <c r="A343">
        <v>130</v>
      </c>
      <c r="B343">
        <v>4403382510</v>
      </c>
      <c r="C343" t="s">
        <v>101</v>
      </c>
      <c r="D343" t="s">
        <v>1573</v>
      </c>
      <c r="E343" t="s">
        <v>65</v>
      </c>
      <c r="F343" t="s">
        <v>66</v>
      </c>
      <c r="G343" t="s">
        <v>67</v>
      </c>
      <c r="H343" t="s">
        <v>68</v>
      </c>
      <c r="I343" t="s">
        <v>176</v>
      </c>
      <c r="J343" t="s">
        <v>177</v>
      </c>
      <c r="K343" t="s">
        <v>178</v>
      </c>
      <c r="M343" t="s">
        <v>72</v>
      </c>
      <c r="N343" t="s">
        <v>179</v>
      </c>
      <c r="O343" t="s">
        <v>178</v>
      </c>
      <c r="P343" t="s">
        <v>180</v>
      </c>
      <c r="Q343" t="s">
        <v>75</v>
      </c>
      <c r="R343" t="s">
        <v>1177</v>
      </c>
      <c r="S343" t="s">
        <v>1565</v>
      </c>
      <c r="T343" t="s">
        <v>78</v>
      </c>
      <c r="U343" t="s">
        <v>646</v>
      </c>
      <c r="V343" t="s">
        <v>1179</v>
      </c>
      <c r="W343" s="1">
        <v>45108</v>
      </c>
      <c r="X343" t="s">
        <v>1180</v>
      </c>
      <c r="Y343" t="s">
        <v>1566</v>
      </c>
      <c r="Z343" t="s">
        <v>83</v>
      </c>
      <c r="AA343">
        <v>1</v>
      </c>
      <c r="AB343" t="s">
        <v>385</v>
      </c>
      <c r="AC343">
        <v>0</v>
      </c>
      <c r="AD343" t="s">
        <v>119</v>
      </c>
      <c r="AE343" t="s">
        <v>145</v>
      </c>
      <c r="AF343" t="s">
        <v>402</v>
      </c>
      <c r="AG343" t="s">
        <v>344</v>
      </c>
      <c r="AI343" t="s">
        <v>90</v>
      </c>
      <c r="AJ343">
        <v>32.449652999999998</v>
      </c>
      <c r="AK343">
        <v>-110.73842399999999</v>
      </c>
      <c r="AL343">
        <v>3</v>
      </c>
      <c r="AN343">
        <v>2094</v>
      </c>
      <c r="AP343">
        <v>2094</v>
      </c>
      <c r="AQ343">
        <v>2090.4213049999998</v>
      </c>
      <c r="AT343">
        <v>1</v>
      </c>
      <c r="AU343">
        <v>7</v>
      </c>
      <c r="AV343">
        <v>2023</v>
      </c>
      <c r="AW343">
        <v>2438038</v>
      </c>
      <c r="AX343">
        <v>2438038</v>
      </c>
      <c r="AY343" t="s">
        <v>106</v>
      </c>
      <c r="AZ343" t="s">
        <v>92</v>
      </c>
      <c r="BA343" t="s">
        <v>107</v>
      </c>
      <c r="BB343" t="s">
        <v>1574</v>
      </c>
      <c r="BC343" t="s">
        <v>1186</v>
      </c>
      <c r="BD343" s="1">
        <v>45108</v>
      </c>
      <c r="BE343" t="s">
        <v>96</v>
      </c>
      <c r="BG343" t="s">
        <v>1187</v>
      </c>
      <c r="BI343" t="s">
        <v>98</v>
      </c>
      <c r="BJ343" t="s">
        <v>1575</v>
      </c>
      <c r="BL343" t="s">
        <v>110</v>
      </c>
    </row>
    <row r="344" spans="1:64" hidden="1" x14ac:dyDescent="0.2">
      <c r="A344">
        <v>320</v>
      </c>
      <c r="B344">
        <v>4403382318</v>
      </c>
      <c r="C344" t="s">
        <v>101</v>
      </c>
      <c r="D344" t="s">
        <v>1508</v>
      </c>
      <c r="E344" t="s">
        <v>65</v>
      </c>
      <c r="F344" t="s">
        <v>66</v>
      </c>
      <c r="G344" t="s">
        <v>67</v>
      </c>
      <c r="H344" t="s">
        <v>68</v>
      </c>
      <c r="I344" t="s">
        <v>176</v>
      </c>
      <c r="J344" t="s">
        <v>1173</v>
      </c>
      <c r="K344" t="s">
        <v>1174</v>
      </c>
      <c r="M344" t="s">
        <v>72</v>
      </c>
      <c r="N344" t="s">
        <v>1175</v>
      </c>
      <c r="O344" t="s">
        <v>1174</v>
      </c>
      <c r="P344" t="s">
        <v>1176</v>
      </c>
      <c r="Q344" t="s">
        <v>75</v>
      </c>
      <c r="R344" t="s">
        <v>1177</v>
      </c>
      <c r="S344" t="s">
        <v>513</v>
      </c>
      <c r="T344" t="s">
        <v>78</v>
      </c>
      <c r="U344" t="s">
        <v>646</v>
      </c>
      <c r="V344" t="s">
        <v>1179</v>
      </c>
      <c r="W344" s="1">
        <v>45108</v>
      </c>
      <c r="X344" t="s">
        <v>1180</v>
      </c>
      <c r="Y344" t="s">
        <v>1509</v>
      </c>
      <c r="Z344" t="s">
        <v>83</v>
      </c>
      <c r="AA344">
        <v>1</v>
      </c>
      <c r="AB344" t="s">
        <v>1510</v>
      </c>
      <c r="AD344" t="s">
        <v>343</v>
      </c>
      <c r="AE344" t="s">
        <v>145</v>
      </c>
      <c r="AF344" t="s">
        <v>402</v>
      </c>
      <c r="AG344" t="s">
        <v>344</v>
      </c>
      <c r="AI344" t="s">
        <v>90</v>
      </c>
      <c r="AJ344">
        <v>32.449778000000002</v>
      </c>
      <c r="AK344">
        <v>-110.73813699999999</v>
      </c>
      <c r="AL344">
        <v>3</v>
      </c>
      <c r="AN344">
        <v>2091</v>
      </c>
      <c r="AP344">
        <v>2091</v>
      </c>
      <c r="AQ344">
        <v>2092.8740750000002</v>
      </c>
      <c r="AT344">
        <v>1</v>
      </c>
      <c r="AU344">
        <v>7</v>
      </c>
      <c r="AV344">
        <v>2023</v>
      </c>
      <c r="AW344">
        <v>2437874</v>
      </c>
      <c r="AX344">
        <v>2437874</v>
      </c>
      <c r="AY344" t="s">
        <v>106</v>
      </c>
      <c r="AZ344" t="s">
        <v>92</v>
      </c>
      <c r="BA344" t="s">
        <v>107</v>
      </c>
      <c r="BB344" t="s">
        <v>1511</v>
      </c>
      <c r="BC344" t="s">
        <v>1186</v>
      </c>
      <c r="BD344" s="1">
        <v>45108</v>
      </c>
      <c r="BE344" t="s">
        <v>96</v>
      </c>
      <c r="BG344" t="s">
        <v>1187</v>
      </c>
      <c r="BI344" t="s">
        <v>98</v>
      </c>
      <c r="BJ344" t="s">
        <v>1420</v>
      </c>
      <c r="BK344" t="s">
        <v>365</v>
      </c>
      <c r="BL344" t="s">
        <v>110</v>
      </c>
    </row>
    <row r="345" spans="1:64" hidden="1" x14ac:dyDescent="0.2">
      <c r="A345">
        <v>396</v>
      </c>
      <c r="B345">
        <v>4136459573</v>
      </c>
      <c r="C345" t="s">
        <v>101</v>
      </c>
      <c r="D345" t="s">
        <v>5393</v>
      </c>
      <c r="E345" t="s">
        <v>65</v>
      </c>
      <c r="F345" t="s">
        <v>66</v>
      </c>
      <c r="G345" t="s">
        <v>67</v>
      </c>
      <c r="H345" t="s">
        <v>68</v>
      </c>
      <c r="I345" t="s">
        <v>69</v>
      </c>
      <c r="J345" t="s">
        <v>70</v>
      </c>
      <c r="K345" t="s">
        <v>4195</v>
      </c>
      <c r="M345" t="s">
        <v>72</v>
      </c>
      <c r="N345" t="s">
        <v>4196</v>
      </c>
      <c r="O345" t="s">
        <v>4195</v>
      </c>
      <c r="P345" t="s">
        <v>4197</v>
      </c>
      <c r="Q345" t="s">
        <v>75</v>
      </c>
      <c r="R345" t="s">
        <v>5008</v>
      </c>
      <c r="S345" t="s">
        <v>5394</v>
      </c>
      <c r="T345" t="s">
        <v>78</v>
      </c>
      <c r="U345" t="s">
        <v>5009</v>
      </c>
      <c r="V345" t="s">
        <v>80</v>
      </c>
      <c r="W345" s="1">
        <v>44905</v>
      </c>
      <c r="X345" t="s">
        <v>5010</v>
      </c>
      <c r="Y345" t="s">
        <v>5395</v>
      </c>
      <c r="Z345" t="s">
        <v>83</v>
      </c>
      <c r="AA345">
        <v>1</v>
      </c>
      <c r="AB345" t="s">
        <v>5310</v>
      </c>
      <c r="AC345">
        <v>0</v>
      </c>
      <c r="AD345" t="s">
        <v>128</v>
      </c>
      <c r="AE345" t="s">
        <v>145</v>
      </c>
      <c r="AF345" t="s">
        <v>146</v>
      </c>
      <c r="AG345" t="s">
        <v>5396</v>
      </c>
      <c r="AI345" t="s">
        <v>90</v>
      </c>
      <c r="AJ345">
        <v>32.313344999999998</v>
      </c>
      <c r="AK345">
        <v>-110.71426700000001</v>
      </c>
      <c r="AL345">
        <v>3</v>
      </c>
      <c r="AP345">
        <v>1182.7391990000001</v>
      </c>
      <c r="AQ345">
        <v>1182.7391990000001</v>
      </c>
      <c r="AT345">
        <v>10</v>
      </c>
      <c r="AU345">
        <v>12</v>
      </c>
      <c r="AV345">
        <v>2022</v>
      </c>
      <c r="AW345">
        <v>2439589</v>
      </c>
      <c r="AX345">
        <v>2439589</v>
      </c>
      <c r="AY345" t="s">
        <v>106</v>
      </c>
      <c r="AZ345" t="s">
        <v>92</v>
      </c>
      <c r="BA345" t="s">
        <v>107</v>
      </c>
      <c r="BB345" t="s">
        <v>5397</v>
      </c>
      <c r="BC345" t="s">
        <v>5313</v>
      </c>
      <c r="BD345" s="1">
        <v>44905</v>
      </c>
      <c r="BE345" t="s">
        <v>96</v>
      </c>
      <c r="BG345" t="s">
        <v>5314</v>
      </c>
      <c r="BI345" t="s">
        <v>98</v>
      </c>
      <c r="BJ345" t="s">
        <v>1724</v>
      </c>
      <c r="BL345" t="s">
        <v>412</v>
      </c>
    </row>
    <row r="346" spans="1:64" hidden="1" x14ac:dyDescent="0.2">
      <c r="A346">
        <v>392</v>
      </c>
      <c r="B346">
        <v>4136459577</v>
      </c>
      <c r="C346" t="s">
        <v>101</v>
      </c>
      <c r="D346" t="s">
        <v>5400</v>
      </c>
      <c r="E346" t="s">
        <v>65</v>
      </c>
      <c r="F346" t="s">
        <v>66</v>
      </c>
      <c r="G346" t="s">
        <v>67</v>
      </c>
      <c r="H346" t="s">
        <v>68</v>
      </c>
      <c r="I346" t="s">
        <v>69</v>
      </c>
      <c r="J346" t="s">
        <v>70</v>
      </c>
      <c r="K346" t="s">
        <v>4195</v>
      </c>
      <c r="M346" t="s">
        <v>72</v>
      </c>
      <c r="N346" t="s">
        <v>4196</v>
      </c>
      <c r="O346" t="s">
        <v>4195</v>
      </c>
      <c r="P346" t="s">
        <v>4197</v>
      </c>
      <c r="Q346" t="s">
        <v>75</v>
      </c>
      <c r="R346" t="s">
        <v>5008</v>
      </c>
      <c r="S346" t="s">
        <v>1592</v>
      </c>
      <c r="T346" t="s">
        <v>78</v>
      </c>
      <c r="U346" t="s">
        <v>5009</v>
      </c>
      <c r="V346" t="s">
        <v>80</v>
      </c>
      <c r="W346" s="1">
        <v>44905</v>
      </c>
      <c r="X346" t="s">
        <v>5010</v>
      </c>
      <c r="Y346" t="s">
        <v>5401</v>
      </c>
      <c r="Z346" t="s">
        <v>83</v>
      </c>
      <c r="AA346">
        <v>1</v>
      </c>
      <c r="AB346" t="s">
        <v>5310</v>
      </c>
      <c r="AC346">
        <v>0</v>
      </c>
      <c r="AD346" t="s">
        <v>128</v>
      </c>
      <c r="AE346" t="s">
        <v>145</v>
      </c>
      <c r="AF346" t="s">
        <v>281</v>
      </c>
      <c r="AG346" t="s">
        <v>980</v>
      </c>
      <c r="AI346" t="s">
        <v>90</v>
      </c>
      <c r="AJ346">
        <v>32.313636000000002</v>
      </c>
      <c r="AK346">
        <v>-110.71335500000001</v>
      </c>
      <c r="AL346">
        <v>3</v>
      </c>
      <c r="AN346">
        <v>1153</v>
      </c>
      <c r="AP346">
        <v>1153</v>
      </c>
      <c r="AQ346">
        <v>1183.792565</v>
      </c>
      <c r="AT346">
        <v>10</v>
      </c>
      <c r="AU346">
        <v>12</v>
      </c>
      <c r="AV346">
        <v>2022</v>
      </c>
      <c r="AW346">
        <v>2439589</v>
      </c>
      <c r="AX346">
        <v>2439589</v>
      </c>
      <c r="AY346" t="s">
        <v>106</v>
      </c>
      <c r="AZ346" t="s">
        <v>92</v>
      </c>
      <c r="BA346" t="s">
        <v>107</v>
      </c>
      <c r="BB346" t="s">
        <v>5402</v>
      </c>
      <c r="BC346" t="s">
        <v>5313</v>
      </c>
      <c r="BD346" s="1">
        <v>44905</v>
      </c>
      <c r="BE346" t="s">
        <v>96</v>
      </c>
      <c r="BG346" t="s">
        <v>5314</v>
      </c>
      <c r="BI346" t="s">
        <v>98</v>
      </c>
      <c r="BJ346" t="s">
        <v>1758</v>
      </c>
      <c r="BL346" t="s">
        <v>110</v>
      </c>
    </row>
    <row r="347" spans="1:64" hidden="1" x14ac:dyDescent="0.2">
      <c r="A347">
        <v>190</v>
      </c>
      <c r="B347">
        <v>4403382450</v>
      </c>
      <c r="C347" t="s">
        <v>101</v>
      </c>
      <c r="D347" t="s">
        <v>1518</v>
      </c>
      <c r="E347" t="s">
        <v>65</v>
      </c>
      <c r="F347" t="s">
        <v>66</v>
      </c>
      <c r="G347" t="s">
        <v>67</v>
      </c>
      <c r="H347" t="s">
        <v>68</v>
      </c>
      <c r="I347" t="s">
        <v>176</v>
      </c>
      <c r="J347" t="s">
        <v>177</v>
      </c>
      <c r="K347" t="s">
        <v>178</v>
      </c>
      <c r="M347" t="s">
        <v>72</v>
      </c>
      <c r="N347" t="s">
        <v>179</v>
      </c>
      <c r="O347" t="s">
        <v>178</v>
      </c>
      <c r="P347" t="s">
        <v>180</v>
      </c>
      <c r="Q347" t="s">
        <v>75</v>
      </c>
      <c r="R347" t="s">
        <v>1177</v>
      </c>
      <c r="S347" t="s">
        <v>1515</v>
      </c>
      <c r="T347" t="s">
        <v>78</v>
      </c>
      <c r="U347" t="s">
        <v>646</v>
      </c>
      <c r="V347" t="s">
        <v>1179</v>
      </c>
      <c r="W347" s="1">
        <v>45108</v>
      </c>
      <c r="X347" t="s">
        <v>1180</v>
      </c>
      <c r="Y347" t="s">
        <v>1516</v>
      </c>
      <c r="Z347" t="s">
        <v>83</v>
      </c>
      <c r="AA347">
        <v>1</v>
      </c>
      <c r="AB347" t="s">
        <v>1519</v>
      </c>
      <c r="AD347" t="s">
        <v>343</v>
      </c>
      <c r="AE347" t="s">
        <v>145</v>
      </c>
      <c r="AF347" t="s">
        <v>402</v>
      </c>
      <c r="AG347" t="s">
        <v>344</v>
      </c>
      <c r="AI347" t="s">
        <v>90</v>
      </c>
      <c r="AJ347">
        <v>32.450637</v>
      </c>
      <c r="AK347">
        <v>-110.736768</v>
      </c>
      <c r="AL347">
        <v>3</v>
      </c>
      <c r="AN347">
        <v>2064</v>
      </c>
      <c r="AP347">
        <v>2064</v>
      </c>
      <c r="AQ347">
        <v>2065.3303209999999</v>
      </c>
      <c r="AT347">
        <v>1</v>
      </c>
      <c r="AU347">
        <v>7</v>
      </c>
      <c r="AV347">
        <v>2023</v>
      </c>
      <c r="AW347">
        <v>2438038</v>
      </c>
      <c r="AX347">
        <v>2438038</v>
      </c>
      <c r="AY347" t="s">
        <v>106</v>
      </c>
      <c r="AZ347" t="s">
        <v>92</v>
      </c>
      <c r="BA347" t="s">
        <v>107</v>
      </c>
      <c r="BB347" t="s">
        <v>1520</v>
      </c>
      <c r="BC347" t="s">
        <v>1186</v>
      </c>
      <c r="BD347" s="1">
        <v>45108</v>
      </c>
      <c r="BE347" t="s">
        <v>96</v>
      </c>
      <c r="BG347" t="s">
        <v>1187</v>
      </c>
      <c r="BI347" t="s">
        <v>98</v>
      </c>
      <c r="BJ347" t="s">
        <v>1521</v>
      </c>
      <c r="BL347" t="s">
        <v>412</v>
      </c>
    </row>
    <row r="348" spans="1:64" hidden="1" x14ac:dyDescent="0.2">
      <c r="A348">
        <v>191</v>
      </c>
      <c r="B348">
        <v>4403382449</v>
      </c>
      <c r="C348" t="s">
        <v>101</v>
      </c>
      <c r="D348" t="s">
        <v>1522</v>
      </c>
      <c r="E348" t="s">
        <v>65</v>
      </c>
      <c r="F348" t="s">
        <v>66</v>
      </c>
      <c r="G348" t="s">
        <v>67</v>
      </c>
      <c r="H348" t="s">
        <v>68</v>
      </c>
      <c r="I348" t="s">
        <v>176</v>
      </c>
      <c r="J348" t="s">
        <v>1173</v>
      </c>
      <c r="K348" t="s">
        <v>1174</v>
      </c>
      <c r="M348" t="s">
        <v>72</v>
      </c>
      <c r="N348" t="s">
        <v>1175</v>
      </c>
      <c r="O348" t="s">
        <v>1174</v>
      </c>
      <c r="P348" t="s">
        <v>1176</v>
      </c>
      <c r="Q348" t="s">
        <v>75</v>
      </c>
      <c r="R348" t="s">
        <v>1177</v>
      </c>
      <c r="S348" t="s">
        <v>1523</v>
      </c>
      <c r="T348" t="s">
        <v>78</v>
      </c>
      <c r="U348" t="s">
        <v>646</v>
      </c>
      <c r="V348" t="s">
        <v>1179</v>
      </c>
      <c r="W348" s="1">
        <v>45108</v>
      </c>
      <c r="X348" t="s">
        <v>1180</v>
      </c>
      <c r="Y348" t="s">
        <v>1524</v>
      </c>
      <c r="Z348" t="s">
        <v>83</v>
      </c>
      <c r="AA348">
        <v>1</v>
      </c>
      <c r="AB348" t="s">
        <v>1525</v>
      </c>
      <c r="AD348" t="s">
        <v>343</v>
      </c>
      <c r="AE348" t="s">
        <v>145</v>
      </c>
      <c r="AF348" t="s">
        <v>359</v>
      </c>
      <c r="AG348" t="s">
        <v>1526</v>
      </c>
      <c r="AI348" t="s">
        <v>90</v>
      </c>
      <c r="AJ348">
        <v>32.450696999999998</v>
      </c>
      <c r="AK348">
        <v>-110.7368</v>
      </c>
      <c r="AL348">
        <v>3</v>
      </c>
      <c r="AN348">
        <v>2063</v>
      </c>
      <c r="AP348">
        <v>2063</v>
      </c>
      <c r="AQ348">
        <v>2064.6299509999999</v>
      </c>
      <c r="AT348">
        <v>1</v>
      </c>
      <c r="AU348">
        <v>7</v>
      </c>
      <c r="AV348">
        <v>2023</v>
      </c>
      <c r="AW348">
        <v>2437874</v>
      </c>
      <c r="AX348">
        <v>2437874</v>
      </c>
      <c r="AY348" t="s">
        <v>106</v>
      </c>
      <c r="AZ348" t="s">
        <v>92</v>
      </c>
      <c r="BA348" t="s">
        <v>107</v>
      </c>
      <c r="BB348" t="s">
        <v>1527</v>
      </c>
      <c r="BC348" t="s">
        <v>1186</v>
      </c>
      <c r="BD348" s="1">
        <v>45108</v>
      </c>
      <c r="BE348" t="s">
        <v>96</v>
      </c>
      <c r="BG348" t="s">
        <v>1187</v>
      </c>
      <c r="BI348" t="s">
        <v>98</v>
      </c>
      <c r="BJ348" t="s">
        <v>1528</v>
      </c>
      <c r="BK348" t="s">
        <v>365</v>
      </c>
      <c r="BL348" t="s">
        <v>412</v>
      </c>
    </row>
    <row r="349" spans="1:64" hidden="1" x14ac:dyDescent="0.2">
      <c r="A349">
        <v>383</v>
      </c>
      <c r="B349">
        <v>4136459586</v>
      </c>
      <c r="C349" t="s">
        <v>101</v>
      </c>
      <c r="D349" t="s">
        <v>5407</v>
      </c>
      <c r="E349" t="s">
        <v>65</v>
      </c>
      <c r="F349" t="s">
        <v>66</v>
      </c>
      <c r="G349" t="s">
        <v>67</v>
      </c>
      <c r="H349" t="s">
        <v>68</v>
      </c>
      <c r="I349" t="s">
        <v>176</v>
      </c>
      <c r="J349" t="s">
        <v>177</v>
      </c>
      <c r="K349" t="s">
        <v>3925</v>
      </c>
      <c r="M349" t="s">
        <v>72</v>
      </c>
      <c r="N349" t="s">
        <v>3926</v>
      </c>
      <c r="O349" t="s">
        <v>3925</v>
      </c>
      <c r="P349" t="s">
        <v>1176</v>
      </c>
      <c r="Q349" t="s">
        <v>75</v>
      </c>
      <c r="R349" t="s">
        <v>5008</v>
      </c>
      <c r="S349" t="s">
        <v>522</v>
      </c>
      <c r="T349" t="s">
        <v>78</v>
      </c>
      <c r="U349" t="s">
        <v>5009</v>
      </c>
      <c r="V349" t="s">
        <v>80</v>
      </c>
      <c r="W349" s="1">
        <v>44905</v>
      </c>
      <c r="X349" t="s">
        <v>5010</v>
      </c>
      <c r="Y349" t="s">
        <v>5408</v>
      </c>
      <c r="Z349" t="s">
        <v>83</v>
      </c>
      <c r="AA349">
        <v>1</v>
      </c>
      <c r="AB349" t="s">
        <v>5310</v>
      </c>
      <c r="AC349">
        <v>0</v>
      </c>
      <c r="AD349" t="s">
        <v>128</v>
      </c>
      <c r="AE349" t="s">
        <v>145</v>
      </c>
      <c r="AF349" t="s">
        <v>146</v>
      </c>
      <c r="AG349" t="s">
        <v>980</v>
      </c>
      <c r="AI349" t="s">
        <v>90</v>
      </c>
      <c r="AJ349">
        <v>32.313661000000003</v>
      </c>
      <c r="AK349">
        <v>-110.712423</v>
      </c>
      <c r="AL349">
        <v>3</v>
      </c>
      <c r="AN349">
        <v>1144</v>
      </c>
      <c r="AP349">
        <v>1144</v>
      </c>
      <c r="AQ349">
        <v>1169.9190129999999</v>
      </c>
      <c r="AT349">
        <v>10</v>
      </c>
      <c r="AU349">
        <v>12</v>
      </c>
      <c r="AV349">
        <v>2022</v>
      </c>
      <c r="AW349">
        <v>2437981</v>
      </c>
      <c r="AX349">
        <v>2437981</v>
      </c>
      <c r="AY349" t="s">
        <v>106</v>
      </c>
      <c r="AZ349" t="s">
        <v>92</v>
      </c>
      <c r="BA349" t="s">
        <v>107</v>
      </c>
      <c r="BB349" t="s">
        <v>5409</v>
      </c>
      <c r="BC349" t="s">
        <v>5313</v>
      </c>
      <c r="BD349" s="1">
        <v>44905</v>
      </c>
      <c r="BE349" t="s">
        <v>96</v>
      </c>
      <c r="BG349" t="s">
        <v>5314</v>
      </c>
      <c r="BI349" t="s">
        <v>98</v>
      </c>
      <c r="BJ349" t="s">
        <v>1704</v>
      </c>
      <c r="BL349" t="s">
        <v>412</v>
      </c>
    </row>
    <row r="350" spans="1:64" hidden="1" x14ac:dyDescent="0.2">
      <c r="A350">
        <v>195</v>
      </c>
      <c r="B350">
        <v>4403382445</v>
      </c>
      <c r="C350" t="s">
        <v>101</v>
      </c>
      <c r="D350" t="s">
        <v>1532</v>
      </c>
      <c r="E350" t="s">
        <v>65</v>
      </c>
      <c r="F350" t="s">
        <v>66</v>
      </c>
      <c r="G350" t="s">
        <v>67</v>
      </c>
      <c r="H350" t="s">
        <v>68</v>
      </c>
      <c r="I350" t="s">
        <v>176</v>
      </c>
      <c r="J350" t="s">
        <v>177</v>
      </c>
      <c r="K350" t="s">
        <v>178</v>
      </c>
      <c r="M350" t="s">
        <v>72</v>
      </c>
      <c r="N350" t="s">
        <v>179</v>
      </c>
      <c r="O350" t="s">
        <v>178</v>
      </c>
      <c r="P350" t="s">
        <v>180</v>
      </c>
      <c r="Q350" t="s">
        <v>75</v>
      </c>
      <c r="R350" t="s">
        <v>1177</v>
      </c>
      <c r="S350" t="s">
        <v>1533</v>
      </c>
      <c r="T350" t="s">
        <v>78</v>
      </c>
      <c r="U350" t="s">
        <v>646</v>
      </c>
      <c r="V350" t="s">
        <v>1179</v>
      </c>
      <c r="W350" s="1">
        <v>45108</v>
      </c>
      <c r="X350" t="s">
        <v>1180</v>
      </c>
      <c r="Y350" t="s">
        <v>1534</v>
      </c>
      <c r="Z350" t="s">
        <v>83</v>
      </c>
      <c r="AA350">
        <v>1</v>
      </c>
      <c r="AB350" t="s">
        <v>1535</v>
      </c>
      <c r="AD350" t="s">
        <v>343</v>
      </c>
      <c r="AE350" t="s">
        <v>86</v>
      </c>
      <c r="AF350" t="s">
        <v>402</v>
      </c>
      <c r="AG350" t="s">
        <v>1536</v>
      </c>
      <c r="AI350" t="s">
        <v>90</v>
      </c>
      <c r="AJ350">
        <v>32.450487000000003</v>
      </c>
      <c r="AK350">
        <v>-110.736588</v>
      </c>
      <c r="AL350">
        <v>3</v>
      </c>
      <c r="AN350">
        <v>2060</v>
      </c>
      <c r="AP350">
        <v>2060</v>
      </c>
      <c r="AQ350">
        <v>2065.3487180000002</v>
      </c>
      <c r="AT350">
        <v>1</v>
      </c>
      <c r="AU350">
        <v>7</v>
      </c>
      <c r="AV350">
        <v>2023</v>
      </c>
      <c r="AW350">
        <v>2438038</v>
      </c>
      <c r="AX350">
        <v>2438038</v>
      </c>
      <c r="AY350" t="s">
        <v>106</v>
      </c>
      <c r="AZ350" t="s">
        <v>92</v>
      </c>
      <c r="BA350" t="s">
        <v>107</v>
      </c>
      <c r="BB350" t="s">
        <v>1537</v>
      </c>
      <c r="BC350" t="s">
        <v>1186</v>
      </c>
      <c r="BD350" s="1">
        <v>45108</v>
      </c>
      <c r="BE350" t="s">
        <v>96</v>
      </c>
      <c r="BG350" t="s">
        <v>1187</v>
      </c>
      <c r="BI350" t="s">
        <v>98</v>
      </c>
      <c r="BJ350" t="s">
        <v>1538</v>
      </c>
      <c r="BK350" t="s">
        <v>365</v>
      </c>
      <c r="BL350" t="s">
        <v>412</v>
      </c>
    </row>
    <row r="351" spans="1:64" hidden="1" x14ac:dyDescent="0.2">
      <c r="A351">
        <v>421</v>
      </c>
      <c r="B351">
        <v>4136459538</v>
      </c>
      <c r="C351" t="s">
        <v>101</v>
      </c>
      <c r="D351" t="s">
        <v>5415</v>
      </c>
      <c r="E351" t="s">
        <v>65</v>
      </c>
      <c r="F351" t="s">
        <v>66</v>
      </c>
      <c r="G351" t="s">
        <v>67</v>
      </c>
      <c r="H351" t="s">
        <v>68</v>
      </c>
      <c r="I351" t="s">
        <v>176</v>
      </c>
      <c r="J351" t="s">
        <v>177</v>
      </c>
      <c r="K351" t="s">
        <v>3925</v>
      </c>
      <c r="M351" t="s">
        <v>72</v>
      </c>
      <c r="N351" t="s">
        <v>3926</v>
      </c>
      <c r="O351" t="s">
        <v>3925</v>
      </c>
      <c r="P351" t="s">
        <v>1176</v>
      </c>
      <c r="Q351" t="s">
        <v>75</v>
      </c>
      <c r="R351" t="s">
        <v>5008</v>
      </c>
      <c r="S351" t="s">
        <v>5411</v>
      </c>
      <c r="T351" t="s">
        <v>78</v>
      </c>
      <c r="U351" t="s">
        <v>5009</v>
      </c>
      <c r="V351" t="s">
        <v>80</v>
      </c>
      <c r="W351" s="1">
        <v>44905</v>
      </c>
      <c r="X351" t="s">
        <v>5010</v>
      </c>
      <c r="Y351" t="s">
        <v>5412</v>
      </c>
      <c r="Z351" t="s">
        <v>83</v>
      </c>
      <c r="AA351">
        <v>1</v>
      </c>
      <c r="AB351" t="s">
        <v>5310</v>
      </c>
      <c r="AC351">
        <v>0</v>
      </c>
      <c r="AD351" t="s">
        <v>128</v>
      </c>
      <c r="AE351" t="s">
        <v>86</v>
      </c>
      <c r="AF351" t="s">
        <v>146</v>
      </c>
      <c r="AG351" t="s">
        <v>5413</v>
      </c>
      <c r="AI351" t="s">
        <v>90</v>
      </c>
      <c r="AJ351">
        <v>32.314050999999999</v>
      </c>
      <c r="AK351">
        <v>-110.712856</v>
      </c>
      <c r="AL351">
        <v>3</v>
      </c>
      <c r="AN351">
        <v>1178</v>
      </c>
      <c r="AP351">
        <v>1178</v>
      </c>
      <c r="AQ351">
        <v>1183.6159990000001</v>
      </c>
      <c r="AT351">
        <v>10</v>
      </c>
      <c r="AU351">
        <v>12</v>
      </c>
      <c r="AV351">
        <v>2022</v>
      </c>
      <c r="AW351">
        <v>2437981</v>
      </c>
      <c r="AX351">
        <v>2437981</v>
      </c>
      <c r="AY351" t="s">
        <v>106</v>
      </c>
      <c r="AZ351" t="s">
        <v>92</v>
      </c>
      <c r="BA351" t="s">
        <v>107</v>
      </c>
      <c r="BB351" t="s">
        <v>5416</v>
      </c>
      <c r="BC351" t="s">
        <v>5313</v>
      </c>
      <c r="BD351" s="1">
        <v>44905</v>
      </c>
      <c r="BE351" t="s">
        <v>96</v>
      </c>
      <c r="BG351" t="s">
        <v>5314</v>
      </c>
      <c r="BI351" t="s">
        <v>98</v>
      </c>
      <c r="BJ351" t="s">
        <v>1798</v>
      </c>
      <c r="BL351" t="s">
        <v>110</v>
      </c>
    </row>
    <row r="352" spans="1:64" hidden="1" x14ac:dyDescent="0.2">
      <c r="A352">
        <v>199</v>
      </c>
      <c r="B352">
        <v>4403382441</v>
      </c>
      <c r="C352" t="s">
        <v>101</v>
      </c>
      <c r="D352" t="s">
        <v>1541</v>
      </c>
      <c r="E352" t="s">
        <v>65</v>
      </c>
      <c r="F352" t="s">
        <v>66</v>
      </c>
      <c r="G352" t="s">
        <v>67</v>
      </c>
      <c r="H352" t="s">
        <v>68</v>
      </c>
      <c r="I352" t="s">
        <v>176</v>
      </c>
      <c r="J352" t="s">
        <v>177</v>
      </c>
      <c r="K352" t="s">
        <v>178</v>
      </c>
      <c r="M352" t="s">
        <v>72</v>
      </c>
      <c r="N352" t="s">
        <v>179</v>
      </c>
      <c r="O352" t="s">
        <v>178</v>
      </c>
      <c r="P352" t="s">
        <v>180</v>
      </c>
      <c r="Q352" t="s">
        <v>75</v>
      </c>
      <c r="R352" t="s">
        <v>1177</v>
      </c>
      <c r="S352" t="s">
        <v>589</v>
      </c>
      <c r="T352" t="s">
        <v>78</v>
      </c>
      <c r="U352" t="s">
        <v>646</v>
      </c>
      <c r="V352" t="s">
        <v>1179</v>
      </c>
      <c r="W352" s="1">
        <v>45108</v>
      </c>
      <c r="X352" t="s">
        <v>1180</v>
      </c>
      <c r="Y352" t="s">
        <v>1542</v>
      </c>
      <c r="Z352" t="s">
        <v>83</v>
      </c>
      <c r="AA352">
        <v>1</v>
      </c>
      <c r="AB352" t="s">
        <v>1543</v>
      </c>
      <c r="AD352" t="s">
        <v>343</v>
      </c>
      <c r="AE352" t="s">
        <v>86</v>
      </c>
      <c r="AF352" t="s">
        <v>402</v>
      </c>
      <c r="AG352" t="s">
        <v>579</v>
      </c>
      <c r="AI352" t="s">
        <v>90</v>
      </c>
      <c r="AJ352">
        <v>32.450288999999998</v>
      </c>
      <c r="AK352">
        <v>-110.736276</v>
      </c>
      <c r="AL352">
        <v>3</v>
      </c>
      <c r="AN352">
        <v>2063</v>
      </c>
      <c r="AP352">
        <v>2063</v>
      </c>
      <c r="AQ352">
        <v>2062.7495800000002</v>
      </c>
      <c r="AT352">
        <v>1</v>
      </c>
      <c r="AU352">
        <v>7</v>
      </c>
      <c r="AV352">
        <v>2023</v>
      </c>
      <c r="AW352">
        <v>2438038</v>
      </c>
      <c r="AX352">
        <v>2438038</v>
      </c>
      <c r="AY352" t="s">
        <v>106</v>
      </c>
      <c r="AZ352" t="s">
        <v>92</v>
      </c>
      <c r="BA352" t="s">
        <v>107</v>
      </c>
      <c r="BB352" t="s">
        <v>1544</v>
      </c>
      <c r="BC352" t="s">
        <v>1186</v>
      </c>
      <c r="BD352" s="1">
        <v>45108</v>
      </c>
      <c r="BE352" t="s">
        <v>96</v>
      </c>
      <c r="BG352" t="s">
        <v>1187</v>
      </c>
      <c r="BI352" t="s">
        <v>98</v>
      </c>
      <c r="BJ352" t="s">
        <v>1528</v>
      </c>
      <c r="BK352" t="s">
        <v>365</v>
      </c>
      <c r="BL352" t="s">
        <v>412</v>
      </c>
    </row>
    <row r="353" spans="1:64" hidden="1" x14ac:dyDescent="0.2">
      <c r="A353">
        <v>416</v>
      </c>
      <c r="B353">
        <v>4136459543</v>
      </c>
      <c r="C353" t="s">
        <v>101</v>
      </c>
      <c r="D353" t="s">
        <v>5417</v>
      </c>
      <c r="E353" t="s">
        <v>65</v>
      </c>
      <c r="F353" t="s">
        <v>66</v>
      </c>
      <c r="G353" t="s">
        <v>67</v>
      </c>
      <c r="H353" t="s">
        <v>68</v>
      </c>
      <c r="I353" t="s">
        <v>176</v>
      </c>
      <c r="J353" t="s">
        <v>773</v>
      </c>
      <c r="K353" t="s">
        <v>1347</v>
      </c>
      <c r="M353" t="s">
        <v>72</v>
      </c>
      <c r="N353" t="s">
        <v>1348</v>
      </c>
      <c r="O353" t="s">
        <v>1347</v>
      </c>
      <c r="P353" t="s">
        <v>1349</v>
      </c>
      <c r="Q353" t="s">
        <v>75</v>
      </c>
      <c r="R353" t="s">
        <v>5008</v>
      </c>
      <c r="S353" t="s">
        <v>1791</v>
      </c>
      <c r="T353" t="s">
        <v>78</v>
      </c>
      <c r="U353" t="s">
        <v>5009</v>
      </c>
      <c r="V353" t="s">
        <v>80</v>
      </c>
      <c r="W353" s="1">
        <v>44905</v>
      </c>
      <c r="X353" t="s">
        <v>5010</v>
      </c>
      <c r="Y353" t="s">
        <v>5418</v>
      </c>
      <c r="Z353" t="s">
        <v>83</v>
      </c>
      <c r="AA353">
        <v>1</v>
      </c>
      <c r="AB353" t="s">
        <v>5310</v>
      </c>
      <c r="AC353">
        <v>0</v>
      </c>
      <c r="AD353" t="s">
        <v>128</v>
      </c>
      <c r="AE353" t="s">
        <v>86</v>
      </c>
      <c r="AF353" t="s">
        <v>146</v>
      </c>
      <c r="AG353" t="s">
        <v>5419</v>
      </c>
      <c r="AI353" t="s">
        <v>90</v>
      </c>
      <c r="AJ353">
        <v>32.314019000000002</v>
      </c>
      <c r="AK353">
        <v>-110.71363100000001</v>
      </c>
      <c r="AL353">
        <v>3</v>
      </c>
      <c r="AN353">
        <v>1173</v>
      </c>
      <c r="AP353">
        <v>1173</v>
      </c>
      <c r="AQ353">
        <v>1199.033598</v>
      </c>
      <c r="AT353">
        <v>10</v>
      </c>
      <c r="AU353">
        <v>12</v>
      </c>
      <c r="AV353">
        <v>2022</v>
      </c>
      <c r="AW353">
        <v>2438454</v>
      </c>
      <c r="AX353">
        <v>2438454</v>
      </c>
      <c r="AY353" t="s">
        <v>106</v>
      </c>
      <c r="AZ353" t="s">
        <v>92</v>
      </c>
      <c r="BA353" t="s">
        <v>107</v>
      </c>
      <c r="BB353" t="s">
        <v>5420</v>
      </c>
      <c r="BC353" t="s">
        <v>5313</v>
      </c>
      <c r="BD353" s="1">
        <v>44905</v>
      </c>
      <c r="BE353" t="s">
        <v>96</v>
      </c>
      <c r="BG353" t="s">
        <v>5314</v>
      </c>
      <c r="BI353" t="s">
        <v>98</v>
      </c>
      <c r="BJ353" t="s">
        <v>1798</v>
      </c>
      <c r="BL353" t="s">
        <v>110</v>
      </c>
    </row>
    <row r="354" spans="1:64" hidden="1" x14ac:dyDescent="0.2">
      <c r="A354">
        <v>183</v>
      </c>
      <c r="B354">
        <v>4403382457</v>
      </c>
      <c r="C354" t="s">
        <v>101</v>
      </c>
      <c r="D354" t="s">
        <v>1548</v>
      </c>
      <c r="E354" t="s">
        <v>65</v>
      </c>
      <c r="F354" t="s">
        <v>66</v>
      </c>
      <c r="G354" t="s">
        <v>67</v>
      </c>
      <c r="H354" t="s">
        <v>68</v>
      </c>
      <c r="I354" t="s">
        <v>176</v>
      </c>
      <c r="J354" t="s">
        <v>177</v>
      </c>
      <c r="K354" t="s">
        <v>178</v>
      </c>
      <c r="M354" t="s">
        <v>72</v>
      </c>
      <c r="N354" t="s">
        <v>179</v>
      </c>
      <c r="O354" t="s">
        <v>178</v>
      </c>
      <c r="P354" t="s">
        <v>180</v>
      </c>
      <c r="Q354" t="s">
        <v>75</v>
      </c>
      <c r="R354" t="s">
        <v>1177</v>
      </c>
      <c r="S354" t="s">
        <v>522</v>
      </c>
      <c r="T354" t="s">
        <v>78</v>
      </c>
      <c r="U354" t="s">
        <v>646</v>
      </c>
      <c r="V354" t="s">
        <v>1179</v>
      </c>
      <c r="W354" s="1">
        <v>45108</v>
      </c>
      <c r="X354" t="s">
        <v>1180</v>
      </c>
      <c r="Y354" t="s">
        <v>1549</v>
      </c>
      <c r="Z354" t="s">
        <v>83</v>
      </c>
      <c r="AA354">
        <v>1</v>
      </c>
      <c r="AB354" t="s">
        <v>1550</v>
      </c>
      <c r="AD354" t="s">
        <v>343</v>
      </c>
      <c r="AE354" t="s">
        <v>86</v>
      </c>
      <c r="AF354" t="s">
        <v>402</v>
      </c>
      <c r="AG354" t="s">
        <v>1551</v>
      </c>
      <c r="AI354" t="s">
        <v>90</v>
      </c>
      <c r="AJ354">
        <v>32.449883</v>
      </c>
      <c r="AK354">
        <v>-110.73697900000001</v>
      </c>
      <c r="AL354">
        <v>3</v>
      </c>
      <c r="AN354">
        <v>2082</v>
      </c>
      <c r="AP354">
        <v>2082</v>
      </c>
      <c r="AQ354">
        <v>2089.8664020000001</v>
      </c>
      <c r="AT354">
        <v>1</v>
      </c>
      <c r="AU354">
        <v>7</v>
      </c>
      <c r="AV354">
        <v>2023</v>
      </c>
      <c r="AW354">
        <v>2438038</v>
      </c>
      <c r="AX354">
        <v>2438038</v>
      </c>
      <c r="AY354" t="s">
        <v>106</v>
      </c>
      <c r="AZ354" t="s">
        <v>92</v>
      </c>
      <c r="BA354" t="s">
        <v>107</v>
      </c>
      <c r="BB354" t="s">
        <v>1552</v>
      </c>
      <c r="BC354" t="s">
        <v>1186</v>
      </c>
      <c r="BD354" s="1">
        <v>45108</v>
      </c>
      <c r="BE354" t="s">
        <v>96</v>
      </c>
      <c r="BG354" t="s">
        <v>1187</v>
      </c>
      <c r="BI354" t="s">
        <v>98</v>
      </c>
      <c r="BJ354" t="s">
        <v>1553</v>
      </c>
      <c r="BK354" t="s">
        <v>365</v>
      </c>
      <c r="BL354" t="s">
        <v>412</v>
      </c>
    </row>
    <row r="355" spans="1:64" hidden="1" x14ac:dyDescent="0.2">
      <c r="A355">
        <v>418</v>
      </c>
      <c r="B355">
        <v>4136459541</v>
      </c>
      <c r="C355" t="s">
        <v>101</v>
      </c>
      <c r="D355" t="s">
        <v>5421</v>
      </c>
      <c r="E355" t="s">
        <v>65</v>
      </c>
      <c r="F355" t="s">
        <v>66</v>
      </c>
      <c r="G355" t="s">
        <v>67</v>
      </c>
      <c r="H355" t="s">
        <v>68</v>
      </c>
      <c r="I355" t="s">
        <v>176</v>
      </c>
      <c r="J355" t="s">
        <v>177</v>
      </c>
      <c r="K355" t="s">
        <v>3925</v>
      </c>
      <c r="M355" t="s">
        <v>72</v>
      </c>
      <c r="N355" t="s">
        <v>3926</v>
      </c>
      <c r="O355" t="s">
        <v>3925</v>
      </c>
      <c r="P355" t="s">
        <v>1176</v>
      </c>
      <c r="Q355" t="s">
        <v>75</v>
      </c>
      <c r="R355" t="s">
        <v>5008</v>
      </c>
      <c r="S355" t="s">
        <v>1354</v>
      </c>
      <c r="T355" t="s">
        <v>78</v>
      </c>
      <c r="U355" t="s">
        <v>5009</v>
      </c>
      <c r="V355" t="s">
        <v>80</v>
      </c>
      <c r="W355" s="1">
        <v>44905</v>
      </c>
      <c r="X355" t="s">
        <v>5010</v>
      </c>
      <c r="Y355" t="s">
        <v>5422</v>
      </c>
      <c r="Z355" t="s">
        <v>83</v>
      </c>
      <c r="AA355">
        <v>1</v>
      </c>
      <c r="AB355" t="s">
        <v>5310</v>
      </c>
      <c r="AC355">
        <v>0</v>
      </c>
      <c r="AD355" t="s">
        <v>128</v>
      </c>
      <c r="AE355" t="s">
        <v>86</v>
      </c>
      <c r="AF355" t="s">
        <v>146</v>
      </c>
      <c r="AI355" t="s">
        <v>90</v>
      </c>
      <c r="AJ355">
        <v>32.314185999999999</v>
      </c>
      <c r="AK355">
        <v>-110.712461</v>
      </c>
      <c r="AL355">
        <v>3</v>
      </c>
      <c r="AN355">
        <v>1161</v>
      </c>
      <c r="AP355">
        <v>1161</v>
      </c>
      <c r="AQ355">
        <v>1180.714397</v>
      </c>
      <c r="AT355">
        <v>10</v>
      </c>
      <c r="AU355">
        <v>12</v>
      </c>
      <c r="AV355">
        <v>2022</v>
      </c>
      <c r="AW355">
        <v>2437981</v>
      </c>
      <c r="AX355">
        <v>2437981</v>
      </c>
      <c r="AY355" t="s">
        <v>106</v>
      </c>
      <c r="AZ355" t="s">
        <v>92</v>
      </c>
      <c r="BA355" t="s">
        <v>107</v>
      </c>
      <c r="BB355" t="s">
        <v>5423</v>
      </c>
      <c r="BC355" t="s">
        <v>5313</v>
      </c>
      <c r="BD355" s="1">
        <v>44905</v>
      </c>
      <c r="BE355" t="s">
        <v>96</v>
      </c>
      <c r="BG355" t="s">
        <v>5314</v>
      </c>
      <c r="BI355" t="s">
        <v>98</v>
      </c>
      <c r="BJ355" t="s">
        <v>1798</v>
      </c>
      <c r="BL355" t="s">
        <v>412</v>
      </c>
    </row>
    <row r="356" spans="1:64" hidden="1" x14ac:dyDescent="0.2">
      <c r="A356">
        <v>410</v>
      </c>
      <c r="B356">
        <v>4136459559</v>
      </c>
      <c r="C356" t="s">
        <v>101</v>
      </c>
      <c r="D356" t="s">
        <v>5431</v>
      </c>
      <c r="E356" t="s">
        <v>65</v>
      </c>
      <c r="F356" t="s">
        <v>66</v>
      </c>
      <c r="G356" t="s">
        <v>67</v>
      </c>
      <c r="H356" t="s">
        <v>68</v>
      </c>
      <c r="I356" t="s">
        <v>176</v>
      </c>
      <c r="J356" t="s">
        <v>177</v>
      </c>
      <c r="K356" t="s">
        <v>3925</v>
      </c>
      <c r="M356" t="s">
        <v>72</v>
      </c>
      <c r="N356" t="s">
        <v>3926</v>
      </c>
      <c r="O356" t="s">
        <v>3925</v>
      </c>
      <c r="P356" t="s">
        <v>1176</v>
      </c>
      <c r="Q356" t="s">
        <v>75</v>
      </c>
      <c r="R356" t="s">
        <v>5008</v>
      </c>
      <c r="S356" t="s">
        <v>1751</v>
      </c>
      <c r="T356" t="s">
        <v>78</v>
      </c>
      <c r="U356" t="s">
        <v>5009</v>
      </c>
      <c r="V356" t="s">
        <v>80</v>
      </c>
      <c r="W356" s="1">
        <v>44905</v>
      </c>
      <c r="X356" t="s">
        <v>5010</v>
      </c>
      <c r="Y356" t="s">
        <v>5429</v>
      </c>
      <c r="Z356" t="s">
        <v>83</v>
      </c>
      <c r="AA356">
        <v>1</v>
      </c>
      <c r="AB356" t="s">
        <v>5310</v>
      </c>
      <c r="AC356">
        <v>0</v>
      </c>
      <c r="AD356" t="s">
        <v>128</v>
      </c>
      <c r="AE356" t="s">
        <v>86</v>
      </c>
      <c r="AF356" t="s">
        <v>146</v>
      </c>
      <c r="AG356" t="s">
        <v>5413</v>
      </c>
      <c r="AI356" t="s">
        <v>90</v>
      </c>
      <c r="AJ356">
        <v>32.314048</v>
      </c>
      <c r="AK356">
        <v>-110.713697</v>
      </c>
      <c r="AL356">
        <v>3</v>
      </c>
      <c r="AN356">
        <v>1173</v>
      </c>
      <c r="AP356">
        <v>1173</v>
      </c>
      <c r="AQ356">
        <v>1200.8191979999999</v>
      </c>
      <c r="AT356">
        <v>10</v>
      </c>
      <c r="AU356">
        <v>12</v>
      </c>
      <c r="AV356">
        <v>2022</v>
      </c>
      <c r="AW356">
        <v>2437981</v>
      </c>
      <c r="AX356">
        <v>2437981</v>
      </c>
      <c r="AY356" t="s">
        <v>106</v>
      </c>
      <c r="AZ356" t="s">
        <v>92</v>
      </c>
      <c r="BA356" t="s">
        <v>107</v>
      </c>
      <c r="BB356" t="s">
        <v>5432</v>
      </c>
      <c r="BC356" t="s">
        <v>5313</v>
      </c>
      <c r="BD356" s="1">
        <v>44905</v>
      </c>
      <c r="BE356" t="s">
        <v>96</v>
      </c>
      <c r="BG356" t="s">
        <v>5314</v>
      </c>
      <c r="BI356" t="s">
        <v>98</v>
      </c>
      <c r="BJ356" t="s">
        <v>3913</v>
      </c>
      <c r="BL356" t="s">
        <v>110</v>
      </c>
    </row>
    <row r="357" spans="1:64" hidden="1" x14ac:dyDescent="0.2">
      <c r="A357">
        <v>124</v>
      </c>
      <c r="B357">
        <v>4403382516</v>
      </c>
      <c r="C357" t="s">
        <v>101</v>
      </c>
      <c r="D357" t="s">
        <v>1560</v>
      </c>
      <c r="E357" t="s">
        <v>65</v>
      </c>
      <c r="F357" t="s">
        <v>66</v>
      </c>
      <c r="G357" t="s">
        <v>67</v>
      </c>
      <c r="H357" t="s">
        <v>68</v>
      </c>
      <c r="I357" t="s">
        <v>176</v>
      </c>
      <c r="J357" t="s">
        <v>177</v>
      </c>
      <c r="K357" t="s">
        <v>178</v>
      </c>
      <c r="M357" t="s">
        <v>72</v>
      </c>
      <c r="N357" t="s">
        <v>179</v>
      </c>
      <c r="O357" t="s">
        <v>178</v>
      </c>
      <c r="P357" t="s">
        <v>180</v>
      </c>
      <c r="Q357" t="s">
        <v>75</v>
      </c>
      <c r="R357" t="s">
        <v>1177</v>
      </c>
      <c r="S357" t="s">
        <v>1557</v>
      </c>
      <c r="T357" t="s">
        <v>78</v>
      </c>
      <c r="U357" t="s">
        <v>646</v>
      </c>
      <c r="V357" t="s">
        <v>1179</v>
      </c>
      <c r="W357" s="1">
        <v>45108</v>
      </c>
      <c r="X357" t="s">
        <v>1180</v>
      </c>
      <c r="Y357" t="s">
        <v>1558</v>
      </c>
      <c r="Z357" t="s">
        <v>83</v>
      </c>
      <c r="AA357">
        <v>1</v>
      </c>
      <c r="AB357" t="s">
        <v>1561</v>
      </c>
      <c r="AD357" t="s">
        <v>343</v>
      </c>
      <c r="AE357" t="s">
        <v>86</v>
      </c>
      <c r="AF357" t="s">
        <v>402</v>
      </c>
      <c r="AG357" t="s">
        <v>579</v>
      </c>
      <c r="AI357" t="s">
        <v>90</v>
      </c>
      <c r="AJ357">
        <v>32.450591000000003</v>
      </c>
      <c r="AK357">
        <v>-110.73669</v>
      </c>
      <c r="AL357">
        <v>3</v>
      </c>
      <c r="AN357">
        <v>2061</v>
      </c>
      <c r="AP357">
        <v>2061</v>
      </c>
      <c r="AQ357">
        <v>2064.8774440000002</v>
      </c>
      <c r="AT357">
        <v>1</v>
      </c>
      <c r="AU357">
        <v>7</v>
      </c>
      <c r="AV357">
        <v>2023</v>
      </c>
      <c r="AW357">
        <v>2438038</v>
      </c>
      <c r="AX357">
        <v>2438038</v>
      </c>
      <c r="AY357" t="s">
        <v>106</v>
      </c>
      <c r="AZ357" t="s">
        <v>92</v>
      </c>
      <c r="BA357" t="s">
        <v>107</v>
      </c>
      <c r="BB357" t="s">
        <v>1562</v>
      </c>
      <c r="BC357" t="s">
        <v>1186</v>
      </c>
      <c r="BD357" s="1">
        <v>45108</v>
      </c>
      <c r="BE357" t="s">
        <v>96</v>
      </c>
      <c r="BG357" t="s">
        <v>1187</v>
      </c>
      <c r="BI357" t="s">
        <v>98</v>
      </c>
      <c r="BJ357" t="s">
        <v>1563</v>
      </c>
      <c r="BL357" t="s">
        <v>412</v>
      </c>
    </row>
    <row r="358" spans="1:64" hidden="1" x14ac:dyDescent="0.2">
      <c r="A358">
        <v>126</v>
      </c>
      <c r="B358">
        <v>4403382514</v>
      </c>
      <c r="C358" t="s">
        <v>101</v>
      </c>
      <c r="D358" t="s">
        <v>1564</v>
      </c>
      <c r="E358" t="s">
        <v>65</v>
      </c>
      <c r="F358" t="s">
        <v>66</v>
      </c>
      <c r="G358" t="s">
        <v>67</v>
      </c>
      <c r="H358" t="s">
        <v>68</v>
      </c>
      <c r="I358" t="s">
        <v>176</v>
      </c>
      <c r="J358" t="s">
        <v>177</v>
      </c>
      <c r="K358" t="s">
        <v>178</v>
      </c>
      <c r="M358" t="s">
        <v>72</v>
      </c>
      <c r="N358" t="s">
        <v>179</v>
      </c>
      <c r="O358" t="s">
        <v>178</v>
      </c>
      <c r="P358" t="s">
        <v>180</v>
      </c>
      <c r="Q358" t="s">
        <v>75</v>
      </c>
      <c r="R358" t="s">
        <v>1177</v>
      </c>
      <c r="S358" t="s">
        <v>1565</v>
      </c>
      <c r="T358" t="s">
        <v>78</v>
      </c>
      <c r="U358" t="s">
        <v>646</v>
      </c>
      <c r="V358" t="s">
        <v>1179</v>
      </c>
      <c r="W358" s="1">
        <v>45108</v>
      </c>
      <c r="X358" t="s">
        <v>1180</v>
      </c>
      <c r="Y358" t="s">
        <v>1566</v>
      </c>
      <c r="Z358" t="s">
        <v>83</v>
      </c>
      <c r="AA358">
        <v>1</v>
      </c>
      <c r="AB358" t="s">
        <v>1567</v>
      </c>
      <c r="AD358" t="s">
        <v>343</v>
      </c>
      <c r="AE358" t="s">
        <v>145</v>
      </c>
      <c r="AF358" t="s">
        <v>402</v>
      </c>
      <c r="AG358" t="s">
        <v>344</v>
      </c>
      <c r="AI358" t="s">
        <v>90</v>
      </c>
      <c r="AJ358">
        <v>32.449652999999998</v>
      </c>
      <c r="AK358">
        <v>-110.73842399999999</v>
      </c>
      <c r="AL358">
        <v>3</v>
      </c>
      <c r="AN358">
        <v>2094</v>
      </c>
      <c r="AP358">
        <v>2094</v>
      </c>
      <c r="AQ358">
        <v>2090.4213049999998</v>
      </c>
      <c r="AT358">
        <v>1</v>
      </c>
      <c r="AU358">
        <v>7</v>
      </c>
      <c r="AV358">
        <v>2023</v>
      </c>
      <c r="AW358">
        <v>2438038</v>
      </c>
      <c r="AX358">
        <v>2438038</v>
      </c>
      <c r="AY358" t="s">
        <v>106</v>
      </c>
      <c r="AZ358" t="s">
        <v>92</v>
      </c>
      <c r="BA358" t="s">
        <v>107</v>
      </c>
      <c r="BB358" t="s">
        <v>1568</v>
      </c>
      <c r="BC358" t="s">
        <v>1186</v>
      </c>
      <c r="BD358" s="1">
        <v>45108</v>
      </c>
      <c r="BE358" t="s">
        <v>96</v>
      </c>
      <c r="BG358" t="s">
        <v>1187</v>
      </c>
      <c r="BI358" t="s">
        <v>98</v>
      </c>
      <c r="BJ358" t="s">
        <v>1569</v>
      </c>
      <c r="BK358" t="s">
        <v>365</v>
      </c>
      <c r="BL358" t="s">
        <v>110</v>
      </c>
    </row>
    <row r="359" spans="1:64" hidden="1" x14ac:dyDescent="0.2">
      <c r="A359">
        <v>620</v>
      </c>
      <c r="B359">
        <v>4136459322</v>
      </c>
      <c r="C359" t="s">
        <v>101</v>
      </c>
      <c r="D359" t="s">
        <v>5444</v>
      </c>
      <c r="E359" t="s">
        <v>65</v>
      </c>
      <c r="F359" t="s">
        <v>66</v>
      </c>
      <c r="G359" t="s">
        <v>67</v>
      </c>
      <c r="H359" t="s">
        <v>68</v>
      </c>
      <c r="I359" t="s">
        <v>176</v>
      </c>
      <c r="J359" t="s">
        <v>177</v>
      </c>
      <c r="K359" t="s">
        <v>3925</v>
      </c>
      <c r="M359" t="s">
        <v>72</v>
      </c>
      <c r="N359" t="s">
        <v>3926</v>
      </c>
      <c r="O359" t="s">
        <v>3925</v>
      </c>
      <c r="P359" t="s">
        <v>1176</v>
      </c>
      <c r="Q359" t="s">
        <v>75</v>
      </c>
      <c r="R359" t="s">
        <v>5008</v>
      </c>
      <c r="S359" t="s">
        <v>1458</v>
      </c>
      <c r="T359" t="s">
        <v>78</v>
      </c>
      <c r="U359" t="s">
        <v>5009</v>
      </c>
      <c r="V359" t="s">
        <v>80</v>
      </c>
      <c r="W359" s="1">
        <v>44905</v>
      </c>
      <c r="X359" t="s">
        <v>5010</v>
      </c>
      <c r="Y359" t="s">
        <v>5442</v>
      </c>
      <c r="Z359" t="s">
        <v>83</v>
      </c>
      <c r="AA359">
        <v>1</v>
      </c>
      <c r="AB359" t="s">
        <v>5310</v>
      </c>
      <c r="AC359">
        <v>0</v>
      </c>
      <c r="AD359" t="s">
        <v>128</v>
      </c>
      <c r="AE359" t="s">
        <v>86</v>
      </c>
      <c r="AF359" t="s">
        <v>281</v>
      </c>
      <c r="AI359" t="s">
        <v>90</v>
      </c>
      <c r="AJ359">
        <v>32.313988000000002</v>
      </c>
      <c r="AK359">
        <v>-110.713358</v>
      </c>
      <c r="AL359">
        <v>3</v>
      </c>
      <c r="AN359">
        <v>1173</v>
      </c>
      <c r="AP359">
        <v>1173</v>
      </c>
      <c r="AQ359">
        <v>1190.761616</v>
      </c>
      <c r="AT359">
        <v>10</v>
      </c>
      <c r="AU359">
        <v>12</v>
      </c>
      <c r="AV359">
        <v>2022</v>
      </c>
      <c r="AW359">
        <v>2437981</v>
      </c>
      <c r="AX359">
        <v>2437981</v>
      </c>
      <c r="AY359" t="s">
        <v>106</v>
      </c>
      <c r="AZ359" t="s">
        <v>92</v>
      </c>
      <c r="BA359" t="s">
        <v>107</v>
      </c>
      <c r="BB359" t="s">
        <v>5445</v>
      </c>
      <c r="BC359" t="s">
        <v>5313</v>
      </c>
      <c r="BD359" s="1">
        <v>44905</v>
      </c>
      <c r="BE359" t="s">
        <v>96</v>
      </c>
      <c r="BG359" t="s">
        <v>5314</v>
      </c>
      <c r="BI359" t="s">
        <v>98</v>
      </c>
      <c r="BJ359" t="s">
        <v>2896</v>
      </c>
      <c r="BL359" t="s">
        <v>110</v>
      </c>
    </row>
    <row r="360" spans="1:64" x14ac:dyDescent="0.2">
      <c r="A360">
        <v>138</v>
      </c>
      <c r="B360">
        <v>4403382502</v>
      </c>
      <c r="C360" t="s">
        <v>101</v>
      </c>
      <c r="D360" t="s">
        <v>1631</v>
      </c>
      <c r="E360" t="s">
        <v>65</v>
      </c>
      <c r="F360" t="s">
        <v>66</v>
      </c>
      <c r="G360" t="s">
        <v>67</v>
      </c>
      <c r="H360" t="s">
        <v>68</v>
      </c>
      <c r="I360" t="s">
        <v>176</v>
      </c>
      <c r="J360" t="s">
        <v>177</v>
      </c>
      <c r="K360" t="s">
        <v>178</v>
      </c>
      <c r="M360" t="s">
        <v>72</v>
      </c>
      <c r="N360" t="s">
        <v>179</v>
      </c>
      <c r="O360" t="s">
        <v>178</v>
      </c>
      <c r="P360" t="s">
        <v>180</v>
      </c>
      <c r="Q360" t="s">
        <v>75</v>
      </c>
      <c r="R360" t="s">
        <v>1177</v>
      </c>
      <c r="S360" t="s">
        <v>1624</v>
      </c>
      <c r="T360" t="s">
        <v>78</v>
      </c>
      <c r="U360" t="s">
        <v>646</v>
      </c>
      <c r="V360" t="s">
        <v>1179</v>
      </c>
      <c r="W360" s="1">
        <v>45108</v>
      </c>
      <c r="X360" t="s">
        <v>1180</v>
      </c>
      <c r="Y360" t="s">
        <v>1625</v>
      </c>
      <c r="Z360" t="s">
        <v>83</v>
      </c>
      <c r="AA360">
        <v>1</v>
      </c>
      <c r="AB360" t="s">
        <v>385</v>
      </c>
      <c r="AC360">
        <v>0</v>
      </c>
      <c r="AD360" t="s">
        <v>119</v>
      </c>
      <c r="AE360" t="s">
        <v>86</v>
      </c>
      <c r="AF360" t="s">
        <v>610</v>
      </c>
      <c r="AG360" t="s">
        <v>1595</v>
      </c>
      <c r="AI360" t="s">
        <v>90</v>
      </c>
      <c r="AJ360">
        <v>32.449663999999999</v>
      </c>
      <c r="AK360">
        <v>-110.738276</v>
      </c>
      <c r="AL360">
        <v>3</v>
      </c>
      <c r="AN360">
        <v>2092</v>
      </c>
      <c r="AP360">
        <v>2092</v>
      </c>
      <c r="AQ360">
        <v>2090.9935999999998</v>
      </c>
      <c r="AT360">
        <v>1</v>
      </c>
      <c r="AU360">
        <v>7</v>
      </c>
      <c r="AV360">
        <v>2023</v>
      </c>
      <c r="AW360">
        <v>2438038</v>
      </c>
      <c r="AX360">
        <v>2438038</v>
      </c>
      <c r="AY360" t="s">
        <v>106</v>
      </c>
      <c r="AZ360" t="s">
        <v>92</v>
      </c>
      <c r="BA360" t="s">
        <v>107</v>
      </c>
      <c r="BB360" t="s">
        <v>1632</v>
      </c>
      <c r="BC360" t="s">
        <v>1186</v>
      </c>
      <c r="BD360" s="1">
        <v>45108</v>
      </c>
      <c r="BE360" t="s">
        <v>96</v>
      </c>
      <c r="BG360" t="s">
        <v>1187</v>
      </c>
      <c r="BI360" t="s">
        <v>98</v>
      </c>
      <c r="BJ360" t="s">
        <v>1633</v>
      </c>
      <c r="BL360" t="s">
        <v>110</v>
      </c>
    </row>
    <row r="361" spans="1:64" hidden="1" x14ac:dyDescent="0.2">
      <c r="A361">
        <v>621</v>
      </c>
      <c r="B361">
        <v>4136459321</v>
      </c>
      <c r="C361" t="s">
        <v>101</v>
      </c>
      <c r="D361" t="s">
        <v>5446</v>
      </c>
      <c r="E361" t="s">
        <v>65</v>
      </c>
      <c r="F361" t="s">
        <v>66</v>
      </c>
      <c r="G361" t="s">
        <v>67</v>
      </c>
      <c r="H361" t="s">
        <v>68</v>
      </c>
      <c r="I361" t="s">
        <v>176</v>
      </c>
      <c r="J361" t="s">
        <v>177</v>
      </c>
      <c r="K361" t="s">
        <v>3925</v>
      </c>
      <c r="M361" t="s">
        <v>72</v>
      </c>
      <c r="N361" t="s">
        <v>3926</v>
      </c>
      <c r="O361" t="s">
        <v>3925</v>
      </c>
      <c r="P361" t="s">
        <v>1176</v>
      </c>
      <c r="Q361" t="s">
        <v>75</v>
      </c>
      <c r="R361" t="s">
        <v>5008</v>
      </c>
      <c r="S361" t="s">
        <v>529</v>
      </c>
      <c r="T361" t="s">
        <v>78</v>
      </c>
      <c r="U361" t="s">
        <v>5009</v>
      </c>
      <c r="V361" t="s">
        <v>80</v>
      </c>
      <c r="W361" s="1">
        <v>44905</v>
      </c>
      <c r="X361" t="s">
        <v>5010</v>
      </c>
      <c r="Y361" t="s">
        <v>5447</v>
      </c>
      <c r="Z361" t="s">
        <v>83</v>
      </c>
      <c r="AA361">
        <v>1</v>
      </c>
      <c r="AB361" t="s">
        <v>5310</v>
      </c>
      <c r="AC361">
        <v>0</v>
      </c>
      <c r="AD361" t="s">
        <v>128</v>
      </c>
      <c r="AE361" t="s">
        <v>145</v>
      </c>
      <c r="AF361" t="s">
        <v>146</v>
      </c>
      <c r="AG361" t="s">
        <v>980</v>
      </c>
      <c r="AI361" t="s">
        <v>90</v>
      </c>
      <c r="AJ361">
        <v>32.312984</v>
      </c>
      <c r="AK361">
        <v>-110.712654</v>
      </c>
      <c r="AL361">
        <v>3</v>
      </c>
      <c r="AN361">
        <v>1166</v>
      </c>
      <c r="AP361">
        <v>1166</v>
      </c>
      <c r="AQ361">
        <v>1166.4107839999999</v>
      </c>
      <c r="AT361">
        <v>10</v>
      </c>
      <c r="AU361">
        <v>12</v>
      </c>
      <c r="AV361">
        <v>2022</v>
      </c>
      <c r="AW361">
        <v>2437981</v>
      </c>
      <c r="AX361">
        <v>2437981</v>
      </c>
      <c r="AY361" t="s">
        <v>106</v>
      </c>
      <c r="AZ361" t="s">
        <v>92</v>
      </c>
      <c r="BA361" t="s">
        <v>107</v>
      </c>
      <c r="BB361" t="s">
        <v>5448</v>
      </c>
      <c r="BC361" t="s">
        <v>5313</v>
      </c>
      <c r="BD361" s="1">
        <v>44905</v>
      </c>
      <c r="BE361" t="s">
        <v>96</v>
      </c>
      <c r="BG361" t="s">
        <v>5314</v>
      </c>
      <c r="BI361" t="s">
        <v>98</v>
      </c>
      <c r="BJ361" t="s">
        <v>3206</v>
      </c>
      <c r="BL361" t="s">
        <v>110</v>
      </c>
    </row>
    <row r="362" spans="1:64" hidden="1" x14ac:dyDescent="0.2">
      <c r="A362">
        <v>114</v>
      </c>
      <c r="B362">
        <v>4403382526</v>
      </c>
      <c r="C362" t="s">
        <v>101</v>
      </c>
      <c r="D362" t="s">
        <v>1580</v>
      </c>
      <c r="E362" t="s">
        <v>65</v>
      </c>
      <c r="F362" t="s">
        <v>66</v>
      </c>
      <c r="G362" t="s">
        <v>67</v>
      </c>
      <c r="H362" t="s">
        <v>68</v>
      </c>
      <c r="I362" t="s">
        <v>176</v>
      </c>
      <c r="J362" t="s">
        <v>177</v>
      </c>
      <c r="K362" t="s">
        <v>178</v>
      </c>
      <c r="M362" t="s">
        <v>72</v>
      </c>
      <c r="N362" t="s">
        <v>179</v>
      </c>
      <c r="O362" t="s">
        <v>178</v>
      </c>
      <c r="P362" t="s">
        <v>180</v>
      </c>
      <c r="Q362" t="s">
        <v>75</v>
      </c>
      <c r="R362" t="s">
        <v>1177</v>
      </c>
      <c r="S362" t="s">
        <v>1577</v>
      </c>
      <c r="T362" t="s">
        <v>78</v>
      </c>
      <c r="U362" t="s">
        <v>646</v>
      </c>
      <c r="V362" t="s">
        <v>1179</v>
      </c>
      <c r="W362" s="1">
        <v>45108</v>
      </c>
      <c r="X362" t="s">
        <v>1180</v>
      </c>
      <c r="Y362" t="s">
        <v>1578</v>
      </c>
      <c r="Z362" t="s">
        <v>83</v>
      </c>
      <c r="AA362">
        <v>1</v>
      </c>
      <c r="AB362" t="s">
        <v>1581</v>
      </c>
      <c r="AD362" t="s">
        <v>343</v>
      </c>
      <c r="AE362" t="s">
        <v>145</v>
      </c>
      <c r="AF362" t="s">
        <v>402</v>
      </c>
      <c r="AG362" t="s">
        <v>344</v>
      </c>
      <c r="AI362" t="s">
        <v>90</v>
      </c>
      <c r="AJ362">
        <v>32.448816000000001</v>
      </c>
      <c r="AK362">
        <v>-110.737647</v>
      </c>
      <c r="AN362">
        <v>2076</v>
      </c>
      <c r="AP362">
        <v>2076</v>
      </c>
      <c r="AQ362">
        <v>2081.1325510000001</v>
      </c>
      <c r="AT362">
        <v>1</v>
      </c>
      <c r="AU362">
        <v>7</v>
      </c>
      <c r="AV362">
        <v>2023</v>
      </c>
      <c r="AW362">
        <v>2438038</v>
      </c>
      <c r="AX362">
        <v>2438038</v>
      </c>
      <c r="AY362" t="s">
        <v>106</v>
      </c>
      <c r="AZ362" t="s">
        <v>92</v>
      </c>
      <c r="BA362" t="s">
        <v>107</v>
      </c>
      <c r="BB362" t="s">
        <v>1582</v>
      </c>
      <c r="BC362" t="s">
        <v>1186</v>
      </c>
      <c r="BD362" s="1">
        <v>45108</v>
      </c>
      <c r="BE362" t="s">
        <v>96</v>
      </c>
      <c r="BG362" t="s">
        <v>1187</v>
      </c>
      <c r="BI362" t="s">
        <v>98</v>
      </c>
      <c r="BJ362" t="s">
        <v>722</v>
      </c>
      <c r="BL362" t="s">
        <v>110</v>
      </c>
    </row>
    <row r="363" spans="1:64" hidden="1" x14ac:dyDescent="0.2">
      <c r="A363">
        <v>116</v>
      </c>
      <c r="B363">
        <v>4403382524</v>
      </c>
      <c r="C363" t="s">
        <v>101</v>
      </c>
      <c r="D363" t="s">
        <v>1583</v>
      </c>
      <c r="E363" t="s">
        <v>65</v>
      </c>
      <c r="F363" t="s">
        <v>66</v>
      </c>
      <c r="G363" t="s">
        <v>67</v>
      </c>
      <c r="H363" t="s">
        <v>68</v>
      </c>
      <c r="I363" t="s">
        <v>176</v>
      </c>
      <c r="J363" t="s">
        <v>177</v>
      </c>
      <c r="K363" t="s">
        <v>178</v>
      </c>
      <c r="M363" t="s">
        <v>72</v>
      </c>
      <c r="N363" t="s">
        <v>179</v>
      </c>
      <c r="O363" t="s">
        <v>178</v>
      </c>
      <c r="P363" t="s">
        <v>180</v>
      </c>
      <c r="Q363" t="s">
        <v>75</v>
      </c>
      <c r="R363" t="s">
        <v>1177</v>
      </c>
      <c r="S363" t="s">
        <v>1584</v>
      </c>
      <c r="T363" t="s">
        <v>78</v>
      </c>
      <c r="U363" t="s">
        <v>646</v>
      </c>
      <c r="V363" t="s">
        <v>1179</v>
      </c>
      <c r="W363" s="1">
        <v>45108</v>
      </c>
      <c r="X363" t="s">
        <v>1180</v>
      </c>
      <c r="Y363" t="s">
        <v>1585</v>
      </c>
      <c r="Z363" t="s">
        <v>83</v>
      </c>
      <c r="AA363">
        <v>1</v>
      </c>
      <c r="AB363" t="s">
        <v>1586</v>
      </c>
      <c r="AD363" t="s">
        <v>343</v>
      </c>
      <c r="AE363" t="s">
        <v>145</v>
      </c>
      <c r="AF363" t="s">
        <v>402</v>
      </c>
      <c r="AG363" t="s">
        <v>344</v>
      </c>
      <c r="AI363" t="s">
        <v>90</v>
      </c>
      <c r="AJ363">
        <v>32.449100999999999</v>
      </c>
      <c r="AK363">
        <v>-110.737835</v>
      </c>
      <c r="AL363">
        <v>3</v>
      </c>
      <c r="AN363">
        <v>2065</v>
      </c>
      <c r="AP363">
        <v>2065</v>
      </c>
      <c r="AQ363">
        <v>2086.6606980000001</v>
      </c>
      <c r="AT363">
        <v>1</v>
      </c>
      <c r="AU363">
        <v>7</v>
      </c>
      <c r="AV363">
        <v>2023</v>
      </c>
      <c r="AW363">
        <v>2438038</v>
      </c>
      <c r="AX363">
        <v>2438038</v>
      </c>
      <c r="AY363" t="s">
        <v>106</v>
      </c>
      <c r="AZ363" t="s">
        <v>92</v>
      </c>
      <c r="BA363" t="s">
        <v>107</v>
      </c>
      <c r="BB363" t="s">
        <v>1587</v>
      </c>
      <c r="BC363" t="s">
        <v>1186</v>
      </c>
      <c r="BD363" s="1">
        <v>45108</v>
      </c>
      <c r="BE363" t="s">
        <v>96</v>
      </c>
      <c r="BG363" t="s">
        <v>1187</v>
      </c>
      <c r="BI363" t="s">
        <v>98</v>
      </c>
      <c r="BJ363" t="s">
        <v>722</v>
      </c>
      <c r="BK363" t="s">
        <v>365</v>
      </c>
      <c r="BL363" t="s">
        <v>412</v>
      </c>
    </row>
    <row r="364" spans="1:64" hidden="1" x14ac:dyDescent="0.2">
      <c r="A364">
        <v>619</v>
      </c>
      <c r="B364">
        <v>4136459323</v>
      </c>
      <c r="C364" t="s">
        <v>101</v>
      </c>
      <c r="D364" t="s">
        <v>5452</v>
      </c>
      <c r="E364" t="s">
        <v>65</v>
      </c>
      <c r="F364" t="s">
        <v>66</v>
      </c>
      <c r="G364" t="s">
        <v>67</v>
      </c>
      <c r="H364" t="s">
        <v>68</v>
      </c>
      <c r="I364" t="s">
        <v>176</v>
      </c>
      <c r="J364" t="s">
        <v>177</v>
      </c>
      <c r="K364" t="s">
        <v>3925</v>
      </c>
      <c r="M364" t="s">
        <v>72</v>
      </c>
      <c r="N364" t="s">
        <v>3926</v>
      </c>
      <c r="O364" t="s">
        <v>3925</v>
      </c>
      <c r="P364" t="s">
        <v>1176</v>
      </c>
      <c r="Q364" t="s">
        <v>75</v>
      </c>
      <c r="R364" t="s">
        <v>5008</v>
      </c>
      <c r="S364" t="s">
        <v>5453</v>
      </c>
      <c r="T364" t="s">
        <v>78</v>
      </c>
      <c r="U364" t="s">
        <v>5009</v>
      </c>
      <c r="V364" t="s">
        <v>80</v>
      </c>
      <c r="W364" s="1">
        <v>44905</v>
      </c>
      <c r="X364" t="s">
        <v>5010</v>
      </c>
      <c r="Y364" t="s">
        <v>5454</v>
      </c>
      <c r="Z364" t="s">
        <v>83</v>
      </c>
      <c r="AA364">
        <v>1</v>
      </c>
      <c r="AB364" t="s">
        <v>5310</v>
      </c>
      <c r="AC364">
        <v>0</v>
      </c>
      <c r="AD364" t="s">
        <v>128</v>
      </c>
      <c r="AE364" t="s">
        <v>145</v>
      </c>
      <c r="AF364" t="s">
        <v>146</v>
      </c>
      <c r="AG364" t="s">
        <v>980</v>
      </c>
      <c r="AI364" t="s">
        <v>90</v>
      </c>
      <c r="AJ364">
        <v>32.313760000000002</v>
      </c>
      <c r="AK364">
        <v>-110.714264</v>
      </c>
      <c r="AL364">
        <v>3</v>
      </c>
      <c r="AP364">
        <v>1197.0585840000001</v>
      </c>
      <c r="AQ364">
        <v>1197.0585840000001</v>
      </c>
      <c r="AT364">
        <v>10</v>
      </c>
      <c r="AU364">
        <v>12</v>
      </c>
      <c r="AV364">
        <v>2022</v>
      </c>
      <c r="AW364">
        <v>2437981</v>
      </c>
      <c r="AX364">
        <v>2437981</v>
      </c>
      <c r="AY364" t="s">
        <v>106</v>
      </c>
      <c r="AZ364" t="s">
        <v>92</v>
      </c>
      <c r="BA364" t="s">
        <v>107</v>
      </c>
      <c r="BB364" t="s">
        <v>5455</v>
      </c>
      <c r="BC364" t="s">
        <v>5313</v>
      </c>
      <c r="BD364" s="1">
        <v>44905</v>
      </c>
      <c r="BE364" t="s">
        <v>96</v>
      </c>
      <c r="BG364" t="s">
        <v>5314</v>
      </c>
      <c r="BI364" t="s">
        <v>98</v>
      </c>
      <c r="BJ364" t="s">
        <v>2993</v>
      </c>
      <c r="BL364" t="s">
        <v>412</v>
      </c>
    </row>
    <row r="365" spans="1:64" hidden="1" x14ac:dyDescent="0.2">
      <c r="A365">
        <v>120</v>
      </c>
      <c r="B365">
        <v>4403382520</v>
      </c>
      <c r="C365" t="s">
        <v>101</v>
      </c>
      <c r="D365" t="s">
        <v>1591</v>
      </c>
      <c r="E365" t="s">
        <v>65</v>
      </c>
      <c r="F365" t="s">
        <v>66</v>
      </c>
      <c r="G365" t="s">
        <v>67</v>
      </c>
      <c r="H365" t="s">
        <v>68</v>
      </c>
      <c r="I365" t="s">
        <v>176</v>
      </c>
      <c r="J365" t="s">
        <v>177</v>
      </c>
      <c r="K365" t="s">
        <v>178</v>
      </c>
      <c r="M365" t="s">
        <v>72</v>
      </c>
      <c r="N365" t="s">
        <v>179</v>
      </c>
      <c r="O365" t="s">
        <v>178</v>
      </c>
      <c r="P365" t="s">
        <v>180</v>
      </c>
      <c r="Q365" t="s">
        <v>75</v>
      </c>
      <c r="R365" t="s">
        <v>1177</v>
      </c>
      <c r="S365" t="s">
        <v>1592</v>
      </c>
      <c r="T365" t="s">
        <v>78</v>
      </c>
      <c r="U365" t="s">
        <v>646</v>
      </c>
      <c r="V365" t="s">
        <v>1179</v>
      </c>
      <c r="W365" s="1">
        <v>45108</v>
      </c>
      <c r="X365" t="s">
        <v>1180</v>
      </c>
      <c r="Y365" t="s">
        <v>1593</v>
      </c>
      <c r="Z365" t="s">
        <v>83</v>
      </c>
      <c r="AA365">
        <v>1</v>
      </c>
      <c r="AB365" t="s">
        <v>1594</v>
      </c>
      <c r="AD365" t="s">
        <v>343</v>
      </c>
      <c r="AE365" t="s">
        <v>86</v>
      </c>
      <c r="AF365" t="s">
        <v>402</v>
      </c>
      <c r="AG365" t="s">
        <v>1595</v>
      </c>
      <c r="AI365" t="s">
        <v>90</v>
      </c>
      <c r="AJ365">
        <v>32.449677000000001</v>
      </c>
      <c r="AK365">
        <v>-110.73831199999999</v>
      </c>
      <c r="AL365">
        <v>3</v>
      </c>
      <c r="AN365">
        <v>2088</v>
      </c>
      <c r="AP365">
        <v>2088</v>
      </c>
      <c r="AQ365">
        <v>2090.828</v>
      </c>
      <c r="AT365">
        <v>1</v>
      </c>
      <c r="AU365">
        <v>7</v>
      </c>
      <c r="AV365">
        <v>2023</v>
      </c>
      <c r="AW365">
        <v>2438038</v>
      </c>
      <c r="AX365">
        <v>2438038</v>
      </c>
      <c r="AY365" t="s">
        <v>106</v>
      </c>
      <c r="AZ365" t="s">
        <v>92</v>
      </c>
      <c r="BA365" t="s">
        <v>107</v>
      </c>
      <c r="BB365" t="s">
        <v>1596</v>
      </c>
      <c r="BC365" t="s">
        <v>1186</v>
      </c>
      <c r="BD365" s="1">
        <v>45108</v>
      </c>
      <c r="BE365" t="s">
        <v>96</v>
      </c>
      <c r="BG365" t="s">
        <v>1187</v>
      </c>
      <c r="BI365" t="s">
        <v>98</v>
      </c>
      <c r="BJ365" t="s">
        <v>1590</v>
      </c>
      <c r="BK365" t="s">
        <v>365</v>
      </c>
      <c r="BL365" t="s">
        <v>110</v>
      </c>
    </row>
    <row r="366" spans="1:64" hidden="1" x14ac:dyDescent="0.2">
      <c r="A366">
        <v>617</v>
      </c>
      <c r="B366">
        <v>4136459325</v>
      </c>
      <c r="C366" t="s">
        <v>101</v>
      </c>
      <c r="D366" t="s">
        <v>5458</v>
      </c>
      <c r="E366" t="s">
        <v>65</v>
      </c>
      <c r="F366" t="s">
        <v>66</v>
      </c>
      <c r="G366" t="s">
        <v>67</v>
      </c>
      <c r="H366" t="s">
        <v>68</v>
      </c>
      <c r="I366" t="s">
        <v>69</v>
      </c>
      <c r="J366" t="s">
        <v>70</v>
      </c>
      <c r="K366" t="s">
        <v>4195</v>
      </c>
      <c r="M366" t="s">
        <v>72</v>
      </c>
      <c r="N366" t="s">
        <v>4196</v>
      </c>
      <c r="O366" t="s">
        <v>4195</v>
      </c>
      <c r="P366" t="s">
        <v>4197</v>
      </c>
      <c r="Q366" t="s">
        <v>75</v>
      </c>
      <c r="R366" t="s">
        <v>5008</v>
      </c>
      <c r="S366" t="s">
        <v>1523</v>
      </c>
      <c r="T366" t="s">
        <v>78</v>
      </c>
      <c r="U366" t="s">
        <v>5009</v>
      </c>
      <c r="V366" t="s">
        <v>80</v>
      </c>
      <c r="W366" s="1">
        <v>44905</v>
      </c>
      <c r="X366" t="s">
        <v>5010</v>
      </c>
      <c r="Y366" t="s">
        <v>5459</v>
      </c>
      <c r="Z366" t="s">
        <v>83</v>
      </c>
      <c r="AA366">
        <v>1</v>
      </c>
      <c r="AB366" t="s">
        <v>5310</v>
      </c>
      <c r="AC366">
        <v>0</v>
      </c>
      <c r="AD366" t="s">
        <v>128</v>
      </c>
      <c r="AE366" t="s">
        <v>86</v>
      </c>
      <c r="AF366" t="s">
        <v>281</v>
      </c>
      <c r="AI366" t="s">
        <v>90</v>
      </c>
      <c r="AJ366">
        <v>32.314584000000004</v>
      </c>
      <c r="AK366">
        <v>-110.71240299999999</v>
      </c>
      <c r="AL366">
        <v>3</v>
      </c>
      <c r="AN366">
        <v>1179</v>
      </c>
      <c r="AP366">
        <v>1179</v>
      </c>
      <c r="AQ366">
        <v>1192.0803209999999</v>
      </c>
      <c r="AT366">
        <v>10</v>
      </c>
      <c r="AU366">
        <v>12</v>
      </c>
      <c r="AV366">
        <v>2022</v>
      </c>
      <c r="AW366">
        <v>2439589</v>
      </c>
      <c r="AX366">
        <v>2439589</v>
      </c>
      <c r="AY366" t="s">
        <v>106</v>
      </c>
      <c r="AZ366" t="s">
        <v>92</v>
      </c>
      <c r="BA366" t="s">
        <v>107</v>
      </c>
      <c r="BB366" t="s">
        <v>5460</v>
      </c>
      <c r="BC366" t="s">
        <v>5313</v>
      </c>
      <c r="BD366" s="1">
        <v>44905</v>
      </c>
      <c r="BE366" t="s">
        <v>96</v>
      </c>
      <c r="BG366" t="s">
        <v>5314</v>
      </c>
      <c r="BI366" t="s">
        <v>98</v>
      </c>
      <c r="BJ366" t="s">
        <v>5451</v>
      </c>
      <c r="BL366" t="s">
        <v>412</v>
      </c>
    </row>
    <row r="367" spans="1:64" hidden="1" x14ac:dyDescent="0.2">
      <c r="A367">
        <v>142</v>
      </c>
      <c r="B367">
        <v>4403382498</v>
      </c>
      <c r="C367" t="s">
        <v>101</v>
      </c>
      <c r="D367" t="s">
        <v>1599</v>
      </c>
      <c r="E367" t="s">
        <v>65</v>
      </c>
      <c r="F367" t="s">
        <v>66</v>
      </c>
      <c r="G367" t="s">
        <v>67</v>
      </c>
      <c r="H367" t="s">
        <v>68</v>
      </c>
      <c r="I367" t="s">
        <v>176</v>
      </c>
      <c r="J367" t="s">
        <v>177</v>
      </c>
      <c r="K367" t="s">
        <v>178</v>
      </c>
      <c r="M367" t="s">
        <v>72</v>
      </c>
      <c r="N367" t="s">
        <v>179</v>
      </c>
      <c r="O367" t="s">
        <v>178</v>
      </c>
      <c r="P367" t="s">
        <v>180</v>
      </c>
      <c r="Q367" t="s">
        <v>75</v>
      </c>
      <c r="R367" t="s">
        <v>1177</v>
      </c>
      <c r="S367" t="s">
        <v>437</v>
      </c>
      <c r="T367" t="s">
        <v>78</v>
      </c>
      <c r="U367" t="s">
        <v>646</v>
      </c>
      <c r="V367" t="s">
        <v>1179</v>
      </c>
      <c r="W367" s="1">
        <v>45108</v>
      </c>
      <c r="X367" t="s">
        <v>1180</v>
      </c>
      <c r="Y367" t="s">
        <v>1600</v>
      </c>
      <c r="Z367" t="s">
        <v>83</v>
      </c>
      <c r="AA367">
        <v>1</v>
      </c>
      <c r="AB367" t="s">
        <v>1601</v>
      </c>
      <c r="AD367" t="s">
        <v>343</v>
      </c>
      <c r="AE367" t="s">
        <v>86</v>
      </c>
      <c r="AF367" t="s">
        <v>402</v>
      </c>
      <c r="AG367" t="s">
        <v>1602</v>
      </c>
      <c r="AI367" t="s">
        <v>90</v>
      </c>
      <c r="AJ367">
        <v>32.449317999999998</v>
      </c>
      <c r="AK367">
        <v>-110.737779</v>
      </c>
      <c r="AL367">
        <v>3</v>
      </c>
      <c r="AN367">
        <v>2072</v>
      </c>
      <c r="AP367">
        <v>2072</v>
      </c>
      <c r="AQ367">
        <v>2089.6323969999999</v>
      </c>
      <c r="AT367">
        <v>1</v>
      </c>
      <c r="AU367">
        <v>7</v>
      </c>
      <c r="AV367">
        <v>2023</v>
      </c>
      <c r="AW367">
        <v>2438038</v>
      </c>
      <c r="AX367">
        <v>2438038</v>
      </c>
      <c r="AY367" t="s">
        <v>106</v>
      </c>
      <c r="AZ367" t="s">
        <v>92</v>
      </c>
      <c r="BA367" t="s">
        <v>107</v>
      </c>
      <c r="BB367" t="s">
        <v>1603</v>
      </c>
      <c r="BC367" t="s">
        <v>1186</v>
      </c>
      <c r="BD367" s="1">
        <v>45108</v>
      </c>
      <c r="BE367" t="s">
        <v>96</v>
      </c>
      <c r="BG367" t="s">
        <v>1187</v>
      </c>
      <c r="BI367" t="s">
        <v>98</v>
      </c>
      <c r="BJ367" t="s">
        <v>1604</v>
      </c>
      <c r="BL367" t="s">
        <v>412</v>
      </c>
    </row>
    <row r="368" spans="1:64" hidden="1" x14ac:dyDescent="0.2">
      <c r="A368">
        <v>624</v>
      </c>
      <c r="B368">
        <v>4136459318</v>
      </c>
      <c r="C368" t="s">
        <v>101</v>
      </c>
      <c r="D368" t="s">
        <v>5467</v>
      </c>
      <c r="E368" t="s">
        <v>65</v>
      </c>
      <c r="F368" t="s">
        <v>66</v>
      </c>
      <c r="G368" t="s">
        <v>67</v>
      </c>
      <c r="H368" t="s">
        <v>68</v>
      </c>
      <c r="I368" t="s">
        <v>69</v>
      </c>
      <c r="J368" t="s">
        <v>70</v>
      </c>
      <c r="K368" t="s">
        <v>4195</v>
      </c>
      <c r="M368" t="s">
        <v>72</v>
      </c>
      <c r="N368" t="s">
        <v>4196</v>
      </c>
      <c r="O368" t="s">
        <v>4195</v>
      </c>
      <c r="P368" t="s">
        <v>4197</v>
      </c>
      <c r="Q368" t="s">
        <v>75</v>
      </c>
      <c r="R368" t="s">
        <v>5008</v>
      </c>
      <c r="S368" t="s">
        <v>5464</v>
      </c>
      <c r="T368" t="s">
        <v>78</v>
      </c>
      <c r="U368" t="s">
        <v>5009</v>
      </c>
      <c r="V368" t="s">
        <v>80</v>
      </c>
      <c r="W368" s="1">
        <v>44905</v>
      </c>
      <c r="X368" t="s">
        <v>5010</v>
      </c>
      <c r="Y368" t="s">
        <v>5465</v>
      </c>
      <c r="Z368" t="s">
        <v>83</v>
      </c>
      <c r="AA368">
        <v>1</v>
      </c>
      <c r="AB368" t="s">
        <v>5310</v>
      </c>
      <c r="AC368">
        <v>0</v>
      </c>
      <c r="AD368" t="s">
        <v>128</v>
      </c>
      <c r="AE368" t="s">
        <v>145</v>
      </c>
      <c r="AF368" t="s">
        <v>146</v>
      </c>
      <c r="AG368" t="s">
        <v>765</v>
      </c>
      <c r="AI368" t="s">
        <v>90</v>
      </c>
      <c r="AJ368">
        <v>32.314413000000002</v>
      </c>
      <c r="AK368">
        <v>-110.71266799999999</v>
      </c>
      <c r="AL368">
        <v>3</v>
      </c>
      <c r="AN368">
        <v>1190</v>
      </c>
      <c r="AP368">
        <v>1190</v>
      </c>
      <c r="AQ368">
        <v>1191.0499339999999</v>
      </c>
      <c r="AT368">
        <v>10</v>
      </c>
      <c r="AU368">
        <v>12</v>
      </c>
      <c r="AV368">
        <v>2022</v>
      </c>
      <c r="AW368">
        <v>2439589</v>
      </c>
      <c r="AX368">
        <v>2439589</v>
      </c>
      <c r="AY368" t="s">
        <v>106</v>
      </c>
      <c r="AZ368" t="s">
        <v>92</v>
      </c>
      <c r="BA368" t="s">
        <v>107</v>
      </c>
      <c r="BB368" t="s">
        <v>5468</v>
      </c>
      <c r="BC368" t="s">
        <v>5313</v>
      </c>
      <c r="BD368" s="1">
        <v>44905</v>
      </c>
      <c r="BE368" t="s">
        <v>96</v>
      </c>
      <c r="BG368" t="s">
        <v>5314</v>
      </c>
      <c r="BI368" t="s">
        <v>98</v>
      </c>
      <c r="BJ368" t="s">
        <v>2985</v>
      </c>
      <c r="BL368" t="s">
        <v>110</v>
      </c>
    </row>
    <row r="369" spans="1:64" hidden="1" x14ac:dyDescent="0.2">
      <c r="A369">
        <v>146</v>
      </c>
      <c r="B369">
        <v>4403382494</v>
      </c>
      <c r="C369" t="s">
        <v>101</v>
      </c>
      <c r="D369" t="s">
        <v>1608</v>
      </c>
      <c r="E369" t="s">
        <v>65</v>
      </c>
      <c r="F369" t="s">
        <v>66</v>
      </c>
      <c r="G369" t="s">
        <v>67</v>
      </c>
      <c r="H369" t="s">
        <v>68</v>
      </c>
      <c r="I369" t="s">
        <v>176</v>
      </c>
      <c r="J369" t="s">
        <v>177</v>
      </c>
      <c r="K369" t="s">
        <v>178</v>
      </c>
      <c r="M369" t="s">
        <v>72</v>
      </c>
      <c r="N369" t="s">
        <v>179</v>
      </c>
      <c r="O369" t="s">
        <v>178</v>
      </c>
      <c r="P369" t="s">
        <v>180</v>
      </c>
      <c r="Q369" t="s">
        <v>75</v>
      </c>
      <c r="R369" t="s">
        <v>1177</v>
      </c>
      <c r="S369" t="s">
        <v>607</v>
      </c>
      <c r="T369" t="s">
        <v>78</v>
      </c>
      <c r="U369" t="s">
        <v>646</v>
      </c>
      <c r="V369" t="s">
        <v>1179</v>
      </c>
      <c r="W369" s="1">
        <v>45108</v>
      </c>
      <c r="X369" t="s">
        <v>1180</v>
      </c>
      <c r="Y369" t="s">
        <v>1609</v>
      </c>
      <c r="Z369" t="s">
        <v>83</v>
      </c>
      <c r="AA369">
        <v>1</v>
      </c>
      <c r="AB369" t="s">
        <v>1610</v>
      </c>
      <c r="AD369" t="s">
        <v>343</v>
      </c>
      <c r="AE369" t="s">
        <v>145</v>
      </c>
      <c r="AF369" t="s">
        <v>402</v>
      </c>
      <c r="AG369" t="s">
        <v>344</v>
      </c>
      <c r="AI369" t="s">
        <v>90</v>
      </c>
      <c r="AJ369">
        <v>32.449050999999997</v>
      </c>
      <c r="AK369">
        <v>-110.73769799999999</v>
      </c>
      <c r="AN369">
        <v>2076</v>
      </c>
      <c r="AP369">
        <v>2076</v>
      </c>
      <c r="AQ369">
        <v>2085.9180000000001</v>
      </c>
      <c r="AT369">
        <v>1</v>
      </c>
      <c r="AU369">
        <v>7</v>
      </c>
      <c r="AV369">
        <v>2023</v>
      </c>
      <c r="AW369">
        <v>2438038</v>
      </c>
      <c r="AX369">
        <v>2438038</v>
      </c>
      <c r="AY369" t="s">
        <v>106</v>
      </c>
      <c r="AZ369" t="s">
        <v>92</v>
      </c>
      <c r="BA369" t="s">
        <v>107</v>
      </c>
      <c r="BB369" t="s">
        <v>1611</v>
      </c>
      <c r="BC369" t="s">
        <v>1186</v>
      </c>
      <c r="BD369" s="1">
        <v>45108</v>
      </c>
      <c r="BE369" t="s">
        <v>96</v>
      </c>
      <c r="BG369" t="s">
        <v>1187</v>
      </c>
      <c r="BI369" t="s">
        <v>98</v>
      </c>
      <c r="BJ369" t="s">
        <v>1604</v>
      </c>
      <c r="BK369" t="s">
        <v>365</v>
      </c>
      <c r="BL369" t="s">
        <v>110</v>
      </c>
    </row>
    <row r="370" spans="1:64" hidden="1" x14ac:dyDescent="0.2">
      <c r="A370">
        <v>631</v>
      </c>
      <c r="B370">
        <v>4136459311</v>
      </c>
      <c r="C370" t="s">
        <v>101</v>
      </c>
      <c r="D370" t="s">
        <v>5477</v>
      </c>
      <c r="E370" t="s">
        <v>65</v>
      </c>
      <c r="F370" t="s">
        <v>66</v>
      </c>
      <c r="G370" t="s">
        <v>67</v>
      </c>
      <c r="H370" t="s">
        <v>68</v>
      </c>
      <c r="I370" t="s">
        <v>69</v>
      </c>
      <c r="J370" t="s">
        <v>70</v>
      </c>
      <c r="K370" t="s">
        <v>4195</v>
      </c>
      <c r="M370" t="s">
        <v>72</v>
      </c>
      <c r="N370" t="s">
        <v>4196</v>
      </c>
      <c r="O370" t="s">
        <v>4195</v>
      </c>
      <c r="P370" t="s">
        <v>4197</v>
      </c>
      <c r="Q370" t="s">
        <v>75</v>
      </c>
      <c r="R370" t="s">
        <v>5008</v>
      </c>
      <c r="S370" t="s">
        <v>5472</v>
      </c>
      <c r="T370" t="s">
        <v>78</v>
      </c>
      <c r="U370" t="s">
        <v>5009</v>
      </c>
      <c r="V370" t="s">
        <v>80</v>
      </c>
      <c r="W370" s="1">
        <v>44905</v>
      </c>
      <c r="X370" t="s">
        <v>5010</v>
      </c>
      <c r="Y370" t="s">
        <v>5473</v>
      </c>
      <c r="Z370" t="s">
        <v>83</v>
      </c>
      <c r="AA370">
        <v>1</v>
      </c>
      <c r="AB370" t="s">
        <v>5310</v>
      </c>
      <c r="AC370">
        <v>0</v>
      </c>
      <c r="AD370" t="s">
        <v>128</v>
      </c>
      <c r="AE370" t="s">
        <v>86</v>
      </c>
      <c r="AF370" t="s">
        <v>87</v>
      </c>
      <c r="AI370" t="s">
        <v>90</v>
      </c>
      <c r="AJ370">
        <v>32.314328000000003</v>
      </c>
      <c r="AK370">
        <v>-110.712667</v>
      </c>
      <c r="AL370">
        <v>3</v>
      </c>
      <c r="AN370">
        <v>1185</v>
      </c>
      <c r="AP370">
        <v>1185</v>
      </c>
      <c r="AQ370">
        <v>1188.4003749999999</v>
      </c>
      <c r="AT370">
        <v>10</v>
      </c>
      <c r="AU370">
        <v>12</v>
      </c>
      <c r="AV370">
        <v>2022</v>
      </c>
      <c r="AW370">
        <v>2439589</v>
      </c>
      <c r="AX370">
        <v>2439589</v>
      </c>
      <c r="AY370" t="s">
        <v>106</v>
      </c>
      <c r="AZ370" t="s">
        <v>92</v>
      </c>
      <c r="BA370" t="s">
        <v>107</v>
      </c>
      <c r="BB370" t="s">
        <v>5478</v>
      </c>
      <c r="BC370" t="s">
        <v>5313</v>
      </c>
      <c r="BD370" s="1">
        <v>44905</v>
      </c>
      <c r="BE370" t="s">
        <v>96</v>
      </c>
      <c r="BG370" t="s">
        <v>5314</v>
      </c>
      <c r="BI370" t="s">
        <v>98</v>
      </c>
      <c r="BJ370" t="s">
        <v>3243</v>
      </c>
      <c r="BL370" t="s">
        <v>110</v>
      </c>
    </row>
    <row r="371" spans="1:64" hidden="1" x14ac:dyDescent="0.2">
      <c r="A371">
        <v>150</v>
      </c>
      <c r="B371">
        <v>4403382490</v>
      </c>
      <c r="C371" t="s">
        <v>101</v>
      </c>
      <c r="D371" t="s">
        <v>1615</v>
      </c>
      <c r="E371" t="s">
        <v>65</v>
      </c>
      <c r="F371" t="s">
        <v>66</v>
      </c>
      <c r="G371" t="s">
        <v>67</v>
      </c>
      <c r="H371" t="s">
        <v>68</v>
      </c>
      <c r="I371" t="s">
        <v>176</v>
      </c>
      <c r="J371" t="s">
        <v>177</v>
      </c>
      <c r="K371" t="s">
        <v>178</v>
      </c>
      <c r="M371" t="s">
        <v>72</v>
      </c>
      <c r="N371" t="s">
        <v>179</v>
      </c>
      <c r="O371" t="s">
        <v>178</v>
      </c>
      <c r="P371" t="s">
        <v>180</v>
      </c>
      <c r="Q371" t="s">
        <v>75</v>
      </c>
      <c r="R371" t="s">
        <v>1177</v>
      </c>
      <c r="S371" t="s">
        <v>569</v>
      </c>
      <c r="T371" t="s">
        <v>78</v>
      </c>
      <c r="U371" t="s">
        <v>646</v>
      </c>
      <c r="V371" t="s">
        <v>1179</v>
      </c>
      <c r="W371" s="1">
        <v>45108</v>
      </c>
      <c r="X371" t="s">
        <v>1180</v>
      </c>
      <c r="Y371" t="s">
        <v>1616</v>
      </c>
      <c r="Z371" t="s">
        <v>83</v>
      </c>
      <c r="AA371">
        <v>1</v>
      </c>
      <c r="AB371" t="s">
        <v>1617</v>
      </c>
      <c r="AD371" t="s">
        <v>343</v>
      </c>
      <c r="AE371" t="s">
        <v>86</v>
      </c>
      <c r="AF371" t="s">
        <v>610</v>
      </c>
      <c r="AG371" t="s">
        <v>1595</v>
      </c>
      <c r="AI371" t="s">
        <v>90</v>
      </c>
      <c r="AJ371">
        <v>32.449451000000003</v>
      </c>
      <c r="AK371">
        <v>-110.73769799999999</v>
      </c>
      <c r="AN371">
        <v>2074</v>
      </c>
      <c r="AP371">
        <v>2074</v>
      </c>
      <c r="AQ371">
        <v>2091.3344000000002</v>
      </c>
      <c r="AT371">
        <v>1</v>
      </c>
      <c r="AU371">
        <v>7</v>
      </c>
      <c r="AV371">
        <v>2023</v>
      </c>
      <c r="AW371">
        <v>2438038</v>
      </c>
      <c r="AX371">
        <v>2438038</v>
      </c>
      <c r="AY371" t="s">
        <v>106</v>
      </c>
      <c r="AZ371" t="s">
        <v>92</v>
      </c>
      <c r="BA371" t="s">
        <v>107</v>
      </c>
      <c r="BB371" t="s">
        <v>1618</v>
      </c>
      <c r="BC371" t="s">
        <v>1186</v>
      </c>
      <c r="BD371" s="1">
        <v>45108</v>
      </c>
      <c r="BE371" t="s">
        <v>96</v>
      </c>
      <c r="BG371" t="s">
        <v>1187</v>
      </c>
      <c r="BI371" t="s">
        <v>98</v>
      </c>
      <c r="BJ371" t="s">
        <v>1619</v>
      </c>
      <c r="BK371" t="s">
        <v>365</v>
      </c>
      <c r="BL371" t="s">
        <v>412</v>
      </c>
    </row>
    <row r="372" spans="1:64" hidden="1" x14ac:dyDescent="0.2">
      <c r="A372">
        <v>629</v>
      </c>
      <c r="B372">
        <v>4136459313</v>
      </c>
      <c r="C372" t="s">
        <v>101</v>
      </c>
      <c r="D372" t="s">
        <v>5483</v>
      </c>
      <c r="E372" t="s">
        <v>65</v>
      </c>
      <c r="F372" t="s">
        <v>66</v>
      </c>
      <c r="G372" t="s">
        <v>67</v>
      </c>
      <c r="H372" t="s">
        <v>68</v>
      </c>
      <c r="I372" t="s">
        <v>176</v>
      </c>
      <c r="J372" t="s">
        <v>177</v>
      </c>
      <c r="K372" t="s">
        <v>3925</v>
      </c>
      <c r="M372" t="s">
        <v>72</v>
      </c>
      <c r="N372" t="s">
        <v>3926</v>
      </c>
      <c r="O372" t="s">
        <v>3925</v>
      </c>
      <c r="P372" t="s">
        <v>1176</v>
      </c>
      <c r="Q372" t="s">
        <v>75</v>
      </c>
      <c r="R372" t="s">
        <v>5008</v>
      </c>
      <c r="S372" t="s">
        <v>5480</v>
      </c>
      <c r="T372" t="s">
        <v>78</v>
      </c>
      <c r="U372" t="s">
        <v>5009</v>
      </c>
      <c r="V372" t="s">
        <v>80</v>
      </c>
      <c r="W372" s="1">
        <v>44905</v>
      </c>
      <c r="X372" t="s">
        <v>5010</v>
      </c>
      <c r="Y372" t="s">
        <v>5481</v>
      </c>
      <c r="Z372" t="s">
        <v>83</v>
      </c>
      <c r="AA372">
        <v>1</v>
      </c>
      <c r="AB372" t="s">
        <v>5310</v>
      </c>
      <c r="AC372">
        <v>0</v>
      </c>
      <c r="AD372" t="s">
        <v>128</v>
      </c>
      <c r="AE372" t="s">
        <v>145</v>
      </c>
      <c r="AF372" t="s">
        <v>146</v>
      </c>
      <c r="AI372" t="s">
        <v>90</v>
      </c>
      <c r="AJ372">
        <v>32.31409</v>
      </c>
      <c r="AK372">
        <v>-110.714263</v>
      </c>
      <c r="AL372">
        <v>3</v>
      </c>
      <c r="AP372">
        <v>1207.791999</v>
      </c>
      <c r="AQ372">
        <v>1207.791999</v>
      </c>
      <c r="AT372">
        <v>10</v>
      </c>
      <c r="AU372">
        <v>12</v>
      </c>
      <c r="AV372">
        <v>2022</v>
      </c>
      <c r="AW372">
        <v>2437981</v>
      </c>
      <c r="AX372">
        <v>2437981</v>
      </c>
      <c r="AY372" t="s">
        <v>106</v>
      </c>
      <c r="AZ372" t="s">
        <v>92</v>
      </c>
      <c r="BA372" t="s">
        <v>107</v>
      </c>
      <c r="BB372" t="s">
        <v>5484</v>
      </c>
      <c r="BC372" t="s">
        <v>5313</v>
      </c>
      <c r="BD372" s="1">
        <v>44905</v>
      </c>
      <c r="BE372" t="s">
        <v>96</v>
      </c>
      <c r="BG372" t="s">
        <v>5314</v>
      </c>
      <c r="BI372" t="s">
        <v>98</v>
      </c>
      <c r="BJ372" t="s">
        <v>4258</v>
      </c>
      <c r="BL372" t="s">
        <v>412</v>
      </c>
    </row>
    <row r="373" spans="1:64" hidden="1" x14ac:dyDescent="0.2">
      <c r="A373">
        <v>134</v>
      </c>
      <c r="B373">
        <v>4403382506</v>
      </c>
      <c r="C373" t="s">
        <v>101</v>
      </c>
      <c r="D373" t="s">
        <v>1623</v>
      </c>
      <c r="E373" t="s">
        <v>65</v>
      </c>
      <c r="F373" t="s">
        <v>66</v>
      </c>
      <c r="G373" t="s">
        <v>67</v>
      </c>
      <c r="H373" t="s">
        <v>68</v>
      </c>
      <c r="I373" t="s">
        <v>176</v>
      </c>
      <c r="J373" t="s">
        <v>177</v>
      </c>
      <c r="K373" t="s">
        <v>178</v>
      </c>
      <c r="M373" t="s">
        <v>72</v>
      </c>
      <c r="N373" t="s">
        <v>179</v>
      </c>
      <c r="O373" t="s">
        <v>178</v>
      </c>
      <c r="P373" t="s">
        <v>180</v>
      </c>
      <c r="Q373" t="s">
        <v>75</v>
      </c>
      <c r="R373" t="s">
        <v>1177</v>
      </c>
      <c r="S373" t="s">
        <v>1624</v>
      </c>
      <c r="T373" t="s">
        <v>78</v>
      </c>
      <c r="U373" t="s">
        <v>646</v>
      </c>
      <c r="V373" t="s">
        <v>1179</v>
      </c>
      <c r="W373" s="1">
        <v>45108</v>
      </c>
      <c r="X373" t="s">
        <v>1180</v>
      </c>
      <c r="Y373" t="s">
        <v>1625</v>
      </c>
      <c r="Z373" t="s">
        <v>83</v>
      </c>
      <c r="AA373">
        <v>1</v>
      </c>
      <c r="AB373" t="s">
        <v>1626</v>
      </c>
      <c r="AD373" t="s">
        <v>343</v>
      </c>
      <c r="AE373" t="s">
        <v>86</v>
      </c>
      <c r="AF373" t="s">
        <v>610</v>
      </c>
      <c r="AG373" t="s">
        <v>1595</v>
      </c>
      <c r="AI373" t="s">
        <v>90</v>
      </c>
      <c r="AJ373">
        <v>32.449663999999999</v>
      </c>
      <c r="AK373">
        <v>-110.738276</v>
      </c>
      <c r="AL373">
        <v>3</v>
      </c>
      <c r="AN373">
        <v>2092</v>
      </c>
      <c r="AP373">
        <v>2092</v>
      </c>
      <c r="AQ373">
        <v>2090.9935999999998</v>
      </c>
      <c r="AT373">
        <v>1</v>
      </c>
      <c r="AU373">
        <v>7</v>
      </c>
      <c r="AV373">
        <v>2023</v>
      </c>
      <c r="AW373">
        <v>2438038</v>
      </c>
      <c r="AX373">
        <v>2438038</v>
      </c>
      <c r="AY373" t="s">
        <v>106</v>
      </c>
      <c r="AZ373" t="s">
        <v>92</v>
      </c>
      <c r="BA373" t="s">
        <v>107</v>
      </c>
      <c r="BB373" t="s">
        <v>1627</v>
      </c>
      <c r="BC373" t="s">
        <v>1186</v>
      </c>
      <c r="BD373" s="1">
        <v>45108</v>
      </c>
      <c r="BE373" t="s">
        <v>96</v>
      </c>
      <c r="BG373" t="s">
        <v>1187</v>
      </c>
      <c r="BI373" t="s">
        <v>98</v>
      </c>
      <c r="BJ373" t="s">
        <v>1575</v>
      </c>
      <c r="BK373" t="s">
        <v>365</v>
      </c>
      <c r="BL373" t="s">
        <v>110</v>
      </c>
    </row>
    <row r="374" spans="1:64" hidden="1" x14ac:dyDescent="0.2">
      <c r="A374">
        <v>627</v>
      </c>
      <c r="B374">
        <v>4136459315</v>
      </c>
      <c r="C374" t="s">
        <v>101</v>
      </c>
      <c r="D374" t="s">
        <v>5488</v>
      </c>
      <c r="E374" t="s">
        <v>65</v>
      </c>
      <c r="F374" t="s">
        <v>66</v>
      </c>
      <c r="G374" t="s">
        <v>67</v>
      </c>
      <c r="H374" t="s">
        <v>68</v>
      </c>
      <c r="I374" t="s">
        <v>176</v>
      </c>
      <c r="J374" t="s">
        <v>177</v>
      </c>
      <c r="K374" t="s">
        <v>3925</v>
      </c>
      <c r="M374" t="s">
        <v>72</v>
      </c>
      <c r="N374" t="s">
        <v>3926</v>
      </c>
      <c r="O374" t="s">
        <v>3925</v>
      </c>
      <c r="P374" t="s">
        <v>1176</v>
      </c>
      <c r="Q374" t="s">
        <v>75</v>
      </c>
      <c r="R374" t="s">
        <v>5008</v>
      </c>
      <c r="S374" t="s">
        <v>1281</v>
      </c>
      <c r="T374" t="s">
        <v>78</v>
      </c>
      <c r="U374" t="s">
        <v>5009</v>
      </c>
      <c r="V374" t="s">
        <v>80</v>
      </c>
      <c r="W374" s="1">
        <v>44905</v>
      </c>
      <c r="X374" t="s">
        <v>5010</v>
      </c>
      <c r="Y374" t="s">
        <v>5486</v>
      </c>
      <c r="Z374" t="s">
        <v>83</v>
      </c>
      <c r="AA374">
        <v>1</v>
      </c>
      <c r="AB374" t="s">
        <v>5310</v>
      </c>
      <c r="AC374">
        <v>0</v>
      </c>
      <c r="AD374" t="s">
        <v>128</v>
      </c>
      <c r="AE374" t="s">
        <v>145</v>
      </c>
      <c r="AF374" t="s">
        <v>146</v>
      </c>
      <c r="AG374" t="s">
        <v>5371</v>
      </c>
      <c r="AI374" t="s">
        <v>90</v>
      </c>
      <c r="AJ374">
        <v>32.314622999999997</v>
      </c>
      <c r="AK374">
        <v>-110.71236500000001</v>
      </c>
      <c r="AL374">
        <v>3</v>
      </c>
      <c r="AN374">
        <v>1182</v>
      </c>
      <c r="AP374">
        <v>1182</v>
      </c>
      <c r="AQ374">
        <v>1192.5299950000001</v>
      </c>
      <c r="AT374">
        <v>10</v>
      </c>
      <c r="AU374">
        <v>12</v>
      </c>
      <c r="AV374">
        <v>2022</v>
      </c>
      <c r="AW374">
        <v>2437981</v>
      </c>
      <c r="AX374">
        <v>2437981</v>
      </c>
      <c r="AY374" t="s">
        <v>106</v>
      </c>
      <c r="AZ374" t="s">
        <v>92</v>
      </c>
      <c r="BA374" t="s">
        <v>107</v>
      </c>
      <c r="BB374" t="s">
        <v>5489</v>
      </c>
      <c r="BC374" t="s">
        <v>5313</v>
      </c>
      <c r="BD374" s="1">
        <v>44905</v>
      </c>
      <c r="BE374" t="s">
        <v>96</v>
      </c>
      <c r="BG374" t="s">
        <v>5314</v>
      </c>
      <c r="BI374" t="s">
        <v>98</v>
      </c>
      <c r="BJ374" t="s">
        <v>5490</v>
      </c>
      <c r="BL374" t="s">
        <v>412</v>
      </c>
    </row>
    <row r="375" spans="1:64" x14ac:dyDescent="0.2">
      <c r="A375">
        <v>1443</v>
      </c>
      <c r="B375">
        <v>3748770438</v>
      </c>
      <c r="C375" t="s">
        <v>63</v>
      </c>
      <c r="D375" t="s">
        <v>3583</v>
      </c>
      <c r="E375" t="s">
        <v>65</v>
      </c>
      <c r="F375" t="s">
        <v>66</v>
      </c>
      <c r="G375" t="s">
        <v>67</v>
      </c>
      <c r="H375" t="s">
        <v>68</v>
      </c>
      <c r="I375" t="s">
        <v>176</v>
      </c>
      <c r="J375" t="s">
        <v>177</v>
      </c>
      <c r="K375" t="s">
        <v>1817</v>
      </c>
      <c r="M375" t="s">
        <v>72</v>
      </c>
      <c r="N375" t="s">
        <v>1818</v>
      </c>
      <c r="O375" t="s">
        <v>1817</v>
      </c>
      <c r="P375" t="s">
        <v>1819</v>
      </c>
      <c r="Q375" t="s">
        <v>75</v>
      </c>
      <c r="R375" t="s">
        <v>3564</v>
      </c>
      <c r="S375" t="s">
        <v>3584</v>
      </c>
      <c r="T375" t="s">
        <v>78</v>
      </c>
      <c r="U375" t="s">
        <v>1822</v>
      </c>
      <c r="V375" t="s">
        <v>80</v>
      </c>
      <c r="W375" s="1">
        <v>44508</v>
      </c>
      <c r="X375" t="s">
        <v>1823</v>
      </c>
      <c r="Y375" t="s">
        <v>3585</v>
      </c>
      <c r="Z375" t="s">
        <v>83</v>
      </c>
      <c r="AA375">
        <v>1</v>
      </c>
      <c r="AB375" t="s">
        <v>3586</v>
      </c>
      <c r="AC375">
        <v>1</v>
      </c>
      <c r="AD375" s="6" t="s">
        <v>85</v>
      </c>
      <c r="AE375" s="6" t="s">
        <v>86</v>
      </c>
      <c r="AF375" s="6" t="s">
        <v>146</v>
      </c>
      <c r="AG375" s="6" t="s">
        <v>560</v>
      </c>
      <c r="AH375" s="6" t="s">
        <v>3587</v>
      </c>
      <c r="AI375" s="6" t="s">
        <v>90</v>
      </c>
      <c r="AJ375" s="6">
        <v>32.441132000000003</v>
      </c>
      <c r="AK375" s="6">
        <v>-110.785222</v>
      </c>
      <c r="AL375" s="6">
        <v>4</v>
      </c>
      <c r="AM375" s="6"/>
      <c r="AN375" s="6">
        <v>2762</v>
      </c>
      <c r="AO375" s="6"/>
      <c r="AP375" s="6">
        <v>2762</v>
      </c>
      <c r="AQ375" s="6">
        <v>2778.7345009999999</v>
      </c>
      <c r="AR375" s="6"/>
      <c r="AS375" s="6"/>
      <c r="AT375" s="6">
        <v>8</v>
      </c>
      <c r="AU375" s="6">
        <v>11</v>
      </c>
      <c r="AV375" s="6">
        <v>2021</v>
      </c>
      <c r="AW375" s="6">
        <v>2437967</v>
      </c>
      <c r="AX375" s="6">
        <v>2437967</v>
      </c>
      <c r="AY375" s="6" t="s">
        <v>91</v>
      </c>
      <c r="AZ375" t="s">
        <v>92</v>
      </c>
      <c r="BA375" t="s">
        <v>93</v>
      </c>
      <c r="BB375" t="s">
        <v>3588</v>
      </c>
      <c r="BC375" t="s">
        <v>1186</v>
      </c>
      <c r="BE375" t="s">
        <v>96</v>
      </c>
      <c r="BG375" t="s">
        <v>1186</v>
      </c>
      <c r="BI375" t="s">
        <v>98</v>
      </c>
      <c r="BJ375" t="s">
        <v>3589</v>
      </c>
      <c r="BL375" t="s">
        <v>100</v>
      </c>
    </row>
    <row r="376" spans="1:64" hidden="1" x14ac:dyDescent="0.2">
      <c r="A376">
        <v>139</v>
      </c>
      <c r="B376">
        <v>4403382501</v>
      </c>
      <c r="C376" t="s">
        <v>101</v>
      </c>
      <c r="D376" t="s">
        <v>1634</v>
      </c>
      <c r="E376" t="s">
        <v>65</v>
      </c>
      <c r="F376" t="s">
        <v>66</v>
      </c>
      <c r="G376" t="s">
        <v>67</v>
      </c>
      <c r="H376" t="s">
        <v>68</v>
      </c>
      <c r="I376" t="s">
        <v>176</v>
      </c>
      <c r="J376" t="s">
        <v>177</v>
      </c>
      <c r="K376" t="s">
        <v>178</v>
      </c>
      <c r="M376" t="s">
        <v>72</v>
      </c>
      <c r="N376" t="s">
        <v>179</v>
      </c>
      <c r="O376" t="s">
        <v>178</v>
      </c>
      <c r="P376" t="s">
        <v>180</v>
      </c>
      <c r="Q376" t="s">
        <v>75</v>
      </c>
      <c r="R376" t="s">
        <v>1177</v>
      </c>
      <c r="S376" t="s">
        <v>1635</v>
      </c>
      <c r="T376" t="s">
        <v>78</v>
      </c>
      <c r="U376" t="s">
        <v>646</v>
      </c>
      <c r="V376" t="s">
        <v>1179</v>
      </c>
      <c r="W376" s="1">
        <v>45108</v>
      </c>
      <c r="X376" t="s">
        <v>1180</v>
      </c>
      <c r="Y376" t="s">
        <v>1636</v>
      </c>
      <c r="Z376" t="s">
        <v>83</v>
      </c>
      <c r="AA376">
        <v>1</v>
      </c>
      <c r="AB376" t="s">
        <v>1637</v>
      </c>
      <c r="AD376" t="s">
        <v>343</v>
      </c>
      <c r="AE376" t="s">
        <v>86</v>
      </c>
      <c r="AF376" t="s">
        <v>610</v>
      </c>
      <c r="AG376" t="s">
        <v>1595</v>
      </c>
      <c r="AI376" t="s">
        <v>90</v>
      </c>
      <c r="AJ376">
        <v>32.448991999999997</v>
      </c>
      <c r="AK376">
        <v>-110.737639</v>
      </c>
      <c r="AN376">
        <v>2077</v>
      </c>
      <c r="AP376">
        <v>2077</v>
      </c>
      <c r="AQ376">
        <v>2084.8560000000002</v>
      </c>
      <c r="AT376">
        <v>1</v>
      </c>
      <c r="AU376">
        <v>7</v>
      </c>
      <c r="AV376">
        <v>2023</v>
      </c>
      <c r="AW376">
        <v>2438038</v>
      </c>
      <c r="AX376">
        <v>2438038</v>
      </c>
      <c r="AY376" t="s">
        <v>106</v>
      </c>
      <c r="AZ376" t="s">
        <v>92</v>
      </c>
      <c r="BA376" t="s">
        <v>107</v>
      </c>
      <c r="BB376" t="s">
        <v>1638</v>
      </c>
      <c r="BC376" t="s">
        <v>1186</v>
      </c>
      <c r="BD376" s="1">
        <v>45108</v>
      </c>
      <c r="BE376" t="s">
        <v>96</v>
      </c>
      <c r="BG376" t="s">
        <v>1187</v>
      </c>
      <c r="BI376" t="s">
        <v>98</v>
      </c>
      <c r="BJ376" t="s">
        <v>949</v>
      </c>
      <c r="BK376" t="s">
        <v>365</v>
      </c>
      <c r="BL376" t="s">
        <v>110</v>
      </c>
    </row>
    <row r="377" spans="1:64" hidden="1" x14ac:dyDescent="0.2">
      <c r="A377">
        <v>326</v>
      </c>
      <c r="B377">
        <v>4403382312</v>
      </c>
      <c r="C377" t="s">
        <v>101</v>
      </c>
      <c r="D377" t="s">
        <v>500</v>
      </c>
      <c r="E377" t="s">
        <v>65</v>
      </c>
      <c r="F377" t="s">
        <v>66</v>
      </c>
      <c r="G377" t="s">
        <v>67</v>
      </c>
      <c r="H377" t="s">
        <v>68</v>
      </c>
      <c r="I377" t="s">
        <v>176</v>
      </c>
      <c r="J377" t="s">
        <v>177</v>
      </c>
      <c r="K377" t="s">
        <v>178</v>
      </c>
      <c r="M377" t="s">
        <v>72</v>
      </c>
      <c r="N377" t="s">
        <v>179</v>
      </c>
      <c r="O377" t="s">
        <v>178</v>
      </c>
      <c r="P377" t="s">
        <v>180</v>
      </c>
      <c r="Q377" t="s">
        <v>75</v>
      </c>
      <c r="R377" t="s">
        <v>354</v>
      </c>
      <c r="S377" t="s">
        <v>494</v>
      </c>
      <c r="T377" t="s">
        <v>78</v>
      </c>
      <c r="U377" t="s">
        <v>79</v>
      </c>
      <c r="V377" t="s">
        <v>80</v>
      </c>
      <c r="W377" s="1">
        <v>45115</v>
      </c>
      <c r="X377" t="s">
        <v>356</v>
      </c>
      <c r="Y377" t="s">
        <v>495</v>
      </c>
      <c r="Z377" t="s">
        <v>83</v>
      </c>
      <c r="AA377">
        <v>1</v>
      </c>
      <c r="AB377" t="s">
        <v>367</v>
      </c>
      <c r="AC377">
        <v>0</v>
      </c>
      <c r="AD377" t="s">
        <v>128</v>
      </c>
      <c r="AE377" t="s">
        <v>86</v>
      </c>
      <c r="AF377" t="s">
        <v>146</v>
      </c>
      <c r="AG377" t="s">
        <v>497</v>
      </c>
      <c r="AI377" t="s">
        <v>90</v>
      </c>
      <c r="AJ377">
        <v>32.372689999999999</v>
      </c>
      <c r="AK377">
        <v>-110.702358</v>
      </c>
      <c r="AL377">
        <v>3</v>
      </c>
      <c r="AN377">
        <v>1924</v>
      </c>
      <c r="AP377">
        <v>1924</v>
      </c>
      <c r="AQ377">
        <v>1917.833965</v>
      </c>
      <c r="AT377">
        <v>8</v>
      </c>
      <c r="AU377">
        <v>7</v>
      </c>
      <c r="AV377">
        <v>2023</v>
      </c>
      <c r="AW377">
        <v>2438038</v>
      </c>
      <c r="AX377">
        <v>2438038</v>
      </c>
      <c r="AY377" t="s">
        <v>106</v>
      </c>
      <c r="AZ377" t="s">
        <v>92</v>
      </c>
      <c r="BA377" t="s">
        <v>107</v>
      </c>
      <c r="BB377" t="s">
        <v>501</v>
      </c>
      <c r="BC377" t="s">
        <v>95</v>
      </c>
      <c r="BD377" s="1">
        <v>45115</v>
      </c>
      <c r="BE377" t="s">
        <v>96</v>
      </c>
      <c r="BG377" t="s">
        <v>363</v>
      </c>
      <c r="BI377" t="s">
        <v>98</v>
      </c>
      <c r="BJ377" t="s">
        <v>502</v>
      </c>
      <c r="BL377" t="s">
        <v>110</v>
      </c>
    </row>
    <row r="378" spans="1:64" hidden="1" x14ac:dyDescent="0.2">
      <c r="A378">
        <v>194</v>
      </c>
      <c r="B378">
        <v>4403382446</v>
      </c>
      <c r="C378" t="s">
        <v>101</v>
      </c>
      <c r="D378" t="s">
        <v>510</v>
      </c>
      <c r="E378" t="s">
        <v>65</v>
      </c>
      <c r="F378" t="s">
        <v>66</v>
      </c>
      <c r="G378" t="s">
        <v>67</v>
      </c>
      <c r="H378" t="s">
        <v>68</v>
      </c>
      <c r="I378" t="s">
        <v>176</v>
      </c>
      <c r="J378" t="s">
        <v>177</v>
      </c>
      <c r="K378" t="s">
        <v>178</v>
      </c>
      <c r="M378" t="s">
        <v>72</v>
      </c>
      <c r="N378" t="s">
        <v>179</v>
      </c>
      <c r="O378" t="s">
        <v>178</v>
      </c>
      <c r="P378" t="s">
        <v>180</v>
      </c>
      <c r="Q378" t="s">
        <v>75</v>
      </c>
      <c r="R378" t="s">
        <v>354</v>
      </c>
      <c r="S378" t="s">
        <v>504</v>
      </c>
      <c r="T378" t="s">
        <v>78</v>
      </c>
      <c r="U378" t="s">
        <v>79</v>
      </c>
      <c r="V378" t="s">
        <v>80</v>
      </c>
      <c r="W378" s="1">
        <v>45115</v>
      </c>
      <c r="X378" t="s">
        <v>356</v>
      </c>
      <c r="Y378" t="s">
        <v>505</v>
      </c>
      <c r="Z378" t="s">
        <v>83</v>
      </c>
      <c r="AA378">
        <v>1</v>
      </c>
      <c r="AB378" t="s">
        <v>367</v>
      </c>
      <c r="AC378">
        <v>0</v>
      </c>
      <c r="AD378" t="s">
        <v>128</v>
      </c>
      <c r="AE378" t="s">
        <v>86</v>
      </c>
      <c r="AF378" t="s">
        <v>402</v>
      </c>
      <c r="AG378" t="s">
        <v>507</v>
      </c>
      <c r="AI378" t="s">
        <v>90</v>
      </c>
      <c r="AJ378">
        <v>32.373111999999999</v>
      </c>
      <c r="AK378">
        <v>-110.701581</v>
      </c>
      <c r="AL378">
        <v>3</v>
      </c>
      <c r="AN378">
        <v>1909</v>
      </c>
      <c r="AP378">
        <v>1909</v>
      </c>
      <c r="AQ378">
        <v>1927.0717320000001</v>
      </c>
      <c r="AT378">
        <v>8</v>
      </c>
      <c r="AU378">
        <v>7</v>
      </c>
      <c r="AV378">
        <v>2023</v>
      </c>
      <c r="AW378">
        <v>2438038</v>
      </c>
      <c r="AX378">
        <v>2438038</v>
      </c>
      <c r="AY378" t="s">
        <v>106</v>
      </c>
      <c r="AZ378" t="s">
        <v>92</v>
      </c>
      <c r="BA378" t="s">
        <v>107</v>
      </c>
      <c r="BB378" t="s">
        <v>511</v>
      </c>
      <c r="BC378" t="s">
        <v>95</v>
      </c>
      <c r="BD378" s="1">
        <v>45115</v>
      </c>
      <c r="BE378" t="s">
        <v>96</v>
      </c>
      <c r="BG378" t="s">
        <v>363</v>
      </c>
      <c r="BI378" t="s">
        <v>98</v>
      </c>
      <c r="BJ378" t="s">
        <v>509</v>
      </c>
      <c r="BL378" t="s">
        <v>412</v>
      </c>
    </row>
    <row r="379" spans="1:64" hidden="1" x14ac:dyDescent="0.2">
      <c r="A379">
        <v>157</v>
      </c>
      <c r="B379">
        <v>4403382483</v>
      </c>
      <c r="C379" t="s">
        <v>101</v>
      </c>
      <c r="D379" t="s">
        <v>1654</v>
      </c>
      <c r="E379" t="s">
        <v>65</v>
      </c>
      <c r="F379" t="s">
        <v>66</v>
      </c>
      <c r="G379" t="s">
        <v>67</v>
      </c>
      <c r="H379" t="s">
        <v>68</v>
      </c>
      <c r="I379" t="s">
        <v>176</v>
      </c>
      <c r="J379" t="s">
        <v>1251</v>
      </c>
      <c r="K379" t="s">
        <v>1252</v>
      </c>
      <c r="M379" t="s">
        <v>72</v>
      </c>
      <c r="N379" t="s">
        <v>1253</v>
      </c>
      <c r="O379" t="s">
        <v>1252</v>
      </c>
      <c r="P379" t="s">
        <v>1254</v>
      </c>
      <c r="Q379" t="s">
        <v>75</v>
      </c>
      <c r="R379" t="s">
        <v>1177</v>
      </c>
      <c r="S379" t="s">
        <v>1643</v>
      </c>
      <c r="T379" t="s">
        <v>78</v>
      </c>
      <c r="U379" t="s">
        <v>646</v>
      </c>
      <c r="V379" t="s">
        <v>1179</v>
      </c>
      <c r="W379" s="1">
        <v>45109</v>
      </c>
      <c r="X379" t="s">
        <v>1180</v>
      </c>
      <c r="Y379" t="s">
        <v>1644</v>
      </c>
      <c r="Z379" t="s">
        <v>83</v>
      </c>
      <c r="AA379">
        <v>1</v>
      </c>
      <c r="AB379" t="s">
        <v>367</v>
      </c>
      <c r="AD379" t="s">
        <v>104</v>
      </c>
      <c r="AE379" t="s">
        <v>86</v>
      </c>
      <c r="AF379" t="s">
        <v>402</v>
      </c>
      <c r="AG379" t="s">
        <v>1646</v>
      </c>
      <c r="AH379" t="s">
        <v>1655</v>
      </c>
      <c r="AI379" t="s">
        <v>90</v>
      </c>
      <c r="AJ379">
        <v>32.449154</v>
      </c>
      <c r="AK379">
        <v>-110.737861</v>
      </c>
      <c r="AL379">
        <v>3</v>
      </c>
      <c r="AN379">
        <v>2065</v>
      </c>
      <c r="AP379">
        <v>2065</v>
      </c>
      <c r="AQ379">
        <v>2087.4860619999999</v>
      </c>
      <c r="AT379">
        <v>2</v>
      </c>
      <c r="AU379">
        <v>7</v>
      </c>
      <c r="AV379">
        <v>2023</v>
      </c>
      <c r="AW379">
        <v>2438156</v>
      </c>
      <c r="AX379">
        <v>2438156</v>
      </c>
      <c r="AY379" t="s">
        <v>106</v>
      </c>
      <c r="AZ379" t="s">
        <v>92</v>
      </c>
      <c r="BA379" t="s">
        <v>107</v>
      </c>
      <c r="BB379" t="s">
        <v>1656</v>
      </c>
      <c r="BC379" t="s">
        <v>1186</v>
      </c>
      <c r="BD379" s="1">
        <v>45109</v>
      </c>
      <c r="BE379" t="s">
        <v>96</v>
      </c>
      <c r="BG379" t="s">
        <v>1649</v>
      </c>
      <c r="BI379" t="s">
        <v>98</v>
      </c>
      <c r="BJ379" t="s">
        <v>1657</v>
      </c>
      <c r="BL379" t="s">
        <v>412</v>
      </c>
    </row>
    <row r="380" spans="1:64" hidden="1" x14ac:dyDescent="0.2">
      <c r="A380">
        <v>166</v>
      </c>
      <c r="B380">
        <v>4403382474</v>
      </c>
      <c r="C380" t="s">
        <v>101</v>
      </c>
      <c r="D380" t="s">
        <v>1658</v>
      </c>
      <c r="E380" t="s">
        <v>65</v>
      </c>
      <c r="F380" t="s">
        <v>66</v>
      </c>
      <c r="G380" t="s">
        <v>67</v>
      </c>
      <c r="H380" t="s">
        <v>68</v>
      </c>
      <c r="I380" t="s">
        <v>176</v>
      </c>
      <c r="J380" t="s">
        <v>1251</v>
      </c>
      <c r="K380" t="s">
        <v>1252</v>
      </c>
      <c r="M380" t="s">
        <v>72</v>
      </c>
      <c r="N380" t="s">
        <v>1253</v>
      </c>
      <c r="O380" t="s">
        <v>1252</v>
      </c>
      <c r="P380" t="s">
        <v>1254</v>
      </c>
      <c r="Q380" t="s">
        <v>75</v>
      </c>
      <c r="R380" t="s">
        <v>1177</v>
      </c>
      <c r="S380" t="s">
        <v>1643</v>
      </c>
      <c r="T380" t="s">
        <v>78</v>
      </c>
      <c r="U380" t="s">
        <v>646</v>
      </c>
      <c r="V380" t="s">
        <v>1179</v>
      </c>
      <c r="W380" s="1">
        <v>45109</v>
      </c>
      <c r="X380" t="s">
        <v>1180</v>
      </c>
      <c r="Y380" t="s">
        <v>1644</v>
      </c>
      <c r="Z380" t="s">
        <v>83</v>
      </c>
      <c r="AA380">
        <v>1</v>
      </c>
      <c r="AB380" t="s">
        <v>367</v>
      </c>
      <c r="AD380" t="s">
        <v>116</v>
      </c>
      <c r="AE380" t="s">
        <v>86</v>
      </c>
      <c r="AF380" t="s">
        <v>402</v>
      </c>
      <c r="AG380" t="s">
        <v>1646</v>
      </c>
      <c r="AH380" t="s">
        <v>1655</v>
      </c>
      <c r="AI380" t="s">
        <v>90</v>
      </c>
      <c r="AJ380">
        <v>32.449154</v>
      </c>
      <c r="AK380">
        <v>-110.737861</v>
      </c>
      <c r="AL380">
        <v>3</v>
      </c>
      <c r="AN380">
        <v>2065</v>
      </c>
      <c r="AP380">
        <v>2065</v>
      </c>
      <c r="AQ380">
        <v>2087.4860619999999</v>
      </c>
      <c r="AT380">
        <v>2</v>
      </c>
      <c r="AU380">
        <v>7</v>
      </c>
      <c r="AV380">
        <v>2023</v>
      </c>
      <c r="AW380">
        <v>2438156</v>
      </c>
      <c r="AX380">
        <v>2438156</v>
      </c>
      <c r="AY380" t="s">
        <v>106</v>
      </c>
      <c r="AZ380" t="s">
        <v>92</v>
      </c>
      <c r="BA380" t="s">
        <v>107</v>
      </c>
      <c r="BB380" t="s">
        <v>1659</v>
      </c>
      <c r="BC380" t="s">
        <v>1186</v>
      </c>
      <c r="BD380" s="1">
        <v>45109</v>
      </c>
      <c r="BE380" t="s">
        <v>96</v>
      </c>
      <c r="BG380" t="s">
        <v>1649</v>
      </c>
      <c r="BI380" t="s">
        <v>98</v>
      </c>
      <c r="BJ380" t="s">
        <v>1660</v>
      </c>
      <c r="BL380" t="s">
        <v>412</v>
      </c>
    </row>
    <row r="381" spans="1:64" hidden="1" x14ac:dyDescent="0.2">
      <c r="A381">
        <v>169</v>
      </c>
      <c r="B381">
        <v>4403382471</v>
      </c>
      <c r="C381" t="s">
        <v>101</v>
      </c>
      <c r="D381" t="s">
        <v>1661</v>
      </c>
      <c r="E381" t="s">
        <v>65</v>
      </c>
      <c r="F381" t="s">
        <v>66</v>
      </c>
      <c r="G381" t="s">
        <v>67</v>
      </c>
      <c r="H381" t="s">
        <v>68</v>
      </c>
      <c r="I381" t="s">
        <v>176</v>
      </c>
      <c r="J381" t="s">
        <v>1251</v>
      </c>
      <c r="K381" t="s">
        <v>1252</v>
      </c>
      <c r="M381" t="s">
        <v>72</v>
      </c>
      <c r="N381" t="s">
        <v>1253</v>
      </c>
      <c r="O381" t="s">
        <v>1252</v>
      </c>
      <c r="P381" t="s">
        <v>1254</v>
      </c>
      <c r="Q381" t="s">
        <v>75</v>
      </c>
      <c r="R381" t="s">
        <v>1177</v>
      </c>
      <c r="S381" t="s">
        <v>1643</v>
      </c>
      <c r="T381" t="s">
        <v>78</v>
      </c>
      <c r="U381" t="s">
        <v>646</v>
      </c>
      <c r="V381" t="s">
        <v>1179</v>
      </c>
      <c r="W381" s="1">
        <v>45109</v>
      </c>
      <c r="X381" t="s">
        <v>1180</v>
      </c>
      <c r="Y381" t="s">
        <v>1644</v>
      </c>
      <c r="Z381" t="s">
        <v>83</v>
      </c>
      <c r="AA381">
        <v>1</v>
      </c>
      <c r="AB381" t="s">
        <v>367</v>
      </c>
      <c r="AD381" t="s">
        <v>112</v>
      </c>
      <c r="AE381" t="s">
        <v>86</v>
      </c>
      <c r="AF381" t="s">
        <v>402</v>
      </c>
      <c r="AG381" t="s">
        <v>1646</v>
      </c>
      <c r="AH381" t="s">
        <v>1655</v>
      </c>
      <c r="AI381" t="s">
        <v>90</v>
      </c>
      <c r="AJ381">
        <v>32.449154</v>
      </c>
      <c r="AK381">
        <v>-110.737861</v>
      </c>
      <c r="AL381">
        <v>3</v>
      </c>
      <c r="AN381">
        <v>2065</v>
      </c>
      <c r="AP381">
        <v>2065</v>
      </c>
      <c r="AQ381">
        <v>2087.4860619999999</v>
      </c>
      <c r="AT381">
        <v>2</v>
      </c>
      <c r="AU381">
        <v>7</v>
      </c>
      <c r="AV381">
        <v>2023</v>
      </c>
      <c r="AW381">
        <v>2438156</v>
      </c>
      <c r="AX381">
        <v>2438156</v>
      </c>
      <c r="AY381" t="s">
        <v>106</v>
      </c>
      <c r="AZ381" t="s">
        <v>92</v>
      </c>
      <c r="BA381" t="s">
        <v>107</v>
      </c>
      <c r="BB381" t="s">
        <v>1662</v>
      </c>
      <c r="BC381" t="s">
        <v>1186</v>
      </c>
      <c r="BD381" s="1">
        <v>45109</v>
      </c>
      <c r="BE381" t="s">
        <v>96</v>
      </c>
      <c r="BG381" t="s">
        <v>1649</v>
      </c>
      <c r="BI381" t="s">
        <v>98</v>
      </c>
      <c r="BJ381" t="s">
        <v>1663</v>
      </c>
      <c r="BL381" t="s">
        <v>412</v>
      </c>
    </row>
    <row r="382" spans="1:64" hidden="1" x14ac:dyDescent="0.2">
      <c r="A382">
        <v>172</v>
      </c>
      <c r="B382">
        <v>4403382468</v>
      </c>
      <c r="C382" t="s">
        <v>101</v>
      </c>
      <c r="D382" s="2" t="s">
        <v>1664</v>
      </c>
      <c r="E382" t="s">
        <v>65</v>
      </c>
      <c r="F382" t="s">
        <v>66</v>
      </c>
      <c r="G382" t="s">
        <v>67</v>
      </c>
      <c r="H382" t="s">
        <v>68</v>
      </c>
      <c r="I382" t="s">
        <v>176</v>
      </c>
      <c r="J382" t="s">
        <v>1251</v>
      </c>
      <c r="K382" t="s">
        <v>1252</v>
      </c>
      <c r="M382" t="s">
        <v>72</v>
      </c>
      <c r="N382" t="s">
        <v>1253</v>
      </c>
      <c r="O382" t="s">
        <v>1252</v>
      </c>
      <c r="P382" t="s">
        <v>1254</v>
      </c>
      <c r="Q382" t="s">
        <v>75</v>
      </c>
      <c r="R382" t="s">
        <v>1177</v>
      </c>
      <c r="S382" t="s">
        <v>1643</v>
      </c>
      <c r="T382" t="s">
        <v>78</v>
      </c>
      <c r="U382" t="s">
        <v>646</v>
      </c>
      <c r="V382" t="s">
        <v>1179</v>
      </c>
      <c r="W382" s="1">
        <v>45109</v>
      </c>
      <c r="X382" t="s">
        <v>1180</v>
      </c>
      <c r="Y382" t="s">
        <v>1644</v>
      </c>
      <c r="Z382" t="s">
        <v>83</v>
      </c>
      <c r="AA382">
        <v>1</v>
      </c>
      <c r="AB382" t="s">
        <v>367</v>
      </c>
      <c r="AD382" t="s">
        <v>123</v>
      </c>
      <c r="AE382" t="s">
        <v>86</v>
      </c>
      <c r="AF382" t="s">
        <v>402</v>
      </c>
      <c r="AG382" t="s">
        <v>1646</v>
      </c>
      <c r="AH382" t="s">
        <v>1655</v>
      </c>
      <c r="AI382" t="s">
        <v>90</v>
      </c>
      <c r="AJ382">
        <v>32.449154</v>
      </c>
      <c r="AK382">
        <v>-110.737861</v>
      </c>
      <c r="AL382">
        <v>3</v>
      </c>
      <c r="AN382">
        <v>2065</v>
      </c>
      <c r="AP382">
        <v>2065</v>
      </c>
      <c r="AQ382">
        <v>2087.4860619999999</v>
      </c>
      <c r="AT382">
        <v>2</v>
      </c>
      <c r="AU382">
        <v>7</v>
      </c>
      <c r="AV382">
        <v>2023</v>
      </c>
      <c r="AW382">
        <v>2438156</v>
      </c>
      <c r="AX382">
        <v>2438156</v>
      </c>
      <c r="AY382" t="s">
        <v>106</v>
      </c>
      <c r="AZ382" t="s">
        <v>92</v>
      </c>
      <c r="BA382" t="s">
        <v>107</v>
      </c>
      <c r="BB382" t="s">
        <v>1665</v>
      </c>
      <c r="BC382" t="s">
        <v>1186</v>
      </c>
      <c r="BD382" s="1">
        <v>45109</v>
      </c>
      <c r="BE382" t="s">
        <v>96</v>
      </c>
      <c r="BG382" t="s">
        <v>1649</v>
      </c>
      <c r="BI382" t="s">
        <v>98</v>
      </c>
      <c r="BJ382" t="s">
        <v>1023</v>
      </c>
      <c r="BL382" t="s">
        <v>412</v>
      </c>
    </row>
    <row r="383" spans="1:64" hidden="1" x14ac:dyDescent="0.2">
      <c r="A383">
        <v>175</v>
      </c>
      <c r="B383">
        <v>4403382465</v>
      </c>
      <c r="C383" t="s">
        <v>101</v>
      </c>
      <c r="D383" t="s">
        <v>1666</v>
      </c>
      <c r="E383" t="s">
        <v>65</v>
      </c>
      <c r="F383" t="s">
        <v>66</v>
      </c>
      <c r="G383" t="s">
        <v>67</v>
      </c>
      <c r="H383" t="s">
        <v>68</v>
      </c>
      <c r="I383" t="s">
        <v>176</v>
      </c>
      <c r="J383" t="s">
        <v>1251</v>
      </c>
      <c r="K383" t="s">
        <v>1252</v>
      </c>
      <c r="M383" t="s">
        <v>72</v>
      </c>
      <c r="N383" t="s">
        <v>1253</v>
      </c>
      <c r="O383" t="s">
        <v>1252</v>
      </c>
      <c r="P383" t="s">
        <v>1254</v>
      </c>
      <c r="Q383" t="s">
        <v>75</v>
      </c>
      <c r="R383" t="s">
        <v>1177</v>
      </c>
      <c r="S383" t="s">
        <v>1643</v>
      </c>
      <c r="T383" t="s">
        <v>78</v>
      </c>
      <c r="U383" t="s">
        <v>646</v>
      </c>
      <c r="V383" t="s">
        <v>1179</v>
      </c>
      <c r="W383" s="1">
        <v>45109</v>
      </c>
      <c r="X383" t="s">
        <v>1180</v>
      </c>
      <c r="Y383" t="s">
        <v>1644</v>
      </c>
      <c r="Z383" t="s">
        <v>83</v>
      </c>
      <c r="AA383">
        <v>1</v>
      </c>
      <c r="AB383" t="s">
        <v>367</v>
      </c>
      <c r="AD383" t="s">
        <v>139</v>
      </c>
      <c r="AE383" t="s">
        <v>86</v>
      </c>
      <c r="AF383" t="s">
        <v>402</v>
      </c>
      <c r="AG383" t="s">
        <v>1646</v>
      </c>
      <c r="AH383" t="s">
        <v>1655</v>
      </c>
      <c r="AI383" t="s">
        <v>90</v>
      </c>
      <c r="AJ383">
        <v>32.449154</v>
      </c>
      <c r="AK383">
        <v>-110.737861</v>
      </c>
      <c r="AL383">
        <v>3</v>
      </c>
      <c r="AN383">
        <v>2065</v>
      </c>
      <c r="AP383">
        <v>2065</v>
      </c>
      <c r="AQ383">
        <v>2087.4860619999999</v>
      </c>
      <c r="AT383">
        <v>2</v>
      </c>
      <c r="AU383">
        <v>7</v>
      </c>
      <c r="AV383">
        <v>2023</v>
      </c>
      <c r="AW383">
        <v>2438156</v>
      </c>
      <c r="AX383">
        <v>2438156</v>
      </c>
      <c r="AY383" t="s">
        <v>106</v>
      </c>
      <c r="AZ383" t="s">
        <v>92</v>
      </c>
      <c r="BA383" t="s">
        <v>107</v>
      </c>
      <c r="BB383" t="s">
        <v>1667</v>
      </c>
      <c r="BC383" t="s">
        <v>1186</v>
      </c>
      <c r="BD383" s="1">
        <v>45109</v>
      </c>
      <c r="BE383" t="s">
        <v>96</v>
      </c>
      <c r="BG383" t="s">
        <v>1649</v>
      </c>
      <c r="BI383" t="s">
        <v>98</v>
      </c>
      <c r="BJ383" t="s">
        <v>1663</v>
      </c>
      <c r="BL383" t="s">
        <v>412</v>
      </c>
    </row>
    <row r="384" spans="1:64" hidden="1" x14ac:dyDescent="0.2">
      <c r="A384">
        <v>178</v>
      </c>
      <c r="B384">
        <v>4403382462</v>
      </c>
      <c r="C384" t="s">
        <v>101</v>
      </c>
      <c r="D384" t="s">
        <v>1668</v>
      </c>
      <c r="E384" t="s">
        <v>65</v>
      </c>
      <c r="F384" t="s">
        <v>66</v>
      </c>
      <c r="G384" t="s">
        <v>67</v>
      </c>
      <c r="H384" t="s">
        <v>68</v>
      </c>
      <c r="I384" t="s">
        <v>176</v>
      </c>
      <c r="J384" t="s">
        <v>1251</v>
      </c>
      <c r="K384" t="s">
        <v>1252</v>
      </c>
      <c r="M384" t="s">
        <v>72</v>
      </c>
      <c r="N384" t="s">
        <v>1253</v>
      </c>
      <c r="O384" t="s">
        <v>1252</v>
      </c>
      <c r="P384" t="s">
        <v>1254</v>
      </c>
      <c r="Q384" t="s">
        <v>75</v>
      </c>
      <c r="R384" t="s">
        <v>1177</v>
      </c>
      <c r="S384" t="s">
        <v>1643</v>
      </c>
      <c r="T384" t="s">
        <v>78</v>
      </c>
      <c r="U384" t="s">
        <v>646</v>
      </c>
      <c r="V384" t="s">
        <v>1179</v>
      </c>
      <c r="W384" s="1">
        <v>45109</v>
      </c>
      <c r="X384" t="s">
        <v>1180</v>
      </c>
      <c r="Y384" t="s">
        <v>1644</v>
      </c>
      <c r="Z384" t="s">
        <v>83</v>
      </c>
      <c r="AA384">
        <v>1</v>
      </c>
      <c r="AB384" t="s">
        <v>372</v>
      </c>
      <c r="AD384" t="s">
        <v>134</v>
      </c>
      <c r="AE384" t="s">
        <v>86</v>
      </c>
      <c r="AF384" t="s">
        <v>402</v>
      </c>
      <c r="AG384" t="s">
        <v>1646</v>
      </c>
      <c r="AH384" t="s">
        <v>1669</v>
      </c>
      <c r="AI384" t="s">
        <v>90</v>
      </c>
      <c r="AJ384">
        <v>32.449154</v>
      </c>
      <c r="AK384">
        <v>-110.737861</v>
      </c>
      <c r="AL384">
        <v>3</v>
      </c>
      <c r="AN384">
        <v>2065</v>
      </c>
      <c r="AP384">
        <v>2065</v>
      </c>
      <c r="AQ384">
        <v>2087.4860619999999</v>
      </c>
      <c r="AT384">
        <v>2</v>
      </c>
      <c r="AU384">
        <v>7</v>
      </c>
      <c r="AV384">
        <v>2023</v>
      </c>
      <c r="AW384">
        <v>2438156</v>
      </c>
      <c r="AX384">
        <v>2438156</v>
      </c>
      <c r="AY384" t="s">
        <v>106</v>
      </c>
      <c r="AZ384" t="s">
        <v>92</v>
      </c>
      <c r="BA384" t="s">
        <v>107</v>
      </c>
      <c r="BB384" t="s">
        <v>1670</v>
      </c>
      <c r="BC384" t="s">
        <v>1186</v>
      </c>
      <c r="BD384" s="1">
        <v>45109</v>
      </c>
      <c r="BE384" t="s">
        <v>96</v>
      </c>
      <c r="BG384" t="s">
        <v>1649</v>
      </c>
      <c r="BI384" t="s">
        <v>98</v>
      </c>
      <c r="BJ384" t="s">
        <v>1660</v>
      </c>
      <c r="BL384" t="s">
        <v>412</v>
      </c>
    </row>
    <row r="385" spans="1:64" hidden="1" x14ac:dyDescent="0.2">
      <c r="A385">
        <v>181</v>
      </c>
      <c r="B385">
        <v>4403382459</v>
      </c>
      <c r="C385" t="s">
        <v>101</v>
      </c>
      <c r="D385" t="s">
        <v>1671</v>
      </c>
      <c r="E385" t="s">
        <v>65</v>
      </c>
      <c r="F385" t="s">
        <v>66</v>
      </c>
      <c r="G385" t="s">
        <v>67</v>
      </c>
      <c r="H385" t="s">
        <v>68</v>
      </c>
      <c r="I385" t="s">
        <v>176</v>
      </c>
      <c r="J385" t="s">
        <v>1251</v>
      </c>
      <c r="K385" t="s">
        <v>1252</v>
      </c>
      <c r="M385" t="s">
        <v>72</v>
      </c>
      <c r="N385" t="s">
        <v>1253</v>
      </c>
      <c r="O385" t="s">
        <v>1252</v>
      </c>
      <c r="P385" t="s">
        <v>1254</v>
      </c>
      <c r="Q385" t="s">
        <v>75</v>
      </c>
      <c r="R385" t="s">
        <v>1177</v>
      </c>
      <c r="S385" t="s">
        <v>1643</v>
      </c>
      <c r="T385" t="s">
        <v>78</v>
      </c>
      <c r="U385" t="s">
        <v>646</v>
      </c>
      <c r="V385" t="s">
        <v>1179</v>
      </c>
      <c r="W385" s="1">
        <v>45109</v>
      </c>
      <c r="X385" t="s">
        <v>1180</v>
      </c>
      <c r="Y385" t="s">
        <v>1644</v>
      </c>
      <c r="Z385" t="s">
        <v>83</v>
      </c>
      <c r="AA385">
        <v>1</v>
      </c>
      <c r="AB385" t="s">
        <v>1337</v>
      </c>
      <c r="AD385" t="s">
        <v>378</v>
      </c>
      <c r="AE385" t="s">
        <v>86</v>
      </c>
      <c r="AF385" t="s">
        <v>402</v>
      </c>
      <c r="AG385" t="s">
        <v>1646</v>
      </c>
      <c r="AH385" t="s">
        <v>1655</v>
      </c>
      <c r="AI385" t="s">
        <v>90</v>
      </c>
      <c r="AJ385">
        <v>32.449154</v>
      </c>
      <c r="AK385">
        <v>-110.737861</v>
      </c>
      <c r="AL385">
        <v>3</v>
      </c>
      <c r="AN385">
        <v>2065</v>
      </c>
      <c r="AP385">
        <v>2065</v>
      </c>
      <c r="AQ385">
        <v>2087.4860619999999</v>
      </c>
      <c r="AT385">
        <v>2</v>
      </c>
      <c r="AU385">
        <v>7</v>
      </c>
      <c r="AV385">
        <v>2023</v>
      </c>
      <c r="AW385">
        <v>2438156</v>
      </c>
      <c r="AX385">
        <v>2438156</v>
      </c>
      <c r="AY385" t="s">
        <v>106</v>
      </c>
      <c r="AZ385" t="s">
        <v>92</v>
      </c>
      <c r="BA385" t="s">
        <v>107</v>
      </c>
      <c r="BB385" t="s">
        <v>1672</v>
      </c>
      <c r="BC385" t="s">
        <v>1186</v>
      </c>
      <c r="BD385" s="1">
        <v>45109</v>
      </c>
      <c r="BE385" t="s">
        <v>96</v>
      </c>
      <c r="BG385" t="s">
        <v>1649</v>
      </c>
      <c r="BI385" t="s">
        <v>98</v>
      </c>
      <c r="BJ385" t="s">
        <v>1660</v>
      </c>
      <c r="BL385" t="s">
        <v>412</v>
      </c>
    </row>
    <row r="386" spans="1:64" hidden="1" x14ac:dyDescent="0.2">
      <c r="A386">
        <v>28</v>
      </c>
      <c r="B386">
        <v>4403382612</v>
      </c>
      <c r="C386" t="s">
        <v>101</v>
      </c>
      <c r="D386" t="s">
        <v>1680</v>
      </c>
      <c r="E386" t="s">
        <v>65</v>
      </c>
      <c r="F386" t="s">
        <v>66</v>
      </c>
      <c r="G386" t="s">
        <v>67</v>
      </c>
      <c r="H386" t="s">
        <v>68</v>
      </c>
      <c r="I386" t="s">
        <v>176</v>
      </c>
      <c r="J386" t="s">
        <v>773</v>
      </c>
      <c r="K386" t="s">
        <v>774</v>
      </c>
      <c r="M386" t="s">
        <v>72</v>
      </c>
      <c r="N386" t="s">
        <v>775</v>
      </c>
      <c r="O386" t="s">
        <v>774</v>
      </c>
      <c r="P386" t="s">
        <v>776</v>
      </c>
      <c r="Q386" t="s">
        <v>75</v>
      </c>
      <c r="R386" t="s">
        <v>1177</v>
      </c>
      <c r="S386" t="s">
        <v>1674</v>
      </c>
      <c r="T386" t="s">
        <v>78</v>
      </c>
      <c r="U386" t="s">
        <v>646</v>
      </c>
      <c r="V386" t="s">
        <v>1179</v>
      </c>
      <c r="W386" s="1">
        <v>45109</v>
      </c>
      <c r="X386" t="s">
        <v>1180</v>
      </c>
      <c r="Y386" t="s">
        <v>1675</v>
      </c>
      <c r="Z386" t="s">
        <v>83</v>
      </c>
      <c r="AA386">
        <v>1</v>
      </c>
      <c r="AB386" t="s">
        <v>1337</v>
      </c>
      <c r="AD386" t="s">
        <v>1681</v>
      </c>
      <c r="AE386" t="s">
        <v>86</v>
      </c>
      <c r="AF386" t="s">
        <v>359</v>
      </c>
      <c r="AG386" t="s">
        <v>1677</v>
      </c>
      <c r="AH386" t="s">
        <v>1682</v>
      </c>
      <c r="AI386" t="s">
        <v>90</v>
      </c>
      <c r="AJ386">
        <v>32.450713999999998</v>
      </c>
      <c r="AK386">
        <v>-110.73682599999999</v>
      </c>
      <c r="AL386">
        <v>3</v>
      </c>
      <c r="AN386">
        <v>2063</v>
      </c>
      <c r="AP386">
        <v>2063</v>
      </c>
      <c r="AQ386">
        <v>2064.604855</v>
      </c>
      <c r="AT386">
        <v>2</v>
      </c>
      <c r="AU386">
        <v>7</v>
      </c>
      <c r="AV386">
        <v>2023</v>
      </c>
      <c r="AW386">
        <v>2438447</v>
      </c>
      <c r="AX386">
        <v>2438447</v>
      </c>
      <c r="AY386" t="s">
        <v>106</v>
      </c>
      <c r="AZ386" t="s">
        <v>92</v>
      </c>
      <c r="BA386" t="s">
        <v>107</v>
      </c>
      <c r="BB386" t="s">
        <v>1683</v>
      </c>
      <c r="BC386" t="s">
        <v>1186</v>
      </c>
      <c r="BD386" s="1">
        <v>45109</v>
      </c>
      <c r="BE386" t="s">
        <v>96</v>
      </c>
      <c r="BG386" t="s">
        <v>1649</v>
      </c>
      <c r="BI386" t="s">
        <v>98</v>
      </c>
      <c r="BJ386" t="s">
        <v>1684</v>
      </c>
      <c r="BL386" t="s">
        <v>412</v>
      </c>
    </row>
    <row r="387" spans="1:64" hidden="1" x14ac:dyDescent="0.2">
      <c r="A387">
        <v>198</v>
      </c>
      <c r="B387">
        <v>4403382442</v>
      </c>
      <c r="C387" t="s">
        <v>101</v>
      </c>
      <c r="D387" t="s">
        <v>518</v>
      </c>
      <c r="E387" t="s">
        <v>65</v>
      </c>
      <c r="F387" t="s">
        <v>66</v>
      </c>
      <c r="G387" t="s">
        <v>67</v>
      </c>
      <c r="H387" t="s">
        <v>68</v>
      </c>
      <c r="I387" t="s">
        <v>176</v>
      </c>
      <c r="J387" t="s">
        <v>177</v>
      </c>
      <c r="K387" t="s">
        <v>178</v>
      </c>
      <c r="M387" t="s">
        <v>72</v>
      </c>
      <c r="N387" t="s">
        <v>179</v>
      </c>
      <c r="O387" t="s">
        <v>178</v>
      </c>
      <c r="P387" t="s">
        <v>180</v>
      </c>
      <c r="Q387" t="s">
        <v>75</v>
      </c>
      <c r="R387" t="s">
        <v>354</v>
      </c>
      <c r="S387" t="s">
        <v>513</v>
      </c>
      <c r="T387" t="s">
        <v>78</v>
      </c>
      <c r="U387" t="s">
        <v>79</v>
      </c>
      <c r="V387" t="s">
        <v>80</v>
      </c>
      <c r="W387" s="1">
        <v>45115</v>
      </c>
      <c r="X387" t="s">
        <v>356</v>
      </c>
      <c r="Y387" t="s">
        <v>514</v>
      </c>
      <c r="Z387" t="s">
        <v>83</v>
      </c>
      <c r="AA387">
        <v>1</v>
      </c>
      <c r="AB387" t="s">
        <v>367</v>
      </c>
      <c r="AC387">
        <v>0</v>
      </c>
      <c r="AD387" t="s">
        <v>128</v>
      </c>
      <c r="AE387" t="s">
        <v>86</v>
      </c>
      <c r="AF387" t="s">
        <v>359</v>
      </c>
      <c r="AG387" t="s">
        <v>516</v>
      </c>
      <c r="AI387" t="s">
        <v>90</v>
      </c>
      <c r="AJ387">
        <v>32.372056999999998</v>
      </c>
      <c r="AK387">
        <v>-110.70291</v>
      </c>
      <c r="AL387">
        <v>3</v>
      </c>
      <c r="AN387">
        <v>1894</v>
      </c>
      <c r="AP387">
        <v>1894</v>
      </c>
      <c r="AQ387">
        <v>1901.9162260000001</v>
      </c>
      <c r="AT387">
        <v>8</v>
      </c>
      <c r="AU387">
        <v>7</v>
      </c>
      <c r="AV387">
        <v>2023</v>
      </c>
      <c r="AW387">
        <v>2438038</v>
      </c>
      <c r="AX387">
        <v>2438038</v>
      </c>
      <c r="AY387" t="s">
        <v>106</v>
      </c>
      <c r="AZ387" t="s">
        <v>92</v>
      </c>
      <c r="BA387" t="s">
        <v>107</v>
      </c>
      <c r="BB387" t="s">
        <v>519</v>
      </c>
      <c r="BC387" t="s">
        <v>95</v>
      </c>
      <c r="BD387" s="1">
        <v>45115</v>
      </c>
      <c r="BE387" t="s">
        <v>96</v>
      </c>
      <c r="BG387" t="s">
        <v>363</v>
      </c>
      <c r="BI387" t="s">
        <v>98</v>
      </c>
      <c r="BJ387" t="s">
        <v>520</v>
      </c>
      <c r="BL387" t="s">
        <v>110</v>
      </c>
    </row>
    <row r="388" spans="1:64" hidden="1" x14ac:dyDescent="0.2">
      <c r="A388">
        <v>4</v>
      </c>
      <c r="B388">
        <v>4403382636</v>
      </c>
      <c r="C388" t="s">
        <v>101</v>
      </c>
      <c r="D388" t="s">
        <v>1689</v>
      </c>
      <c r="E388" t="s">
        <v>65</v>
      </c>
      <c r="F388" t="s">
        <v>66</v>
      </c>
      <c r="G388" t="s">
        <v>67</v>
      </c>
      <c r="H388" t="s">
        <v>68</v>
      </c>
      <c r="I388" t="s">
        <v>176</v>
      </c>
      <c r="J388" t="s">
        <v>773</v>
      </c>
      <c r="K388" t="s">
        <v>774</v>
      </c>
      <c r="M388" t="s">
        <v>72</v>
      </c>
      <c r="N388" t="s">
        <v>775</v>
      </c>
      <c r="O388" t="s">
        <v>774</v>
      </c>
      <c r="P388" t="s">
        <v>776</v>
      </c>
      <c r="Q388" t="s">
        <v>75</v>
      </c>
      <c r="R388" t="s">
        <v>1177</v>
      </c>
      <c r="S388" t="s">
        <v>1674</v>
      </c>
      <c r="T388" t="s">
        <v>78</v>
      </c>
      <c r="U388" t="s">
        <v>646</v>
      </c>
      <c r="V388" t="s">
        <v>1179</v>
      </c>
      <c r="W388" s="1">
        <v>45109</v>
      </c>
      <c r="X388" t="s">
        <v>1180</v>
      </c>
      <c r="Y388" t="s">
        <v>1675</v>
      </c>
      <c r="Z388" t="s">
        <v>83</v>
      </c>
      <c r="AA388">
        <v>1</v>
      </c>
      <c r="AB388" t="s">
        <v>367</v>
      </c>
      <c r="AD388" t="s">
        <v>104</v>
      </c>
      <c r="AE388" t="s">
        <v>86</v>
      </c>
      <c r="AF388" t="s">
        <v>359</v>
      </c>
      <c r="AG388" t="s">
        <v>1677</v>
      </c>
      <c r="AH388" t="s">
        <v>1682</v>
      </c>
      <c r="AI388" t="s">
        <v>90</v>
      </c>
      <c r="AJ388">
        <v>32.450713999999998</v>
      </c>
      <c r="AK388">
        <v>-110.73682599999999</v>
      </c>
      <c r="AL388">
        <v>3</v>
      </c>
      <c r="AN388">
        <v>2063</v>
      </c>
      <c r="AP388">
        <v>2063</v>
      </c>
      <c r="AQ388">
        <v>2064.604855</v>
      </c>
      <c r="AT388">
        <v>2</v>
      </c>
      <c r="AU388">
        <v>7</v>
      </c>
      <c r="AV388">
        <v>2023</v>
      </c>
      <c r="AW388">
        <v>2438447</v>
      </c>
      <c r="AX388">
        <v>2438447</v>
      </c>
      <c r="AY388" t="s">
        <v>106</v>
      </c>
      <c r="AZ388" t="s">
        <v>92</v>
      </c>
      <c r="BA388" t="s">
        <v>107</v>
      </c>
      <c r="BB388" t="s">
        <v>1690</v>
      </c>
      <c r="BC388" t="s">
        <v>1186</v>
      </c>
      <c r="BD388" s="1">
        <v>45109</v>
      </c>
      <c r="BE388" t="s">
        <v>96</v>
      </c>
      <c r="BG388" t="s">
        <v>1649</v>
      </c>
      <c r="BI388" t="s">
        <v>98</v>
      </c>
      <c r="BJ388" t="s">
        <v>1691</v>
      </c>
      <c r="BL388" t="s">
        <v>412</v>
      </c>
    </row>
    <row r="389" spans="1:64" hidden="1" x14ac:dyDescent="0.2">
      <c r="A389">
        <v>159</v>
      </c>
      <c r="B389">
        <v>4403382481</v>
      </c>
      <c r="C389" t="s">
        <v>101</v>
      </c>
      <c r="D389" t="s">
        <v>1692</v>
      </c>
      <c r="E389" t="s">
        <v>65</v>
      </c>
      <c r="F389" t="s">
        <v>66</v>
      </c>
      <c r="G389" t="s">
        <v>67</v>
      </c>
      <c r="H389" t="s">
        <v>68</v>
      </c>
      <c r="I389" t="s">
        <v>176</v>
      </c>
      <c r="J389" t="s">
        <v>773</v>
      </c>
      <c r="K389" t="s">
        <v>774</v>
      </c>
      <c r="M389" t="s">
        <v>72</v>
      </c>
      <c r="N389" t="s">
        <v>775</v>
      </c>
      <c r="O389" t="s">
        <v>774</v>
      </c>
      <c r="P389" t="s">
        <v>776</v>
      </c>
      <c r="Q389" t="s">
        <v>75</v>
      </c>
      <c r="R389" t="s">
        <v>1177</v>
      </c>
      <c r="S389" t="s">
        <v>1674</v>
      </c>
      <c r="T389" t="s">
        <v>78</v>
      </c>
      <c r="U389" t="s">
        <v>646</v>
      </c>
      <c r="V389" t="s">
        <v>1179</v>
      </c>
      <c r="W389" s="1">
        <v>45109</v>
      </c>
      <c r="X389" t="s">
        <v>1180</v>
      </c>
      <c r="Y389" t="s">
        <v>1675</v>
      </c>
      <c r="Z389" t="s">
        <v>83</v>
      </c>
      <c r="AA389">
        <v>1</v>
      </c>
      <c r="AB389" t="s">
        <v>1337</v>
      </c>
      <c r="AD389" t="s">
        <v>1693</v>
      </c>
      <c r="AE389" t="s">
        <v>86</v>
      </c>
      <c r="AF389" t="s">
        <v>359</v>
      </c>
      <c r="AG389" t="s">
        <v>1677</v>
      </c>
      <c r="AH389" t="s">
        <v>1682</v>
      </c>
      <c r="AI389" t="s">
        <v>90</v>
      </c>
      <c r="AJ389">
        <v>32.450713999999998</v>
      </c>
      <c r="AK389">
        <v>-110.73682599999999</v>
      </c>
      <c r="AL389">
        <v>3</v>
      </c>
      <c r="AN389">
        <v>2063</v>
      </c>
      <c r="AP389">
        <v>2063</v>
      </c>
      <c r="AQ389">
        <v>2064.604855</v>
      </c>
      <c r="AT389">
        <v>2</v>
      </c>
      <c r="AU389">
        <v>7</v>
      </c>
      <c r="AV389">
        <v>2023</v>
      </c>
      <c r="AW389">
        <v>2438447</v>
      </c>
      <c r="AX389">
        <v>2438447</v>
      </c>
      <c r="AY389" t="s">
        <v>106</v>
      </c>
      <c r="AZ389" t="s">
        <v>92</v>
      </c>
      <c r="BA389" t="s">
        <v>107</v>
      </c>
      <c r="BB389" t="s">
        <v>1694</v>
      </c>
      <c r="BC389" t="s">
        <v>1186</v>
      </c>
      <c r="BD389" s="1">
        <v>45109</v>
      </c>
      <c r="BE389" t="s">
        <v>96</v>
      </c>
      <c r="BG389" t="s">
        <v>1649</v>
      </c>
      <c r="BI389" t="s">
        <v>98</v>
      </c>
      <c r="BJ389" t="s">
        <v>1653</v>
      </c>
      <c r="BL389" t="s">
        <v>412</v>
      </c>
    </row>
    <row r="390" spans="1:64" hidden="1" x14ac:dyDescent="0.2">
      <c r="A390">
        <v>8</v>
      </c>
      <c r="B390">
        <v>4403382632</v>
      </c>
      <c r="C390" t="s">
        <v>101</v>
      </c>
      <c r="D390" t="s">
        <v>1695</v>
      </c>
      <c r="E390" t="s">
        <v>65</v>
      </c>
      <c r="F390" t="s">
        <v>66</v>
      </c>
      <c r="G390" t="s">
        <v>67</v>
      </c>
      <c r="H390" t="s">
        <v>68</v>
      </c>
      <c r="I390" t="s">
        <v>176</v>
      </c>
      <c r="J390" t="s">
        <v>773</v>
      </c>
      <c r="K390" t="s">
        <v>774</v>
      </c>
      <c r="M390" t="s">
        <v>72</v>
      </c>
      <c r="N390" t="s">
        <v>775</v>
      </c>
      <c r="O390" t="s">
        <v>774</v>
      </c>
      <c r="P390" t="s">
        <v>776</v>
      </c>
      <c r="Q390" t="s">
        <v>75</v>
      </c>
      <c r="R390" t="s">
        <v>1177</v>
      </c>
      <c r="S390" t="s">
        <v>1674</v>
      </c>
      <c r="T390" t="s">
        <v>78</v>
      </c>
      <c r="U390" t="s">
        <v>646</v>
      </c>
      <c r="V390" t="s">
        <v>1179</v>
      </c>
      <c r="W390" s="1">
        <v>45109</v>
      </c>
      <c r="X390" t="s">
        <v>1180</v>
      </c>
      <c r="Y390" t="s">
        <v>1675</v>
      </c>
      <c r="Z390" t="s">
        <v>83</v>
      </c>
      <c r="AA390">
        <v>1</v>
      </c>
      <c r="AB390" t="s">
        <v>367</v>
      </c>
      <c r="AD390" t="s">
        <v>116</v>
      </c>
      <c r="AE390" t="s">
        <v>86</v>
      </c>
      <c r="AF390" t="s">
        <v>359</v>
      </c>
      <c r="AG390" t="s">
        <v>1677</v>
      </c>
      <c r="AH390" t="s">
        <v>1682</v>
      </c>
      <c r="AI390" t="s">
        <v>90</v>
      </c>
      <c r="AJ390">
        <v>32.450713999999998</v>
      </c>
      <c r="AK390">
        <v>-110.73682599999999</v>
      </c>
      <c r="AL390">
        <v>3</v>
      </c>
      <c r="AN390">
        <v>2063</v>
      </c>
      <c r="AP390">
        <v>2063</v>
      </c>
      <c r="AQ390">
        <v>2064.604855</v>
      </c>
      <c r="AT390">
        <v>2</v>
      </c>
      <c r="AU390">
        <v>7</v>
      </c>
      <c r="AV390">
        <v>2023</v>
      </c>
      <c r="AW390">
        <v>2438447</v>
      </c>
      <c r="AX390">
        <v>2438447</v>
      </c>
      <c r="AY390" t="s">
        <v>106</v>
      </c>
      <c r="AZ390" t="s">
        <v>92</v>
      </c>
      <c r="BA390" t="s">
        <v>107</v>
      </c>
      <c r="BB390" t="s">
        <v>1696</v>
      </c>
      <c r="BC390" t="s">
        <v>1186</v>
      </c>
      <c r="BD390" s="1">
        <v>45109</v>
      </c>
      <c r="BE390" t="s">
        <v>96</v>
      </c>
      <c r="BG390" t="s">
        <v>1649</v>
      </c>
      <c r="BI390" t="s">
        <v>98</v>
      </c>
      <c r="BJ390" t="s">
        <v>1691</v>
      </c>
      <c r="BL390" t="s">
        <v>412</v>
      </c>
    </row>
    <row r="391" spans="1:64" hidden="1" x14ac:dyDescent="0.2">
      <c r="A391">
        <v>10</v>
      </c>
      <c r="B391">
        <v>4403382630</v>
      </c>
      <c r="C391" t="s">
        <v>101</v>
      </c>
      <c r="D391" t="s">
        <v>1697</v>
      </c>
      <c r="E391" t="s">
        <v>65</v>
      </c>
      <c r="F391" t="s">
        <v>66</v>
      </c>
      <c r="G391" t="s">
        <v>67</v>
      </c>
      <c r="H391" t="s">
        <v>68</v>
      </c>
      <c r="I391" t="s">
        <v>176</v>
      </c>
      <c r="J391" t="s">
        <v>773</v>
      </c>
      <c r="K391" t="s">
        <v>774</v>
      </c>
      <c r="M391" t="s">
        <v>72</v>
      </c>
      <c r="N391" t="s">
        <v>775</v>
      </c>
      <c r="O391" t="s">
        <v>774</v>
      </c>
      <c r="P391" t="s">
        <v>776</v>
      </c>
      <c r="Q391" t="s">
        <v>75</v>
      </c>
      <c r="R391" t="s">
        <v>1177</v>
      </c>
      <c r="S391" t="s">
        <v>1674</v>
      </c>
      <c r="T391" t="s">
        <v>78</v>
      </c>
      <c r="U391" t="s">
        <v>646</v>
      </c>
      <c r="V391" t="s">
        <v>1179</v>
      </c>
      <c r="W391" s="1">
        <v>45109</v>
      </c>
      <c r="X391" t="s">
        <v>1180</v>
      </c>
      <c r="Y391" t="s">
        <v>1675</v>
      </c>
      <c r="Z391" t="s">
        <v>83</v>
      </c>
      <c r="AA391">
        <v>1</v>
      </c>
      <c r="AB391" t="s">
        <v>367</v>
      </c>
      <c r="AD391" t="s">
        <v>112</v>
      </c>
      <c r="AE391" t="s">
        <v>86</v>
      </c>
      <c r="AF391" t="s">
        <v>359</v>
      </c>
      <c r="AG391" t="s">
        <v>1677</v>
      </c>
      <c r="AH391" t="s">
        <v>1682</v>
      </c>
      <c r="AI391" t="s">
        <v>90</v>
      </c>
      <c r="AJ391">
        <v>32.450713999999998</v>
      </c>
      <c r="AK391">
        <v>-110.73682599999999</v>
      </c>
      <c r="AL391">
        <v>3</v>
      </c>
      <c r="AN391">
        <v>2063</v>
      </c>
      <c r="AP391">
        <v>2063</v>
      </c>
      <c r="AQ391">
        <v>2064.604855</v>
      </c>
      <c r="AT391">
        <v>2</v>
      </c>
      <c r="AU391">
        <v>7</v>
      </c>
      <c r="AV391">
        <v>2023</v>
      </c>
      <c r="AW391">
        <v>2438447</v>
      </c>
      <c r="AX391">
        <v>2438447</v>
      </c>
      <c r="AY391" t="s">
        <v>106</v>
      </c>
      <c r="AZ391" t="s">
        <v>92</v>
      </c>
      <c r="BA391" t="s">
        <v>107</v>
      </c>
      <c r="BB391" t="s">
        <v>1698</v>
      </c>
      <c r="BC391" t="s">
        <v>1186</v>
      </c>
      <c r="BD391" s="1">
        <v>45109</v>
      </c>
      <c r="BE391" t="s">
        <v>96</v>
      </c>
      <c r="BG391" t="s">
        <v>1649</v>
      </c>
      <c r="BI391" t="s">
        <v>98</v>
      </c>
      <c r="BJ391" t="s">
        <v>1691</v>
      </c>
      <c r="BL391" t="s">
        <v>412</v>
      </c>
    </row>
    <row r="392" spans="1:64" hidden="1" x14ac:dyDescent="0.2">
      <c r="A392">
        <v>13</v>
      </c>
      <c r="B392">
        <v>4403382627</v>
      </c>
      <c r="C392" t="s">
        <v>101</v>
      </c>
      <c r="D392" t="s">
        <v>1699</v>
      </c>
      <c r="E392" t="s">
        <v>65</v>
      </c>
      <c r="F392" t="s">
        <v>66</v>
      </c>
      <c r="G392" t="s">
        <v>67</v>
      </c>
      <c r="H392" t="s">
        <v>68</v>
      </c>
      <c r="I392" t="s">
        <v>176</v>
      </c>
      <c r="J392" t="s">
        <v>773</v>
      </c>
      <c r="K392" t="s">
        <v>774</v>
      </c>
      <c r="M392" t="s">
        <v>72</v>
      </c>
      <c r="N392" t="s">
        <v>775</v>
      </c>
      <c r="O392" t="s">
        <v>774</v>
      </c>
      <c r="P392" t="s">
        <v>776</v>
      </c>
      <c r="Q392" t="s">
        <v>75</v>
      </c>
      <c r="R392" t="s">
        <v>1177</v>
      </c>
      <c r="S392" t="s">
        <v>1674</v>
      </c>
      <c r="T392" t="s">
        <v>78</v>
      </c>
      <c r="U392" t="s">
        <v>646</v>
      </c>
      <c r="V392" t="s">
        <v>1179</v>
      </c>
      <c r="W392" s="1">
        <v>45109</v>
      </c>
      <c r="X392" t="s">
        <v>1180</v>
      </c>
      <c r="Y392" t="s">
        <v>1675</v>
      </c>
      <c r="Z392" t="s">
        <v>83</v>
      </c>
      <c r="AA392">
        <v>1</v>
      </c>
      <c r="AB392" t="s">
        <v>367</v>
      </c>
      <c r="AD392" t="s">
        <v>123</v>
      </c>
      <c r="AE392" t="s">
        <v>86</v>
      </c>
      <c r="AF392" t="s">
        <v>359</v>
      </c>
      <c r="AG392" t="s">
        <v>1677</v>
      </c>
      <c r="AH392" t="s">
        <v>1682</v>
      </c>
      <c r="AI392" t="s">
        <v>90</v>
      </c>
      <c r="AJ392">
        <v>32.450713999999998</v>
      </c>
      <c r="AK392">
        <v>-110.73682599999999</v>
      </c>
      <c r="AL392">
        <v>3</v>
      </c>
      <c r="AN392">
        <v>2063</v>
      </c>
      <c r="AP392">
        <v>2063</v>
      </c>
      <c r="AQ392">
        <v>2064.604855</v>
      </c>
      <c r="AT392">
        <v>2</v>
      </c>
      <c r="AU392">
        <v>7</v>
      </c>
      <c r="AV392">
        <v>2023</v>
      </c>
      <c r="AW392">
        <v>2438447</v>
      </c>
      <c r="AX392">
        <v>2438447</v>
      </c>
      <c r="AY392" t="s">
        <v>106</v>
      </c>
      <c r="AZ392" t="s">
        <v>92</v>
      </c>
      <c r="BA392" t="s">
        <v>107</v>
      </c>
      <c r="BB392" t="s">
        <v>1700</v>
      </c>
      <c r="BC392" t="s">
        <v>1186</v>
      </c>
      <c r="BD392" s="1">
        <v>45109</v>
      </c>
      <c r="BE392" t="s">
        <v>96</v>
      </c>
      <c r="BG392" t="s">
        <v>1649</v>
      </c>
      <c r="BI392" t="s">
        <v>98</v>
      </c>
      <c r="BJ392" t="s">
        <v>1701</v>
      </c>
      <c r="BL392" t="s">
        <v>412</v>
      </c>
    </row>
    <row r="393" spans="1:64" hidden="1" x14ac:dyDescent="0.2">
      <c r="A393">
        <v>16</v>
      </c>
      <c r="B393">
        <v>4403382624</v>
      </c>
      <c r="C393" t="s">
        <v>101</v>
      </c>
      <c r="D393" t="s">
        <v>1702</v>
      </c>
      <c r="E393" t="s">
        <v>65</v>
      </c>
      <c r="F393" t="s">
        <v>66</v>
      </c>
      <c r="G393" t="s">
        <v>67</v>
      </c>
      <c r="H393" t="s">
        <v>68</v>
      </c>
      <c r="I393" t="s">
        <v>176</v>
      </c>
      <c r="J393" t="s">
        <v>773</v>
      </c>
      <c r="K393" t="s">
        <v>774</v>
      </c>
      <c r="M393" t="s">
        <v>72</v>
      </c>
      <c r="N393" t="s">
        <v>775</v>
      </c>
      <c r="O393" t="s">
        <v>774</v>
      </c>
      <c r="P393" t="s">
        <v>776</v>
      </c>
      <c r="Q393" t="s">
        <v>75</v>
      </c>
      <c r="R393" t="s">
        <v>1177</v>
      </c>
      <c r="S393" t="s">
        <v>1674</v>
      </c>
      <c r="T393" t="s">
        <v>78</v>
      </c>
      <c r="U393" t="s">
        <v>646</v>
      </c>
      <c r="V393" t="s">
        <v>1179</v>
      </c>
      <c r="W393" s="1">
        <v>45109</v>
      </c>
      <c r="X393" t="s">
        <v>1180</v>
      </c>
      <c r="Y393" t="s">
        <v>1675</v>
      </c>
      <c r="Z393" t="s">
        <v>83</v>
      </c>
      <c r="AA393">
        <v>1</v>
      </c>
      <c r="AB393" t="s">
        <v>367</v>
      </c>
      <c r="AD393" t="s">
        <v>139</v>
      </c>
      <c r="AE393" t="s">
        <v>86</v>
      </c>
      <c r="AF393" t="s">
        <v>359</v>
      </c>
      <c r="AG393" t="s">
        <v>1677</v>
      </c>
      <c r="AH393" t="s">
        <v>1682</v>
      </c>
      <c r="AI393" t="s">
        <v>90</v>
      </c>
      <c r="AJ393">
        <v>32.450713999999998</v>
      </c>
      <c r="AK393">
        <v>-110.73682599999999</v>
      </c>
      <c r="AL393">
        <v>3</v>
      </c>
      <c r="AN393">
        <v>2063</v>
      </c>
      <c r="AP393">
        <v>2063</v>
      </c>
      <c r="AQ393">
        <v>2064.604855</v>
      </c>
      <c r="AT393">
        <v>2</v>
      </c>
      <c r="AU393">
        <v>7</v>
      </c>
      <c r="AV393">
        <v>2023</v>
      </c>
      <c r="AW393">
        <v>2438447</v>
      </c>
      <c r="AX393">
        <v>2438447</v>
      </c>
      <c r="AY393" t="s">
        <v>106</v>
      </c>
      <c r="AZ393" t="s">
        <v>92</v>
      </c>
      <c r="BA393" t="s">
        <v>107</v>
      </c>
      <c r="BB393" t="s">
        <v>1703</v>
      </c>
      <c r="BC393" t="s">
        <v>1186</v>
      </c>
      <c r="BD393" s="1">
        <v>45109</v>
      </c>
      <c r="BE393" t="s">
        <v>96</v>
      </c>
      <c r="BG393" t="s">
        <v>1649</v>
      </c>
      <c r="BI393" t="s">
        <v>98</v>
      </c>
      <c r="BJ393" t="s">
        <v>1704</v>
      </c>
      <c r="BL393" t="s">
        <v>412</v>
      </c>
    </row>
    <row r="394" spans="1:64" hidden="1" x14ac:dyDescent="0.2">
      <c r="A394">
        <v>19</v>
      </c>
      <c r="B394">
        <v>4403382621</v>
      </c>
      <c r="C394" t="s">
        <v>101</v>
      </c>
      <c r="D394" t="s">
        <v>1705</v>
      </c>
      <c r="E394" t="s">
        <v>65</v>
      </c>
      <c r="F394" t="s">
        <v>66</v>
      </c>
      <c r="G394" t="s">
        <v>67</v>
      </c>
      <c r="H394" t="s">
        <v>68</v>
      </c>
      <c r="I394" t="s">
        <v>176</v>
      </c>
      <c r="J394" t="s">
        <v>773</v>
      </c>
      <c r="K394" t="s">
        <v>774</v>
      </c>
      <c r="M394" t="s">
        <v>72</v>
      </c>
      <c r="N394" t="s">
        <v>775</v>
      </c>
      <c r="O394" t="s">
        <v>774</v>
      </c>
      <c r="P394" t="s">
        <v>776</v>
      </c>
      <c r="Q394" t="s">
        <v>75</v>
      </c>
      <c r="R394" t="s">
        <v>1177</v>
      </c>
      <c r="S394" t="s">
        <v>1674</v>
      </c>
      <c r="T394" t="s">
        <v>78</v>
      </c>
      <c r="U394" t="s">
        <v>646</v>
      </c>
      <c r="V394" t="s">
        <v>1179</v>
      </c>
      <c r="W394" s="1">
        <v>45109</v>
      </c>
      <c r="X394" t="s">
        <v>1180</v>
      </c>
      <c r="Y394" t="s">
        <v>1675</v>
      </c>
      <c r="Z394" t="s">
        <v>83</v>
      </c>
      <c r="AA394">
        <v>1</v>
      </c>
      <c r="AB394" t="s">
        <v>367</v>
      </c>
      <c r="AD394" t="s">
        <v>1706</v>
      </c>
      <c r="AE394" t="s">
        <v>86</v>
      </c>
      <c r="AF394" t="s">
        <v>359</v>
      </c>
      <c r="AG394" t="s">
        <v>1677</v>
      </c>
      <c r="AH394" t="s">
        <v>1682</v>
      </c>
      <c r="AI394" t="s">
        <v>90</v>
      </c>
      <c r="AJ394">
        <v>32.450713999999998</v>
      </c>
      <c r="AK394">
        <v>-110.73682599999999</v>
      </c>
      <c r="AL394">
        <v>3</v>
      </c>
      <c r="AN394">
        <v>2063</v>
      </c>
      <c r="AP394">
        <v>2063</v>
      </c>
      <c r="AQ394">
        <v>2064.604855</v>
      </c>
      <c r="AT394">
        <v>2</v>
      </c>
      <c r="AU394">
        <v>7</v>
      </c>
      <c r="AV394">
        <v>2023</v>
      </c>
      <c r="AW394">
        <v>2438447</v>
      </c>
      <c r="AX394">
        <v>2438447</v>
      </c>
      <c r="AY394" t="s">
        <v>106</v>
      </c>
      <c r="AZ394" t="s">
        <v>92</v>
      </c>
      <c r="BA394" t="s">
        <v>107</v>
      </c>
      <c r="BB394" t="s">
        <v>1707</v>
      </c>
      <c r="BC394" t="s">
        <v>1186</v>
      </c>
      <c r="BD394" s="1">
        <v>45109</v>
      </c>
      <c r="BE394" t="s">
        <v>96</v>
      </c>
      <c r="BG394" t="s">
        <v>1649</v>
      </c>
      <c r="BI394" t="s">
        <v>98</v>
      </c>
      <c r="BJ394" t="s">
        <v>1701</v>
      </c>
      <c r="BL394" t="s">
        <v>412</v>
      </c>
    </row>
    <row r="395" spans="1:64" x14ac:dyDescent="0.2">
      <c r="A395">
        <v>1445</v>
      </c>
      <c r="B395">
        <v>3748770436</v>
      </c>
      <c r="C395" t="s">
        <v>63</v>
      </c>
      <c r="D395" t="s">
        <v>3603</v>
      </c>
      <c r="E395" t="s">
        <v>65</v>
      </c>
      <c r="F395" t="s">
        <v>66</v>
      </c>
      <c r="G395" t="s">
        <v>67</v>
      </c>
      <c r="H395" t="s">
        <v>68</v>
      </c>
      <c r="I395" t="s">
        <v>176</v>
      </c>
      <c r="J395" t="s">
        <v>773</v>
      </c>
      <c r="K395" t="s">
        <v>774</v>
      </c>
      <c r="M395" t="s">
        <v>72</v>
      </c>
      <c r="N395" t="s">
        <v>775</v>
      </c>
      <c r="O395" t="s">
        <v>774</v>
      </c>
      <c r="P395" t="s">
        <v>776</v>
      </c>
      <c r="Q395" t="s">
        <v>75</v>
      </c>
      <c r="R395" t="s">
        <v>3564</v>
      </c>
      <c r="S395" t="s">
        <v>3604</v>
      </c>
      <c r="T395" t="s">
        <v>78</v>
      </c>
      <c r="U395" t="s">
        <v>1822</v>
      </c>
      <c r="V395" t="s">
        <v>80</v>
      </c>
      <c r="W395" s="1">
        <v>44508</v>
      </c>
      <c r="X395" t="s">
        <v>1823</v>
      </c>
      <c r="Y395" t="s">
        <v>3605</v>
      </c>
      <c r="Z395" t="s">
        <v>83</v>
      </c>
      <c r="AA395">
        <v>1</v>
      </c>
      <c r="AB395" t="s">
        <v>3606</v>
      </c>
      <c r="AC395">
        <v>1</v>
      </c>
      <c r="AD395" s="6" t="s">
        <v>85</v>
      </c>
      <c r="AE395" s="6" t="s">
        <v>86</v>
      </c>
      <c r="AF395" s="6" t="s">
        <v>146</v>
      </c>
      <c r="AG395" s="6" t="s">
        <v>3607</v>
      </c>
      <c r="AH395" s="6" t="s">
        <v>3608</v>
      </c>
      <c r="AI395" s="6" t="s">
        <v>90</v>
      </c>
      <c r="AJ395" s="6">
        <v>32.440997000000003</v>
      </c>
      <c r="AK395" s="6">
        <v>-110.78562700000001</v>
      </c>
      <c r="AL395" s="6">
        <v>3</v>
      </c>
      <c r="AM395" s="6"/>
      <c r="AN395" s="6">
        <v>2795</v>
      </c>
      <c r="AO395" s="6"/>
      <c r="AP395" s="6">
        <v>2795</v>
      </c>
      <c r="AQ395" s="6">
        <v>2780.5704580000001</v>
      </c>
      <c r="AR395" s="6"/>
      <c r="AS395" s="6"/>
      <c r="AT395" s="6">
        <v>8</v>
      </c>
      <c r="AU395" s="6">
        <v>11</v>
      </c>
      <c r="AV395" s="6">
        <v>2021</v>
      </c>
      <c r="AW395" s="6">
        <v>2438447</v>
      </c>
      <c r="AX395" s="6">
        <v>2438447</v>
      </c>
      <c r="AY395" s="6" t="s">
        <v>91</v>
      </c>
      <c r="AZ395" t="s">
        <v>92</v>
      </c>
      <c r="BA395" t="s">
        <v>93</v>
      </c>
      <c r="BB395" t="s">
        <v>3609</v>
      </c>
      <c r="BC395" t="s">
        <v>95</v>
      </c>
      <c r="BD395" s="1">
        <v>44635</v>
      </c>
      <c r="BE395" t="s">
        <v>96</v>
      </c>
      <c r="BG395" t="s">
        <v>1186</v>
      </c>
      <c r="BI395" t="s">
        <v>98</v>
      </c>
      <c r="BJ395" t="s">
        <v>3610</v>
      </c>
      <c r="BL395" t="s">
        <v>100</v>
      </c>
    </row>
    <row r="396" spans="1:64" hidden="1" x14ac:dyDescent="0.2">
      <c r="A396">
        <v>25</v>
      </c>
      <c r="B396">
        <v>4403382615</v>
      </c>
      <c r="C396" t="s">
        <v>101</v>
      </c>
      <c r="D396" t="s">
        <v>1711</v>
      </c>
      <c r="E396" t="s">
        <v>65</v>
      </c>
      <c r="F396" t="s">
        <v>66</v>
      </c>
      <c r="G396" t="s">
        <v>67</v>
      </c>
      <c r="H396" t="s">
        <v>68</v>
      </c>
      <c r="I396" t="s">
        <v>176</v>
      </c>
      <c r="J396" t="s">
        <v>773</v>
      </c>
      <c r="K396" t="s">
        <v>774</v>
      </c>
      <c r="M396" t="s">
        <v>72</v>
      </c>
      <c r="N396" t="s">
        <v>775</v>
      </c>
      <c r="O396" t="s">
        <v>774</v>
      </c>
      <c r="P396" t="s">
        <v>776</v>
      </c>
      <c r="Q396" t="s">
        <v>75</v>
      </c>
      <c r="R396" t="s">
        <v>1177</v>
      </c>
      <c r="S396" t="s">
        <v>1674</v>
      </c>
      <c r="T396" t="s">
        <v>78</v>
      </c>
      <c r="U396" t="s">
        <v>646</v>
      </c>
      <c r="V396" t="s">
        <v>1179</v>
      </c>
      <c r="W396" s="1">
        <v>45109</v>
      </c>
      <c r="X396" t="s">
        <v>1180</v>
      </c>
      <c r="Y396" t="s">
        <v>1675</v>
      </c>
      <c r="Z396" t="s">
        <v>83</v>
      </c>
      <c r="AA396">
        <v>1</v>
      </c>
      <c r="AB396" t="s">
        <v>372</v>
      </c>
      <c r="AD396" t="s">
        <v>134</v>
      </c>
      <c r="AE396" t="s">
        <v>86</v>
      </c>
      <c r="AF396" t="s">
        <v>359</v>
      </c>
      <c r="AG396" t="s">
        <v>1677</v>
      </c>
      <c r="AH396" t="s">
        <v>1712</v>
      </c>
      <c r="AI396" t="s">
        <v>90</v>
      </c>
      <c r="AJ396">
        <v>32.450713999999998</v>
      </c>
      <c r="AK396">
        <v>-110.73682599999999</v>
      </c>
      <c r="AL396">
        <v>3</v>
      </c>
      <c r="AN396">
        <v>2063</v>
      </c>
      <c r="AP396">
        <v>2063</v>
      </c>
      <c r="AQ396">
        <v>2064.604855</v>
      </c>
      <c r="AT396">
        <v>2</v>
      </c>
      <c r="AU396">
        <v>7</v>
      </c>
      <c r="AV396">
        <v>2023</v>
      </c>
      <c r="AW396">
        <v>2438447</v>
      </c>
      <c r="AX396">
        <v>2438447</v>
      </c>
      <c r="AY396" t="s">
        <v>106</v>
      </c>
      <c r="AZ396" t="s">
        <v>92</v>
      </c>
      <c r="BA396" t="s">
        <v>107</v>
      </c>
      <c r="BB396" t="s">
        <v>1713</v>
      </c>
      <c r="BC396" t="s">
        <v>1186</v>
      </c>
      <c r="BD396" s="1">
        <v>45109</v>
      </c>
      <c r="BE396" t="s">
        <v>96</v>
      </c>
      <c r="BG396" t="s">
        <v>1649</v>
      </c>
      <c r="BI396" t="s">
        <v>98</v>
      </c>
      <c r="BJ396" t="s">
        <v>1704</v>
      </c>
      <c r="BL396" t="s">
        <v>412</v>
      </c>
    </row>
    <row r="397" spans="1:64" hidden="1" x14ac:dyDescent="0.2">
      <c r="A397">
        <v>55</v>
      </c>
      <c r="B397">
        <v>4403382585</v>
      </c>
      <c r="C397" t="s">
        <v>101</v>
      </c>
      <c r="D397" t="s">
        <v>1721</v>
      </c>
      <c r="E397" t="s">
        <v>65</v>
      </c>
      <c r="F397" t="s">
        <v>66</v>
      </c>
      <c r="G397" t="s">
        <v>67</v>
      </c>
      <c r="H397" t="s">
        <v>68</v>
      </c>
      <c r="I397" t="s">
        <v>176</v>
      </c>
      <c r="J397" t="s">
        <v>773</v>
      </c>
      <c r="K397" t="s">
        <v>1347</v>
      </c>
      <c r="M397" t="s">
        <v>72</v>
      </c>
      <c r="N397" t="s">
        <v>1348</v>
      </c>
      <c r="O397" t="s">
        <v>1347</v>
      </c>
      <c r="P397" t="s">
        <v>1349</v>
      </c>
      <c r="Q397" t="s">
        <v>75</v>
      </c>
      <c r="R397" t="s">
        <v>1177</v>
      </c>
      <c r="S397" t="s">
        <v>1715</v>
      </c>
      <c r="T397" t="s">
        <v>78</v>
      </c>
      <c r="U397" t="s">
        <v>646</v>
      </c>
      <c r="V397" t="s">
        <v>1179</v>
      </c>
      <c r="W397" s="1">
        <v>45109</v>
      </c>
      <c r="X397" t="s">
        <v>1180</v>
      </c>
      <c r="Y397" t="s">
        <v>1716</v>
      </c>
      <c r="Z397" t="s">
        <v>83</v>
      </c>
      <c r="AA397">
        <v>1</v>
      </c>
      <c r="AB397" t="s">
        <v>367</v>
      </c>
      <c r="AD397" t="s">
        <v>116</v>
      </c>
      <c r="AE397" t="s">
        <v>145</v>
      </c>
      <c r="AF397" t="s">
        <v>610</v>
      </c>
      <c r="AG397" t="s">
        <v>1718</v>
      </c>
      <c r="AH397" t="s">
        <v>1722</v>
      </c>
      <c r="AI397" t="s">
        <v>90</v>
      </c>
      <c r="AJ397">
        <v>32.449168999999998</v>
      </c>
      <c r="AK397">
        <v>-110.737905</v>
      </c>
      <c r="AL397">
        <v>3</v>
      </c>
      <c r="AN397">
        <v>2071</v>
      </c>
      <c r="AP397">
        <v>2071</v>
      </c>
      <c r="AQ397">
        <v>2087.5710469999999</v>
      </c>
      <c r="AT397">
        <v>2</v>
      </c>
      <c r="AU397">
        <v>7</v>
      </c>
      <c r="AV397">
        <v>2023</v>
      </c>
      <c r="AW397">
        <v>2438454</v>
      </c>
      <c r="AX397">
        <v>2438454</v>
      </c>
      <c r="AY397" t="s">
        <v>106</v>
      </c>
      <c r="AZ397" t="s">
        <v>92</v>
      </c>
      <c r="BA397" t="s">
        <v>107</v>
      </c>
      <c r="BB397" t="s">
        <v>1723</v>
      </c>
      <c r="BC397" t="s">
        <v>1186</v>
      </c>
      <c r="BD397" s="1">
        <v>45109</v>
      </c>
      <c r="BE397" t="s">
        <v>96</v>
      </c>
      <c r="BG397" t="s">
        <v>1649</v>
      </c>
      <c r="BI397" t="s">
        <v>98</v>
      </c>
      <c r="BJ397" t="s">
        <v>1724</v>
      </c>
      <c r="BL397" t="s">
        <v>412</v>
      </c>
    </row>
    <row r="398" spans="1:64" hidden="1" x14ac:dyDescent="0.2">
      <c r="A398">
        <v>31</v>
      </c>
      <c r="B398">
        <v>4403382609</v>
      </c>
      <c r="C398" t="s">
        <v>101</v>
      </c>
      <c r="D398" t="s">
        <v>1725</v>
      </c>
      <c r="E398" t="s">
        <v>65</v>
      </c>
      <c r="F398" t="s">
        <v>66</v>
      </c>
      <c r="G398" t="s">
        <v>67</v>
      </c>
      <c r="H398" t="s">
        <v>68</v>
      </c>
      <c r="I398" t="s">
        <v>176</v>
      </c>
      <c r="J398" t="s">
        <v>773</v>
      </c>
      <c r="K398" t="s">
        <v>1347</v>
      </c>
      <c r="M398" t="s">
        <v>72</v>
      </c>
      <c r="N398" t="s">
        <v>1348</v>
      </c>
      <c r="O398" t="s">
        <v>1347</v>
      </c>
      <c r="P398" t="s">
        <v>1349</v>
      </c>
      <c r="Q398" t="s">
        <v>75</v>
      </c>
      <c r="R398" t="s">
        <v>1177</v>
      </c>
      <c r="S398" t="s">
        <v>1715</v>
      </c>
      <c r="T398" t="s">
        <v>78</v>
      </c>
      <c r="U398" t="s">
        <v>646</v>
      </c>
      <c r="V398" t="s">
        <v>1179</v>
      </c>
      <c r="W398" s="1">
        <v>45109</v>
      </c>
      <c r="X398" t="s">
        <v>1180</v>
      </c>
      <c r="Y398" t="s">
        <v>1716</v>
      </c>
      <c r="Z398" t="s">
        <v>83</v>
      </c>
      <c r="AA398">
        <v>1</v>
      </c>
      <c r="AB398" t="s">
        <v>367</v>
      </c>
      <c r="AD398" t="s">
        <v>123</v>
      </c>
      <c r="AE398" t="s">
        <v>145</v>
      </c>
      <c r="AF398" t="s">
        <v>610</v>
      </c>
      <c r="AG398" t="s">
        <v>1718</v>
      </c>
      <c r="AH398" t="s">
        <v>1722</v>
      </c>
      <c r="AI398" t="s">
        <v>90</v>
      </c>
      <c r="AJ398">
        <v>32.449168999999998</v>
      </c>
      <c r="AK398">
        <v>-110.737905</v>
      </c>
      <c r="AL398">
        <v>3</v>
      </c>
      <c r="AN398">
        <v>2071</v>
      </c>
      <c r="AP398">
        <v>2071</v>
      </c>
      <c r="AQ398">
        <v>2087.5710469999999</v>
      </c>
      <c r="AT398">
        <v>2</v>
      </c>
      <c r="AU398">
        <v>7</v>
      </c>
      <c r="AV398">
        <v>2023</v>
      </c>
      <c r="AW398">
        <v>2438454</v>
      </c>
      <c r="AX398">
        <v>2438454</v>
      </c>
      <c r="AY398" t="s">
        <v>106</v>
      </c>
      <c r="AZ398" t="s">
        <v>92</v>
      </c>
      <c r="BA398" t="s">
        <v>107</v>
      </c>
      <c r="BB398" t="s">
        <v>1726</v>
      </c>
      <c r="BC398" t="s">
        <v>1186</v>
      </c>
      <c r="BD398" s="1">
        <v>45109</v>
      </c>
      <c r="BE398" t="s">
        <v>96</v>
      </c>
      <c r="BG398" t="s">
        <v>1649</v>
      </c>
      <c r="BI398" t="s">
        <v>98</v>
      </c>
      <c r="BJ398" t="s">
        <v>1704</v>
      </c>
      <c r="BL398" t="s">
        <v>412</v>
      </c>
    </row>
    <row r="399" spans="1:64" hidden="1" x14ac:dyDescent="0.2">
      <c r="A399">
        <v>80</v>
      </c>
      <c r="B399">
        <v>4403382560</v>
      </c>
      <c r="C399" t="s">
        <v>101</v>
      </c>
      <c r="D399" t="s">
        <v>1727</v>
      </c>
      <c r="E399" t="s">
        <v>65</v>
      </c>
      <c r="F399" t="s">
        <v>66</v>
      </c>
      <c r="G399" t="s">
        <v>67</v>
      </c>
      <c r="H399" t="s">
        <v>68</v>
      </c>
      <c r="I399" t="s">
        <v>176</v>
      </c>
      <c r="J399" t="s">
        <v>773</v>
      </c>
      <c r="K399" t="s">
        <v>1347</v>
      </c>
      <c r="M399" t="s">
        <v>72</v>
      </c>
      <c r="N399" t="s">
        <v>1348</v>
      </c>
      <c r="O399" t="s">
        <v>1347</v>
      </c>
      <c r="P399" t="s">
        <v>1349</v>
      </c>
      <c r="Q399" t="s">
        <v>75</v>
      </c>
      <c r="R399" t="s">
        <v>1177</v>
      </c>
      <c r="S399" t="s">
        <v>1715</v>
      </c>
      <c r="T399" t="s">
        <v>78</v>
      </c>
      <c r="U399" t="s">
        <v>646</v>
      </c>
      <c r="V399" t="s">
        <v>1179</v>
      </c>
      <c r="W399" s="1">
        <v>45109</v>
      </c>
      <c r="X399" t="s">
        <v>1180</v>
      </c>
      <c r="Y399" t="s">
        <v>1716</v>
      </c>
      <c r="Z399" t="s">
        <v>83</v>
      </c>
      <c r="AA399">
        <v>1</v>
      </c>
      <c r="AB399" t="s">
        <v>1337</v>
      </c>
      <c r="AD399" t="s">
        <v>1693</v>
      </c>
      <c r="AE399" t="s">
        <v>145</v>
      </c>
      <c r="AF399" t="s">
        <v>610</v>
      </c>
      <c r="AG399" t="s">
        <v>1718</v>
      </c>
      <c r="AH399" t="s">
        <v>1722</v>
      </c>
      <c r="AI399" t="s">
        <v>90</v>
      </c>
      <c r="AJ399">
        <v>32.449168999999998</v>
      </c>
      <c r="AK399">
        <v>-110.737905</v>
      </c>
      <c r="AL399">
        <v>3</v>
      </c>
      <c r="AN399">
        <v>2071</v>
      </c>
      <c r="AP399">
        <v>2071</v>
      </c>
      <c r="AQ399">
        <v>2087.5710469999999</v>
      </c>
      <c r="AT399">
        <v>2</v>
      </c>
      <c r="AU399">
        <v>7</v>
      </c>
      <c r="AV399">
        <v>2023</v>
      </c>
      <c r="AW399">
        <v>2438454</v>
      </c>
      <c r="AX399">
        <v>2438454</v>
      </c>
      <c r="AY399" t="s">
        <v>106</v>
      </c>
      <c r="AZ399" t="s">
        <v>92</v>
      </c>
      <c r="BA399" t="s">
        <v>107</v>
      </c>
      <c r="BB399" t="s">
        <v>1728</v>
      </c>
      <c r="BC399" t="s">
        <v>1186</v>
      </c>
      <c r="BD399" s="1">
        <v>45109</v>
      </c>
      <c r="BE399" t="s">
        <v>96</v>
      </c>
      <c r="BG399" t="s">
        <v>1649</v>
      </c>
      <c r="BI399" t="s">
        <v>98</v>
      </c>
      <c r="BJ399" t="s">
        <v>1729</v>
      </c>
      <c r="BL399" t="s">
        <v>412</v>
      </c>
    </row>
    <row r="400" spans="1:64" hidden="1" x14ac:dyDescent="0.2">
      <c r="A400">
        <v>60</v>
      </c>
      <c r="B400">
        <v>4403382580</v>
      </c>
      <c r="C400" t="s">
        <v>101</v>
      </c>
      <c r="D400" t="s">
        <v>1730</v>
      </c>
      <c r="E400" t="s">
        <v>65</v>
      </c>
      <c r="F400" t="s">
        <v>66</v>
      </c>
      <c r="G400" t="s">
        <v>67</v>
      </c>
      <c r="H400" t="s">
        <v>68</v>
      </c>
      <c r="I400" t="s">
        <v>176</v>
      </c>
      <c r="J400" t="s">
        <v>773</v>
      </c>
      <c r="K400" t="s">
        <v>1347</v>
      </c>
      <c r="M400" t="s">
        <v>72</v>
      </c>
      <c r="N400" t="s">
        <v>1348</v>
      </c>
      <c r="O400" t="s">
        <v>1347</v>
      </c>
      <c r="P400" t="s">
        <v>1349</v>
      </c>
      <c r="Q400" t="s">
        <v>75</v>
      </c>
      <c r="R400" t="s">
        <v>1177</v>
      </c>
      <c r="S400" t="s">
        <v>1715</v>
      </c>
      <c r="T400" t="s">
        <v>78</v>
      </c>
      <c r="U400" t="s">
        <v>646</v>
      </c>
      <c r="V400" t="s">
        <v>1179</v>
      </c>
      <c r="W400" s="1">
        <v>45109</v>
      </c>
      <c r="X400" t="s">
        <v>1180</v>
      </c>
      <c r="Y400" t="s">
        <v>1716</v>
      </c>
      <c r="Z400" t="s">
        <v>83</v>
      </c>
      <c r="AA400">
        <v>1</v>
      </c>
      <c r="AB400" t="s">
        <v>367</v>
      </c>
      <c r="AD400" t="s">
        <v>112</v>
      </c>
      <c r="AE400" t="s">
        <v>145</v>
      </c>
      <c r="AF400" t="s">
        <v>610</v>
      </c>
      <c r="AG400" t="s">
        <v>1718</v>
      </c>
      <c r="AH400" t="s">
        <v>1722</v>
      </c>
      <c r="AI400" t="s">
        <v>90</v>
      </c>
      <c r="AJ400">
        <v>32.449168999999998</v>
      </c>
      <c r="AK400">
        <v>-110.737905</v>
      </c>
      <c r="AL400">
        <v>3</v>
      </c>
      <c r="AN400">
        <v>2071</v>
      </c>
      <c r="AP400">
        <v>2071</v>
      </c>
      <c r="AQ400">
        <v>2087.5710469999999</v>
      </c>
      <c r="AT400">
        <v>2</v>
      </c>
      <c r="AU400">
        <v>7</v>
      </c>
      <c r="AV400">
        <v>2023</v>
      </c>
      <c r="AW400">
        <v>2438454</v>
      </c>
      <c r="AX400">
        <v>2438454</v>
      </c>
      <c r="AY400" t="s">
        <v>106</v>
      </c>
      <c r="AZ400" t="s">
        <v>92</v>
      </c>
      <c r="BA400" t="s">
        <v>107</v>
      </c>
      <c r="BB400" t="s">
        <v>1731</v>
      </c>
      <c r="BC400" t="s">
        <v>1186</v>
      </c>
      <c r="BD400" s="1">
        <v>45109</v>
      </c>
      <c r="BE400" t="s">
        <v>96</v>
      </c>
      <c r="BG400" t="s">
        <v>1649</v>
      </c>
      <c r="BI400" t="s">
        <v>98</v>
      </c>
      <c r="BJ400" t="s">
        <v>1732</v>
      </c>
      <c r="BL400" t="s">
        <v>412</v>
      </c>
    </row>
    <row r="401" spans="1:64" hidden="1" x14ac:dyDescent="0.2">
      <c r="A401">
        <v>35</v>
      </c>
      <c r="B401">
        <v>4403382605</v>
      </c>
      <c r="C401" t="s">
        <v>101</v>
      </c>
      <c r="D401" t="s">
        <v>1733</v>
      </c>
      <c r="E401" t="s">
        <v>65</v>
      </c>
      <c r="F401" t="s">
        <v>66</v>
      </c>
      <c r="G401" t="s">
        <v>67</v>
      </c>
      <c r="H401" t="s">
        <v>68</v>
      </c>
      <c r="I401" t="s">
        <v>176</v>
      </c>
      <c r="J401" t="s">
        <v>773</v>
      </c>
      <c r="K401" t="s">
        <v>1347</v>
      </c>
      <c r="M401" t="s">
        <v>72</v>
      </c>
      <c r="N401" t="s">
        <v>1348</v>
      </c>
      <c r="O401" t="s">
        <v>1347</v>
      </c>
      <c r="P401" t="s">
        <v>1349</v>
      </c>
      <c r="Q401" t="s">
        <v>75</v>
      </c>
      <c r="R401" t="s">
        <v>1177</v>
      </c>
      <c r="S401" t="s">
        <v>1715</v>
      </c>
      <c r="T401" t="s">
        <v>78</v>
      </c>
      <c r="U401" t="s">
        <v>646</v>
      </c>
      <c r="V401" t="s">
        <v>1179</v>
      </c>
      <c r="W401" s="1">
        <v>45109</v>
      </c>
      <c r="X401" t="s">
        <v>1180</v>
      </c>
      <c r="Y401" t="s">
        <v>1716</v>
      </c>
      <c r="Z401" t="s">
        <v>83</v>
      </c>
      <c r="AA401">
        <v>1</v>
      </c>
      <c r="AB401" t="s">
        <v>367</v>
      </c>
      <c r="AD401" t="s">
        <v>139</v>
      </c>
      <c r="AE401" t="s">
        <v>145</v>
      </c>
      <c r="AF401" t="s">
        <v>610</v>
      </c>
      <c r="AG401" t="s">
        <v>1718</v>
      </c>
      <c r="AH401" t="s">
        <v>1722</v>
      </c>
      <c r="AI401" t="s">
        <v>90</v>
      </c>
      <c r="AJ401">
        <v>32.449168999999998</v>
      </c>
      <c r="AK401">
        <v>-110.737905</v>
      </c>
      <c r="AL401">
        <v>3</v>
      </c>
      <c r="AN401">
        <v>2071</v>
      </c>
      <c r="AP401">
        <v>2071</v>
      </c>
      <c r="AQ401">
        <v>2087.5710469999999</v>
      </c>
      <c r="AT401">
        <v>2</v>
      </c>
      <c r="AU401">
        <v>7</v>
      </c>
      <c r="AV401">
        <v>2023</v>
      </c>
      <c r="AW401">
        <v>2438454</v>
      </c>
      <c r="AX401">
        <v>2438454</v>
      </c>
      <c r="AY401" t="s">
        <v>106</v>
      </c>
      <c r="AZ401" t="s">
        <v>92</v>
      </c>
      <c r="BA401" t="s">
        <v>107</v>
      </c>
      <c r="BB401" t="s">
        <v>1734</v>
      </c>
      <c r="BC401" t="s">
        <v>1186</v>
      </c>
      <c r="BD401" s="1">
        <v>45109</v>
      </c>
      <c r="BE401" t="s">
        <v>96</v>
      </c>
      <c r="BG401" t="s">
        <v>1649</v>
      </c>
      <c r="BI401" t="s">
        <v>98</v>
      </c>
      <c r="BJ401" t="s">
        <v>1704</v>
      </c>
      <c r="BL401" t="s">
        <v>412</v>
      </c>
    </row>
    <row r="402" spans="1:64" hidden="1" x14ac:dyDescent="0.2">
      <c r="A402">
        <v>38</v>
      </c>
      <c r="B402">
        <v>4403382602</v>
      </c>
      <c r="C402" t="s">
        <v>101</v>
      </c>
      <c r="D402" t="s">
        <v>1735</v>
      </c>
      <c r="E402" t="s">
        <v>65</v>
      </c>
      <c r="F402" t="s">
        <v>66</v>
      </c>
      <c r="G402" t="s">
        <v>67</v>
      </c>
      <c r="H402" t="s">
        <v>68</v>
      </c>
      <c r="I402" t="s">
        <v>176</v>
      </c>
      <c r="J402" t="s">
        <v>773</v>
      </c>
      <c r="K402" t="s">
        <v>1347</v>
      </c>
      <c r="M402" t="s">
        <v>72</v>
      </c>
      <c r="N402" t="s">
        <v>1348</v>
      </c>
      <c r="O402" t="s">
        <v>1347</v>
      </c>
      <c r="P402" t="s">
        <v>1349</v>
      </c>
      <c r="Q402" t="s">
        <v>75</v>
      </c>
      <c r="R402" t="s">
        <v>1177</v>
      </c>
      <c r="S402" t="s">
        <v>1715</v>
      </c>
      <c r="T402" t="s">
        <v>78</v>
      </c>
      <c r="U402" t="s">
        <v>646</v>
      </c>
      <c r="V402" t="s">
        <v>1179</v>
      </c>
      <c r="W402" s="1">
        <v>45109</v>
      </c>
      <c r="X402" t="s">
        <v>1180</v>
      </c>
      <c r="Y402" t="s">
        <v>1716</v>
      </c>
      <c r="Z402" t="s">
        <v>83</v>
      </c>
      <c r="AA402">
        <v>1</v>
      </c>
      <c r="AB402" t="s">
        <v>367</v>
      </c>
      <c r="AD402" t="s">
        <v>1706</v>
      </c>
      <c r="AE402" t="s">
        <v>145</v>
      </c>
      <c r="AF402" t="s">
        <v>610</v>
      </c>
      <c r="AG402" t="s">
        <v>1718</v>
      </c>
      <c r="AH402" t="s">
        <v>1722</v>
      </c>
      <c r="AI402" t="s">
        <v>90</v>
      </c>
      <c r="AJ402">
        <v>32.449168999999998</v>
      </c>
      <c r="AK402">
        <v>-110.737905</v>
      </c>
      <c r="AL402">
        <v>3</v>
      </c>
      <c r="AN402">
        <v>2071</v>
      </c>
      <c r="AP402">
        <v>2071</v>
      </c>
      <c r="AQ402">
        <v>2087.5710469999999</v>
      </c>
      <c r="AT402">
        <v>2</v>
      </c>
      <c r="AU402">
        <v>7</v>
      </c>
      <c r="AV402">
        <v>2023</v>
      </c>
      <c r="AW402">
        <v>2438454</v>
      </c>
      <c r="AX402">
        <v>2438454</v>
      </c>
      <c r="AY402" t="s">
        <v>106</v>
      </c>
      <c r="AZ402" t="s">
        <v>92</v>
      </c>
      <c r="BA402" t="s">
        <v>107</v>
      </c>
      <c r="BB402" t="s">
        <v>1736</v>
      </c>
      <c r="BC402" t="s">
        <v>1186</v>
      </c>
      <c r="BD402" s="1">
        <v>45109</v>
      </c>
      <c r="BE402" t="s">
        <v>96</v>
      </c>
      <c r="BG402" t="s">
        <v>1649</v>
      </c>
      <c r="BI402" t="s">
        <v>98</v>
      </c>
      <c r="BJ402" t="s">
        <v>1684</v>
      </c>
      <c r="BL402" t="s">
        <v>412</v>
      </c>
    </row>
    <row r="403" spans="1:64" hidden="1" x14ac:dyDescent="0.2">
      <c r="A403">
        <v>41</v>
      </c>
      <c r="B403">
        <v>4403382599</v>
      </c>
      <c r="C403" t="s">
        <v>101</v>
      </c>
      <c r="D403" t="s">
        <v>1737</v>
      </c>
      <c r="E403" t="s">
        <v>65</v>
      </c>
      <c r="F403" t="s">
        <v>66</v>
      </c>
      <c r="G403" t="s">
        <v>67</v>
      </c>
      <c r="H403" t="s">
        <v>68</v>
      </c>
      <c r="I403" t="s">
        <v>176</v>
      </c>
      <c r="J403" t="s">
        <v>773</v>
      </c>
      <c r="K403" t="s">
        <v>1347</v>
      </c>
      <c r="M403" t="s">
        <v>72</v>
      </c>
      <c r="N403" t="s">
        <v>1348</v>
      </c>
      <c r="O403" t="s">
        <v>1347</v>
      </c>
      <c r="P403" t="s">
        <v>1349</v>
      </c>
      <c r="Q403" t="s">
        <v>75</v>
      </c>
      <c r="R403" t="s">
        <v>1177</v>
      </c>
      <c r="S403" t="s">
        <v>1715</v>
      </c>
      <c r="T403" t="s">
        <v>78</v>
      </c>
      <c r="U403" t="s">
        <v>646</v>
      </c>
      <c r="V403" t="s">
        <v>1179</v>
      </c>
      <c r="W403" s="1">
        <v>45109</v>
      </c>
      <c r="X403" t="s">
        <v>1180</v>
      </c>
      <c r="Y403" t="s">
        <v>1716</v>
      </c>
      <c r="Z403" t="s">
        <v>83</v>
      </c>
      <c r="AA403">
        <v>1</v>
      </c>
      <c r="AB403" t="s">
        <v>372</v>
      </c>
      <c r="AD403" t="s">
        <v>134</v>
      </c>
      <c r="AE403" t="s">
        <v>145</v>
      </c>
      <c r="AF403" t="s">
        <v>610</v>
      </c>
      <c r="AG403" t="s">
        <v>1718</v>
      </c>
      <c r="AH403" t="s">
        <v>1738</v>
      </c>
      <c r="AI403" t="s">
        <v>90</v>
      </c>
      <c r="AJ403">
        <v>32.449168999999998</v>
      </c>
      <c r="AK403">
        <v>-110.737905</v>
      </c>
      <c r="AL403">
        <v>3</v>
      </c>
      <c r="AN403">
        <v>2071</v>
      </c>
      <c r="AP403">
        <v>2071</v>
      </c>
      <c r="AQ403">
        <v>2087.5710469999999</v>
      </c>
      <c r="AT403">
        <v>2</v>
      </c>
      <c r="AU403">
        <v>7</v>
      </c>
      <c r="AV403">
        <v>2023</v>
      </c>
      <c r="AW403">
        <v>2438454</v>
      </c>
      <c r="AX403">
        <v>2438454</v>
      </c>
      <c r="AY403" t="s">
        <v>106</v>
      </c>
      <c r="AZ403" t="s">
        <v>92</v>
      </c>
      <c r="BA403" t="s">
        <v>107</v>
      </c>
      <c r="BB403" t="s">
        <v>1739</v>
      </c>
      <c r="BC403" t="s">
        <v>1186</v>
      </c>
      <c r="BD403" s="1">
        <v>45109</v>
      </c>
      <c r="BE403" t="s">
        <v>96</v>
      </c>
      <c r="BG403" t="s">
        <v>1649</v>
      </c>
      <c r="BI403" t="s">
        <v>98</v>
      </c>
      <c r="BJ403" t="s">
        <v>1704</v>
      </c>
      <c r="BL403" t="s">
        <v>412</v>
      </c>
    </row>
    <row r="404" spans="1:64" hidden="1" x14ac:dyDescent="0.2">
      <c r="A404">
        <v>44</v>
      </c>
      <c r="B404">
        <v>4403382596</v>
      </c>
      <c r="C404" t="s">
        <v>101</v>
      </c>
      <c r="D404" t="s">
        <v>1740</v>
      </c>
      <c r="E404" t="s">
        <v>65</v>
      </c>
      <c r="F404" t="s">
        <v>66</v>
      </c>
      <c r="G404" t="s">
        <v>67</v>
      </c>
      <c r="H404" t="s">
        <v>68</v>
      </c>
      <c r="I404" t="s">
        <v>176</v>
      </c>
      <c r="J404" t="s">
        <v>773</v>
      </c>
      <c r="K404" t="s">
        <v>1347</v>
      </c>
      <c r="M404" t="s">
        <v>72</v>
      </c>
      <c r="N404" t="s">
        <v>1348</v>
      </c>
      <c r="O404" t="s">
        <v>1347</v>
      </c>
      <c r="P404" t="s">
        <v>1349</v>
      </c>
      <c r="Q404" t="s">
        <v>75</v>
      </c>
      <c r="R404" t="s">
        <v>1177</v>
      </c>
      <c r="S404" t="s">
        <v>1715</v>
      </c>
      <c r="T404" t="s">
        <v>78</v>
      </c>
      <c r="U404" t="s">
        <v>646</v>
      </c>
      <c r="V404" t="s">
        <v>1179</v>
      </c>
      <c r="W404" s="1">
        <v>45109</v>
      </c>
      <c r="X404" t="s">
        <v>1180</v>
      </c>
      <c r="Y404" t="s">
        <v>1716</v>
      </c>
      <c r="Z404" t="s">
        <v>83</v>
      </c>
      <c r="AA404">
        <v>1</v>
      </c>
      <c r="AB404" t="s">
        <v>1337</v>
      </c>
      <c r="AD404" t="s">
        <v>1681</v>
      </c>
      <c r="AE404" t="s">
        <v>145</v>
      </c>
      <c r="AF404" t="s">
        <v>610</v>
      </c>
      <c r="AG404" t="s">
        <v>1718</v>
      </c>
      <c r="AH404" t="s">
        <v>1722</v>
      </c>
      <c r="AI404" t="s">
        <v>90</v>
      </c>
      <c r="AJ404">
        <v>32.449168999999998</v>
      </c>
      <c r="AK404">
        <v>-110.737905</v>
      </c>
      <c r="AL404">
        <v>3</v>
      </c>
      <c r="AN404">
        <v>2071</v>
      </c>
      <c r="AP404">
        <v>2071</v>
      </c>
      <c r="AQ404">
        <v>2087.5710469999999</v>
      </c>
      <c r="AT404">
        <v>2</v>
      </c>
      <c r="AU404">
        <v>7</v>
      </c>
      <c r="AV404">
        <v>2023</v>
      </c>
      <c r="AW404">
        <v>2438454</v>
      </c>
      <c r="AX404">
        <v>2438454</v>
      </c>
      <c r="AY404" t="s">
        <v>106</v>
      </c>
      <c r="AZ404" t="s">
        <v>92</v>
      </c>
      <c r="BA404" t="s">
        <v>107</v>
      </c>
      <c r="BB404" t="s">
        <v>1741</v>
      </c>
      <c r="BC404" t="s">
        <v>1186</v>
      </c>
      <c r="BD404" s="1">
        <v>45109</v>
      </c>
      <c r="BE404" t="s">
        <v>96</v>
      </c>
      <c r="BG404" t="s">
        <v>1649</v>
      </c>
      <c r="BI404" t="s">
        <v>98</v>
      </c>
      <c r="BJ404" t="s">
        <v>1684</v>
      </c>
      <c r="BL404" t="s">
        <v>412</v>
      </c>
    </row>
    <row r="405" spans="1:64" hidden="1" x14ac:dyDescent="0.2">
      <c r="A405">
        <v>202</v>
      </c>
      <c r="B405">
        <v>4403382438</v>
      </c>
      <c r="C405" t="s">
        <v>101</v>
      </c>
      <c r="D405" t="s">
        <v>526</v>
      </c>
      <c r="E405" t="s">
        <v>65</v>
      </c>
      <c r="F405" t="s">
        <v>66</v>
      </c>
      <c r="G405" t="s">
        <v>67</v>
      </c>
      <c r="H405" t="s">
        <v>68</v>
      </c>
      <c r="I405" t="s">
        <v>176</v>
      </c>
      <c r="J405" t="s">
        <v>177</v>
      </c>
      <c r="K405" t="s">
        <v>178</v>
      </c>
      <c r="M405" t="s">
        <v>72</v>
      </c>
      <c r="N405" t="s">
        <v>179</v>
      </c>
      <c r="O405" t="s">
        <v>178</v>
      </c>
      <c r="P405" t="s">
        <v>180</v>
      </c>
      <c r="Q405" t="s">
        <v>75</v>
      </c>
      <c r="R405" t="s">
        <v>354</v>
      </c>
      <c r="S405" t="s">
        <v>522</v>
      </c>
      <c r="T405" t="s">
        <v>78</v>
      </c>
      <c r="U405" t="s">
        <v>79</v>
      </c>
      <c r="V405" t="s">
        <v>80</v>
      </c>
      <c r="W405" s="1">
        <v>45115</v>
      </c>
      <c r="X405" t="s">
        <v>356</v>
      </c>
      <c r="Y405" t="s">
        <v>523</v>
      </c>
      <c r="Z405" t="s">
        <v>83</v>
      </c>
      <c r="AA405">
        <v>1</v>
      </c>
      <c r="AB405" t="s">
        <v>367</v>
      </c>
      <c r="AC405">
        <v>0</v>
      </c>
      <c r="AD405" t="s">
        <v>128</v>
      </c>
      <c r="AE405" t="s">
        <v>145</v>
      </c>
      <c r="AF405" t="s">
        <v>402</v>
      </c>
      <c r="AG405" t="s">
        <v>344</v>
      </c>
      <c r="AI405" t="s">
        <v>90</v>
      </c>
      <c r="AJ405">
        <v>32.373119000000003</v>
      </c>
      <c r="AK405">
        <v>-110.701679</v>
      </c>
      <c r="AL405">
        <v>3</v>
      </c>
      <c r="AN405">
        <v>1915</v>
      </c>
      <c r="AP405">
        <v>1915</v>
      </c>
      <c r="AQ405">
        <v>1928.7614590000001</v>
      </c>
      <c r="AT405">
        <v>8</v>
      </c>
      <c r="AU405">
        <v>7</v>
      </c>
      <c r="AV405">
        <v>2023</v>
      </c>
      <c r="AW405">
        <v>2438038</v>
      </c>
      <c r="AX405">
        <v>2438038</v>
      </c>
      <c r="AY405" t="s">
        <v>106</v>
      </c>
      <c r="AZ405" t="s">
        <v>92</v>
      </c>
      <c r="BA405" t="s">
        <v>107</v>
      </c>
      <c r="BB405" t="s">
        <v>527</v>
      </c>
      <c r="BC405" t="s">
        <v>95</v>
      </c>
      <c r="BD405" s="1">
        <v>45115</v>
      </c>
      <c r="BE405" t="s">
        <v>96</v>
      </c>
      <c r="BG405" t="s">
        <v>363</v>
      </c>
      <c r="BI405" t="s">
        <v>98</v>
      </c>
      <c r="BJ405" t="s">
        <v>509</v>
      </c>
      <c r="BL405" t="s">
        <v>412</v>
      </c>
    </row>
    <row r="406" spans="1:64" x14ac:dyDescent="0.2">
      <c r="A406">
        <v>1448</v>
      </c>
      <c r="B406">
        <v>3748770433</v>
      </c>
      <c r="C406" t="s">
        <v>63</v>
      </c>
      <c r="D406" t="s">
        <v>3634</v>
      </c>
      <c r="E406" t="s">
        <v>65</v>
      </c>
      <c r="F406" t="s">
        <v>66</v>
      </c>
      <c r="G406" t="s">
        <v>67</v>
      </c>
      <c r="H406" t="s">
        <v>68</v>
      </c>
      <c r="I406" t="s">
        <v>176</v>
      </c>
      <c r="J406" t="s">
        <v>773</v>
      </c>
      <c r="K406" t="s">
        <v>774</v>
      </c>
      <c r="M406" t="s">
        <v>72</v>
      </c>
      <c r="N406" t="s">
        <v>775</v>
      </c>
      <c r="O406" t="s">
        <v>774</v>
      </c>
      <c r="P406" t="s">
        <v>776</v>
      </c>
      <c r="Q406" t="s">
        <v>75</v>
      </c>
      <c r="R406" t="s">
        <v>3564</v>
      </c>
      <c r="S406" t="s">
        <v>3635</v>
      </c>
      <c r="T406" t="s">
        <v>78</v>
      </c>
      <c r="U406" t="s">
        <v>1822</v>
      </c>
      <c r="V406" t="s">
        <v>80</v>
      </c>
      <c r="W406" s="1">
        <v>44508</v>
      </c>
      <c r="X406" t="s">
        <v>1823</v>
      </c>
      <c r="Y406" t="s">
        <v>3636</v>
      </c>
      <c r="Z406" t="s">
        <v>83</v>
      </c>
      <c r="AA406">
        <v>1</v>
      </c>
      <c r="AB406" t="s">
        <v>3637</v>
      </c>
      <c r="AC406">
        <v>1</v>
      </c>
      <c r="AD406" s="6" t="s">
        <v>85</v>
      </c>
      <c r="AE406" s="6" t="s">
        <v>86</v>
      </c>
      <c r="AF406" s="6" t="s">
        <v>146</v>
      </c>
      <c r="AG406" s="6" t="s">
        <v>3638</v>
      </c>
      <c r="AH406" s="6" t="s">
        <v>3639</v>
      </c>
      <c r="AI406" s="6" t="s">
        <v>90</v>
      </c>
      <c r="AJ406" s="6">
        <v>32.441079000000002</v>
      </c>
      <c r="AK406" s="6">
        <v>-110.785821</v>
      </c>
      <c r="AL406" s="6">
        <v>3</v>
      </c>
      <c r="AM406" s="6"/>
      <c r="AN406" s="6">
        <v>2776</v>
      </c>
      <c r="AO406" s="6"/>
      <c r="AP406" s="6">
        <v>2776</v>
      </c>
      <c r="AQ406" s="6">
        <v>2778.8040679999999</v>
      </c>
      <c r="AR406" s="6"/>
      <c r="AS406" s="6"/>
      <c r="AT406" s="6">
        <v>8</v>
      </c>
      <c r="AU406" s="6">
        <v>11</v>
      </c>
      <c r="AV406" s="6">
        <v>2021</v>
      </c>
      <c r="AW406" s="6">
        <v>2438447</v>
      </c>
      <c r="AX406" s="6">
        <v>2438447</v>
      </c>
      <c r="AY406" s="6" t="s">
        <v>91</v>
      </c>
      <c r="AZ406" t="s">
        <v>92</v>
      </c>
      <c r="BA406" t="s">
        <v>93</v>
      </c>
      <c r="BB406" t="s">
        <v>3640</v>
      </c>
      <c r="BC406" t="s">
        <v>1186</v>
      </c>
      <c r="BE406" t="s">
        <v>96</v>
      </c>
      <c r="BG406" t="s">
        <v>1186</v>
      </c>
      <c r="BI406" t="s">
        <v>98</v>
      </c>
      <c r="BJ406" t="s">
        <v>3641</v>
      </c>
      <c r="BL406" t="s">
        <v>100</v>
      </c>
    </row>
    <row r="407" spans="1:64" hidden="1" x14ac:dyDescent="0.2">
      <c r="A407">
        <v>53</v>
      </c>
      <c r="B407">
        <v>4403382587</v>
      </c>
      <c r="C407" t="s">
        <v>101</v>
      </c>
      <c r="D407" t="s">
        <v>1748</v>
      </c>
      <c r="E407" t="s">
        <v>65</v>
      </c>
      <c r="F407" t="s">
        <v>66</v>
      </c>
      <c r="G407" t="s">
        <v>67</v>
      </c>
      <c r="H407" t="s">
        <v>68</v>
      </c>
      <c r="I407" t="s">
        <v>176</v>
      </c>
      <c r="J407" t="s">
        <v>773</v>
      </c>
      <c r="K407" t="s">
        <v>1347</v>
      </c>
      <c r="M407" t="s">
        <v>72</v>
      </c>
      <c r="N407" t="s">
        <v>1348</v>
      </c>
      <c r="O407" t="s">
        <v>1347</v>
      </c>
      <c r="P407" t="s">
        <v>1349</v>
      </c>
      <c r="Q407" t="s">
        <v>75</v>
      </c>
      <c r="R407" t="s">
        <v>1177</v>
      </c>
      <c r="S407" t="s">
        <v>1715</v>
      </c>
      <c r="T407" t="s">
        <v>78</v>
      </c>
      <c r="U407" t="s">
        <v>646</v>
      </c>
      <c r="V407" t="s">
        <v>1179</v>
      </c>
      <c r="W407" s="1">
        <v>45109</v>
      </c>
      <c r="X407" t="s">
        <v>1180</v>
      </c>
      <c r="Y407" t="s">
        <v>1716</v>
      </c>
      <c r="Z407" t="s">
        <v>83</v>
      </c>
      <c r="AA407">
        <v>1</v>
      </c>
      <c r="AB407" t="s">
        <v>367</v>
      </c>
      <c r="AD407" t="s">
        <v>104</v>
      </c>
      <c r="AE407" t="s">
        <v>145</v>
      </c>
      <c r="AF407" t="s">
        <v>610</v>
      </c>
      <c r="AG407" t="s">
        <v>1718</v>
      </c>
      <c r="AH407" t="s">
        <v>1722</v>
      </c>
      <c r="AI407" t="s">
        <v>90</v>
      </c>
      <c r="AJ407">
        <v>32.449168999999998</v>
      </c>
      <c r="AK407">
        <v>-110.737905</v>
      </c>
      <c r="AL407">
        <v>3</v>
      </c>
      <c r="AN407">
        <v>2071</v>
      </c>
      <c r="AP407">
        <v>2071</v>
      </c>
      <c r="AQ407">
        <v>2087.5710469999999</v>
      </c>
      <c r="AT407">
        <v>2</v>
      </c>
      <c r="AU407">
        <v>7</v>
      </c>
      <c r="AV407">
        <v>2023</v>
      </c>
      <c r="AW407">
        <v>2438454</v>
      </c>
      <c r="AX407">
        <v>2438454</v>
      </c>
      <c r="AY407" t="s">
        <v>106</v>
      </c>
      <c r="AZ407" t="s">
        <v>92</v>
      </c>
      <c r="BA407" t="s">
        <v>107</v>
      </c>
      <c r="BB407" t="s">
        <v>1749</v>
      </c>
      <c r="BC407" t="s">
        <v>1186</v>
      </c>
      <c r="BD407" s="1">
        <v>45109</v>
      </c>
      <c r="BE407" t="s">
        <v>96</v>
      </c>
      <c r="BG407" t="s">
        <v>1649</v>
      </c>
      <c r="BI407" t="s">
        <v>98</v>
      </c>
      <c r="BJ407" t="s">
        <v>1732</v>
      </c>
      <c r="BL407" t="s">
        <v>412</v>
      </c>
    </row>
    <row r="408" spans="1:64" hidden="1" x14ac:dyDescent="0.2">
      <c r="A408">
        <v>186</v>
      </c>
      <c r="B408">
        <v>4403382454</v>
      </c>
      <c r="C408" t="s">
        <v>101</v>
      </c>
      <c r="D408" t="s">
        <v>535</v>
      </c>
      <c r="E408" t="s">
        <v>65</v>
      </c>
      <c r="F408" t="s">
        <v>66</v>
      </c>
      <c r="G408" t="s">
        <v>67</v>
      </c>
      <c r="H408" t="s">
        <v>68</v>
      </c>
      <c r="I408" t="s">
        <v>176</v>
      </c>
      <c r="J408" t="s">
        <v>177</v>
      </c>
      <c r="K408" t="s">
        <v>178</v>
      </c>
      <c r="M408" t="s">
        <v>72</v>
      </c>
      <c r="N408" t="s">
        <v>179</v>
      </c>
      <c r="O408" t="s">
        <v>178</v>
      </c>
      <c r="P408" t="s">
        <v>180</v>
      </c>
      <c r="Q408" t="s">
        <v>75</v>
      </c>
      <c r="R408" t="s">
        <v>354</v>
      </c>
      <c r="S408" t="s">
        <v>529</v>
      </c>
      <c r="T408" t="s">
        <v>78</v>
      </c>
      <c r="U408" t="s">
        <v>79</v>
      </c>
      <c r="V408" t="s">
        <v>80</v>
      </c>
      <c r="W408" s="1">
        <v>45115</v>
      </c>
      <c r="X408" t="s">
        <v>356</v>
      </c>
      <c r="Y408" t="s">
        <v>530</v>
      </c>
      <c r="Z408" t="s">
        <v>83</v>
      </c>
      <c r="AA408">
        <v>1</v>
      </c>
      <c r="AB408" t="s">
        <v>367</v>
      </c>
      <c r="AC408">
        <v>0</v>
      </c>
      <c r="AD408" t="s">
        <v>128</v>
      </c>
      <c r="AE408" t="s">
        <v>86</v>
      </c>
      <c r="AF408" t="s">
        <v>402</v>
      </c>
      <c r="AG408" t="s">
        <v>532</v>
      </c>
      <c r="AI408" t="s">
        <v>90</v>
      </c>
      <c r="AJ408">
        <v>32.372791999999997</v>
      </c>
      <c r="AK408">
        <v>-110.701615</v>
      </c>
      <c r="AL408">
        <v>3</v>
      </c>
      <c r="AN408">
        <v>1909</v>
      </c>
      <c r="AP408">
        <v>1909</v>
      </c>
      <c r="AQ408">
        <v>1919.5212739999999</v>
      </c>
      <c r="AT408">
        <v>8</v>
      </c>
      <c r="AU408">
        <v>7</v>
      </c>
      <c r="AV408">
        <v>2023</v>
      </c>
      <c r="AW408">
        <v>2438038</v>
      </c>
      <c r="AX408">
        <v>2438038</v>
      </c>
      <c r="AY408" t="s">
        <v>106</v>
      </c>
      <c r="AZ408" t="s">
        <v>92</v>
      </c>
      <c r="BA408" t="s">
        <v>107</v>
      </c>
      <c r="BB408" t="s">
        <v>536</v>
      </c>
      <c r="BC408" t="s">
        <v>95</v>
      </c>
      <c r="BD408" s="1">
        <v>45115</v>
      </c>
      <c r="BE408" t="s">
        <v>96</v>
      </c>
      <c r="BG408" t="s">
        <v>363</v>
      </c>
      <c r="BI408" t="s">
        <v>98</v>
      </c>
      <c r="BJ408" t="s">
        <v>534</v>
      </c>
      <c r="BL408" t="s">
        <v>412</v>
      </c>
    </row>
    <row r="409" spans="1:64" hidden="1" x14ac:dyDescent="0.2">
      <c r="A409">
        <v>62</v>
      </c>
      <c r="B409">
        <v>4403382578</v>
      </c>
      <c r="C409" t="s">
        <v>101</v>
      </c>
      <c r="D409" t="s">
        <v>1755</v>
      </c>
      <c r="E409" t="s">
        <v>65</v>
      </c>
      <c r="F409" t="s">
        <v>66</v>
      </c>
      <c r="G409" t="s">
        <v>67</v>
      </c>
      <c r="H409" t="s">
        <v>68</v>
      </c>
      <c r="I409" t="s">
        <v>176</v>
      </c>
      <c r="J409" t="s">
        <v>1251</v>
      </c>
      <c r="K409" t="s">
        <v>1252</v>
      </c>
      <c r="M409" t="s">
        <v>72</v>
      </c>
      <c r="N409" t="s">
        <v>1253</v>
      </c>
      <c r="O409" t="s">
        <v>1252</v>
      </c>
      <c r="P409" t="s">
        <v>1254</v>
      </c>
      <c r="Q409" t="s">
        <v>75</v>
      </c>
      <c r="R409" t="s">
        <v>1177</v>
      </c>
      <c r="S409" t="s">
        <v>1751</v>
      </c>
      <c r="T409" t="s">
        <v>78</v>
      </c>
      <c r="U409" t="s">
        <v>646</v>
      </c>
      <c r="V409" t="s">
        <v>1179</v>
      </c>
      <c r="W409" s="1">
        <v>45109</v>
      </c>
      <c r="X409" t="s">
        <v>1180</v>
      </c>
      <c r="Y409" t="s">
        <v>1752</v>
      </c>
      <c r="Z409" t="s">
        <v>83</v>
      </c>
      <c r="AA409">
        <v>1</v>
      </c>
      <c r="AB409" t="s">
        <v>1756</v>
      </c>
      <c r="AD409" t="s">
        <v>343</v>
      </c>
      <c r="AE409" t="s">
        <v>145</v>
      </c>
      <c r="AF409" t="s">
        <v>359</v>
      </c>
      <c r="AG409" t="s">
        <v>1526</v>
      </c>
      <c r="AI409" t="s">
        <v>90</v>
      </c>
      <c r="AJ409">
        <v>32.449879000000003</v>
      </c>
      <c r="AK409">
        <v>-110.738057</v>
      </c>
      <c r="AL409">
        <v>3</v>
      </c>
      <c r="AN409">
        <v>2090</v>
      </c>
      <c r="AP409">
        <v>2090</v>
      </c>
      <c r="AQ409">
        <v>2094.1213349999998</v>
      </c>
      <c r="AT409">
        <v>2</v>
      </c>
      <c r="AU409">
        <v>7</v>
      </c>
      <c r="AV409">
        <v>2023</v>
      </c>
      <c r="AW409">
        <v>2438156</v>
      </c>
      <c r="AX409">
        <v>2438156</v>
      </c>
      <c r="AY409" t="s">
        <v>106</v>
      </c>
      <c r="AZ409" t="s">
        <v>92</v>
      </c>
      <c r="BA409" t="s">
        <v>107</v>
      </c>
      <c r="BB409" t="s">
        <v>1757</v>
      </c>
      <c r="BC409" t="s">
        <v>1186</v>
      </c>
      <c r="BD409" s="1">
        <v>45109</v>
      </c>
      <c r="BE409" t="s">
        <v>96</v>
      </c>
      <c r="BG409" t="s">
        <v>1649</v>
      </c>
      <c r="BI409" t="s">
        <v>98</v>
      </c>
      <c r="BJ409" t="s">
        <v>1758</v>
      </c>
      <c r="BL409" t="s">
        <v>110</v>
      </c>
    </row>
    <row r="410" spans="1:64" hidden="1" x14ac:dyDescent="0.2">
      <c r="A410">
        <v>64</v>
      </c>
      <c r="B410">
        <v>4403382576</v>
      </c>
      <c r="C410" t="s">
        <v>101</v>
      </c>
      <c r="D410" t="s">
        <v>1759</v>
      </c>
      <c r="E410" t="s">
        <v>65</v>
      </c>
      <c r="F410" t="s">
        <v>66</v>
      </c>
      <c r="G410" t="s">
        <v>67</v>
      </c>
      <c r="H410" t="s">
        <v>68</v>
      </c>
      <c r="I410" t="s">
        <v>176</v>
      </c>
      <c r="J410" t="s">
        <v>1251</v>
      </c>
      <c r="K410" t="s">
        <v>1252</v>
      </c>
      <c r="M410" t="s">
        <v>72</v>
      </c>
      <c r="N410" t="s">
        <v>1253</v>
      </c>
      <c r="O410" t="s">
        <v>1252</v>
      </c>
      <c r="P410" t="s">
        <v>1254</v>
      </c>
      <c r="Q410" t="s">
        <v>75</v>
      </c>
      <c r="R410" t="s">
        <v>1177</v>
      </c>
      <c r="S410" t="s">
        <v>1760</v>
      </c>
      <c r="T410" t="s">
        <v>78</v>
      </c>
      <c r="U410" t="s">
        <v>646</v>
      </c>
      <c r="V410" t="s">
        <v>1179</v>
      </c>
      <c r="W410" s="1">
        <v>45109</v>
      </c>
      <c r="X410" t="s">
        <v>1180</v>
      </c>
      <c r="Y410" t="s">
        <v>1761</v>
      </c>
      <c r="Z410" t="s">
        <v>83</v>
      </c>
      <c r="AA410">
        <v>1</v>
      </c>
      <c r="AB410" t="s">
        <v>1762</v>
      </c>
      <c r="AD410" t="s">
        <v>343</v>
      </c>
      <c r="AE410" t="s">
        <v>86</v>
      </c>
      <c r="AF410" t="s">
        <v>610</v>
      </c>
      <c r="AG410" t="s">
        <v>497</v>
      </c>
      <c r="AI410" t="s">
        <v>90</v>
      </c>
      <c r="AJ410">
        <v>32.449024999999999</v>
      </c>
      <c r="AK410">
        <v>-110.737736</v>
      </c>
      <c r="AN410">
        <v>2075</v>
      </c>
      <c r="AP410">
        <v>2075</v>
      </c>
      <c r="AQ410">
        <v>2085.4499999999998</v>
      </c>
      <c r="AT410">
        <v>2</v>
      </c>
      <c r="AU410">
        <v>7</v>
      </c>
      <c r="AV410">
        <v>2023</v>
      </c>
      <c r="AW410">
        <v>2438156</v>
      </c>
      <c r="AX410">
        <v>2438156</v>
      </c>
      <c r="AY410" t="s">
        <v>106</v>
      </c>
      <c r="AZ410" t="s">
        <v>92</v>
      </c>
      <c r="BA410" t="s">
        <v>107</v>
      </c>
      <c r="BB410" t="s">
        <v>1763</v>
      </c>
      <c r="BC410" t="s">
        <v>1186</v>
      </c>
      <c r="BD410" s="1">
        <v>45109</v>
      </c>
      <c r="BE410" t="s">
        <v>96</v>
      </c>
      <c r="BG410" t="s">
        <v>1649</v>
      </c>
      <c r="BI410" t="s">
        <v>98</v>
      </c>
      <c r="BJ410" t="s">
        <v>1764</v>
      </c>
      <c r="BK410" t="s">
        <v>365</v>
      </c>
      <c r="BL410" t="s">
        <v>110</v>
      </c>
    </row>
    <row r="411" spans="1:64" hidden="1" x14ac:dyDescent="0.2">
      <c r="A411">
        <v>206</v>
      </c>
      <c r="B411">
        <v>4403382434</v>
      </c>
      <c r="C411" t="s">
        <v>101</v>
      </c>
      <c r="D411" t="s">
        <v>543</v>
      </c>
      <c r="E411" t="s">
        <v>65</v>
      </c>
      <c r="F411" t="s">
        <v>66</v>
      </c>
      <c r="G411" t="s">
        <v>67</v>
      </c>
      <c r="H411" t="s">
        <v>68</v>
      </c>
      <c r="I411" t="s">
        <v>176</v>
      </c>
      <c r="J411" t="s">
        <v>177</v>
      </c>
      <c r="K411" t="s">
        <v>178</v>
      </c>
      <c r="M411" t="s">
        <v>72</v>
      </c>
      <c r="N411" t="s">
        <v>179</v>
      </c>
      <c r="O411" t="s">
        <v>178</v>
      </c>
      <c r="P411" t="s">
        <v>180</v>
      </c>
      <c r="Q411" t="s">
        <v>75</v>
      </c>
      <c r="R411" t="s">
        <v>354</v>
      </c>
      <c r="S411" t="s">
        <v>538</v>
      </c>
      <c r="T411" t="s">
        <v>78</v>
      </c>
      <c r="U411" t="s">
        <v>79</v>
      </c>
      <c r="V411" t="s">
        <v>80</v>
      </c>
      <c r="W411" s="1">
        <v>45115</v>
      </c>
      <c r="X411" t="s">
        <v>356</v>
      </c>
      <c r="Y411" t="s">
        <v>539</v>
      </c>
      <c r="Z411" t="s">
        <v>83</v>
      </c>
      <c r="AA411">
        <v>1</v>
      </c>
      <c r="AB411" t="s">
        <v>367</v>
      </c>
      <c r="AC411">
        <v>0</v>
      </c>
      <c r="AD411" t="s">
        <v>128</v>
      </c>
      <c r="AE411" t="s">
        <v>145</v>
      </c>
      <c r="AF411" t="s">
        <v>402</v>
      </c>
      <c r="AG411" t="s">
        <v>344</v>
      </c>
      <c r="AI411" t="s">
        <v>90</v>
      </c>
      <c r="AJ411">
        <v>32.373109999999997</v>
      </c>
      <c r="AK411">
        <v>-110.70141099999999</v>
      </c>
      <c r="AL411">
        <v>3</v>
      </c>
      <c r="AN411">
        <v>1912</v>
      </c>
      <c r="AP411">
        <v>1912</v>
      </c>
      <c r="AQ411">
        <v>1923.6423950000001</v>
      </c>
      <c r="AT411">
        <v>8</v>
      </c>
      <c r="AU411">
        <v>7</v>
      </c>
      <c r="AV411">
        <v>2023</v>
      </c>
      <c r="AW411">
        <v>2438038</v>
      </c>
      <c r="AX411">
        <v>2438038</v>
      </c>
      <c r="AY411" t="s">
        <v>106</v>
      </c>
      <c r="AZ411" t="s">
        <v>92</v>
      </c>
      <c r="BA411" t="s">
        <v>107</v>
      </c>
      <c r="BB411" t="s">
        <v>544</v>
      </c>
      <c r="BC411" t="s">
        <v>95</v>
      </c>
      <c r="BD411" s="1">
        <v>45115</v>
      </c>
      <c r="BE411" t="s">
        <v>96</v>
      </c>
      <c r="BG411" t="s">
        <v>363</v>
      </c>
      <c r="BI411" t="s">
        <v>98</v>
      </c>
      <c r="BJ411" t="s">
        <v>545</v>
      </c>
      <c r="BL411" t="s">
        <v>412</v>
      </c>
    </row>
    <row r="412" spans="1:64" hidden="1" x14ac:dyDescent="0.2">
      <c r="A412">
        <v>68</v>
      </c>
      <c r="B412">
        <v>4403382572</v>
      </c>
      <c r="C412" t="s">
        <v>101</v>
      </c>
      <c r="D412" t="s">
        <v>1768</v>
      </c>
      <c r="E412" t="s">
        <v>65</v>
      </c>
      <c r="F412" t="s">
        <v>66</v>
      </c>
      <c r="G412" t="s">
        <v>67</v>
      </c>
      <c r="H412" t="s">
        <v>68</v>
      </c>
      <c r="I412" t="s">
        <v>176</v>
      </c>
      <c r="J412" t="s">
        <v>1251</v>
      </c>
      <c r="K412" t="s">
        <v>1252</v>
      </c>
      <c r="M412" t="s">
        <v>72</v>
      </c>
      <c r="N412" t="s">
        <v>1253</v>
      </c>
      <c r="O412" t="s">
        <v>1252</v>
      </c>
      <c r="P412" t="s">
        <v>1254</v>
      </c>
      <c r="Q412" t="s">
        <v>75</v>
      </c>
      <c r="R412" t="s">
        <v>1177</v>
      </c>
      <c r="S412" t="s">
        <v>1769</v>
      </c>
      <c r="T412" t="s">
        <v>78</v>
      </c>
      <c r="U412" t="s">
        <v>646</v>
      </c>
      <c r="V412" t="s">
        <v>1179</v>
      </c>
      <c r="W412" s="1">
        <v>45109</v>
      </c>
      <c r="X412" t="s">
        <v>1180</v>
      </c>
      <c r="Y412" t="s">
        <v>1770</v>
      </c>
      <c r="Z412" t="s">
        <v>83</v>
      </c>
      <c r="AA412">
        <v>1</v>
      </c>
      <c r="AB412" t="s">
        <v>1771</v>
      </c>
      <c r="AD412" t="s">
        <v>343</v>
      </c>
      <c r="AE412" t="s">
        <v>86</v>
      </c>
      <c r="AF412" t="s">
        <v>610</v>
      </c>
      <c r="AG412" t="s">
        <v>560</v>
      </c>
      <c r="AI412" t="s">
        <v>90</v>
      </c>
      <c r="AJ412">
        <v>32.449885000000002</v>
      </c>
      <c r="AK412">
        <v>-110.73800300000001</v>
      </c>
      <c r="AL412">
        <v>3</v>
      </c>
      <c r="AN412">
        <v>2089</v>
      </c>
      <c r="AP412">
        <v>2089</v>
      </c>
      <c r="AQ412">
        <v>2094.172</v>
      </c>
      <c r="AT412">
        <v>2</v>
      </c>
      <c r="AU412">
        <v>7</v>
      </c>
      <c r="AV412">
        <v>2023</v>
      </c>
      <c r="AW412">
        <v>2438156</v>
      </c>
      <c r="AX412">
        <v>2438156</v>
      </c>
      <c r="AY412" t="s">
        <v>106</v>
      </c>
      <c r="AZ412" t="s">
        <v>92</v>
      </c>
      <c r="BA412" t="s">
        <v>107</v>
      </c>
      <c r="BB412" t="s">
        <v>1772</v>
      </c>
      <c r="BC412" t="s">
        <v>1186</v>
      </c>
      <c r="BD412" s="1">
        <v>45109</v>
      </c>
      <c r="BE412" t="s">
        <v>96</v>
      </c>
      <c r="BG412" t="s">
        <v>1649</v>
      </c>
      <c r="BI412" t="s">
        <v>98</v>
      </c>
      <c r="BJ412" t="s">
        <v>1684</v>
      </c>
      <c r="BK412" t="s">
        <v>365</v>
      </c>
      <c r="BL412" t="s">
        <v>110</v>
      </c>
    </row>
    <row r="413" spans="1:64" hidden="1" x14ac:dyDescent="0.2">
      <c r="A413">
        <v>210</v>
      </c>
      <c r="B413">
        <v>4403382430</v>
      </c>
      <c r="C413" t="s">
        <v>101</v>
      </c>
      <c r="D413" t="s">
        <v>555</v>
      </c>
      <c r="E413" t="s">
        <v>65</v>
      </c>
      <c r="F413" t="s">
        <v>66</v>
      </c>
      <c r="G413" t="s">
        <v>67</v>
      </c>
      <c r="H413" t="s">
        <v>68</v>
      </c>
      <c r="I413" t="s">
        <v>176</v>
      </c>
      <c r="J413" t="s">
        <v>177</v>
      </c>
      <c r="K413" t="s">
        <v>178</v>
      </c>
      <c r="M413" t="s">
        <v>72</v>
      </c>
      <c r="N413" t="s">
        <v>179</v>
      </c>
      <c r="O413" t="s">
        <v>178</v>
      </c>
      <c r="P413" t="s">
        <v>180</v>
      </c>
      <c r="Q413" t="s">
        <v>75</v>
      </c>
      <c r="R413" t="s">
        <v>354</v>
      </c>
      <c r="S413" t="s">
        <v>547</v>
      </c>
      <c r="T413" t="s">
        <v>78</v>
      </c>
      <c r="U413" t="s">
        <v>79</v>
      </c>
      <c r="V413" t="s">
        <v>80</v>
      </c>
      <c r="W413" s="1">
        <v>45115</v>
      </c>
      <c r="X413" t="s">
        <v>356</v>
      </c>
      <c r="Y413" t="s">
        <v>548</v>
      </c>
      <c r="Z413" t="s">
        <v>83</v>
      </c>
      <c r="AA413">
        <v>1</v>
      </c>
      <c r="AB413" t="s">
        <v>549</v>
      </c>
      <c r="AC413">
        <v>0</v>
      </c>
      <c r="AD413" t="s">
        <v>128</v>
      </c>
      <c r="AE413" t="s">
        <v>86</v>
      </c>
      <c r="AF413" t="s">
        <v>402</v>
      </c>
      <c r="AG413" t="s">
        <v>550</v>
      </c>
      <c r="AI413" t="s">
        <v>90</v>
      </c>
      <c r="AJ413">
        <v>32.372242</v>
      </c>
      <c r="AK413">
        <v>-110.703131</v>
      </c>
      <c r="AL413">
        <v>3</v>
      </c>
      <c r="AN413">
        <v>1902</v>
      </c>
      <c r="AP413">
        <v>1902</v>
      </c>
      <c r="AQ413">
        <v>1903.442832</v>
      </c>
      <c r="AT413">
        <v>8</v>
      </c>
      <c r="AU413">
        <v>7</v>
      </c>
      <c r="AV413">
        <v>2023</v>
      </c>
      <c r="AW413">
        <v>2438038</v>
      </c>
      <c r="AX413">
        <v>2438038</v>
      </c>
      <c r="AY413" t="s">
        <v>106</v>
      </c>
      <c r="AZ413" t="s">
        <v>92</v>
      </c>
      <c r="BA413" t="s">
        <v>107</v>
      </c>
      <c r="BB413" t="s">
        <v>556</v>
      </c>
      <c r="BC413" t="s">
        <v>95</v>
      </c>
      <c r="BD413" s="1">
        <v>45115</v>
      </c>
      <c r="BE413" t="s">
        <v>96</v>
      </c>
      <c r="BG413" t="s">
        <v>363</v>
      </c>
      <c r="BI413" t="s">
        <v>98</v>
      </c>
      <c r="BJ413" t="s">
        <v>545</v>
      </c>
      <c r="BL413" t="s">
        <v>110</v>
      </c>
    </row>
    <row r="414" spans="1:64" hidden="1" x14ac:dyDescent="0.2">
      <c r="A414">
        <v>72</v>
      </c>
      <c r="B414">
        <v>4403382568</v>
      </c>
      <c r="C414" t="s">
        <v>101</v>
      </c>
      <c r="D414" t="s">
        <v>1776</v>
      </c>
      <c r="E414" t="s">
        <v>65</v>
      </c>
      <c r="F414" t="s">
        <v>66</v>
      </c>
      <c r="G414" t="s">
        <v>67</v>
      </c>
      <c r="H414" t="s">
        <v>68</v>
      </c>
      <c r="I414" t="s">
        <v>176</v>
      </c>
      <c r="J414" t="s">
        <v>1173</v>
      </c>
      <c r="K414" t="s">
        <v>1174</v>
      </c>
      <c r="M414" t="s">
        <v>72</v>
      </c>
      <c r="N414" t="s">
        <v>1175</v>
      </c>
      <c r="O414" t="s">
        <v>1174</v>
      </c>
      <c r="P414" t="s">
        <v>1176</v>
      </c>
      <c r="Q414" t="s">
        <v>75</v>
      </c>
      <c r="R414" t="s">
        <v>1177</v>
      </c>
      <c r="S414" t="s">
        <v>1643</v>
      </c>
      <c r="T414" t="s">
        <v>78</v>
      </c>
      <c r="U414" t="s">
        <v>646</v>
      </c>
      <c r="V414" t="s">
        <v>1179</v>
      </c>
      <c r="W414" s="1">
        <v>45109</v>
      </c>
      <c r="X414" t="s">
        <v>1180</v>
      </c>
      <c r="Y414" t="s">
        <v>1777</v>
      </c>
      <c r="Z414" t="s">
        <v>83</v>
      </c>
      <c r="AA414">
        <v>1</v>
      </c>
      <c r="AB414" t="s">
        <v>1778</v>
      </c>
      <c r="AD414" t="s">
        <v>343</v>
      </c>
      <c r="AE414" t="s">
        <v>145</v>
      </c>
      <c r="AF414" t="s">
        <v>402</v>
      </c>
      <c r="AG414" t="s">
        <v>1526</v>
      </c>
      <c r="AI414" t="s">
        <v>90</v>
      </c>
      <c r="AJ414">
        <v>32.449154</v>
      </c>
      <c r="AK414">
        <v>-110.737861</v>
      </c>
      <c r="AL414">
        <v>3</v>
      </c>
      <c r="AN414">
        <v>2065</v>
      </c>
      <c r="AP414">
        <v>2065</v>
      </c>
      <c r="AQ414">
        <v>2087.4860619999999</v>
      </c>
      <c r="AT414">
        <v>2</v>
      </c>
      <c r="AU414">
        <v>7</v>
      </c>
      <c r="AV414">
        <v>2023</v>
      </c>
      <c r="AW414">
        <v>2437874</v>
      </c>
      <c r="AX414">
        <v>2437874</v>
      </c>
      <c r="AY414" t="s">
        <v>106</v>
      </c>
      <c r="AZ414" t="s">
        <v>92</v>
      </c>
      <c r="BA414" t="s">
        <v>107</v>
      </c>
      <c r="BB414" t="s">
        <v>1779</v>
      </c>
      <c r="BC414" t="s">
        <v>1186</v>
      </c>
      <c r="BD414" s="1">
        <v>45109</v>
      </c>
      <c r="BE414" t="s">
        <v>96</v>
      </c>
      <c r="BG414" t="s">
        <v>1649</v>
      </c>
      <c r="BI414" t="s">
        <v>98</v>
      </c>
      <c r="BJ414" t="s">
        <v>1767</v>
      </c>
      <c r="BK414" t="s">
        <v>365</v>
      </c>
      <c r="BL414" t="s">
        <v>412</v>
      </c>
    </row>
    <row r="415" spans="1:64" hidden="1" x14ac:dyDescent="0.2">
      <c r="A415">
        <v>212</v>
      </c>
      <c r="B415">
        <v>4403382428</v>
      </c>
      <c r="C415" t="s">
        <v>101</v>
      </c>
      <c r="D415" t="s">
        <v>563</v>
      </c>
      <c r="E415" t="s">
        <v>65</v>
      </c>
      <c r="F415" t="s">
        <v>66</v>
      </c>
      <c r="G415" t="s">
        <v>67</v>
      </c>
      <c r="H415" t="s">
        <v>68</v>
      </c>
      <c r="I415" t="s">
        <v>176</v>
      </c>
      <c r="J415" t="s">
        <v>177</v>
      </c>
      <c r="K415" t="s">
        <v>178</v>
      </c>
      <c r="M415" t="s">
        <v>72</v>
      </c>
      <c r="N415" t="s">
        <v>179</v>
      </c>
      <c r="O415" t="s">
        <v>178</v>
      </c>
      <c r="P415" t="s">
        <v>180</v>
      </c>
      <c r="Q415" t="s">
        <v>75</v>
      </c>
      <c r="R415" t="s">
        <v>354</v>
      </c>
      <c r="S415" t="s">
        <v>558</v>
      </c>
      <c r="T415" t="s">
        <v>78</v>
      </c>
      <c r="U415" t="s">
        <v>79</v>
      </c>
      <c r="V415" t="s">
        <v>80</v>
      </c>
      <c r="W415" s="1">
        <v>45115</v>
      </c>
      <c r="X415" t="s">
        <v>356</v>
      </c>
      <c r="Y415" t="s">
        <v>559</v>
      </c>
      <c r="Z415" t="s">
        <v>83</v>
      </c>
      <c r="AA415">
        <v>1</v>
      </c>
      <c r="AB415" t="s">
        <v>367</v>
      </c>
      <c r="AC415">
        <v>0</v>
      </c>
      <c r="AD415" t="s">
        <v>128</v>
      </c>
      <c r="AE415" t="s">
        <v>86</v>
      </c>
      <c r="AF415" t="s">
        <v>402</v>
      </c>
      <c r="AG415" t="s">
        <v>560</v>
      </c>
      <c r="AI415" t="s">
        <v>90</v>
      </c>
      <c r="AJ415">
        <v>32.372844999999998</v>
      </c>
      <c r="AK415">
        <v>-110.702072</v>
      </c>
      <c r="AL415">
        <v>3</v>
      </c>
      <c r="AN415">
        <v>1928</v>
      </c>
      <c r="AP415">
        <v>1928</v>
      </c>
      <c r="AQ415">
        <v>1924.195168</v>
      </c>
      <c r="AT415">
        <v>8</v>
      </c>
      <c r="AU415">
        <v>7</v>
      </c>
      <c r="AV415">
        <v>2023</v>
      </c>
      <c r="AW415">
        <v>2438038</v>
      </c>
      <c r="AX415">
        <v>2438038</v>
      </c>
      <c r="AY415" t="s">
        <v>106</v>
      </c>
      <c r="AZ415" t="s">
        <v>92</v>
      </c>
      <c r="BA415" t="s">
        <v>107</v>
      </c>
      <c r="BB415" t="s">
        <v>564</v>
      </c>
      <c r="BC415" t="s">
        <v>95</v>
      </c>
      <c r="BD415" s="1">
        <v>45115</v>
      </c>
      <c r="BE415" t="s">
        <v>96</v>
      </c>
      <c r="BG415" t="s">
        <v>363</v>
      </c>
      <c r="BI415" t="s">
        <v>98</v>
      </c>
      <c r="BJ415" t="s">
        <v>562</v>
      </c>
      <c r="BL415" t="s">
        <v>110</v>
      </c>
    </row>
    <row r="416" spans="1:64" hidden="1" x14ac:dyDescent="0.2">
      <c r="A416">
        <v>76</v>
      </c>
      <c r="B416">
        <v>4403382564</v>
      </c>
      <c r="C416" t="s">
        <v>101</v>
      </c>
      <c r="D416" t="s">
        <v>1782</v>
      </c>
      <c r="E416" t="s">
        <v>65</v>
      </c>
      <c r="F416" t="s">
        <v>66</v>
      </c>
      <c r="G416" t="s">
        <v>67</v>
      </c>
      <c r="H416" t="s">
        <v>68</v>
      </c>
      <c r="I416" t="s">
        <v>176</v>
      </c>
      <c r="J416" t="s">
        <v>1173</v>
      </c>
      <c r="K416" t="s">
        <v>1174</v>
      </c>
      <c r="M416" t="s">
        <v>72</v>
      </c>
      <c r="N416" t="s">
        <v>1175</v>
      </c>
      <c r="O416" t="s">
        <v>1174</v>
      </c>
      <c r="P416" t="s">
        <v>1176</v>
      </c>
      <c r="Q416" t="s">
        <v>75</v>
      </c>
      <c r="R416" t="s">
        <v>1177</v>
      </c>
      <c r="S416" t="s">
        <v>1783</v>
      </c>
      <c r="T416" t="s">
        <v>78</v>
      </c>
      <c r="U416" t="s">
        <v>646</v>
      </c>
      <c r="V416" t="s">
        <v>1179</v>
      </c>
      <c r="W416" s="1">
        <v>45109</v>
      </c>
      <c r="X416" t="s">
        <v>1180</v>
      </c>
      <c r="Y416" t="s">
        <v>1784</v>
      </c>
      <c r="Z416" t="s">
        <v>83</v>
      </c>
      <c r="AA416">
        <v>1</v>
      </c>
      <c r="AB416" t="s">
        <v>1785</v>
      </c>
      <c r="AD416" t="s">
        <v>343</v>
      </c>
      <c r="AE416" t="s">
        <v>145</v>
      </c>
      <c r="AF416" t="s">
        <v>402</v>
      </c>
      <c r="AG416" t="s">
        <v>1526</v>
      </c>
      <c r="AI416" t="s">
        <v>90</v>
      </c>
      <c r="AJ416">
        <v>32.449522999999999</v>
      </c>
      <c r="AK416">
        <v>-110.737723</v>
      </c>
      <c r="AL416">
        <v>3</v>
      </c>
      <c r="AN416">
        <v>2090</v>
      </c>
      <c r="AP416">
        <v>2090</v>
      </c>
      <c r="AQ416">
        <v>2091.7628</v>
      </c>
      <c r="AT416">
        <v>2</v>
      </c>
      <c r="AU416">
        <v>7</v>
      </c>
      <c r="AV416">
        <v>2023</v>
      </c>
      <c r="AW416">
        <v>2437874</v>
      </c>
      <c r="AX416">
        <v>2437874</v>
      </c>
      <c r="AY416" t="s">
        <v>106</v>
      </c>
      <c r="AZ416" t="s">
        <v>92</v>
      </c>
      <c r="BA416" t="s">
        <v>107</v>
      </c>
      <c r="BB416" t="s">
        <v>1786</v>
      </c>
      <c r="BC416" t="s">
        <v>1186</v>
      </c>
      <c r="BD416" s="1">
        <v>45109</v>
      </c>
      <c r="BE416" t="s">
        <v>96</v>
      </c>
      <c r="BG416" t="s">
        <v>1649</v>
      </c>
      <c r="BI416" t="s">
        <v>98</v>
      </c>
      <c r="BJ416" t="s">
        <v>1754</v>
      </c>
      <c r="BK416" t="s">
        <v>365</v>
      </c>
      <c r="BL416" t="s">
        <v>110</v>
      </c>
    </row>
    <row r="417" spans="1:64" hidden="1" x14ac:dyDescent="0.2">
      <c r="A417">
        <v>205</v>
      </c>
      <c r="B417">
        <v>4403382435</v>
      </c>
      <c r="C417" t="s">
        <v>101</v>
      </c>
      <c r="D417" t="s">
        <v>573</v>
      </c>
      <c r="E417" t="s">
        <v>65</v>
      </c>
      <c r="F417" t="s">
        <v>66</v>
      </c>
      <c r="G417" t="s">
        <v>67</v>
      </c>
      <c r="H417" t="s">
        <v>68</v>
      </c>
      <c r="I417" t="s">
        <v>176</v>
      </c>
      <c r="J417" t="s">
        <v>177</v>
      </c>
      <c r="K417" t="s">
        <v>178</v>
      </c>
      <c r="M417" t="s">
        <v>72</v>
      </c>
      <c r="N417" t="s">
        <v>179</v>
      </c>
      <c r="O417" t="s">
        <v>178</v>
      </c>
      <c r="P417" t="s">
        <v>180</v>
      </c>
      <c r="Q417" t="s">
        <v>75</v>
      </c>
      <c r="R417" t="s">
        <v>354</v>
      </c>
      <c r="S417" t="s">
        <v>569</v>
      </c>
      <c r="T417" t="s">
        <v>78</v>
      </c>
      <c r="U417" t="s">
        <v>79</v>
      </c>
      <c r="V417" t="s">
        <v>80</v>
      </c>
      <c r="W417" s="1">
        <v>45115</v>
      </c>
      <c r="X417" t="s">
        <v>356</v>
      </c>
      <c r="Y417" t="s">
        <v>570</v>
      </c>
      <c r="Z417" t="s">
        <v>83</v>
      </c>
      <c r="AA417">
        <v>1</v>
      </c>
      <c r="AB417" t="s">
        <v>367</v>
      </c>
      <c r="AC417">
        <v>0</v>
      </c>
      <c r="AD417" t="s">
        <v>128</v>
      </c>
      <c r="AE417" t="s">
        <v>145</v>
      </c>
      <c r="AF417" t="s">
        <v>402</v>
      </c>
      <c r="AG417" t="s">
        <v>344</v>
      </c>
      <c r="AI417" t="s">
        <v>90</v>
      </c>
      <c r="AJ417">
        <v>32.372613999999999</v>
      </c>
      <c r="AK417">
        <v>-110.702428</v>
      </c>
      <c r="AL417">
        <v>3</v>
      </c>
      <c r="AN417">
        <v>1925</v>
      </c>
      <c r="AP417">
        <v>1925</v>
      </c>
      <c r="AQ417">
        <v>1915.2798539999999</v>
      </c>
      <c r="AT417">
        <v>8</v>
      </c>
      <c r="AU417">
        <v>7</v>
      </c>
      <c r="AV417">
        <v>2023</v>
      </c>
      <c r="AW417">
        <v>2438038</v>
      </c>
      <c r="AX417">
        <v>2438038</v>
      </c>
      <c r="AY417" t="s">
        <v>106</v>
      </c>
      <c r="AZ417" t="s">
        <v>92</v>
      </c>
      <c r="BA417" t="s">
        <v>107</v>
      </c>
      <c r="BB417" t="s">
        <v>574</v>
      </c>
      <c r="BC417" t="s">
        <v>95</v>
      </c>
      <c r="BD417" s="1">
        <v>45115</v>
      </c>
      <c r="BE417" t="s">
        <v>96</v>
      </c>
      <c r="BG417" t="s">
        <v>363</v>
      </c>
      <c r="BI417" t="s">
        <v>98</v>
      </c>
      <c r="BJ417" t="s">
        <v>545</v>
      </c>
      <c r="BL417" t="s">
        <v>110</v>
      </c>
    </row>
    <row r="418" spans="1:64" hidden="1" x14ac:dyDescent="0.2">
      <c r="A418">
        <v>99</v>
      </c>
      <c r="B418">
        <v>4403382541</v>
      </c>
      <c r="C418" t="s">
        <v>101</v>
      </c>
      <c r="D418" t="s">
        <v>1790</v>
      </c>
      <c r="E418" t="s">
        <v>65</v>
      </c>
      <c r="F418" t="s">
        <v>66</v>
      </c>
      <c r="G418" t="s">
        <v>67</v>
      </c>
      <c r="H418" t="s">
        <v>68</v>
      </c>
      <c r="I418" t="s">
        <v>176</v>
      </c>
      <c r="J418" t="s">
        <v>1173</v>
      </c>
      <c r="K418" t="s">
        <v>1174</v>
      </c>
      <c r="M418" t="s">
        <v>72</v>
      </c>
      <c r="N418" t="s">
        <v>1175</v>
      </c>
      <c r="O418" t="s">
        <v>1174</v>
      </c>
      <c r="P418" t="s">
        <v>1176</v>
      </c>
      <c r="Q418" t="s">
        <v>75</v>
      </c>
      <c r="R418" t="s">
        <v>1177</v>
      </c>
      <c r="S418" t="s">
        <v>1791</v>
      </c>
      <c r="T418" t="s">
        <v>78</v>
      </c>
      <c r="U418" t="s">
        <v>646</v>
      </c>
      <c r="V418" t="s">
        <v>1179</v>
      </c>
      <c r="W418" s="1">
        <v>45109</v>
      </c>
      <c r="X418" t="s">
        <v>1180</v>
      </c>
      <c r="Y418" t="s">
        <v>1792</v>
      </c>
      <c r="Z418" t="s">
        <v>83</v>
      </c>
      <c r="AA418">
        <v>1</v>
      </c>
      <c r="AB418" t="s">
        <v>1793</v>
      </c>
      <c r="AD418" t="s">
        <v>343</v>
      </c>
      <c r="AE418" t="s">
        <v>145</v>
      </c>
      <c r="AF418" t="s">
        <v>610</v>
      </c>
      <c r="AG418" t="s">
        <v>344</v>
      </c>
      <c r="AI418" t="s">
        <v>90</v>
      </c>
      <c r="AJ418">
        <v>32.449871999999999</v>
      </c>
      <c r="AK418">
        <v>-110.738035</v>
      </c>
      <c r="AL418">
        <v>3</v>
      </c>
      <c r="AN418">
        <v>2089</v>
      </c>
      <c r="AP418">
        <v>2089</v>
      </c>
      <c r="AQ418">
        <v>2094.0783999999999</v>
      </c>
      <c r="AT418">
        <v>2</v>
      </c>
      <c r="AU418">
        <v>7</v>
      </c>
      <c r="AV418">
        <v>2023</v>
      </c>
      <c r="AW418">
        <v>2437874</v>
      </c>
      <c r="AX418">
        <v>2437874</v>
      </c>
      <c r="AY418" t="s">
        <v>106</v>
      </c>
      <c r="AZ418" t="s">
        <v>92</v>
      </c>
      <c r="BA418" t="s">
        <v>107</v>
      </c>
      <c r="BB418" t="s">
        <v>1794</v>
      </c>
      <c r="BC418" t="s">
        <v>1186</v>
      </c>
      <c r="BD418" s="1">
        <v>45109</v>
      </c>
      <c r="BE418" t="s">
        <v>96</v>
      </c>
      <c r="BG418" t="s">
        <v>1649</v>
      </c>
      <c r="BI418" t="s">
        <v>98</v>
      </c>
      <c r="BJ418" t="s">
        <v>1795</v>
      </c>
      <c r="BK418" t="s">
        <v>365</v>
      </c>
      <c r="BL418" t="s">
        <v>110</v>
      </c>
    </row>
    <row r="419" spans="1:64" hidden="1" x14ac:dyDescent="0.2">
      <c r="A419">
        <v>216</v>
      </c>
      <c r="B419">
        <v>4403382424</v>
      </c>
      <c r="C419" t="s">
        <v>101</v>
      </c>
      <c r="D419" t="s">
        <v>581</v>
      </c>
      <c r="E419" t="s">
        <v>65</v>
      </c>
      <c r="F419" t="s">
        <v>66</v>
      </c>
      <c r="G419" t="s">
        <v>67</v>
      </c>
      <c r="H419" t="s">
        <v>68</v>
      </c>
      <c r="I419" t="s">
        <v>176</v>
      </c>
      <c r="J419" t="s">
        <v>177</v>
      </c>
      <c r="K419" t="s">
        <v>178</v>
      </c>
      <c r="M419" t="s">
        <v>72</v>
      </c>
      <c r="N419" t="s">
        <v>179</v>
      </c>
      <c r="O419" t="s">
        <v>178</v>
      </c>
      <c r="P419" t="s">
        <v>180</v>
      </c>
      <c r="Q419" t="s">
        <v>75</v>
      </c>
      <c r="R419" t="s">
        <v>354</v>
      </c>
      <c r="S419" t="s">
        <v>576</v>
      </c>
      <c r="T419" t="s">
        <v>78</v>
      </c>
      <c r="U419" t="s">
        <v>79</v>
      </c>
      <c r="V419" t="s">
        <v>80</v>
      </c>
      <c r="W419" s="1">
        <v>45115</v>
      </c>
      <c r="X419" t="s">
        <v>356</v>
      </c>
      <c r="Y419" t="s">
        <v>577</v>
      </c>
      <c r="Z419" t="s">
        <v>83</v>
      </c>
      <c r="AA419">
        <v>1</v>
      </c>
      <c r="AB419" t="s">
        <v>367</v>
      </c>
      <c r="AC419">
        <v>0</v>
      </c>
      <c r="AD419" t="s">
        <v>128</v>
      </c>
      <c r="AE419" t="s">
        <v>86</v>
      </c>
      <c r="AF419" t="s">
        <v>402</v>
      </c>
      <c r="AG419" t="s">
        <v>579</v>
      </c>
      <c r="AI419" t="s">
        <v>90</v>
      </c>
      <c r="AJ419">
        <v>32.372861</v>
      </c>
      <c r="AK419">
        <v>-110.701123</v>
      </c>
      <c r="AL419">
        <v>3</v>
      </c>
      <c r="AN419">
        <v>1896</v>
      </c>
      <c r="AP419">
        <v>1896</v>
      </c>
      <c r="AQ419">
        <v>1909.4524200000001</v>
      </c>
      <c r="AT419">
        <v>8</v>
      </c>
      <c r="AU419">
        <v>7</v>
      </c>
      <c r="AV419">
        <v>2023</v>
      </c>
      <c r="AW419">
        <v>2438038</v>
      </c>
      <c r="AX419">
        <v>2438038</v>
      </c>
      <c r="AY419" t="s">
        <v>106</v>
      </c>
      <c r="AZ419" t="s">
        <v>92</v>
      </c>
      <c r="BA419" t="s">
        <v>107</v>
      </c>
      <c r="BB419" t="s">
        <v>582</v>
      </c>
      <c r="BC419" t="s">
        <v>95</v>
      </c>
      <c r="BD419" s="1">
        <v>45115</v>
      </c>
      <c r="BE419" t="s">
        <v>96</v>
      </c>
      <c r="BG419" t="s">
        <v>363</v>
      </c>
      <c r="BI419" t="s">
        <v>98</v>
      </c>
      <c r="BJ419" t="s">
        <v>583</v>
      </c>
      <c r="BL419" t="s">
        <v>412</v>
      </c>
    </row>
    <row r="420" spans="1:64" hidden="1" x14ac:dyDescent="0.2">
      <c r="A420">
        <v>83</v>
      </c>
      <c r="B420">
        <v>4403382557</v>
      </c>
      <c r="C420" t="s">
        <v>101</v>
      </c>
      <c r="D420" t="s">
        <v>1799</v>
      </c>
      <c r="E420" t="s">
        <v>65</v>
      </c>
      <c r="F420" t="s">
        <v>66</v>
      </c>
      <c r="G420" t="s">
        <v>67</v>
      </c>
      <c r="H420" t="s">
        <v>68</v>
      </c>
      <c r="I420" t="s">
        <v>176</v>
      </c>
      <c r="J420" t="s">
        <v>1173</v>
      </c>
      <c r="K420" t="s">
        <v>1174</v>
      </c>
      <c r="M420" t="s">
        <v>72</v>
      </c>
      <c r="N420" t="s">
        <v>1175</v>
      </c>
      <c r="O420" t="s">
        <v>1174</v>
      </c>
      <c r="P420" t="s">
        <v>1176</v>
      </c>
      <c r="Q420" t="s">
        <v>75</v>
      </c>
      <c r="R420" t="s">
        <v>1177</v>
      </c>
      <c r="S420" t="s">
        <v>1800</v>
      </c>
      <c r="T420" t="s">
        <v>78</v>
      </c>
      <c r="U420" t="s">
        <v>646</v>
      </c>
      <c r="V420" t="s">
        <v>1179</v>
      </c>
      <c r="W420" s="1">
        <v>45109</v>
      </c>
      <c r="X420" t="s">
        <v>1180</v>
      </c>
      <c r="Y420" t="s">
        <v>1801</v>
      </c>
      <c r="Z420" t="s">
        <v>83</v>
      </c>
      <c r="AA420">
        <v>1</v>
      </c>
      <c r="AB420" t="s">
        <v>1802</v>
      </c>
      <c r="AD420" t="s">
        <v>343</v>
      </c>
      <c r="AE420" t="s">
        <v>86</v>
      </c>
      <c r="AF420" t="s">
        <v>402</v>
      </c>
      <c r="AG420" t="s">
        <v>1803</v>
      </c>
      <c r="AI420" t="s">
        <v>90</v>
      </c>
      <c r="AJ420">
        <v>32.449643000000002</v>
      </c>
      <c r="AK420">
        <v>-110.737352</v>
      </c>
      <c r="AN420">
        <v>2083</v>
      </c>
      <c r="AP420">
        <v>2083</v>
      </c>
      <c r="AQ420">
        <v>2092.5928899999999</v>
      </c>
      <c r="AT420">
        <v>2</v>
      </c>
      <c r="AU420">
        <v>7</v>
      </c>
      <c r="AV420">
        <v>2023</v>
      </c>
      <c r="AW420">
        <v>2437874</v>
      </c>
      <c r="AX420">
        <v>2437874</v>
      </c>
      <c r="AY420" t="s">
        <v>106</v>
      </c>
      <c r="AZ420" t="s">
        <v>92</v>
      </c>
      <c r="BA420" t="s">
        <v>107</v>
      </c>
      <c r="BB420" t="s">
        <v>1804</v>
      </c>
      <c r="BC420" t="s">
        <v>1186</v>
      </c>
      <c r="BD420" s="1">
        <v>45109</v>
      </c>
      <c r="BE420" t="s">
        <v>96</v>
      </c>
      <c r="BG420" t="s">
        <v>1649</v>
      </c>
      <c r="BI420" t="s">
        <v>98</v>
      </c>
      <c r="BJ420" t="s">
        <v>1795</v>
      </c>
      <c r="BK420" t="s">
        <v>365</v>
      </c>
      <c r="BL420" t="s">
        <v>110</v>
      </c>
    </row>
    <row r="421" spans="1:64" hidden="1" x14ac:dyDescent="0.2">
      <c r="A421">
        <v>218</v>
      </c>
      <c r="B421">
        <v>4403382422</v>
      </c>
      <c r="C421" t="s">
        <v>101</v>
      </c>
      <c r="D421" t="s">
        <v>594</v>
      </c>
      <c r="E421" t="s">
        <v>65</v>
      </c>
      <c r="F421" t="s">
        <v>66</v>
      </c>
      <c r="G421" t="s">
        <v>67</v>
      </c>
      <c r="H421" t="s">
        <v>68</v>
      </c>
      <c r="I421" t="s">
        <v>176</v>
      </c>
      <c r="J421" t="s">
        <v>177</v>
      </c>
      <c r="K421" t="s">
        <v>178</v>
      </c>
      <c r="M421" t="s">
        <v>72</v>
      </c>
      <c r="N421" t="s">
        <v>179</v>
      </c>
      <c r="O421" t="s">
        <v>178</v>
      </c>
      <c r="P421" t="s">
        <v>180</v>
      </c>
      <c r="Q421" t="s">
        <v>75</v>
      </c>
      <c r="R421" t="s">
        <v>354</v>
      </c>
      <c r="S421" t="s">
        <v>589</v>
      </c>
      <c r="T421" t="s">
        <v>78</v>
      </c>
      <c r="U421" t="s">
        <v>79</v>
      </c>
      <c r="V421" t="s">
        <v>80</v>
      </c>
      <c r="W421" s="1">
        <v>45116</v>
      </c>
      <c r="X421" t="s">
        <v>356</v>
      </c>
      <c r="Y421" t="s">
        <v>590</v>
      </c>
      <c r="Z421" t="s">
        <v>83</v>
      </c>
      <c r="AA421">
        <v>1</v>
      </c>
      <c r="AB421" t="s">
        <v>367</v>
      </c>
      <c r="AC421">
        <v>0</v>
      </c>
      <c r="AD421" t="s">
        <v>128</v>
      </c>
      <c r="AE421" t="s">
        <v>86</v>
      </c>
      <c r="AF421" t="s">
        <v>402</v>
      </c>
      <c r="AG421" t="s">
        <v>592</v>
      </c>
      <c r="AI421" t="s">
        <v>90</v>
      </c>
      <c r="AJ421">
        <v>32.373265000000004</v>
      </c>
      <c r="AK421">
        <v>-110.70137200000001</v>
      </c>
      <c r="AL421">
        <v>3</v>
      </c>
      <c r="AN421">
        <v>1915</v>
      </c>
      <c r="AP421">
        <v>1915</v>
      </c>
      <c r="AQ421">
        <v>1923.2067970000001</v>
      </c>
      <c r="AT421">
        <v>9</v>
      </c>
      <c r="AU421">
        <v>7</v>
      </c>
      <c r="AV421">
        <v>2023</v>
      </c>
      <c r="AW421">
        <v>2438038</v>
      </c>
      <c r="AX421">
        <v>2438038</v>
      </c>
      <c r="AY421" t="s">
        <v>106</v>
      </c>
      <c r="AZ421" t="s">
        <v>92</v>
      </c>
      <c r="BA421" t="s">
        <v>107</v>
      </c>
      <c r="BB421" t="s">
        <v>595</v>
      </c>
      <c r="BC421" t="s">
        <v>95</v>
      </c>
      <c r="BD421" s="1">
        <v>45116</v>
      </c>
      <c r="BE421" t="s">
        <v>96</v>
      </c>
      <c r="BG421" t="s">
        <v>363</v>
      </c>
      <c r="BI421" t="s">
        <v>98</v>
      </c>
      <c r="BJ421" t="s">
        <v>596</v>
      </c>
      <c r="BL421" t="s">
        <v>412</v>
      </c>
    </row>
    <row r="422" spans="1:64" hidden="1" x14ac:dyDescent="0.2">
      <c r="A422">
        <v>87</v>
      </c>
      <c r="B422">
        <v>4403382553</v>
      </c>
      <c r="C422" t="s">
        <v>101</v>
      </c>
      <c r="D422" t="s">
        <v>1807</v>
      </c>
      <c r="E422" t="s">
        <v>65</v>
      </c>
      <c r="F422" t="s">
        <v>66</v>
      </c>
      <c r="G422" t="s">
        <v>67</v>
      </c>
      <c r="H422" t="s">
        <v>68</v>
      </c>
      <c r="I422" t="s">
        <v>176</v>
      </c>
      <c r="J422" t="s">
        <v>1173</v>
      </c>
      <c r="K422" t="s">
        <v>1174</v>
      </c>
      <c r="M422" t="s">
        <v>72</v>
      </c>
      <c r="N422" t="s">
        <v>1175</v>
      </c>
      <c r="O422" t="s">
        <v>1174</v>
      </c>
      <c r="P422" t="s">
        <v>1176</v>
      </c>
      <c r="Q422" t="s">
        <v>75</v>
      </c>
      <c r="R422" t="s">
        <v>1177</v>
      </c>
      <c r="S422" t="s">
        <v>1808</v>
      </c>
      <c r="T422" t="s">
        <v>78</v>
      </c>
      <c r="U422" t="s">
        <v>646</v>
      </c>
      <c r="V422" t="s">
        <v>1179</v>
      </c>
      <c r="W422" s="1">
        <v>45109</v>
      </c>
      <c r="X422" t="s">
        <v>1180</v>
      </c>
      <c r="Y422" t="s">
        <v>1809</v>
      </c>
      <c r="Z422" t="s">
        <v>83</v>
      </c>
      <c r="AA422">
        <v>1</v>
      </c>
      <c r="AB422" t="s">
        <v>1810</v>
      </c>
      <c r="AD422" t="s">
        <v>343</v>
      </c>
      <c r="AE422" t="s">
        <v>86</v>
      </c>
      <c r="AF422" t="s">
        <v>402</v>
      </c>
      <c r="AG422" t="s">
        <v>1811</v>
      </c>
      <c r="AI422" t="s">
        <v>90</v>
      </c>
      <c r="AJ422">
        <v>32.449026000000003</v>
      </c>
      <c r="AK422">
        <v>-110.73765</v>
      </c>
      <c r="AN422">
        <v>2077</v>
      </c>
      <c r="AP422">
        <v>2077</v>
      </c>
      <c r="AQ422">
        <v>2085.4679999999998</v>
      </c>
      <c r="AT422">
        <v>2</v>
      </c>
      <c r="AU422">
        <v>7</v>
      </c>
      <c r="AV422">
        <v>2023</v>
      </c>
      <c r="AW422">
        <v>2437874</v>
      </c>
      <c r="AX422">
        <v>2437874</v>
      </c>
      <c r="AY422" t="s">
        <v>106</v>
      </c>
      <c r="AZ422" t="s">
        <v>92</v>
      </c>
      <c r="BA422" t="s">
        <v>107</v>
      </c>
      <c r="BB422" t="s">
        <v>1812</v>
      </c>
      <c r="BC422" t="s">
        <v>1186</v>
      </c>
      <c r="BD422" s="1">
        <v>45109</v>
      </c>
      <c r="BE422" t="s">
        <v>96</v>
      </c>
      <c r="BG422" t="s">
        <v>1649</v>
      </c>
      <c r="BI422" t="s">
        <v>98</v>
      </c>
      <c r="BJ422" t="s">
        <v>1795</v>
      </c>
      <c r="BK422" t="s">
        <v>365</v>
      </c>
      <c r="BL422" t="s">
        <v>110</v>
      </c>
    </row>
    <row r="423" spans="1:64" hidden="1" x14ac:dyDescent="0.2">
      <c r="A423">
        <v>220</v>
      </c>
      <c r="B423">
        <v>4403382420</v>
      </c>
      <c r="C423" t="s">
        <v>101</v>
      </c>
      <c r="D423" t="s">
        <v>603</v>
      </c>
      <c r="E423" t="s">
        <v>65</v>
      </c>
      <c r="F423" t="s">
        <v>66</v>
      </c>
      <c r="G423" t="s">
        <v>67</v>
      </c>
      <c r="H423" t="s">
        <v>68</v>
      </c>
      <c r="I423" t="s">
        <v>176</v>
      </c>
      <c r="J423" t="s">
        <v>177</v>
      </c>
      <c r="K423" t="s">
        <v>178</v>
      </c>
      <c r="M423" t="s">
        <v>72</v>
      </c>
      <c r="N423" t="s">
        <v>179</v>
      </c>
      <c r="O423" t="s">
        <v>178</v>
      </c>
      <c r="P423" t="s">
        <v>180</v>
      </c>
      <c r="Q423" t="s">
        <v>75</v>
      </c>
      <c r="R423" t="s">
        <v>354</v>
      </c>
      <c r="S423" t="s">
        <v>598</v>
      </c>
      <c r="T423" t="s">
        <v>78</v>
      </c>
      <c r="U423" t="s">
        <v>79</v>
      </c>
      <c r="V423" t="s">
        <v>80</v>
      </c>
      <c r="W423" s="1">
        <v>45116</v>
      </c>
      <c r="X423" t="s">
        <v>356</v>
      </c>
      <c r="Y423" t="s">
        <v>599</v>
      </c>
      <c r="Z423" t="s">
        <v>83</v>
      </c>
      <c r="AA423">
        <v>1</v>
      </c>
      <c r="AB423" t="s">
        <v>367</v>
      </c>
      <c r="AC423">
        <v>0</v>
      </c>
      <c r="AD423" t="s">
        <v>128</v>
      </c>
      <c r="AE423" t="s">
        <v>86</v>
      </c>
      <c r="AF423" t="s">
        <v>402</v>
      </c>
      <c r="AG423" t="s">
        <v>601</v>
      </c>
      <c r="AI423" t="s">
        <v>90</v>
      </c>
      <c r="AJ423">
        <v>32.372028999999998</v>
      </c>
      <c r="AK423">
        <v>-110.703188</v>
      </c>
      <c r="AL423">
        <v>3</v>
      </c>
      <c r="AN423">
        <v>1884</v>
      </c>
      <c r="AP423">
        <v>1884</v>
      </c>
      <c r="AQ423">
        <v>1894.808313</v>
      </c>
      <c r="AT423">
        <v>9</v>
      </c>
      <c r="AU423">
        <v>7</v>
      </c>
      <c r="AV423">
        <v>2023</v>
      </c>
      <c r="AW423">
        <v>2438038</v>
      </c>
      <c r="AX423">
        <v>2438038</v>
      </c>
      <c r="AY423" t="s">
        <v>106</v>
      </c>
      <c r="AZ423" t="s">
        <v>92</v>
      </c>
      <c r="BA423" t="s">
        <v>107</v>
      </c>
      <c r="BB423" t="s">
        <v>604</v>
      </c>
      <c r="BC423" t="s">
        <v>95</v>
      </c>
      <c r="BD423" s="1">
        <v>45116</v>
      </c>
      <c r="BE423" t="s">
        <v>96</v>
      </c>
      <c r="BG423" t="s">
        <v>363</v>
      </c>
      <c r="BI423" t="s">
        <v>98</v>
      </c>
      <c r="BJ423" t="s">
        <v>605</v>
      </c>
      <c r="BL423" t="s">
        <v>110</v>
      </c>
    </row>
    <row r="424" spans="1:64" hidden="1" x14ac:dyDescent="0.2">
      <c r="A424">
        <v>1560</v>
      </c>
      <c r="B424">
        <v>3744741573</v>
      </c>
      <c r="C424" t="s">
        <v>101</v>
      </c>
      <c r="D424" t="s">
        <v>1816</v>
      </c>
      <c r="E424" t="s">
        <v>65</v>
      </c>
      <c r="F424" t="s">
        <v>66</v>
      </c>
      <c r="G424" t="s">
        <v>67</v>
      </c>
      <c r="H424" t="s">
        <v>68</v>
      </c>
      <c r="I424" t="s">
        <v>176</v>
      </c>
      <c r="J424" t="s">
        <v>177</v>
      </c>
      <c r="K424" t="s">
        <v>1817</v>
      </c>
      <c r="M424" t="s">
        <v>72</v>
      </c>
      <c r="N424" t="s">
        <v>1818</v>
      </c>
      <c r="O424" t="s">
        <v>1817</v>
      </c>
      <c r="P424" t="s">
        <v>1819</v>
      </c>
      <c r="Q424" t="s">
        <v>75</v>
      </c>
      <c r="R424" t="s">
        <v>1820</v>
      </c>
      <c r="S424" t="s">
        <v>1821</v>
      </c>
      <c r="T424" t="s">
        <v>78</v>
      </c>
      <c r="U424" t="s">
        <v>1822</v>
      </c>
      <c r="V424" t="s">
        <v>1179</v>
      </c>
      <c r="W424" s="1">
        <v>44508</v>
      </c>
      <c r="X424" t="s">
        <v>1823</v>
      </c>
      <c r="Y424" t="s">
        <v>1824</v>
      </c>
      <c r="Z424" t="s">
        <v>83</v>
      </c>
      <c r="AA424">
        <v>1</v>
      </c>
      <c r="AB424" t="s">
        <v>103</v>
      </c>
      <c r="AD424" t="s">
        <v>343</v>
      </c>
      <c r="AE424" t="s">
        <v>86</v>
      </c>
      <c r="AF424" t="s">
        <v>146</v>
      </c>
      <c r="AG424" t="s">
        <v>1825</v>
      </c>
      <c r="AI424" t="s">
        <v>90</v>
      </c>
      <c r="AJ424">
        <v>32.439863000000003</v>
      </c>
      <c r="AK424">
        <v>-110.78908699999999</v>
      </c>
      <c r="AL424">
        <v>4</v>
      </c>
      <c r="AN424">
        <v>2753</v>
      </c>
      <c r="AP424">
        <v>2753</v>
      </c>
      <c r="AQ424">
        <v>2771.4573009999999</v>
      </c>
      <c r="AT424">
        <v>8</v>
      </c>
      <c r="AU424">
        <v>11</v>
      </c>
      <c r="AV424">
        <v>2021</v>
      </c>
      <c r="AW424">
        <v>2437967</v>
      </c>
      <c r="AX424">
        <v>2437967</v>
      </c>
      <c r="AY424" t="s">
        <v>106</v>
      </c>
      <c r="AZ424" t="s">
        <v>92</v>
      </c>
      <c r="BA424" t="s">
        <v>107</v>
      </c>
      <c r="BB424" t="s">
        <v>1826</v>
      </c>
      <c r="BC424" t="s">
        <v>1186</v>
      </c>
      <c r="BE424" t="s">
        <v>96</v>
      </c>
      <c r="BG424" t="s">
        <v>1186</v>
      </c>
      <c r="BI424" t="s">
        <v>98</v>
      </c>
      <c r="BJ424" t="s">
        <v>1827</v>
      </c>
      <c r="BL424" t="s">
        <v>110</v>
      </c>
    </row>
    <row r="425" spans="1:64" hidden="1" x14ac:dyDescent="0.2">
      <c r="A425">
        <v>222</v>
      </c>
      <c r="B425">
        <v>4403382418</v>
      </c>
      <c r="C425" t="s">
        <v>101</v>
      </c>
      <c r="D425" t="s">
        <v>612</v>
      </c>
      <c r="E425" t="s">
        <v>65</v>
      </c>
      <c r="F425" t="s">
        <v>66</v>
      </c>
      <c r="G425" t="s">
        <v>67</v>
      </c>
      <c r="H425" t="s">
        <v>68</v>
      </c>
      <c r="I425" t="s">
        <v>176</v>
      </c>
      <c r="J425" t="s">
        <v>177</v>
      </c>
      <c r="K425" t="s">
        <v>178</v>
      </c>
      <c r="M425" t="s">
        <v>72</v>
      </c>
      <c r="N425" t="s">
        <v>179</v>
      </c>
      <c r="O425" t="s">
        <v>178</v>
      </c>
      <c r="P425" t="s">
        <v>180</v>
      </c>
      <c r="Q425" t="s">
        <v>75</v>
      </c>
      <c r="R425" t="s">
        <v>354</v>
      </c>
      <c r="S425" t="s">
        <v>607</v>
      </c>
      <c r="T425" t="s">
        <v>78</v>
      </c>
      <c r="U425" t="s">
        <v>79</v>
      </c>
      <c r="V425" t="s">
        <v>80</v>
      </c>
      <c r="W425" s="1">
        <v>45116</v>
      </c>
      <c r="X425" t="s">
        <v>356</v>
      </c>
      <c r="Y425" t="s">
        <v>608</v>
      </c>
      <c r="Z425" t="s">
        <v>83</v>
      </c>
      <c r="AA425">
        <v>1</v>
      </c>
      <c r="AB425" t="s">
        <v>367</v>
      </c>
      <c r="AC425">
        <v>0</v>
      </c>
      <c r="AD425" t="s">
        <v>128</v>
      </c>
      <c r="AE425" t="s">
        <v>86</v>
      </c>
      <c r="AF425" t="s">
        <v>610</v>
      </c>
      <c r="AG425" t="s">
        <v>579</v>
      </c>
      <c r="AI425" t="s">
        <v>90</v>
      </c>
      <c r="AJ425">
        <v>32.372855000000001</v>
      </c>
      <c r="AK425">
        <v>-110.70121</v>
      </c>
      <c r="AL425">
        <v>3</v>
      </c>
      <c r="AN425">
        <v>1897</v>
      </c>
      <c r="AP425">
        <v>1897</v>
      </c>
      <c r="AQ425">
        <v>1911.892965</v>
      </c>
      <c r="AT425">
        <v>9</v>
      </c>
      <c r="AU425">
        <v>7</v>
      </c>
      <c r="AV425">
        <v>2023</v>
      </c>
      <c r="AW425">
        <v>2438038</v>
      </c>
      <c r="AX425">
        <v>2438038</v>
      </c>
      <c r="AY425" t="s">
        <v>106</v>
      </c>
      <c r="AZ425" t="s">
        <v>92</v>
      </c>
      <c r="BA425" t="s">
        <v>107</v>
      </c>
      <c r="BB425" t="s">
        <v>613</v>
      </c>
      <c r="BC425" t="s">
        <v>95</v>
      </c>
      <c r="BD425" s="1">
        <v>45116</v>
      </c>
      <c r="BE425" t="s">
        <v>96</v>
      </c>
      <c r="BG425" t="s">
        <v>363</v>
      </c>
      <c r="BI425" t="s">
        <v>98</v>
      </c>
      <c r="BJ425" t="s">
        <v>605</v>
      </c>
      <c r="BL425" t="s">
        <v>412</v>
      </c>
    </row>
    <row r="426" spans="1:64" hidden="1" x14ac:dyDescent="0.2">
      <c r="A426">
        <v>1563</v>
      </c>
      <c r="B426">
        <v>3744741570</v>
      </c>
      <c r="C426" t="s">
        <v>101</v>
      </c>
      <c r="D426" t="s">
        <v>1834</v>
      </c>
      <c r="E426" t="s">
        <v>65</v>
      </c>
      <c r="F426" t="s">
        <v>66</v>
      </c>
      <c r="G426" t="s">
        <v>67</v>
      </c>
      <c r="H426" t="s">
        <v>68</v>
      </c>
      <c r="I426" t="s">
        <v>176</v>
      </c>
      <c r="J426" t="s">
        <v>177</v>
      </c>
      <c r="K426" t="s">
        <v>1817</v>
      </c>
      <c r="M426" t="s">
        <v>72</v>
      </c>
      <c r="N426" t="s">
        <v>1818</v>
      </c>
      <c r="O426" t="s">
        <v>1817</v>
      </c>
      <c r="P426" t="s">
        <v>1819</v>
      </c>
      <c r="Q426" t="s">
        <v>75</v>
      </c>
      <c r="R426" t="s">
        <v>1820</v>
      </c>
      <c r="S426" t="s">
        <v>1829</v>
      </c>
      <c r="T426" t="s">
        <v>78</v>
      </c>
      <c r="U426" t="s">
        <v>1822</v>
      </c>
      <c r="V426" t="s">
        <v>1179</v>
      </c>
      <c r="W426" s="1">
        <v>44508</v>
      </c>
      <c r="X426" t="s">
        <v>1823</v>
      </c>
      <c r="Y426" t="s">
        <v>1830</v>
      </c>
      <c r="Z426" t="s">
        <v>83</v>
      </c>
      <c r="AA426">
        <v>1</v>
      </c>
      <c r="AB426" t="s">
        <v>103</v>
      </c>
      <c r="AD426" t="s">
        <v>343</v>
      </c>
      <c r="AE426" t="s">
        <v>145</v>
      </c>
      <c r="AF426" t="s">
        <v>87</v>
      </c>
      <c r="AG426" t="s">
        <v>1526</v>
      </c>
      <c r="AH426" t="s">
        <v>1835</v>
      </c>
      <c r="AI426" t="s">
        <v>90</v>
      </c>
      <c r="AJ426">
        <v>32.439894000000002</v>
      </c>
      <c r="AK426">
        <v>-110.788067</v>
      </c>
      <c r="AL426">
        <v>3</v>
      </c>
      <c r="AN426">
        <v>2764</v>
      </c>
      <c r="AP426">
        <v>2764</v>
      </c>
      <c r="AQ426">
        <v>2772.7770770000002</v>
      </c>
      <c r="AT426">
        <v>8</v>
      </c>
      <c r="AU426">
        <v>11</v>
      </c>
      <c r="AV426">
        <v>2021</v>
      </c>
      <c r="AW426">
        <v>2437967</v>
      </c>
      <c r="AX426">
        <v>2437967</v>
      </c>
      <c r="AY426" t="s">
        <v>106</v>
      </c>
      <c r="AZ426" t="s">
        <v>92</v>
      </c>
      <c r="BA426" t="s">
        <v>107</v>
      </c>
      <c r="BB426" t="s">
        <v>1836</v>
      </c>
      <c r="BC426" t="s">
        <v>1186</v>
      </c>
      <c r="BE426" t="s">
        <v>96</v>
      </c>
      <c r="BG426" t="s">
        <v>1186</v>
      </c>
      <c r="BI426" t="s">
        <v>98</v>
      </c>
      <c r="BJ426" t="s">
        <v>1837</v>
      </c>
      <c r="BL426" t="s">
        <v>110</v>
      </c>
    </row>
    <row r="427" spans="1:64" hidden="1" x14ac:dyDescent="0.2">
      <c r="A427">
        <v>214</v>
      </c>
      <c r="B427">
        <v>4403382426</v>
      </c>
      <c r="C427" t="s">
        <v>101</v>
      </c>
      <c r="D427" t="s">
        <v>619</v>
      </c>
      <c r="E427" t="s">
        <v>65</v>
      </c>
      <c r="F427" t="s">
        <v>66</v>
      </c>
      <c r="G427" t="s">
        <v>67</v>
      </c>
      <c r="H427" t="s">
        <v>68</v>
      </c>
      <c r="I427" t="s">
        <v>176</v>
      </c>
      <c r="J427" t="s">
        <v>177</v>
      </c>
      <c r="K427" t="s">
        <v>178</v>
      </c>
      <c r="M427" t="s">
        <v>72</v>
      </c>
      <c r="N427" t="s">
        <v>179</v>
      </c>
      <c r="O427" t="s">
        <v>178</v>
      </c>
      <c r="P427" t="s">
        <v>180</v>
      </c>
      <c r="Q427" t="s">
        <v>75</v>
      </c>
      <c r="R427" t="s">
        <v>354</v>
      </c>
      <c r="S427" t="s">
        <v>615</v>
      </c>
      <c r="T427" t="s">
        <v>78</v>
      </c>
      <c r="U427" t="s">
        <v>79</v>
      </c>
      <c r="V427" t="s">
        <v>80</v>
      </c>
      <c r="W427" s="1">
        <v>45116</v>
      </c>
      <c r="X427" t="s">
        <v>356</v>
      </c>
      <c r="Y427" t="s">
        <v>616</v>
      </c>
      <c r="Z427" t="s">
        <v>83</v>
      </c>
      <c r="AA427">
        <v>1</v>
      </c>
      <c r="AB427" t="s">
        <v>367</v>
      </c>
      <c r="AC427">
        <v>0</v>
      </c>
      <c r="AD427" t="s">
        <v>128</v>
      </c>
      <c r="AE427" t="s">
        <v>86</v>
      </c>
      <c r="AF427" t="s">
        <v>402</v>
      </c>
      <c r="AG427" t="s">
        <v>507</v>
      </c>
      <c r="AI427" t="s">
        <v>90</v>
      </c>
      <c r="AJ427">
        <v>32.372847999999998</v>
      </c>
      <c r="AK427">
        <v>-110.70134400000001</v>
      </c>
      <c r="AL427">
        <v>3</v>
      </c>
      <c r="AN427">
        <v>1904</v>
      </c>
      <c r="AP427">
        <v>1904</v>
      </c>
      <c r="AQ427">
        <v>1915.688744</v>
      </c>
      <c r="AT427">
        <v>9</v>
      </c>
      <c r="AU427">
        <v>7</v>
      </c>
      <c r="AV427">
        <v>2023</v>
      </c>
      <c r="AW427">
        <v>2438038</v>
      </c>
      <c r="AX427">
        <v>2438038</v>
      </c>
      <c r="AY427" t="s">
        <v>106</v>
      </c>
      <c r="AZ427" t="s">
        <v>92</v>
      </c>
      <c r="BA427" t="s">
        <v>107</v>
      </c>
      <c r="BB427" t="s">
        <v>620</v>
      </c>
      <c r="BC427" t="s">
        <v>95</v>
      </c>
      <c r="BD427" s="1">
        <v>45116</v>
      </c>
      <c r="BE427" t="s">
        <v>96</v>
      </c>
      <c r="BG427" t="s">
        <v>363</v>
      </c>
      <c r="BI427" t="s">
        <v>98</v>
      </c>
      <c r="BJ427" t="s">
        <v>583</v>
      </c>
      <c r="BL427" t="s">
        <v>412</v>
      </c>
    </row>
    <row r="428" spans="1:64" hidden="1" x14ac:dyDescent="0.2">
      <c r="A428">
        <v>1567</v>
      </c>
      <c r="B428">
        <v>3744741566</v>
      </c>
      <c r="C428" t="s">
        <v>101</v>
      </c>
      <c r="D428" t="s">
        <v>1843</v>
      </c>
      <c r="E428" t="s">
        <v>65</v>
      </c>
      <c r="F428" t="s">
        <v>66</v>
      </c>
      <c r="G428" t="s">
        <v>67</v>
      </c>
      <c r="H428" t="s">
        <v>68</v>
      </c>
      <c r="I428" t="s">
        <v>176</v>
      </c>
      <c r="J428" t="s">
        <v>177</v>
      </c>
      <c r="K428" t="s">
        <v>1817</v>
      </c>
      <c r="M428" t="s">
        <v>72</v>
      </c>
      <c r="N428" t="s">
        <v>1818</v>
      </c>
      <c r="O428" t="s">
        <v>1817</v>
      </c>
      <c r="P428" t="s">
        <v>1819</v>
      </c>
      <c r="Q428" t="s">
        <v>75</v>
      </c>
      <c r="R428" t="s">
        <v>1820</v>
      </c>
      <c r="S428" t="s">
        <v>1839</v>
      </c>
      <c r="T428" t="s">
        <v>78</v>
      </c>
      <c r="U428" t="s">
        <v>1822</v>
      </c>
      <c r="V428" t="s">
        <v>1179</v>
      </c>
      <c r="W428" s="1">
        <v>44508</v>
      </c>
      <c r="X428" t="s">
        <v>1823</v>
      </c>
      <c r="Y428" t="s">
        <v>1840</v>
      </c>
      <c r="Z428" t="s">
        <v>83</v>
      </c>
      <c r="AA428">
        <v>1</v>
      </c>
      <c r="AB428" t="s">
        <v>103</v>
      </c>
      <c r="AD428" t="s">
        <v>343</v>
      </c>
      <c r="AE428" t="s">
        <v>145</v>
      </c>
      <c r="AF428" t="s">
        <v>146</v>
      </c>
      <c r="AG428" t="s">
        <v>1526</v>
      </c>
      <c r="AH428" t="s">
        <v>1844</v>
      </c>
      <c r="AI428" t="s">
        <v>90</v>
      </c>
      <c r="AJ428">
        <v>32.439695</v>
      </c>
      <c r="AK428">
        <v>-110.78814199999999</v>
      </c>
      <c r="AL428">
        <v>3</v>
      </c>
      <c r="AN428">
        <v>2775</v>
      </c>
      <c r="AP428">
        <v>2775</v>
      </c>
      <c r="AQ428">
        <v>2769.2197070000002</v>
      </c>
      <c r="AT428">
        <v>8</v>
      </c>
      <c r="AU428">
        <v>11</v>
      </c>
      <c r="AV428">
        <v>2021</v>
      </c>
      <c r="AW428">
        <v>2437967</v>
      </c>
      <c r="AX428">
        <v>2437967</v>
      </c>
      <c r="AY428" t="s">
        <v>106</v>
      </c>
      <c r="AZ428" t="s">
        <v>92</v>
      </c>
      <c r="BA428" t="s">
        <v>107</v>
      </c>
      <c r="BB428" t="s">
        <v>1845</v>
      </c>
      <c r="BC428" t="s">
        <v>1186</v>
      </c>
      <c r="BE428" t="s">
        <v>96</v>
      </c>
      <c r="BG428" t="s">
        <v>1186</v>
      </c>
      <c r="BI428" t="s">
        <v>98</v>
      </c>
      <c r="BJ428" t="s">
        <v>1833</v>
      </c>
      <c r="BL428" t="s">
        <v>110</v>
      </c>
    </row>
    <row r="429" spans="1:64" hidden="1" x14ac:dyDescent="0.2">
      <c r="A429">
        <v>1573</v>
      </c>
      <c r="B429">
        <v>3744741560</v>
      </c>
      <c r="C429" t="s">
        <v>101</v>
      </c>
      <c r="D429" t="s">
        <v>1846</v>
      </c>
      <c r="E429" t="s">
        <v>65</v>
      </c>
      <c r="F429" t="s">
        <v>66</v>
      </c>
      <c r="G429" t="s">
        <v>67</v>
      </c>
      <c r="H429" t="s">
        <v>68</v>
      </c>
      <c r="I429" t="s">
        <v>176</v>
      </c>
      <c r="J429" t="s">
        <v>177</v>
      </c>
      <c r="K429" t="s">
        <v>1817</v>
      </c>
      <c r="M429" t="s">
        <v>72</v>
      </c>
      <c r="N429" t="s">
        <v>1818</v>
      </c>
      <c r="O429" t="s">
        <v>1817</v>
      </c>
      <c r="P429" t="s">
        <v>1819</v>
      </c>
      <c r="Q429" t="s">
        <v>75</v>
      </c>
      <c r="R429" t="s">
        <v>1820</v>
      </c>
      <c r="S429" t="s">
        <v>1847</v>
      </c>
      <c r="T429" t="s">
        <v>78</v>
      </c>
      <c r="U429" t="s">
        <v>1822</v>
      </c>
      <c r="V429" t="s">
        <v>1179</v>
      </c>
      <c r="W429" s="1">
        <v>44508</v>
      </c>
      <c r="X429" t="s">
        <v>1823</v>
      </c>
      <c r="Y429" t="s">
        <v>1848</v>
      </c>
      <c r="Z429" t="s">
        <v>83</v>
      </c>
      <c r="AA429">
        <v>1</v>
      </c>
      <c r="AB429" t="s">
        <v>103</v>
      </c>
      <c r="AD429" t="s">
        <v>343</v>
      </c>
      <c r="AE429" t="s">
        <v>145</v>
      </c>
      <c r="AF429" t="s">
        <v>146</v>
      </c>
      <c r="AG429" t="s">
        <v>1526</v>
      </c>
      <c r="AI429" t="s">
        <v>90</v>
      </c>
      <c r="AJ429">
        <v>32.43947</v>
      </c>
      <c r="AK429">
        <v>-110.78822599999999</v>
      </c>
      <c r="AL429">
        <v>4</v>
      </c>
      <c r="AN429">
        <v>2772</v>
      </c>
      <c r="AP429">
        <v>2772</v>
      </c>
      <c r="AQ429">
        <v>2761</v>
      </c>
      <c r="AT429">
        <v>8</v>
      </c>
      <c r="AU429">
        <v>11</v>
      </c>
      <c r="AV429">
        <v>2021</v>
      </c>
      <c r="AW429">
        <v>2437967</v>
      </c>
      <c r="AX429">
        <v>2437967</v>
      </c>
      <c r="AY429" t="s">
        <v>106</v>
      </c>
      <c r="AZ429" t="s">
        <v>92</v>
      </c>
      <c r="BA429" t="s">
        <v>107</v>
      </c>
      <c r="BB429" t="s">
        <v>1849</v>
      </c>
      <c r="BC429" t="s">
        <v>1186</v>
      </c>
      <c r="BE429" t="s">
        <v>96</v>
      </c>
      <c r="BG429" t="s">
        <v>1186</v>
      </c>
      <c r="BI429" t="s">
        <v>98</v>
      </c>
      <c r="BJ429" t="s">
        <v>1850</v>
      </c>
      <c r="BL429" t="s">
        <v>110</v>
      </c>
    </row>
    <row r="430" spans="1:64" hidden="1" x14ac:dyDescent="0.2">
      <c r="A430">
        <v>1571</v>
      </c>
      <c r="B430">
        <v>3744741562</v>
      </c>
      <c r="C430" t="s">
        <v>101</v>
      </c>
      <c r="D430" t="s">
        <v>1851</v>
      </c>
      <c r="E430" t="s">
        <v>65</v>
      </c>
      <c r="F430" t="s">
        <v>66</v>
      </c>
      <c r="G430" t="s">
        <v>67</v>
      </c>
      <c r="H430" t="s">
        <v>68</v>
      </c>
      <c r="I430" t="s">
        <v>176</v>
      </c>
      <c r="J430" t="s">
        <v>177</v>
      </c>
      <c r="K430" t="s">
        <v>1817</v>
      </c>
      <c r="M430" t="s">
        <v>72</v>
      </c>
      <c r="N430" t="s">
        <v>1818</v>
      </c>
      <c r="O430" t="s">
        <v>1817</v>
      </c>
      <c r="P430" t="s">
        <v>1819</v>
      </c>
      <c r="Q430" t="s">
        <v>75</v>
      </c>
      <c r="R430" t="s">
        <v>1820</v>
      </c>
      <c r="S430" t="s">
        <v>1852</v>
      </c>
      <c r="T430" t="s">
        <v>78</v>
      </c>
      <c r="U430" t="s">
        <v>1822</v>
      </c>
      <c r="V430" t="s">
        <v>1179</v>
      </c>
      <c r="W430" s="1">
        <v>44508</v>
      </c>
      <c r="X430" t="s">
        <v>1823</v>
      </c>
      <c r="Y430" t="s">
        <v>1853</v>
      </c>
      <c r="Z430" t="s">
        <v>83</v>
      </c>
      <c r="AA430">
        <v>1</v>
      </c>
      <c r="AB430" t="s">
        <v>103</v>
      </c>
      <c r="AD430" t="s">
        <v>343</v>
      </c>
      <c r="AE430" t="s">
        <v>145</v>
      </c>
      <c r="AF430" t="s">
        <v>281</v>
      </c>
      <c r="AG430" t="s">
        <v>1526</v>
      </c>
      <c r="AI430" t="s">
        <v>90</v>
      </c>
      <c r="AJ430">
        <v>32.439618000000003</v>
      </c>
      <c r="AK430">
        <v>-110.78823199999999</v>
      </c>
      <c r="AL430">
        <v>4</v>
      </c>
      <c r="AN430">
        <v>2759</v>
      </c>
      <c r="AP430">
        <v>2759</v>
      </c>
      <c r="AQ430">
        <v>2768.9202190000001</v>
      </c>
      <c r="AT430">
        <v>8</v>
      </c>
      <c r="AU430">
        <v>11</v>
      </c>
      <c r="AV430">
        <v>2021</v>
      </c>
      <c r="AW430">
        <v>2437967</v>
      </c>
      <c r="AX430">
        <v>2437967</v>
      </c>
      <c r="AY430" t="s">
        <v>106</v>
      </c>
      <c r="AZ430" t="s">
        <v>92</v>
      </c>
      <c r="BA430" t="s">
        <v>107</v>
      </c>
      <c r="BB430" t="s">
        <v>1854</v>
      </c>
      <c r="BC430" t="s">
        <v>1186</v>
      </c>
      <c r="BE430" t="s">
        <v>96</v>
      </c>
      <c r="BG430" t="s">
        <v>1186</v>
      </c>
      <c r="BI430" t="s">
        <v>98</v>
      </c>
      <c r="BJ430" t="s">
        <v>1850</v>
      </c>
      <c r="BL430" t="s">
        <v>110</v>
      </c>
    </row>
    <row r="431" spans="1:64" x14ac:dyDescent="0.2">
      <c r="A431">
        <v>1444</v>
      </c>
      <c r="B431">
        <v>3748770437</v>
      </c>
      <c r="C431" t="s">
        <v>63</v>
      </c>
      <c r="D431" t="s">
        <v>3659</v>
      </c>
      <c r="E431" t="s">
        <v>65</v>
      </c>
      <c r="F431" t="s">
        <v>66</v>
      </c>
      <c r="G431" t="s">
        <v>67</v>
      </c>
      <c r="H431" t="s">
        <v>68</v>
      </c>
      <c r="I431" t="s">
        <v>176</v>
      </c>
      <c r="J431" t="s">
        <v>177</v>
      </c>
      <c r="K431" t="s">
        <v>1817</v>
      </c>
      <c r="M431" t="s">
        <v>72</v>
      </c>
      <c r="N431" t="s">
        <v>1818</v>
      </c>
      <c r="O431" t="s">
        <v>1817</v>
      </c>
      <c r="P431" t="s">
        <v>1819</v>
      </c>
      <c r="Q431" t="s">
        <v>75</v>
      </c>
      <c r="R431" t="s">
        <v>3564</v>
      </c>
      <c r="S431" t="s">
        <v>3660</v>
      </c>
      <c r="T431" t="s">
        <v>78</v>
      </c>
      <c r="U431" t="s">
        <v>1822</v>
      </c>
      <c r="V431" t="s">
        <v>80</v>
      </c>
      <c r="W431" s="1">
        <v>44508</v>
      </c>
      <c r="X431" t="s">
        <v>1823</v>
      </c>
      <c r="Y431" t="s">
        <v>3661</v>
      </c>
      <c r="Z431" t="s">
        <v>83</v>
      </c>
      <c r="AA431">
        <v>1</v>
      </c>
      <c r="AB431" t="s">
        <v>3662</v>
      </c>
      <c r="AC431">
        <v>1</v>
      </c>
      <c r="AD431" s="6" t="s">
        <v>85</v>
      </c>
      <c r="AE431" s="6" t="s">
        <v>145</v>
      </c>
      <c r="AF431" s="6" t="s">
        <v>146</v>
      </c>
      <c r="AG431" s="6" t="s">
        <v>3663</v>
      </c>
      <c r="AH431" s="6" t="s">
        <v>3664</v>
      </c>
      <c r="AI431" s="6" t="s">
        <v>90</v>
      </c>
      <c r="AJ431" s="6">
        <v>32.441085999999999</v>
      </c>
      <c r="AK431" s="6">
        <v>-110.78582299999999</v>
      </c>
      <c r="AL431" s="6">
        <v>6</v>
      </c>
      <c r="AM431" s="6"/>
      <c r="AN431" s="6">
        <v>2772</v>
      </c>
      <c r="AO431" s="6"/>
      <c r="AP431" s="6">
        <v>2772</v>
      </c>
      <c r="AQ431" s="6">
        <v>2778.6294379999999</v>
      </c>
      <c r="AR431" s="6"/>
      <c r="AS431" s="6"/>
      <c r="AT431" s="6">
        <v>8</v>
      </c>
      <c r="AU431" s="6">
        <v>11</v>
      </c>
      <c r="AV431" s="6">
        <v>2021</v>
      </c>
      <c r="AW431" s="6">
        <v>2437967</v>
      </c>
      <c r="AX431" s="6">
        <v>2437967</v>
      </c>
      <c r="AY431" s="6" t="s">
        <v>91</v>
      </c>
      <c r="AZ431" t="s">
        <v>92</v>
      </c>
      <c r="BA431" t="s">
        <v>93</v>
      </c>
      <c r="BB431" t="s">
        <v>3665</v>
      </c>
      <c r="BC431" t="s">
        <v>1186</v>
      </c>
      <c r="BE431" t="s">
        <v>96</v>
      </c>
      <c r="BG431" t="s">
        <v>1186</v>
      </c>
      <c r="BI431" t="s">
        <v>98</v>
      </c>
      <c r="BJ431" t="s">
        <v>3589</v>
      </c>
      <c r="BL431" t="s">
        <v>100</v>
      </c>
    </row>
    <row r="432" spans="1:64" hidden="1" x14ac:dyDescent="0.2">
      <c r="A432">
        <v>956</v>
      </c>
      <c r="B432">
        <v>4027015474</v>
      </c>
      <c r="C432" t="s">
        <v>101</v>
      </c>
      <c r="D432" t="s">
        <v>1871</v>
      </c>
      <c r="E432" t="s">
        <v>65</v>
      </c>
      <c r="F432" t="s">
        <v>66</v>
      </c>
      <c r="G432" t="s">
        <v>67</v>
      </c>
      <c r="H432" t="s">
        <v>68</v>
      </c>
      <c r="I432" t="s">
        <v>176</v>
      </c>
      <c r="J432" t="s">
        <v>177</v>
      </c>
      <c r="K432" t="s">
        <v>1817</v>
      </c>
      <c r="M432" t="s">
        <v>72</v>
      </c>
      <c r="N432" t="s">
        <v>1856</v>
      </c>
      <c r="O432" t="s">
        <v>1817</v>
      </c>
      <c r="P432" t="s">
        <v>1857</v>
      </c>
      <c r="Q432" t="s">
        <v>75</v>
      </c>
      <c r="R432" t="s">
        <v>1858</v>
      </c>
      <c r="S432" t="s">
        <v>645</v>
      </c>
      <c r="T432" t="s">
        <v>78</v>
      </c>
      <c r="U432" t="s">
        <v>1822</v>
      </c>
      <c r="V432" t="s">
        <v>80</v>
      </c>
      <c r="W432" s="1">
        <v>44696</v>
      </c>
      <c r="X432" t="s">
        <v>1859</v>
      </c>
      <c r="Y432" t="s">
        <v>1860</v>
      </c>
      <c r="Z432" t="s">
        <v>83</v>
      </c>
      <c r="AA432">
        <v>1</v>
      </c>
      <c r="AB432" t="s">
        <v>657</v>
      </c>
      <c r="AD432" t="s">
        <v>112</v>
      </c>
      <c r="AE432" t="s">
        <v>145</v>
      </c>
      <c r="AF432" t="s">
        <v>146</v>
      </c>
      <c r="AG432" t="s">
        <v>1428</v>
      </c>
      <c r="AH432" t="s">
        <v>1872</v>
      </c>
      <c r="AI432" t="s">
        <v>90</v>
      </c>
      <c r="AJ432">
        <v>32.425986999999999</v>
      </c>
      <c r="AK432">
        <v>-110.740407</v>
      </c>
      <c r="AL432">
        <v>4</v>
      </c>
      <c r="AN432">
        <v>2364</v>
      </c>
      <c r="AP432">
        <v>2364</v>
      </c>
      <c r="AQ432">
        <v>2385.7346400000001</v>
      </c>
      <c r="AT432">
        <v>15</v>
      </c>
      <c r="AU432">
        <v>5</v>
      </c>
      <c r="AV432">
        <v>2022</v>
      </c>
      <c r="AW432">
        <v>2438019</v>
      </c>
      <c r="AX432">
        <v>2438019</v>
      </c>
      <c r="AY432" t="s">
        <v>106</v>
      </c>
      <c r="AZ432" t="s">
        <v>92</v>
      </c>
      <c r="BA432" t="s">
        <v>107</v>
      </c>
      <c r="BB432" t="s">
        <v>1873</v>
      </c>
      <c r="BC432" t="s">
        <v>97</v>
      </c>
      <c r="BE432" t="s">
        <v>96</v>
      </c>
      <c r="BG432" t="s">
        <v>1865</v>
      </c>
      <c r="BI432" t="s">
        <v>98</v>
      </c>
      <c r="BJ432" t="s">
        <v>1157</v>
      </c>
      <c r="BL432" t="s">
        <v>110</v>
      </c>
    </row>
    <row r="433" spans="1:64" hidden="1" x14ac:dyDescent="0.2">
      <c r="A433">
        <v>955</v>
      </c>
      <c r="B433">
        <v>4027015475</v>
      </c>
      <c r="C433" t="s">
        <v>101</v>
      </c>
      <c r="D433" t="s">
        <v>1874</v>
      </c>
      <c r="E433" t="s">
        <v>65</v>
      </c>
      <c r="F433" t="s">
        <v>66</v>
      </c>
      <c r="G433" t="s">
        <v>67</v>
      </c>
      <c r="H433" t="s">
        <v>68</v>
      </c>
      <c r="I433" t="s">
        <v>176</v>
      </c>
      <c r="J433" t="s">
        <v>177</v>
      </c>
      <c r="K433" t="s">
        <v>1817</v>
      </c>
      <c r="M433" t="s">
        <v>72</v>
      </c>
      <c r="N433" t="s">
        <v>1856</v>
      </c>
      <c r="O433" t="s">
        <v>1817</v>
      </c>
      <c r="P433" t="s">
        <v>1857</v>
      </c>
      <c r="Q433" t="s">
        <v>75</v>
      </c>
      <c r="R433" t="s">
        <v>1858</v>
      </c>
      <c r="S433" t="s">
        <v>645</v>
      </c>
      <c r="T433" t="s">
        <v>78</v>
      </c>
      <c r="U433" t="s">
        <v>1822</v>
      </c>
      <c r="V433" t="s">
        <v>80</v>
      </c>
      <c r="W433" s="1">
        <v>44696</v>
      </c>
      <c r="X433" t="s">
        <v>1859</v>
      </c>
      <c r="Y433" t="s">
        <v>1860</v>
      </c>
      <c r="Z433" t="s">
        <v>83</v>
      </c>
      <c r="AA433">
        <v>1</v>
      </c>
      <c r="AB433" t="s">
        <v>657</v>
      </c>
      <c r="AD433" t="s">
        <v>116</v>
      </c>
      <c r="AE433" t="s">
        <v>145</v>
      </c>
      <c r="AF433" t="s">
        <v>146</v>
      </c>
      <c r="AG433" t="s">
        <v>1428</v>
      </c>
      <c r="AH433" t="s">
        <v>1872</v>
      </c>
      <c r="AI433" t="s">
        <v>90</v>
      </c>
      <c r="AJ433">
        <v>32.425986999999999</v>
      </c>
      <c r="AK433">
        <v>-110.740407</v>
      </c>
      <c r="AL433">
        <v>4</v>
      </c>
      <c r="AN433">
        <v>2364</v>
      </c>
      <c r="AP433">
        <v>2364</v>
      </c>
      <c r="AQ433">
        <v>2385.7346400000001</v>
      </c>
      <c r="AT433">
        <v>15</v>
      </c>
      <c r="AU433">
        <v>5</v>
      </c>
      <c r="AV433">
        <v>2022</v>
      </c>
      <c r="AW433">
        <v>2438019</v>
      </c>
      <c r="AX433">
        <v>2438019</v>
      </c>
      <c r="AY433" t="s">
        <v>106</v>
      </c>
      <c r="AZ433" t="s">
        <v>92</v>
      </c>
      <c r="BA433" t="s">
        <v>107</v>
      </c>
      <c r="BB433" t="s">
        <v>1875</v>
      </c>
      <c r="BC433" t="s">
        <v>97</v>
      </c>
      <c r="BE433" t="s">
        <v>96</v>
      </c>
      <c r="BG433" t="s">
        <v>1865</v>
      </c>
      <c r="BI433" t="s">
        <v>98</v>
      </c>
      <c r="BJ433" t="s">
        <v>1099</v>
      </c>
      <c r="BL433" t="s">
        <v>110</v>
      </c>
    </row>
    <row r="434" spans="1:64" hidden="1" x14ac:dyDescent="0.2">
      <c r="A434">
        <v>1108</v>
      </c>
      <c r="B434">
        <v>4027015322</v>
      </c>
      <c r="C434" t="s">
        <v>101</v>
      </c>
      <c r="D434" t="s">
        <v>1876</v>
      </c>
      <c r="E434" t="s">
        <v>65</v>
      </c>
      <c r="F434" t="s">
        <v>66</v>
      </c>
      <c r="G434" t="s">
        <v>67</v>
      </c>
      <c r="H434" t="s">
        <v>68</v>
      </c>
      <c r="I434" t="s">
        <v>176</v>
      </c>
      <c r="J434" t="s">
        <v>177</v>
      </c>
      <c r="K434" t="s">
        <v>1817</v>
      </c>
      <c r="M434" t="s">
        <v>72</v>
      </c>
      <c r="N434" t="s">
        <v>1856</v>
      </c>
      <c r="O434" t="s">
        <v>1817</v>
      </c>
      <c r="P434" t="s">
        <v>1857</v>
      </c>
      <c r="Q434" t="s">
        <v>75</v>
      </c>
      <c r="R434" t="s">
        <v>1858</v>
      </c>
      <c r="S434" t="s">
        <v>645</v>
      </c>
      <c r="T434" t="s">
        <v>78</v>
      </c>
      <c r="U434" t="s">
        <v>1822</v>
      </c>
      <c r="V434" t="s">
        <v>80</v>
      </c>
      <c r="W434" s="1">
        <v>44696</v>
      </c>
      <c r="X434" t="s">
        <v>1859</v>
      </c>
      <c r="Y434" t="s">
        <v>1860</v>
      </c>
      <c r="Z434" t="s">
        <v>83</v>
      </c>
      <c r="AA434">
        <v>1</v>
      </c>
      <c r="AB434" t="s">
        <v>677</v>
      </c>
      <c r="AD434" t="s">
        <v>123</v>
      </c>
      <c r="AE434" t="s">
        <v>145</v>
      </c>
      <c r="AF434" t="s">
        <v>146</v>
      </c>
      <c r="AG434" t="s">
        <v>1428</v>
      </c>
      <c r="AH434" t="s">
        <v>1872</v>
      </c>
      <c r="AI434" t="s">
        <v>90</v>
      </c>
      <c r="AJ434">
        <v>32.425986999999999</v>
      </c>
      <c r="AK434">
        <v>-110.740407</v>
      </c>
      <c r="AL434">
        <v>4</v>
      </c>
      <c r="AN434">
        <v>2364</v>
      </c>
      <c r="AP434">
        <v>2364</v>
      </c>
      <c r="AQ434">
        <v>2385.7346400000001</v>
      </c>
      <c r="AT434">
        <v>15</v>
      </c>
      <c r="AU434">
        <v>5</v>
      </c>
      <c r="AV434">
        <v>2022</v>
      </c>
      <c r="AW434">
        <v>2438019</v>
      </c>
      <c r="AX434">
        <v>2438019</v>
      </c>
      <c r="AY434" t="s">
        <v>106</v>
      </c>
      <c r="AZ434" t="s">
        <v>92</v>
      </c>
      <c r="BA434" t="s">
        <v>107</v>
      </c>
      <c r="BB434" t="s">
        <v>1877</v>
      </c>
      <c r="BC434" t="s">
        <v>97</v>
      </c>
      <c r="BE434" t="s">
        <v>96</v>
      </c>
      <c r="BG434" t="s">
        <v>1865</v>
      </c>
      <c r="BI434" t="s">
        <v>98</v>
      </c>
      <c r="BJ434" t="s">
        <v>1878</v>
      </c>
      <c r="BL434" t="s">
        <v>110</v>
      </c>
    </row>
    <row r="435" spans="1:64" hidden="1" x14ac:dyDescent="0.2">
      <c r="A435">
        <v>1096</v>
      </c>
      <c r="B435">
        <v>4027015334</v>
      </c>
      <c r="C435" t="s">
        <v>101</v>
      </c>
      <c r="D435" t="s">
        <v>1879</v>
      </c>
      <c r="E435" t="s">
        <v>65</v>
      </c>
      <c r="F435" t="s">
        <v>66</v>
      </c>
      <c r="G435" t="s">
        <v>67</v>
      </c>
      <c r="H435" t="s">
        <v>68</v>
      </c>
      <c r="I435" t="s">
        <v>176</v>
      </c>
      <c r="J435" t="s">
        <v>177</v>
      </c>
      <c r="K435" t="s">
        <v>1817</v>
      </c>
      <c r="M435" t="s">
        <v>72</v>
      </c>
      <c r="N435" t="s">
        <v>1856</v>
      </c>
      <c r="O435" t="s">
        <v>1817</v>
      </c>
      <c r="P435" t="s">
        <v>1857</v>
      </c>
      <c r="Q435" t="s">
        <v>75</v>
      </c>
      <c r="R435" t="s">
        <v>1858</v>
      </c>
      <c r="S435" t="s">
        <v>645</v>
      </c>
      <c r="T435" t="s">
        <v>78</v>
      </c>
      <c r="U435" t="s">
        <v>1822</v>
      </c>
      <c r="V435" t="s">
        <v>80</v>
      </c>
      <c r="W435" s="1">
        <v>44696</v>
      </c>
      <c r="X435" t="s">
        <v>1859</v>
      </c>
      <c r="Y435" t="s">
        <v>1860</v>
      </c>
      <c r="Z435" t="s">
        <v>83</v>
      </c>
      <c r="AA435">
        <v>1</v>
      </c>
      <c r="AB435" t="s">
        <v>672</v>
      </c>
      <c r="AD435" t="s">
        <v>134</v>
      </c>
      <c r="AE435" t="s">
        <v>145</v>
      </c>
      <c r="AF435" t="s">
        <v>146</v>
      </c>
      <c r="AG435" t="s">
        <v>1428</v>
      </c>
      <c r="AH435" t="s">
        <v>1880</v>
      </c>
      <c r="AI435" t="s">
        <v>90</v>
      </c>
      <c r="AJ435">
        <v>32.425986999999999</v>
      </c>
      <c r="AK435">
        <v>-110.740407</v>
      </c>
      <c r="AL435">
        <v>4</v>
      </c>
      <c r="AN435">
        <v>2364</v>
      </c>
      <c r="AP435">
        <v>2364</v>
      </c>
      <c r="AQ435">
        <v>2385.7346400000001</v>
      </c>
      <c r="AT435">
        <v>15</v>
      </c>
      <c r="AU435">
        <v>5</v>
      </c>
      <c r="AV435">
        <v>2022</v>
      </c>
      <c r="AW435">
        <v>2438019</v>
      </c>
      <c r="AX435">
        <v>2438019</v>
      </c>
      <c r="AY435" t="s">
        <v>106</v>
      </c>
      <c r="AZ435" t="s">
        <v>92</v>
      </c>
      <c r="BA435" t="s">
        <v>107</v>
      </c>
      <c r="BB435" t="s">
        <v>1881</v>
      </c>
      <c r="BC435" t="s">
        <v>97</v>
      </c>
      <c r="BE435" t="s">
        <v>96</v>
      </c>
      <c r="BG435" t="s">
        <v>1865</v>
      </c>
      <c r="BI435" t="s">
        <v>98</v>
      </c>
      <c r="BJ435" t="s">
        <v>1882</v>
      </c>
      <c r="BL435" t="s">
        <v>110</v>
      </c>
    </row>
    <row r="436" spans="1:64" hidden="1" x14ac:dyDescent="0.2">
      <c r="A436">
        <v>170</v>
      </c>
      <c r="B436">
        <v>4403382470</v>
      </c>
      <c r="C436" t="s">
        <v>101</v>
      </c>
      <c r="D436" t="s">
        <v>628</v>
      </c>
      <c r="E436" t="s">
        <v>65</v>
      </c>
      <c r="F436" t="s">
        <v>66</v>
      </c>
      <c r="G436" t="s">
        <v>67</v>
      </c>
      <c r="H436" t="s">
        <v>68</v>
      </c>
      <c r="I436" t="s">
        <v>176</v>
      </c>
      <c r="J436" t="s">
        <v>177</v>
      </c>
      <c r="K436" t="s">
        <v>178</v>
      </c>
      <c r="M436" t="s">
        <v>72</v>
      </c>
      <c r="N436" t="s">
        <v>179</v>
      </c>
      <c r="O436" t="s">
        <v>178</v>
      </c>
      <c r="P436" t="s">
        <v>180</v>
      </c>
      <c r="Q436" t="s">
        <v>75</v>
      </c>
      <c r="R436" t="s">
        <v>354</v>
      </c>
      <c r="S436" t="s">
        <v>622</v>
      </c>
      <c r="T436" t="s">
        <v>78</v>
      </c>
      <c r="U436" t="s">
        <v>79</v>
      </c>
      <c r="V436" t="s">
        <v>80</v>
      </c>
      <c r="W436" s="1">
        <v>45116</v>
      </c>
      <c r="X436" t="s">
        <v>356</v>
      </c>
      <c r="Y436" t="s">
        <v>623</v>
      </c>
      <c r="Z436" t="s">
        <v>83</v>
      </c>
      <c r="AA436">
        <v>1</v>
      </c>
      <c r="AB436" t="s">
        <v>367</v>
      </c>
      <c r="AC436">
        <v>0</v>
      </c>
      <c r="AD436" t="s">
        <v>128</v>
      </c>
      <c r="AE436" t="s">
        <v>86</v>
      </c>
      <c r="AF436" t="s">
        <v>402</v>
      </c>
      <c r="AG436" t="s">
        <v>625</v>
      </c>
      <c r="AI436" t="s">
        <v>90</v>
      </c>
      <c r="AJ436">
        <v>32.373125000000002</v>
      </c>
      <c r="AK436">
        <v>-110.701713</v>
      </c>
      <c r="AL436">
        <v>3</v>
      </c>
      <c r="AN436">
        <v>1917</v>
      </c>
      <c r="AP436">
        <v>1917</v>
      </c>
      <c r="AQ436">
        <v>1928.7083</v>
      </c>
      <c r="AT436">
        <v>9</v>
      </c>
      <c r="AU436">
        <v>7</v>
      </c>
      <c r="AV436">
        <v>2023</v>
      </c>
      <c r="AW436">
        <v>2438038</v>
      </c>
      <c r="AX436">
        <v>2438038</v>
      </c>
      <c r="AY436" t="s">
        <v>106</v>
      </c>
      <c r="AZ436" t="s">
        <v>92</v>
      </c>
      <c r="BA436" t="s">
        <v>107</v>
      </c>
      <c r="BB436" t="s">
        <v>629</v>
      </c>
      <c r="BC436" t="s">
        <v>95</v>
      </c>
      <c r="BD436" s="1">
        <v>45116</v>
      </c>
      <c r="BE436" t="s">
        <v>96</v>
      </c>
      <c r="BG436" t="s">
        <v>363</v>
      </c>
      <c r="BI436" t="s">
        <v>98</v>
      </c>
      <c r="BJ436" t="s">
        <v>630</v>
      </c>
      <c r="BL436" t="s">
        <v>412</v>
      </c>
    </row>
    <row r="437" spans="1:64" hidden="1" x14ac:dyDescent="0.2">
      <c r="A437">
        <v>1302</v>
      </c>
      <c r="B437">
        <v>4022923411</v>
      </c>
      <c r="C437" t="s">
        <v>101</v>
      </c>
      <c r="D437" t="s">
        <v>1886</v>
      </c>
      <c r="E437" t="s">
        <v>65</v>
      </c>
      <c r="F437" t="s">
        <v>66</v>
      </c>
      <c r="G437" t="s">
        <v>67</v>
      </c>
      <c r="H437" t="s">
        <v>68</v>
      </c>
      <c r="I437" t="s">
        <v>176</v>
      </c>
      <c r="J437" t="s">
        <v>177</v>
      </c>
      <c r="K437" t="s">
        <v>1817</v>
      </c>
      <c r="M437" t="s">
        <v>72</v>
      </c>
      <c r="N437" t="s">
        <v>1856</v>
      </c>
      <c r="O437" t="s">
        <v>1817</v>
      </c>
      <c r="P437" t="s">
        <v>1857</v>
      </c>
      <c r="Q437" t="s">
        <v>75</v>
      </c>
      <c r="R437" t="s">
        <v>1858</v>
      </c>
      <c r="S437" t="s">
        <v>645</v>
      </c>
      <c r="T437" t="s">
        <v>78</v>
      </c>
      <c r="U437" t="s">
        <v>1822</v>
      </c>
      <c r="V437" t="s">
        <v>80</v>
      </c>
      <c r="W437" s="1">
        <v>44696</v>
      </c>
      <c r="X437" t="s">
        <v>1859</v>
      </c>
      <c r="Y437" t="s">
        <v>1860</v>
      </c>
      <c r="Z437" t="s">
        <v>83</v>
      </c>
      <c r="AA437">
        <v>1</v>
      </c>
      <c r="AB437" t="s">
        <v>677</v>
      </c>
      <c r="AD437" t="s">
        <v>139</v>
      </c>
      <c r="AE437" t="s">
        <v>145</v>
      </c>
      <c r="AF437" t="s">
        <v>146</v>
      </c>
      <c r="AG437" t="s">
        <v>1428</v>
      </c>
      <c r="AH437" t="s">
        <v>1872</v>
      </c>
      <c r="AI437" t="s">
        <v>90</v>
      </c>
      <c r="AJ437">
        <v>32.425986999999999</v>
      </c>
      <c r="AK437">
        <v>-110.740407</v>
      </c>
      <c r="AL437">
        <v>4</v>
      </c>
      <c r="AN437">
        <v>2364</v>
      </c>
      <c r="AP437">
        <v>2364</v>
      </c>
      <c r="AQ437">
        <v>2385.7346400000001</v>
      </c>
      <c r="AT437">
        <v>15</v>
      </c>
      <c r="AU437">
        <v>5</v>
      </c>
      <c r="AV437">
        <v>2022</v>
      </c>
      <c r="AW437">
        <v>2438019</v>
      </c>
      <c r="AX437">
        <v>2438019</v>
      </c>
      <c r="AY437" t="s">
        <v>106</v>
      </c>
      <c r="AZ437" t="s">
        <v>92</v>
      </c>
      <c r="BA437" t="s">
        <v>107</v>
      </c>
      <c r="BB437" t="s">
        <v>1887</v>
      </c>
      <c r="BC437" t="s">
        <v>97</v>
      </c>
      <c r="BE437" t="s">
        <v>96</v>
      </c>
      <c r="BG437" t="s">
        <v>1865</v>
      </c>
      <c r="BI437" t="s">
        <v>98</v>
      </c>
      <c r="BJ437" t="s">
        <v>1888</v>
      </c>
      <c r="BL437" t="s">
        <v>684</v>
      </c>
    </row>
    <row r="438" spans="1:64" hidden="1" x14ac:dyDescent="0.2">
      <c r="A438">
        <v>1326</v>
      </c>
      <c r="B438">
        <v>4022923387</v>
      </c>
      <c r="C438" t="s">
        <v>101</v>
      </c>
      <c r="D438" t="s">
        <v>1889</v>
      </c>
      <c r="E438" t="s">
        <v>65</v>
      </c>
      <c r="F438" t="s">
        <v>66</v>
      </c>
      <c r="G438" t="s">
        <v>67</v>
      </c>
      <c r="H438" t="s">
        <v>68</v>
      </c>
      <c r="I438" t="s">
        <v>176</v>
      </c>
      <c r="J438" t="s">
        <v>177</v>
      </c>
      <c r="K438" t="s">
        <v>1817</v>
      </c>
      <c r="M438" t="s">
        <v>72</v>
      </c>
      <c r="N438" t="s">
        <v>1856</v>
      </c>
      <c r="O438" t="s">
        <v>1817</v>
      </c>
      <c r="P438" t="s">
        <v>1857</v>
      </c>
      <c r="Q438" t="s">
        <v>75</v>
      </c>
      <c r="R438" t="s">
        <v>1858</v>
      </c>
      <c r="S438" t="s">
        <v>645</v>
      </c>
      <c r="T438" t="s">
        <v>78</v>
      </c>
      <c r="U438" t="s">
        <v>1822</v>
      </c>
      <c r="V438" t="s">
        <v>80</v>
      </c>
      <c r="W438" s="1">
        <v>44696</v>
      </c>
      <c r="X438" t="s">
        <v>1859</v>
      </c>
      <c r="Y438" t="s">
        <v>1860</v>
      </c>
      <c r="Z438" t="s">
        <v>83</v>
      </c>
      <c r="AA438">
        <v>1</v>
      </c>
      <c r="AB438" t="s">
        <v>1890</v>
      </c>
      <c r="AD438" t="s">
        <v>378</v>
      </c>
      <c r="AE438" t="s">
        <v>145</v>
      </c>
      <c r="AF438" t="s">
        <v>146</v>
      </c>
      <c r="AG438" t="s">
        <v>1428</v>
      </c>
      <c r="AH438" t="s">
        <v>1891</v>
      </c>
      <c r="AI438" t="s">
        <v>90</v>
      </c>
      <c r="AJ438">
        <v>32.425986999999999</v>
      </c>
      <c r="AK438">
        <v>-110.740407</v>
      </c>
      <c r="AL438">
        <v>4</v>
      </c>
      <c r="AN438">
        <v>2364</v>
      </c>
      <c r="AP438">
        <v>2364</v>
      </c>
      <c r="AQ438">
        <v>2385.7346400000001</v>
      </c>
      <c r="AT438">
        <v>15</v>
      </c>
      <c r="AU438">
        <v>5</v>
      </c>
      <c r="AV438">
        <v>2022</v>
      </c>
      <c r="AW438">
        <v>2438019</v>
      </c>
      <c r="AX438">
        <v>2438019</v>
      </c>
      <c r="AY438" t="s">
        <v>106</v>
      </c>
      <c r="AZ438" t="s">
        <v>92</v>
      </c>
      <c r="BA438" t="s">
        <v>107</v>
      </c>
      <c r="BB438" t="s">
        <v>1892</v>
      </c>
      <c r="BC438" t="s">
        <v>97</v>
      </c>
      <c r="BE438" t="s">
        <v>96</v>
      </c>
      <c r="BG438" t="s">
        <v>1865</v>
      </c>
      <c r="BI438" t="s">
        <v>98</v>
      </c>
      <c r="BJ438" t="s">
        <v>1660</v>
      </c>
      <c r="BL438" t="s">
        <v>684</v>
      </c>
    </row>
    <row r="439" spans="1:64" hidden="1" x14ac:dyDescent="0.2">
      <c r="A439">
        <v>924</v>
      </c>
      <c r="B439">
        <v>4040367322</v>
      </c>
      <c r="C439" t="s">
        <v>101</v>
      </c>
      <c r="D439" t="s">
        <v>1893</v>
      </c>
      <c r="E439" t="s">
        <v>65</v>
      </c>
      <c r="F439" t="s">
        <v>66</v>
      </c>
      <c r="G439" t="s">
        <v>67</v>
      </c>
      <c r="H439" t="s">
        <v>68</v>
      </c>
      <c r="I439" t="s">
        <v>176</v>
      </c>
      <c r="J439" t="s">
        <v>177</v>
      </c>
      <c r="K439" t="s">
        <v>1817</v>
      </c>
      <c r="M439" t="s">
        <v>72</v>
      </c>
      <c r="N439" t="s">
        <v>1856</v>
      </c>
      <c r="O439" t="s">
        <v>1817</v>
      </c>
      <c r="P439" t="s">
        <v>1857</v>
      </c>
      <c r="Q439" t="s">
        <v>75</v>
      </c>
      <c r="R439" t="s">
        <v>1858</v>
      </c>
      <c r="S439" t="s">
        <v>645</v>
      </c>
      <c r="T439" t="s">
        <v>78</v>
      </c>
      <c r="U439" t="s">
        <v>1822</v>
      </c>
      <c r="V439" t="s">
        <v>80</v>
      </c>
      <c r="W439" s="1">
        <v>44696</v>
      </c>
      <c r="X439" t="s">
        <v>1859</v>
      </c>
      <c r="Y439" t="s">
        <v>1860</v>
      </c>
      <c r="Z439" t="s">
        <v>83</v>
      </c>
      <c r="AA439">
        <v>1</v>
      </c>
      <c r="AB439" t="s">
        <v>657</v>
      </c>
      <c r="AD439" t="s">
        <v>104</v>
      </c>
      <c r="AE439" t="s">
        <v>145</v>
      </c>
      <c r="AF439" t="s">
        <v>146</v>
      </c>
      <c r="AG439" t="s">
        <v>1428</v>
      </c>
      <c r="AH439" t="s">
        <v>1872</v>
      </c>
      <c r="AI439" t="s">
        <v>90</v>
      </c>
      <c r="AJ439">
        <v>32.425986999999999</v>
      </c>
      <c r="AK439">
        <v>-110.740407</v>
      </c>
      <c r="AL439">
        <v>4</v>
      </c>
      <c r="AN439">
        <v>2364</v>
      </c>
      <c r="AP439">
        <v>2364</v>
      </c>
      <c r="AQ439">
        <v>2385.7346400000001</v>
      </c>
      <c r="AT439">
        <v>15</v>
      </c>
      <c r="AU439">
        <v>5</v>
      </c>
      <c r="AV439">
        <v>2022</v>
      </c>
      <c r="AW439">
        <v>2438019</v>
      </c>
      <c r="AX439">
        <v>2438019</v>
      </c>
      <c r="AY439" t="s">
        <v>106</v>
      </c>
      <c r="AZ439" t="s">
        <v>92</v>
      </c>
      <c r="BA439" t="s">
        <v>107</v>
      </c>
      <c r="BB439" t="s">
        <v>1894</v>
      </c>
      <c r="BC439" t="s">
        <v>97</v>
      </c>
      <c r="BE439" t="s">
        <v>96</v>
      </c>
      <c r="BG439" t="s">
        <v>1865</v>
      </c>
      <c r="BI439" t="s">
        <v>98</v>
      </c>
      <c r="BJ439" t="s">
        <v>1895</v>
      </c>
      <c r="BL439" t="s">
        <v>110</v>
      </c>
    </row>
    <row r="440" spans="1:64" hidden="1" x14ac:dyDescent="0.2">
      <c r="A440">
        <v>1077</v>
      </c>
      <c r="B440">
        <v>4027015353</v>
      </c>
      <c r="C440" t="s">
        <v>101</v>
      </c>
      <c r="D440" t="s">
        <v>1903</v>
      </c>
      <c r="E440" t="s">
        <v>65</v>
      </c>
      <c r="F440" t="s">
        <v>66</v>
      </c>
      <c r="G440" t="s">
        <v>67</v>
      </c>
      <c r="H440" t="s">
        <v>68</v>
      </c>
      <c r="I440" t="s">
        <v>176</v>
      </c>
      <c r="J440" t="s">
        <v>177</v>
      </c>
      <c r="K440" t="s">
        <v>178</v>
      </c>
      <c r="M440" t="s">
        <v>72</v>
      </c>
      <c r="N440" t="s">
        <v>179</v>
      </c>
      <c r="O440" t="s">
        <v>178</v>
      </c>
      <c r="P440" t="s">
        <v>180</v>
      </c>
      <c r="Q440" t="s">
        <v>75</v>
      </c>
      <c r="R440" t="s">
        <v>1858</v>
      </c>
      <c r="S440" t="s">
        <v>694</v>
      </c>
      <c r="T440" t="s">
        <v>78</v>
      </c>
      <c r="U440" t="s">
        <v>1822</v>
      </c>
      <c r="V440" t="s">
        <v>80</v>
      </c>
      <c r="W440" s="1">
        <v>44696</v>
      </c>
      <c r="X440" t="s">
        <v>1859</v>
      </c>
      <c r="Y440" t="s">
        <v>1897</v>
      </c>
      <c r="Z440" t="s">
        <v>83</v>
      </c>
      <c r="AA440">
        <v>1</v>
      </c>
      <c r="AB440" t="s">
        <v>657</v>
      </c>
      <c r="AD440" t="s">
        <v>116</v>
      </c>
      <c r="AE440" t="s">
        <v>86</v>
      </c>
      <c r="AF440" t="s">
        <v>146</v>
      </c>
      <c r="AG440" t="s">
        <v>1899</v>
      </c>
      <c r="AH440" t="s">
        <v>1904</v>
      </c>
      <c r="AI440" t="s">
        <v>90</v>
      </c>
      <c r="AJ440">
        <v>32.425916999999998</v>
      </c>
      <c r="AK440">
        <v>-110.74038299999999</v>
      </c>
      <c r="AL440">
        <v>4</v>
      </c>
      <c r="AN440">
        <v>2366</v>
      </c>
      <c r="AP440">
        <v>2366</v>
      </c>
      <c r="AQ440">
        <v>2387.1654619999999</v>
      </c>
      <c r="AT440">
        <v>15</v>
      </c>
      <c r="AU440">
        <v>5</v>
      </c>
      <c r="AV440">
        <v>2022</v>
      </c>
      <c r="AW440">
        <v>2438038</v>
      </c>
      <c r="AX440">
        <v>2438038</v>
      </c>
      <c r="AY440" t="s">
        <v>106</v>
      </c>
      <c r="AZ440" t="s">
        <v>92</v>
      </c>
      <c r="BA440" t="s">
        <v>107</v>
      </c>
      <c r="BB440" t="s">
        <v>1905</v>
      </c>
      <c r="BC440" t="s">
        <v>97</v>
      </c>
      <c r="BE440" t="s">
        <v>96</v>
      </c>
      <c r="BG440" t="s">
        <v>1865</v>
      </c>
      <c r="BI440" t="s">
        <v>98</v>
      </c>
      <c r="BJ440" t="s">
        <v>1906</v>
      </c>
      <c r="BL440" t="s">
        <v>110</v>
      </c>
    </row>
    <row r="441" spans="1:64" hidden="1" x14ac:dyDescent="0.2">
      <c r="A441">
        <v>1107</v>
      </c>
      <c r="B441">
        <v>4027015323</v>
      </c>
      <c r="C441" t="s">
        <v>101</v>
      </c>
      <c r="D441" t="s">
        <v>1907</v>
      </c>
      <c r="E441" t="s">
        <v>65</v>
      </c>
      <c r="F441" t="s">
        <v>66</v>
      </c>
      <c r="G441" t="s">
        <v>67</v>
      </c>
      <c r="H441" t="s">
        <v>68</v>
      </c>
      <c r="I441" t="s">
        <v>176</v>
      </c>
      <c r="J441" t="s">
        <v>177</v>
      </c>
      <c r="K441" t="s">
        <v>178</v>
      </c>
      <c r="M441" t="s">
        <v>72</v>
      </c>
      <c r="N441" t="s">
        <v>179</v>
      </c>
      <c r="O441" t="s">
        <v>178</v>
      </c>
      <c r="P441" t="s">
        <v>180</v>
      </c>
      <c r="Q441" t="s">
        <v>75</v>
      </c>
      <c r="R441" t="s">
        <v>1858</v>
      </c>
      <c r="S441" t="s">
        <v>694</v>
      </c>
      <c r="T441" t="s">
        <v>78</v>
      </c>
      <c r="U441" t="s">
        <v>1822</v>
      </c>
      <c r="V441" t="s">
        <v>80</v>
      </c>
      <c r="W441" s="1">
        <v>44696</v>
      </c>
      <c r="X441" t="s">
        <v>1859</v>
      </c>
      <c r="Y441" t="s">
        <v>1897</v>
      </c>
      <c r="Z441" t="s">
        <v>83</v>
      </c>
      <c r="AA441">
        <v>1</v>
      </c>
      <c r="AB441" t="s">
        <v>677</v>
      </c>
      <c r="AD441" t="s">
        <v>123</v>
      </c>
      <c r="AE441" t="s">
        <v>86</v>
      </c>
      <c r="AF441" t="s">
        <v>146</v>
      </c>
      <c r="AG441" t="s">
        <v>1899</v>
      </c>
      <c r="AH441" t="s">
        <v>1904</v>
      </c>
      <c r="AI441" t="s">
        <v>90</v>
      </c>
      <c r="AJ441">
        <v>32.425916999999998</v>
      </c>
      <c r="AK441">
        <v>-110.74038299999999</v>
      </c>
      <c r="AL441">
        <v>4</v>
      </c>
      <c r="AN441">
        <v>2366</v>
      </c>
      <c r="AP441">
        <v>2366</v>
      </c>
      <c r="AQ441">
        <v>2387.1654619999999</v>
      </c>
      <c r="AT441">
        <v>15</v>
      </c>
      <c r="AU441">
        <v>5</v>
      </c>
      <c r="AV441">
        <v>2022</v>
      </c>
      <c r="AW441">
        <v>2438038</v>
      </c>
      <c r="AX441">
        <v>2438038</v>
      </c>
      <c r="AY441" t="s">
        <v>106</v>
      </c>
      <c r="AZ441" t="s">
        <v>92</v>
      </c>
      <c r="BA441" t="s">
        <v>107</v>
      </c>
      <c r="BB441" t="s">
        <v>1908</v>
      </c>
      <c r="BC441" t="s">
        <v>97</v>
      </c>
      <c r="BE441" t="s">
        <v>96</v>
      </c>
      <c r="BG441" t="s">
        <v>1865</v>
      </c>
      <c r="BI441" t="s">
        <v>98</v>
      </c>
      <c r="BJ441" t="s">
        <v>1878</v>
      </c>
      <c r="BL441" t="s">
        <v>110</v>
      </c>
    </row>
    <row r="442" spans="1:64" hidden="1" x14ac:dyDescent="0.2">
      <c r="A442">
        <v>1106</v>
      </c>
      <c r="B442">
        <v>4027015324</v>
      </c>
      <c r="C442" t="s">
        <v>101</v>
      </c>
      <c r="D442" t="s">
        <v>1909</v>
      </c>
      <c r="E442" t="s">
        <v>65</v>
      </c>
      <c r="F442" t="s">
        <v>66</v>
      </c>
      <c r="G442" t="s">
        <v>67</v>
      </c>
      <c r="H442" t="s">
        <v>68</v>
      </c>
      <c r="I442" t="s">
        <v>176</v>
      </c>
      <c r="J442" t="s">
        <v>177</v>
      </c>
      <c r="K442" t="s">
        <v>178</v>
      </c>
      <c r="M442" t="s">
        <v>72</v>
      </c>
      <c r="N442" t="s">
        <v>179</v>
      </c>
      <c r="O442" t="s">
        <v>178</v>
      </c>
      <c r="P442" t="s">
        <v>180</v>
      </c>
      <c r="Q442" t="s">
        <v>75</v>
      </c>
      <c r="R442" t="s">
        <v>1858</v>
      </c>
      <c r="S442" t="s">
        <v>694</v>
      </c>
      <c r="T442" t="s">
        <v>78</v>
      </c>
      <c r="U442" t="s">
        <v>1822</v>
      </c>
      <c r="V442" t="s">
        <v>80</v>
      </c>
      <c r="W442" s="1">
        <v>44696</v>
      </c>
      <c r="X442" t="s">
        <v>1859</v>
      </c>
      <c r="Y442" t="s">
        <v>1897</v>
      </c>
      <c r="Z442" t="s">
        <v>83</v>
      </c>
      <c r="AA442">
        <v>1</v>
      </c>
      <c r="AB442" t="s">
        <v>672</v>
      </c>
      <c r="AD442" t="s">
        <v>134</v>
      </c>
      <c r="AE442" t="s">
        <v>86</v>
      </c>
      <c r="AF442" t="s">
        <v>146</v>
      </c>
      <c r="AG442" t="s">
        <v>1899</v>
      </c>
      <c r="AH442" t="s">
        <v>1910</v>
      </c>
      <c r="AI442" t="s">
        <v>90</v>
      </c>
      <c r="AJ442">
        <v>32.425916999999998</v>
      </c>
      <c r="AK442">
        <v>-110.74038299999999</v>
      </c>
      <c r="AL442">
        <v>4</v>
      </c>
      <c r="AN442">
        <v>2366</v>
      </c>
      <c r="AP442">
        <v>2366</v>
      </c>
      <c r="AQ442">
        <v>2387.1654619999999</v>
      </c>
      <c r="AT442">
        <v>15</v>
      </c>
      <c r="AU442">
        <v>5</v>
      </c>
      <c r="AV442">
        <v>2022</v>
      </c>
      <c r="AW442">
        <v>2438038</v>
      </c>
      <c r="AX442">
        <v>2438038</v>
      </c>
      <c r="AY442" t="s">
        <v>106</v>
      </c>
      <c r="AZ442" t="s">
        <v>92</v>
      </c>
      <c r="BA442" t="s">
        <v>107</v>
      </c>
      <c r="BB442" t="s">
        <v>1911</v>
      </c>
      <c r="BC442" t="s">
        <v>97</v>
      </c>
      <c r="BE442" t="s">
        <v>96</v>
      </c>
      <c r="BG442" t="s">
        <v>1865</v>
      </c>
      <c r="BI442" t="s">
        <v>98</v>
      </c>
      <c r="BJ442" t="s">
        <v>1882</v>
      </c>
      <c r="BL442" t="s">
        <v>110</v>
      </c>
    </row>
    <row r="443" spans="1:64" hidden="1" x14ac:dyDescent="0.2">
      <c r="A443">
        <v>179</v>
      </c>
      <c r="B443">
        <v>4403382461</v>
      </c>
      <c r="C443" t="s">
        <v>101</v>
      </c>
      <c r="D443" t="s">
        <v>640</v>
      </c>
      <c r="E443" t="s">
        <v>65</v>
      </c>
      <c r="F443" t="s">
        <v>66</v>
      </c>
      <c r="G443" t="s">
        <v>67</v>
      </c>
      <c r="H443" t="s">
        <v>68</v>
      </c>
      <c r="I443" t="s">
        <v>176</v>
      </c>
      <c r="J443" t="s">
        <v>177</v>
      </c>
      <c r="K443" t="s">
        <v>178</v>
      </c>
      <c r="M443" t="s">
        <v>72</v>
      </c>
      <c r="N443" t="s">
        <v>179</v>
      </c>
      <c r="O443" t="s">
        <v>178</v>
      </c>
      <c r="P443" t="s">
        <v>180</v>
      </c>
      <c r="Q443" t="s">
        <v>75</v>
      </c>
      <c r="R443" t="s">
        <v>354</v>
      </c>
      <c r="S443" t="s">
        <v>632</v>
      </c>
      <c r="T443" t="s">
        <v>78</v>
      </c>
      <c r="U443" t="s">
        <v>79</v>
      </c>
      <c r="V443" t="s">
        <v>80</v>
      </c>
      <c r="W443" s="1">
        <v>45116</v>
      </c>
      <c r="X443" t="s">
        <v>356</v>
      </c>
      <c r="Y443" t="s">
        <v>633</v>
      </c>
      <c r="Z443" t="s">
        <v>83</v>
      </c>
      <c r="AA443">
        <v>1</v>
      </c>
      <c r="AB443" t="s">
        <v>367</v>
      </c>
      <c r="AC443">
        <v>0</v>
      </c>
      <c r="AD443" t="s">
        <v>128</v>
      </c>
      <c r="AE443" t="s">
        <v>145</v>
      </c>
      <c r="AF443" t="s">
        <v>402</v>
      </c>
      <c r="AG443" t="s">
        <v>344</v>
      </c>
      <c r="AI443" t="s">
        <v>90</v>
      </c>
      <c r="AJ443">
        <v>32.372857000000003</v>
      </c>
      <c r="AK443">
        <v>-110.70119099999999</v>
      </c>
      <c r="AL443">
        <v>3</v>
      </c>
      <c r="AN443">
        <v>1896</v>
      </c>
      <c r="AP443">
        <v>1896</v>
      </c>
      <c r="AQ443">
        <v>1911.37922</v>
      </c>
      <c r="AT443">
        <v>9</v>
      </c>
      <c r="AU443">
        <v>7</v>
      </c>
      <c r="AV443">
        <v>2023</v>
      </c>
      <c r="AW443">
        <v>2438038</v>
      </c>
      <c r="AX443">
        <v>2438038</v>
      </c>
      <c r="AY443" t="s">
        <v>106</v>
      </c>
      <c r="AZ443" t="s">
        <v>92</v>
      </c>
      <c r="BA443" t="s">
        <v>107</v>
      </c>
      <c r="BB443" t="s">
        <v>641</v>
      </c>
      <c r="BC443" t="s">
        <v>95</v>
      </c>
      <c r="BD443" s="1">
        <v>45116</v>
      </c>
      <c r="BE443" t="s">
        <v>96</v>
      </c>
      <c r="BG443" t="s">
        <v>363</v>
      </c>
      <c r="BI443" t="s">
        <v>98</v>
      </c>
      <c r="BJ443" t="s">
        <v>642</v>
      </c>
      <c r="BL443" t="s">
        <v>412</v>
      </c>
    </row>
    <row r="444" spans="1:64" x14ac:dyDescent="0.2">
      <c r="A444">
        <v>1449</v>
      </c>
      <c r="B444">
        <v>3748770432</v>
      </c>
      <c r="C444" t="s">
        <v>63</v>
      </c>
      <c r="D444" t="s">
        <v>3702</v>
      </c>
      <c r="E444" t="s">
        <v>65</v>
      </c>
      <c r="F444" t="s">
        <v>66</v>
      </c>
      <c r="G444" t="s">
        <v>67</v>
      </c>
      <c r="H444" t="s">
        <v>68</v>
      </c>
      <c r="I444" t="s">
        <v>176</v>
      </c>
      <c r="J444" t="s">
        <v>773</v>
      </c>
      <c r="K444" t="s">
        <v>774</v>
      </c>
      <c r="M444" t="s">
        <v>72</v>
      </c>
      <c r="N444" t="s">
        <v>775</v>
      </c>
      <c r="O444" t="s">
        <v>774</v>
      </c>
      <c r="P444" t="s">
        <v>776</v>
      </c>
      <c r="Q444" t="s">
        <v>75</v>
      </c>
      <c r="R444" t="s">
        <v>3564</v>
      </c>
      <c r="S444" t="s">
        <v>3703</v>
      </c>
      <c r="T444" t="s">
        <v>78</v>
      </c>
      <c r="U444" t="s">
        <v>1822</v>
      </c>
      <c r="V444" t="s">
        <v>80</v>
      </c>
      <c r="W444" s="1">
        <v>44508</v>
      </c>
      <c r="X444" t="s">
        <v>1823</v>
      </c>
      <c r="Y444" t="s">
        <v>3704</v>
      </c>
      <c r="Z444" t="s">
        <v>83</v>
      </c>
      <c r="AA444">
        <v>1</v>
      </c>
      <c r="AB444" t="s">
        <v>3705</v>
      </c>
      <c r="AC444">
        <v>1</v>
      </c>
      <c r="AD444" s="6" t="s">
        <v>85</v>
      </c>
      <c r="AE444" s="6" t="s">
        <v>86</v>
      </c>
      <c r="AF444" s="6" t="s">
        <v>146</v>
      </c>
      <c r="AG444" s="6" t="s">
        <v>3706</v>
      </c>
      <c r="AH444" s="6" t="s">
        <v>3707</v>
      </c>
      <c r="AI444" s="6" t="s">
        <v>90</v>
      </c>
      <c r="AJ444" s="6">
        <v>32.441271999999998</v>
      </c>
      <c r="AK444" s="6">
        <v>-110.786057</v>
      </c>
      <c r="AL444" s="6">
        <v>13</v>
      </c>
      <c r="AM444" s="6"/>
      <c r="AN444" s="6">
        <v>2730</v>
      </c>
      <c r="AO444" s="6"/>
      <c r="AP444" s="6">
        <v>2730</v>
      </c>
      <c r="AQ444" s="6">
        <v>2772.5468289999999</v>
      </c>
      <c r="AR444" s="6"/>
      <c r="AS444" s="6"/>
      <c r="AT444" s="6">
        <v>8</v>
      </c>
      <c r="AU444" s="6">
        <v>11</v>
      </c>
      <c r="AV444" s="6">
        <v>2021</v>
      </c>
      <c r="AW444" s="6">
        <v>2438447</v>
      </c>
      <c r="AX444" s="6">
        <v>2438447</v>
      </c>
      <c r="AY444" s="6" t="s">
        <v>91</v>
      </c>
      <c r="AZ444" t="s">
        <v>92</v>
      </c>
      <c r="BA444" t="s">
        <v>93</v>
      </c>
      <c r="BB444" t="s">
        <v>3708</v>
      </c>
      <c r="BC444" t="s">
        <v>1186</v>
      </c>
      <c r="BE444" t="s">
        <v>96</v>
      </c>
      <c r="BG444" t="s">
        <v>1186</v>
      </c>
      <c r="BI444" t="s">
        <v>98</v>
      </c>
      <c r="BJ444" t="s">
        <v>3709</v>
      </c>
      <c r="BL444" t="s">
        <v>100</v>
      </c>
    </row>
    <row r="445" spans="1:64" hidden="1" x14ac:dyDescent="0.2">
      <c r="A445">
        <v>1103</v>
      </c>
      <c r="B445">
        <v>4027015327</v>
      </c>
      <c r="C445" t="s">
        <v>101</v>
      </c>
      <c r="D445" t="s">
        <v>1918</v>
      </c>
      <c r="E445" t="s">
        <v>65</v>
      </c>
      <c r="F445" t="s">
        <v>66</v>
      </c>
      <c r="G445" t="s">
        <v>67</v>
      </c>
      <c r="H445" t="s">
        <v>68</v>
      </c>
      <c r="I445" t="s">
        <v>176</v>
      </c>
      <c r="J445" t="s">
        <v>177</v>
      </c>
      <c r="K445" t="s">
        <v>178</v>
      </c>
      <c r="M445" t="s">
        <v>72</v>
      </c>
      <c r="N445" t="s">
        <v>179</v>
      </c>
      <c r="O445" t="s">
        <v>178</v>
      </c>
      <c r="P445" t="s">
        <v>180</v>
      </c>
      <c r="Q445" t="s">
        <v>75</v>
      </c>
      <c r="R445" t="s">
        <v>1858</v>
      </c>
      <c r="S445" t="s">
        <v>694</v>
      </c>
      <c r="T445" t="s">
        <v>78</v>
      </c>
      <c r="U445" t="s">
        <v>1822</v>
      </c>
      <c r="V445" t="s">
        <v>80</v>
      </c>
      <c r="W445" s="1">
        <v>44696</v>
      </c>
      <c r="X445" t="s">
        <v>1859</v>
      </c>
      <c r="Y445" t="s">
        <v>1897</v>
      </c>
      <c r="Z445" t="s">
        <v>83</v>
      </c>
      <c r="AA445">
        <v>1</v>
      </c>
      <c r="AB445" t="s">
        <v>657</v>
      </c>
      <c r="AD445" t="s">
        <v>112</v>
      </c>
      <c r="AE445" t="s">
        <v>86</v>
      </c>
      <c r="AF445" t="s">
        <v>146</v>
      </c>
      <c r="AG445" t="s">
        <v>1899</v>
      </c>
      <c r="AH445" t="s">
        <v>1904</v>
      </c>
      <c r="AI445" t="s">
        <v>90</v>
      </c>
      <c r="AJ445">
        <v>32.425916999999998</v>
      </c>
      <c r="AK445">
        <v>-110.74038299999999</v>
      </c>
      <c r="AL445">
        <v>4</v>
      </c>
      <c r="AN445">
        <v>2366</v>
      </c>
      <c r="AP445">
        <v>2366</v>
      </c>
      <c r="AQ445">
        <v>2387.1654619999999</v>
      </c>
      <c r="AT445">
        <v>15</v>
      </c>
      <c r="AU445">
        <v>5</v>
      </c>
      <c r="AV445">
        <v>2022</v>
      </c>
      <c r="AW445">
        <v>2438038</v>
      </c>
      <c r="AX445">
        <v>2438038</v>
      </c>
      <c r="AY445" t="s">
        <v>106</v>
      </c>
      <c r="AZ445" t="s">
        <v>92</v>
      </c>
      <c r="BA445" t="s">
        <v>107</v>
      </c>
      <c r="BB445" t="s">
        <v>1919</v>
      </c>
      <c r="BC445" t="s">
        <v>97</v>
      </c>
      <c r="BE445" t="s">
        <v>96</v>
      </c>
      <c r="BG445" t="s">
        <v>1865</v>
      </c>
      <c r="BI445" t="s">
        <v>98</v>
      </c>
      <c r="BJ445" t="s">
        <v>1920</v>
      </c>
      <c r="BL445" t="s">
        <v>110</v>
      </c>
    </row>
    <row r="446" spans="1:64" hidden="1" x14ac:dyDescent="0.2">
      <c r="A446">
        <v>1280</v>
      </c>
      <c r="B446">
        <v>4022923433</v>
      </c>
      <c r="C446" t="s">
        <v>101</v>
      </c>
      <c r="D446" t="s">
        <v>1921</v>
      </c>
      <c r="E446" t="s">
        <v>65</v>
      </c>
      <c r="F446" t="s">
        <v>66</v>
      </c>
      <c r="G446" t="s">
        <v>67</v>
      </c>
      <c r="H446" t="s">
        <v>68</v>
      </c>
      <c r="I446" t="s">
        <v>176</v>
      </c>
      <c r="J446" t="s">
        <v>177</v>
      </c>
      <c r="K446" t="s">
        <v>178</v>
      </c>
      <c r="M446" t="s">
        <v>72</v>
      </c>
      <c r="N446" t="s">
        <v>179</v>
      </c>
      <c r="O446" t="s">
        <v>178</v>
      </c>
      <c r="P446" t="s">
        <v>180</v>
      </c>
      <c r="Q446" t="s">
        <v>75</v>
      </c>
      <c r="R446" t="s">
        <v>1858</v>
      </c>
      <c r="T446" t="s">
        <v>78</v>
      </c>
      <c r="U446" t="s">
        <v>1822</v>
      </c>
      <c r="V446" t="s">
        <v>80</v>
      </c>
      <c r="W446" s="1">
        <v>44696</v>
      </c>
      <c r="X446" t="s">
        <v>1859</v>
      </c>
      <c r="Y446" t="s">
        <v>1897</v>
      </c>
      <c r="Z446" t="s">
        <v>83</v>
      </c>
      <c r="AA446">
        <v>1</v>
      </c>
      <c r="AB446" t="s">
        <v>1922</v>
      </c>
      <c r="AD446" t="s">
        <v>378</v>
      </c>
      <c r="AE446" t="s">
        <v>86</v>
      </c>
      <c r="AF446" t="s">
        <v>146</v>
      </c>
      <c r="AG446" t="s">
        <v>1899</v>
      </c>
      <c r="AH446" t="s">
        <v>1923</v>
      </c>
      <c r="AI446" t="s">
        <v>90</v>
      </c>
      <c r="AJ446">
        <v>32.425916999999998</v>
      </c>
      <c r="AK446">
        <v>-110.74038299999999</v>
      </c>
      <c r="AL446">
        <v>4</v>
      </c>
      <c r="AN446">
        <v>2366</v>
      </c>
      <c r="AP446">
        <v>2366</v>
      </c>
      <c r="AQ446">
        <v>2387.1654619999999</v>
      </c>
      <c r="AT446">
        <v>15</v>
      </c>
      <c r="AU446">
        <v>5</v>
      </c>
      <c r="AV446">
        <v>2022</v>
      </c>
      <c r="AW446">
        <v>2438038</v>
      </c>
      <c r="AX446">
        <v>2438038</v>
      </c>
      <c r="AY446" t="s">
        <v>106</v>
      </c>
      <c r="AZ446" t="s">
        <v>92</v>
      </c>
      <c r="BA446" t="s">
        <v>107</v>
      </c>
      <c r="BB446" t="s">
        <v>1924</v>
      </c>
      <c r="BC446" t="s">
        <v>97</v>
      </c>
      <c r="BE446" t="s">
        <v>96</v>
      </c>
      <c r="BG446" t="s">
        <v>1865</v>
      </c>
      <c r="BI446" t="s">
        <v>98</v>
      </c>
      <c r="BJ446" t="s">
        <v>1575</v>
      </c>
      <c r="BL446" t="s">
        <v>684</v>
      </c>
    </row>
    <row r="447" spans="1:64" hidden="1" x14ac:dyDescent="0.2">
      <c r="A447">
        <v>1277</v>
      </c>
      <c r="B447">
        <v>4022923436</v>
      </c>
      <c r="C447" t="s">
        <v>101</v>
      </c>
      <c r="D447" t="s">
        <v>1925</v>
      </c>
      <c r="E447" t="s">
        <v>65</v>
      </c>
      <c r="F447" t="s">
        <v>66</v>
      </c>
      <c r="G447" t="s">
        <v>67</v>
      </c>
      <c r="H447" t="s">
        <v>68</v>
      </c>
      <c r="I447" t="s">
        <v>176</v>
      </c>
      <c r="J447" t="s">
        <v>177</v>
      </c>
      <c r="K447" t="s">
        <v>178</v>
      </c>
      <c r="M447" t="s">
        <v>72</v>
      </c>
      <c r="N447" t="s">
        <v>179</v>
      </c>
      <c r="O447" t="s">
        <v>178</v>
      </c>
      <c r="P447" t="s">
        <v>180</v>
      </c>
      <c r="Q447" t="s">
        <v>75</v>
      </c>
      <c r="R447" t="s">
        <v>1858</v>
      </c>
      <c r="S447" t="s">
        <v>694</v>
      </c>
      <c r="T447" t="s">
        <v>78</v>
      </c>
      <c r="U447" t="s">
        <v>1822</v>
      </c>
      <c r="V447" t="s">
        <v>80</v>
      </c>
      <c r="W447" s="1">
        <v>44696</v>
      </c>
      <c r="X447" t="s">
        <v>1859</v>
      </c>
      <c r="Y447" t="s">
        <v>1897</v>
      </c>
      <c r="Z447" t="s">
        <v>83</v>
      </c>
      <c r="AA447">
        <v>1</v>
      </c>
      <c r="AB447" t="s">
        <v>677</v>
      </c>
      <c r="AD447" t="s">
        <v>139</v>
      </c>
      <c r="AE447" t="s">
        <v>86</v>
      </c>
      <c r="AF447" t="s">
        <v>146</v>
      </c>
      <c r="AG447" t="s">
        <v>1899</v>
      </c>
      <c r="AH447" t="s">
        <v>1904</v>
      </c>
      <c r="AI447" t="s">
        <v>90</v>
      </c>
      <c r="AJ447">
        <v>32.425916999999998</v>
      </c>
      <c r="AK447">
        <v>-110.74038299999999</v>
      </c>
      <c r="AL447">
        <v>4</v>
      </c>
      <c r="AN447">
        <v>2366</v>
      </c>
      <c r="AP447">
        <v>2366</v>
      </c>
      <c r="AQ447">
        <v>2387.1654619999999</v>
      </c>
      <c r="AT447">
        <v>15</v>
      </c>
      <c r="AU447">
        <v>5</v>
      </c>
      <c r="AV447">
        <v>2022</v>
      </c>
      <c r="AW447">
        <v>2438038</v>
      </c>
      <c r="AX447">
        <v>2438038</v>
      </c>
      <c r="AY447" t="s">
        <v>106</v>
      </c>
      <c r="AZ447" t="s">
        <v>92</v>
      </c>
      <c r="BA447" t="s">
        <v>107</v>
      </c>
      <c r="BB447" t="s">
        <v>1926</v>
      </c>
      <c r="BC447" t="s">
        <v>97</v>
      </c>
      <c r="BE447" t="s">
        <v>96</v>
      </c>
      <c r="BG447" t="s">
        <v>1865</v>
      </c>
      <c r="BI447" t="s">
        <v>98</v>
      </c>
      <c r="BJ447" t="s">
        <v>949</v>
      </c>
      <c r="BL447" t="s">
        <v>684</v>
      </c>
    </row>
    <row r="448" spans="1:64" hidden="1" x14ac:dyDescent="0.2">
      <c r="A448">
        <v>922</v>
      </c>
      <c r="B448">
        <v>4040367324</v>
      </c>
      <c r="C448" t="s">
        <v>101</v>
      </c>
      <c r="D448" t="s">
        <v>1927</v>
      </c>
      <c r="E448" t="s">
        <v>65</v>
      </c>
      <c r="F448" t="s">
        <v>66</v>
      </c>
      <c r="G448" t="s">
        <v>67</v>
      </c>
      <c r="H448" t="s">
        <v>68</v>
      </c>
      <c r="I448" t="s">
        <v>176</v>
      </c>
      <c r="J448" t="s">
        <v>177</v>
      </c>
      <c r="K448" t="s">
        <v>178</v>
      </c>
      <c r="M448" t="s">
        <v>72</v>
      </c>
      <c r="N448" t="s">
        <v>179</v>
      </c>
      <c r="O448" t="s">
        <v>178</v>
      </c>
      <c r="P448" t="s">
        <v>180</v>
      </c>
      <c r="Q448" t="s">
        <v>75</v>
      </c>
      <c r="R448" t="s">
        <v>1858</v>
      </c>
      <c r="S448" t="s">
        <v>694</v>
      </c>
      <c r="T448" t="s">
        <v>78</v>
      </c>
      <c r="U448" t="s">
        <v>1822</v>
      </c>
      <c r="V448" t="s">
        <v>80</v>
      </c>
      <c r="W448" s="1">
        <v>44696</v>
      </c>
      <c r="X448" t="s">
        <v>1859</v>
      </c>
      <c r="Y448" t="s">
        <v>1897</v>
      </c>
      <c r="Z448" t="s">
        <v>83</v>
      </c>
      <c r="AA448">
        <v>1</v>
      </c>
      <c r="AB448" t="s">
        <v>657</v>
      </c>
      <c r="AD448" t="s">
        <v>104</v>
      </c>
      <c r="AE448" t="s">
        <v>86</v>
      </c>
      <c r="AF448" t="s">
        <v>146</v>
      </c>
      <c r="AG448" t="s">
        <v>1899</v>
      </c>
      <c r="AH448" t="s">
        <v>1904</v>
      </c>
      <c r="AI448" t="s">
        <v>90</v>
      </c>
      <c r="AJ448">
        <v>32.425916999999998</v>
      </c>
      <c r="AK448">
        <v>-110.74038299999999</v>
      </c>
      <c r="AL448">
        <v>4</v>
      </c>
      <c r="AN448">
        <v>2366</v>
      </c>
      <c r="AP448">
        <v>2366</v>
      </c>
      <c r="AQ448">
        <v>2387.1654619999999</v>
      </c>
      <c r="AT448">
        <v>15</v>
      </c>
      <c r="AU448">
        <v>5</v>
      </c>
      <c r="AV448">
        <v>2022</v>
      </c>
      <c r="AW448">
        <v>2438038</v>
      </c>
      <c r="AX448">
        <v>2438038</v>
      </c>
      <c r="AY448" t="s">
        <v>106</v>
      </c>
      <c r="AZ448" t="s">
        <v>92</v>
      </c>
      <c r="BA448" t="s">
        <v>107</v>
      </c>
      <c r="BB448" t="s">
        <v>1928</v>
      </c>
      <c r="BC448" t="s">
        <v>97</v>
      </c>
      <c r="BE448" t="s">
        <v>96</v>
      </c>
      <c r="BG448" t="s">
        <v>1865</v>
      </c>
      <c r="BI448" t="s">
        <v>98</v>
      </c>
      <c r="BJ448" t="s">
        <v>1929</v>
      </c>
      <c r="BL448" t="s">
        <v>110</v>
      </c>
    </row>
    <row r="449" spans="1:64" hidden="1" x14ac:dyDescent="0.2">
      <c r="A449">
        <v>1073</v>
      </c>
      <c r="B449">
        <v>4027015357</v>
      </c>
      <c r="C449" t="s">
        <v>101</v>
      </c>
      <c r="D449" t="s">
        <v>1936</v>
      </c>
      <c r="E449" t="s">
        <v>65</v>
      </c>
      <c r="F449" t="s">
        <v>66</v>
      </c>
      <c r="G449" t="s">
        <v>67</v>
      </c>
      <c r="H449" t="s">
        <v>68</v>
      </c>
      <c r="I449" t="s">
        <v>176</v>
      </c>
      <c r="J449" t="s">
        <v>177</v>
      </c>
      <c r="K449" t="s">
        <v>178</v>
      </c>
      <c r="M449" t="s">
        <v>72</v>
      </c>
      <c r="N449" t="s">
        <v>179</v>
      </c>
      <c r="O449" t="s">
        <v>178</v>
      </c>
      <c r="P449" t="s">
        <v>180</v>
      </c>
      <c r="Q449" t="s">
        <v>75</v>
      </c>
      <c r="R449" t="s">
        <v>1858</v>
      </c>
      <c r="S449" t="s">
        <v>727</v>
      </c>
      <c r="T449" t="s">
        <v>78</v>
      </c>
      <c r="U449" t="s">
        <v>1822</v>
      </c>
      <c r="V449" t="s">
        <v>80</v>
      </c>
      <c r="W449" s="1">
        <v>44696</v>
      </c>
      <c r="X449" t="s">
        <v>1859</v>
      </c>
      <c r="Y449" t="s">
        <v>1931</v>
      </c>
      <c r="Z449" t="s">
        <v>83</v>
      </c>
      <c r="AA449">
        <v>1</v>
      </c>
      <c r="AB449" t="s">
        <v>657</v>
      </c>
      <c r="AD449" t="s">
        <v>112</v>
      </c>
      <c r="AE449" t="s">
        <v>145</v>
      </c>
      <c r="AF449" t="s">
        <v>146</v>
      </c>
      <c r="AG449" t="s">
        <v>1937</v>
      </c>
      <c r="AH449" t="s">
        <v>1938</v>
      </c>
      <c r="AI449" t="s">
        <v>90</v>
      </c>
      <c r="AJ449">
        <v>32.425617000000003</v>
      </c>
      <c r="AK449">
        <v>-110.739954</v>
      </c>
      <c r="AL449">
        <v>5</v>
      </c>
      <c r="AN449">
        <v>2361</v>
      </c>
      <c r="AP449">
        <v>2361</v>
      </c>
      <c r="AQ449">
        <v>2383.6182910000002</v>
      </c>
      <c r="AT449">
        <v>15</v>
      </c>
      <c r="AU449">
        <v>5</v>
      </c>
      <c r="AV449">
        <v>2022</v>
      </c>
      <c r="AW449">
        <v>2438038</v>
      </c>
      <c r="AX449">
        <v>2438038</v>
      </c>
      <c r="AY449" t="s">
        <v>106</v>
      </c>
      <c r="AZ449" t="s">
        <v>92</v>
      </c>
      <c r="BA449" t="s">
        <v>107</v>
      </c>
      <c r="BB449" t="s">
        <v>1939</v>
      </c>
      <c r="BC449" t="s">
        <v>97</v>
      </c>
      <c r="BE449" t="s">
        <v>96</v>
      </c>
      <c r="BG449" t="s">
        <v>1865</v>
      </c>
      <c r="BI449" t="s">
        <v>98</v>
      </c>
      <c r="BJ449" t="s">
        <v>1940</v>
      </c>
      <c r="BL449" t="s">
        <v>110</v>
      </c>
    </row>
    <row r="450" spans="1:64" hidden="1" x14ac:dyDescent="0.2">
      <c r="A450">
        <v>1102</v>
      </c>
      <c r="B450">
        <v>4027015328</v>
      </c>
      <c r="C450" t="s">
        <v>101</v>
      </c>
      <c r="D450" t="s">
        <v>1941</v>
      </c>
      <c r="E450" t="s">
        <v>65</v>
      </c>
      <c r="F450" t="s">
        <v>66</v>
      </c>
      <c r="G450" t="s">
        <v>67</v>
      </c>
      <c r="H450" t="s">
        <v>68</v>
      </c>
      <c r="I450" t="s">
        <v>176</v>
      </c>
      <c r="J450" t="s">
        <v>177</v>
      </c>
      <c r="K450" t="s">
        <v>178</v>
      </c>
      <c r="M450" t="s">
        <v>72</v>
      </c>
      <c r="N450" t="s">
        <v>179</v>
      </c>
      <c r="O450" t="s">
        <v>178</v>
      </c>
      <c r="P450" t="s">
        <v>180</v>
      </c>
      <c r="Q450" t="s">
        <v>75</v>
      </c>
      <c r="R450" t="s">
        <v>1858</v>
      </c>
      <c r="S450" t="s">
        <v>727</v>
      </c>
      <c r="T450" t="s">
        <v>78</v>
      </c>
      <c r="U450" t="s">
        <v>1822</v>
      </c>
      <c r="V450" t="s">
        <v>80</v>
      </c>
      <c r="W450" s="1">
        <v>44696</v>
      </c>
      <c r="X450" t="s">
        <v>1859</v>
      </c>
      <c r="Y450" t="s">
        <v>1931</v>
      </c>
      <c r="Z450" t="s">
        <v>83</v>
      </c>
      <c r="AA450">
        <v>1</v>
      </c>
      <c r="AB450" t="s">
        <v>657</v>
      </c>
      <c r="AD450" t="s">
        <v>104</v>
      </c>
      <c r="AE450" t="s">
        <v>145</v>
      </c>
      <c r="AF450" t="s">
        <v>146</v>
      </c>
      <c r="AG450" t="s">
        <v>1937</v>
      </c>
      <c r="AH450" t="s">
        <v>1938</v>
      </c>
      <c r="AI450" t="s">
        <v>90</v>
      </c>
      <c r="AJ450">
        <v>32.425617000000003</v>
      </c>
      <c r="AK450">
        <v>-110.739954</v>
      </c>
      <c r="AL450">
        <v>5</v>
      </c>
      <c r="AN450">
        <v>2361</v>
      </c>
      <c r="AP450">
        <v>2361</v>
      </c>
      <c r="AQ450">
        <v>2383.6182910000002</v>
      </c>
      <c r="AT450">
        <v>15</v>
      </c>
      <c r="AU450">
        <v>5</v>
      </c>
      <c r="AV450">
        <v>2022</v>
      </c>
      <c r="AW450">
        <v>2438038</v>
      </c>
      <c r="AX450">
        <v>2438038</v>
      </c>
      <c r="AY450" t="s">
        <v>106</v>
      </c>
      <c r="AZ450" t="s">
        <v>92</v>
      </c>
      <c r="BA450" t="s">
        <v>107</v>
      </c>
      <c r="BB450" t="s">
        <v>1942</v>
      </c>
      <c r="BC450" t="s">
        <v>97</v>
      </c>
      <c r="BE450" t="s">
        <v>96</v>
      </c>
      <c r="BG450" t="s">
        <v>1865</v>
      </c>
      <c r="BI450" t="s">
        <v>98</v>
      </c>
      <c r="BJ450" t="s">
        <v>1943</v>
      </c>
      <c r="BL450" t="s">
        <v>110</v>
      </c>
    </row>
    <row r="451" spans="1:64" hidden="1" x14ac:dyDescent="0.2">
      <c r="A451">
        <v>1100</v>
      </c>
      <c r="B451">
        <v>4027015330</v>
      </c>
      <c r="C451" t="s">
        <v>101</v>
      </c>
      <c r="D451" t="s">
        <v>1944</v>
      </c>
      <c r="E451" t="s">
        <v>65</v>
      </c>
      <c r="F451" t="s">
        <v>66</v>
      </c>
      <c r="G451" t="s">
        <v>67</v>
      </c>
      <c r="H451" t="s">
        <v>68</v>
      </c>
      <c r="I451" t="s">
        <v>176</v>
      </c>
      <c r="J451" t="s">
        <v>177</v>
      </c>
      <c r="K451" t="s">
        <v>178</v>
      </c>
      <c r="M451" t="s">
        <v>72</v>
      </c>
      <c r="N451" t="s">
        <v>179</v>
      </c>
      <c r="O451" t="s">
        <v>178</v>
      </c>
      <c r="P451" t="s">
        <v>180</v>
      </c>
      <c r="Q451" t="s">
        <v>75</v>
      </c>
      <c r="R451" t="s">
        <v>1858</v>
      </c>
      <c r="S451" t="s">
        <v>727</v>
      </c>
      <c r="T451" t="s">
        <v>78</v>
      </c>
      <c r="U451" t="s">
        <v>1822</v>
      </c>
      <c r="V451" t="s">
        <v>80</v>
      </c>
      <c r="W451" s="1">
        <v>44696</v>
      </c>
      <c r="X451" t="s">
        <v>1859</v>
      </c>
      <c r="Y451" t="s">
        <v>1931</v>
      </c>
      <c r="Z451" t="s">
        <v>83</v>
      </c>
      <c r="AA451">
        <v>1</v>
      </c>
      <c r="AB451" t="s">
        <v>672</v>
      </c>
      <c r="AD451" t="s">
        <v>134</v>
      </c>
      <c r="AE451" t="s">
        <v>145</v>
      </c>
      <c r="AF451" t="s">
        <v>146</v>
      </c>
      <c r="AG451" t="s">
        <v>1937</v>
      </c>
      <c r="AH451" t="s">
        <v>1945</v>
      </c>
      <c r="AI451" t="s">
        <v>90</v>
      </c>
      <c r="AJ451">
        <v>32.425617000000003</v>
      </c>
      <c r="AK451">
        <v>-110.739954</v>
      </c>
      <c r="AL451">
        <v>5</v>
      </c>
      <c r="AN451">
        <v>2361</v>
      </c>
      <c r="AP451">
        <v>2361</v>
      </c>
      <c r="AQ451">
        <v>2383.6182910000002</v>
      </c>
      <c r="AT451">
        <v>15</v>
      </c>
      <c r="AU451">
        <v>5</v>
      </c>
      <c r="AV451">
        <v>2022</v>
      </c>
      <c r="AW451">
        <v>2438038</v>
      </c>
      <c r="AX451">
        <v>2438038</v>
      </c>
      <c r="AY451" t="s">
        <v>106</v>
      </c>
      <c r="AZ451" t="s">
        <v>92</v>
      </c>
      <c r="BA451" t="s">
        <v>107</v>
      </c>
      <c r="BB451" t="s">
        <v>1946</v>
      </c>
      <c r="BC451" t="s">
        <v>97</v>
      </c>
      <c r="BE451" t="s">
        <v>96</v>
      </c>
      <c r="BG451" t="s">
        <v>1865</v>
      </c>
      <c r="BI451" t="s">
        <v>98</v>
      </c>
      <c r="BJ451" t="s">
        <v>1943</v>
      </c>
      <c r="BL451" t="s">
        <v>110</v>
      </c>
    </row>
    <row r="452" spans="1:64" hidden="1" x14ac:dyDescent="0.2">
      <c r="A452">
        <v>816</v>
      </c>
      <c r="B452">
        <v>4070420407</v>
      </c>
      <c r="C452" t="s">
        <v>101</v>
      </c>
      <c r="D452" t="s">
        <v>2525</v>
      </c>
      <c r="E452" t="s">
        <v>65</v>
      </c>
      <c r="F452" t="s">
        <v>66</v>
      </c>
      <c r="G452" t="s">
        <v>67</v>
      </c>
      <c r="H452" t="s">
        <v>68</v>
      </c>
      <c r="I452" t="s">
        <v>350</v>
      </c>
      <c r="J452" t="s">
        <v>351</v>
      </c>
      <c r="K452" t="s">
        <v>352</v>
      </c>
      <c r="M452" t="s">
        <v>72</v>
      </c>
      <c r="N452" t="s">
        <v>353</v>
      </c>
      <c r="O452" t="s">
        <v>352</v>
      </c>
      <c r="P452" t="s">
        <v>180</v>
      </c>
      <c r="Q452" t="s">
        <v>75</v>
      </c>
      <c r="R452" t="s">
        <v>2238</v>
      </c>
      <c r="S452" t="s">
        <v>2526</v>
      </c>
      <c r="T452" t="s">
        <v>78</v>
      </c>
      <c r="U452" t="s">
        <v>1822</v>
      </c>
      <c r="V452" t="s">
        <v>80</v>
      </c>
      <c r="W452" s="1">
        <v>44813</v>
      </c>
      <c r="X452" t="s">
        <v>1823</v>
      </c>
      <c r="Y452" t="s">
        <v>2527</v>
      </c>
      <c r="Z452" t="s">
        <v>83</v>
      </c>
      <c r="AA452">
        <v>1</v>
      </c>
      <c r="AB452" t="s">
        <v>127</v>
      </c>
      <c r="AC452">
        <v>0</v>
      </c>
      <c r="AD452" t="s">
        <v>128</v>
      </c>
      <c r="AE452" t="s">
        <v>86</v>
      </c>
      <c r="AF452" t="s">
        <v>146</v>
      </c>
      <c r="AI452" t="s">
        <v>90</v>
      </c>
      <c r="AJ452">
        <v>32.441271999999998</v>
      </c>
      <c r="AK452">
        <v>-110.78746</v>
      </c>
      <c r="AL452">
        <v>15</v>
      </c>
      <c r="AN452">
        <v>2773</v>
      </c>
      <c r="AP452">
        <v>2773</v>
      </c>
      <c r="AQ452">
        <v>2787.2139900000002</v>
      </c>
      <c r="AT452">
        <v>9</v>
      </c>
      <c r="AU452">
        <v>9</v>
      </c>
      <c r="AV452">
        <v>2022</v>
      </c>
      <c r="AW452">
        <v>4972385</v>
      </c>
      <c r="AX452">
        <v>2437431</v>
      </c>
      <c r="AY452" t="s">
        <v>106</v>
      </c>
      <c r="AZ452" t="s">
        <v>92</v>
      </c>
      <c r="BA452" t="s">
        <v>107</v>
      </c>
      <c r="BB452" t="s">
        <v>2528</v>
      </c>
      <c r="BC452" t="s">
        <v>2245</v>
      </c>
      <c r="BE452" t="s">
        <v>96</v>
      </c>
      <c r="BG452" t="s">
        <v>2246</v>
      </c>
      <c r="BI452" t="s">
        <v>98</v>
      </c>
      <c r="BJ452" t="s">
        <v>2511</v>
      </c>
      <c r="BL452" t="s">
        <v>412</v>
      </c>
    </row>
    <row r="453" spans="1:64" hidden="1" x14ac:dyDescent="0.2">
      <c r="A453">
        <v>974</v>
      </c>
      <c r="B453">
        <v>4027015456</v>
      </c>
      <c r="C453" t="s">
        <v>101</v>
      </c>
      <c r="D453" t="s">
        <v>1950</v>
      </c>
      <c r="E453" t="s">
        <v>65</v>
      </c>
      <c r="F453" t="s">
        <v>66</v>
      </c>
      <c r="G453" t="s">
        <v>67</v>
      </c>
      <c r="H453" t="s">
        <v>68</v>
      </c>
      <c r="I453" t="s">
        <v>176</v>
      </c>
      <c r="J453" t="s">
        <v>177</v>
      </c>
      <c r="K453" t="s">
        <v>178</v>
      </c>
      <c r="M453" t="s">
        <v>72</v>
      </c>
      <c r="N453" t="s">
        <v>179</v>
      </c>
      <c r="O453" t="s">
        <v>178</v>
      </c>
      <c r="P453" t="s">
        <v>180</v>
      </c>
      <c r="Q453" t="s">
        <v>75</v>
      </c>
      <c r="R453" t="s">
        <v>1858</v>
      </c>
      <c r="S453" t="s">
        <v>727</v>
      </c>
      <c r="T453" t="s">
        <v>78</v>
      </c>
      <c r="U453" t="s">
        <v>1822</v>
      </c>
      <c r="V453" t="s">
        <v>80</v>
      </c>
      <c r="W453" s="1">
        <v>44696</v>
      </c>
      <c r="X453" t="s">
        <v>1859</v>
      </c>
      <c r="Y453" t="s">
        <v>1931</v>
      </c>
      <c r="Z453" t="s">
        <v>83</v>
      </c>
      <c r="AA453">
        <v>1</v>
      </c>
      <c r="AB453" t="s">
        <v>657</v>
      </c>
      <c r="AD453" t="s">
        <v>116</v>
      </c>
      <c r="AE453" t="s">
        <v>145</v>
      </c>
      <c r="AF453" t="s">
        <v>146</v>
      </c>
      <c r="AG453" t="s">
        <v>1937</v>
      </c>
      <c r="AH453" t="s">
        <v>1938</v>
      </c>
      <c r="AI453" t="s">
        <v>90</v>
      </c>
      <c r="AJ453">
        <v>32.425617000000003</v>
      </c>
      <c r="AK453">
        <v>-110.739954</v>
      </c>
      <c r="AL453">
        <v>5</v>
      </c>
      <c r="AN453">
        <v>2361</v>
      </c>
      <c r="AP453">
        <v>2361</v>
      </c>
      <c r="AQ453">
        <v>2383.6182910000002</v>
      </c>
      <c r="AT453">
        <v>15</v>
      </c>
      <c r="AU453">
        <v>5</v>
      </c>
      <c r="AV453">
        <v>2022</v>
      </c>
      <c r="AW453">
        <v>2438038</v>
      </c>
      <c r="AX453">
        <v>2438038</v>
      </c>
      <c r="AY453" t="s">
        <v>106</v>
      </c>
      <c r="AZ453" t="s">
        <v>92</v>
      </c>
      <c r="BA453" t="s">
        <v>107</v>
      </c>
      <c r="BB453" t="s">
        <v>1951</v>
      </c>
      <c r="BC453" t="s">
        <v>97</v>
      </c>
      <c r="BE453" t="s">
        <v>96</v>
      </c>
      <c r="BG453" t="s">
        <v>1865</v>
      </c>
      <c r="BI453" t="s">
        <v>98</v>
      </c>
      <c r="BJ453" t="s">
        <v>975</v>
      </c>
      <c r="BL453" t="s">
        <v>684</v>
      </c>
    </row>
    <row r="454" spans="1:64" hidden="1" x14ac:dyDescent="0.2">
      <c r="A454">
        <v>1252</v>
      </c>
      <c r="B454">
        <v>4022923461</v>
      </c>
      <c r="C454" t="s">
        <v>101</v>
      </c>
      <c r="D454" t="s">
        <v>1952</v>
      </c>
      <c r="E454" t="s">
        <v>65</v>
      </c>
      <c r="F454" t="s">
        <v>66</v>
      </c>
      <c r="G454" t="s">
        <v>67</v>
      </c>
      <c r="H454" t="s">
        <v>68</v>
      </c>
      <c r="I454" t="s">
        <v>176</v>
      </c>
      <c r="J454" t="s">
        <v>177</v>
      </c>
      <c r="K454" t="s">
        <v>178</v>
      </c>
      <c r="M454" t="s">
        <v>72</v>
      </c>
      <c r="N454" t="s">
        <v>179</v>
      </c>
      <c r="O454" t="s">
        <v>178</v>
      </c>
      <c r="P454" t="s">
        <v>180</v>
      </c>
      <c r="Q454" t="s">
        <v>75</v>
      </c>
      <c r="R454" t="s">
        <v>1858</v>
      </c>
      <c r="S454" t="s">
        <v>727</v>
      </c>
      <c r="T454" t="s">
        <v>78</v>
      </c>
      <c r="U454" t="s">
        <v>1822</v>
      </c>
      <c r="V454" t="s">
        <v>80</v>
      </c>
      <c r="W454" s="1">
        <v>44696</v>
      </c>
      <c r="X454" t="s">
        <v>1859</v>
      </c>
      <c r="Y454" t="s">
        <v>1931</v>
      </c>
      <c r="Z454" t="s">
        <v>83</v>
      </c>
      <c r="AA454">
        <v>1</v>
      </c>
      <c r="AB454" t="s">
        <v>677</v>
      </c>
      <c r="AD454" t="s">
        <v>139</v>
      </c>
      <c r="AE454" t="s">
        <v>145</v>
      </c>
      <c r="AF454" t="s">
        <v>146</v>
      </c>
      <c r="AG454" t="s">
        <v>1937</v>
      </c>
      <c r="AH454" t="s">
        <v>1938</v>
      </c>
      <c r="AI454" t="s">
        <v>90</v>
      </c>
      <c r="AJ454">
        <v>32.425617000000003</v>
      </c>
      <c r="AK454">
        <v>-110.739954</v>
      </c>
      <c r="AL454">
        <v>5</v>
      </c>
      <c r="AN454">
        <v>2361</v>
      </c>
      <c r="AP454">
        <v>2361</v>
      </c>
      <c r="AQ454">
        <v>2383.6182910000002</v>
      </c>
      <c r="AT454">
        <v>15</v>
      </c>
      <c r="AU454">
        <v>5</v>
      </c>
      <c r="AV454">
        <v>2022</v>
      </c>
      <c r="AW454">
        <v>2438038</v>
      </c>
      <c r="AX454">
        <v>2438038</v>
      </c>
      <c r="AY454" t="s">
        <v>106</v>
      </c>
      <c r="AZ454" t="s">
        <v>92</v>
      </c>
      <c r="BA454" t="s">
        <v>107</v>
      </c>
      <c r="BB454" t="s">
        <v>1953</v>
      </c>
      <c r="BC454" t="s">
        <v>97</v>
      </c>
      <c r="BE454" t="s">
        <v>96</v>
      </c>
      <c r="BG454" t="s">
        <v>1865</v>
      </c>
      <c r="BI454" t="s">
        <v>98</v>
      </c>
      <c r="BJ454" t="s">
        <v>1954</v>
      </c>
      <c r="BL454" t="s">
        <v>684</v>
      </c>
    </row>
    <row r="455" spans="1:64" hidden="1" x14ac:dyDescent="0.2">
      <c r="A455">
        <v>1249</v>
      </c>
      <c r="B455">
        <v>4022923464</v>
      </c>
      <c r="C455" t="s">
        <v>101</v>
      </c>
      <c r="D455" t="s">
        <v>1955</v>
      </c>
      <c r="E455" t="s">
        <v>65</v>
      </c>
      <c r="F455" t="s">
        <v>66</v>
      </c>
      <c r="G455" t="s">
        <v>67</v>
      </c>
      <c r="H455" t="s">
        <v>68</v>
      </c>
      <c r="I455" t="s">
        <v>176</v>
      </c>
      <c r="J455" t="s">
        <v>177</v>
      </c>
      <c r="K455" t="s">
        <v>178</v>
      </c>
      <c r="M455" t="s">
        <v>72</v>
      </c>
      <c r="N455" t="s">
        <v>179</v>
      </c>
      <c r="O455" t="s">
        <v>178</v>
      </c>
      <c r="P455" t="s">
        <v>180</v>
      </c>
      <c r="Q455" t="s">
        <v>75</v>
      </c>
      <c r="R455" t="s">
        <v>1858</v>
      </c>
      <c r="S455" t="s">
        <v>727</v>
      </c>
      <c r="T455" t="s">
        <v>78</v>
      </c>
      <c r="U455" t="s">
        <v>1822</v>
      </c>
      <c r="V455" t="s">
        <v>80</v>
      </c>
      <c r="W455" s="1">
        <v>44696</v>
      </c>
      <c r="X455" t="s">
        <v>1859</v>
      </c>
      <c r="Y455" t="s">
        <v>1931</v>
      </c>
      <c r="Z455" t="s">
        <v>83</v>
      </c>
      <c r="AA455">
        <v>1</v>
      </c>
      <c r="AB455" t="s">
        <v>677</v>
      </c>
      <c r="AD455" t="s">
        <v>123</v>
      </c>
      <c r="AE455" t="s">
        <v>145</v>
      </c>
      <c r="AF455" t="s">
        <v>146</v>
      </c>
      <c r="AG455" t="s">
        <v>1937</v>
      </c>
      <c r="AH455" t="s">
        <v>1938</v>
      </c>
      <c r="AI455" t="s">
        <v>90</v>
      </c>
      <c r="AJ455">
        <v>32.425617000000003</v>
      </c>
      <c r="AK455">
        <v>-110.739954</v>
      </c>
      <c r="AL455">
        <v>5</v>
      </c>
      <c r="AN455">
        <v>2361</v>
      </c>
      <c r="AP455">
        <v>2361</v>
      </c>
      <c r="AQ455">
        <v>2383.6182910000002</v>
      </c>
      <c r="AT455">
        <v>15</v>
      </c>
      <c r="AU455">
        <v>5</v>
      </c>
      <c r="AV455">
        <v>2022</v>
      </c>
      <c r="AW455">
        <v>2438038</v>
      </c>
      <c r="AX455">
        <v>2438038</v>
      </c>
      <c r="AY455" t="s">
        <v>106</v>
      </c>
      <c r="AZ455" t="s">
        <v>92</v>
      </c>
      <c r="BA455" t="s">
        <v>107</v>
      </c>
      <c r="BB455" t="s">
        <v>1956</v>
      </c>
      <c r="BC455" t="s">
        <v>97</v>
      </c>
      <c r="BE455" t="s">
        <v>96</v>
      </c>
      <c r="BG455" t="s">
        <v>1865</v>
      </c>
      <c r="BI455" t="s">
        <v>98</v>
      </c>
      <c r="BJ455" t="s">
        <v>1957</v>
      </c>
      <c r="BL455" t="s">
        <v>684</v>
      </c>
    </row>
    <row r="456" spans="1:64" hidden="1" x14ac:dyDescent="0.2">
      <c r="A456">
        <v>852</v>
      </c>
      <c r="B456">
        <v>4070420371</v>
      </c>
      <c r="C456" t="s">
        <v>101</v>
      </c>
      <c r="D456" t="s">
        <v>2614</v>
      </c>
      <c r="E456" t="s">
        <v>65</v>
      </c>
      <c r="F456" t="s">
        <v>66</v>
      </c>
      <c r="G456" t="s">
        <v>67</v>
      </c>
      <c r="H456" t="s">
        <v>68</v>
      </c>
      <c r="I456" t="s">
        <v>176</v>
      </c>
      <c r="J456" t="s">
        <v>773</v>
      </c>
      <c r="K456" t="s">
        <v>774</v>
      </c>
      <c r="M456" t="s">
        <v>72</v>
      </c>
      <c r="N456" t="s">
        <v>775</v>
      </c>
      <c r="O456" t="s">
        <v>774</v>
      </c>
      <c r="P456" t="s">
        <v>776</v>
      </c>
      <c r="Q456" t="s">
        <v>75</v>
      </c>
      <c r="R456" t="s">
        <v>2238</v>
      </c>
      <c r="S456" t="s">
        <v>2611</v>
      </c>
      <c r="T456" t="s">
        <v>78</v>
      </c>
      <c r="U456" t="s">
        <v>1822</v>
      </c>
      <c r="V456" t="s">
        <v>80</v>
      </c>
      <c r="W456" s="1">
        <v>44813</v>
      </c>
      <c r="X456" t="s">
        <v>1823</v>
      </c>
      <c r="Y456" t="s">
        <v>2612</v>
      </c>
      <c r="Z456" t="s">
        <v>83</v>
      </c>
      <c r="AA456">
        <v>1</v>
      </c>
      <c r="AB456" t="s">
        <v>127</v>
      </c>
      <c r="AC456">
        <v>0</v>
      </c>
      <c r="AD456" t="s">
        <v>128</v>
      </c>
      <c r="AE456" t="s">
        <v>145</v>
      </c>
      <c r="AF456" t="s">
        <v>281</v>
      </c>
      <c r="AI456" t="s">
        <v>90</v>
      </c>
      <c r="AJ456">
        <v>32.441353999999997</v>
      </c>
      <c r="AK456">
        <v>-110.787865</v>
      </c>
      <c r="AL456">
        <v>15</v>
      </c>
      <c r="AN456">
        <v>2777</v>
      </c>
      <c r="AP456">
        <v>2777</v>
      </c>
      <c r="AQ456">
        <v>2790.812406</v>
      </c>
      <c r="AT456">
        <v>9</v>
      </c>
      <c r="AU456">
        <v>9</v>
      </c>
      <c r="AV456">
        <v>2022</v>
      </c>
      <c r="AW456">
        <v>2438447</v>
      </c>
      <c r="AX456">
        <v>2438447</v>
      </c>
      <c r="AY456" t="s">
        <v>106</v>
      </c>
      <c r="AZ456" t="s">
        <v>92</v>
      </c>
      <c r="BA456" t="s">
        <v>107</v>
      </c>
      <c r="BB456" t="s">
        <v>2615</v>
      </c>
      <c r="BC456" t="s">
        <v>2245</v>
      </c>
      <c r="BE456" t="s">
        <v>96</v>
      </c>
      <c r="BG456" t="s">
        <v>2246</v>
      </c>
      <c r="BI456" t="s">
        <v>98</v>
      </c>
      <c r="BJ456" t="s">
        <v>2361</v>
      </c>
      <c r="BL456" t="s">
        <v>412</v>
      </c>
    </row>
    <row r="457" spans="1:64" hidden="1" x14ac:dyDescent="0.2">
      <c r="A457">
        <v>1111</v>
      </c>
      <c r="B457">
        <v>4027015319</v>
      </c>
      <c r="C457" t="s">
        <v>101</v>
      </c>
      <c r="D457" t="s">
        <v>1967</v>
      </c>
      <c r="E457" t="s">
        <v>65</v>
      </c>
      <c r="F457" t="s">
        <v>66</v>
      </c>
      <c r="G457" t="s">
        <v>67</v>
      </c>
      <c r="H457" t="s">
        <v>68</v>
      </c>
      <c r="I457" t="s">
        <v>176</v>
      </c>
      <c r="J457" t="s">
        <v>177</v>
      </c>
      <c r="K457" t="s">
        <v>1817</v>
      </c>
      <c r="M457" t="s">
        <v>72</v>
      </c>
      <c r="N457" t="s">
        <v>1818</v>
      </c>
      <c r="O457" t="s">
        <v>1817</v>
      </c>
      <c r="P457" t="s">
        <v>1819</v>
      </c>
      <c r="Q457" t="s">
        <v>75</v>
      </c>
      <c r="R457" t="s">
        <v>1858</v>
      </c>
      <c r="S457" t="s">
        <v>763</v>
      </c>
      <c r="T457" t="s">
        <v>78</v>
      </c>
      <c r="U457" t="s">
        <v>1822</v>
      </c>
      <c r="V457" t="s">
        <v>80</v>
      </c>
      <c r="W457" s="1">
        <v>44696</v>
      </c>
      <c r="X457" t="s">
        <v>1859</v>
      </c>
      <c r="Y457" t="s">
        <v>1959</v>
      </c>
      <c r="Z457" t="s">
        <v>83</v>
      </c>
      <c r="AA457">
        <v>1</v>
      </c>
      <c r="AB457" t="s">
        <v>657</v>
      </c>
      <c r="AD457" t="s">
        <v>116</v>
      </c>
      <c r="AE457" t="s">
        <v>145</v>
      </c>
      <c r="AF457" t="s">
        <v>146</v>
      </c>
      <c r="AG457" t="s">
        <v>1310</v>
      </c>
      <c r="AH457" t="s">
        <v>1968</v>
      </c>
      <c r="AI457" t="s">
        <v>90</v>
      </c>
      <c r="AJ457">
        <v>32.425590999999997</v>
      </c>
      <c r="AK457">
        <v>-110.739936</v>
      </c>
      <c r="AL457">
        <v>3</v>
      </c>
      <c r="AN457">
        <v>2365</v>
      </c>
      <c r="AP457">
        <v>2365</v>
      </c>
      <c r="AQ457">
        <v>2383.5533959999998</v>
      </c>
      <c r="AT457">
        <v>15</v>
      </c>
      <c r="AU457">
        <v>5</v>
      </c>
      <c r="AV457">
        <v>2022</v>
      </c>
      <c r="AW457">
        <v>2437967</v>
      </c>
      <c r="AX457">
        <v>2437967</v>
      </c>
      <c r="AY457" t="s">
        <v>106</v>
      </c>
      <c r="AZ457" t="s">
        <v>92</v>
      </c>
      <c r="BA457" t="s">
        <v>107</v>
      </c>
      <c r="BB457" t="s">
        <v>1969</v>
      </c>
      <c r="BC457" t="s">
        <v>97</v>
      </c>
      <c r="BE457" t="s">
        <v>96</v>
      </c>
      <c r="BG457" t="s">
        <v>1865</v>
      </c>
      <c r="BI457" t="s">
        <v>98</v>
      </c>
      <c r="BJ457" t="s">
        <v>1878</v>
      </c>
      <c r="BL457" t="s">
        <v>110</v>
      </c>
    </row>
    <row r="458" spans="1:64" hidden="1" x14ac:dyDescent="0.2">
      <c r="A458">
        <v>1110</v>
      </c>
      <c r="B458">
        <v>4027015320</v>
      </c>
      <c r="C458" t="s">
        <v>101</v>
      </c>
      <c r="D458" t="s">
        <v>1970</v>
      </c>
      <c r="E458" t="s">
        <v>65</v>
      </c>
      <c r="F458" t="s">
        <v>66</v>
      </c>
      <c r="G458" t="s">
        <v>67</v>
      </c>
      <c r="H458" t="s">
        <v>68</v>
      </c>
      <c r="I458" t="s">
        <v>176</v>
      </c>
      <c r="J458" t="s">
        <v>177</v>
      </c>
      <c r="K458" t="s">
        <v>1817</v>
      </c>
      <c r="M458" t="s">
        <v>72</v>
      </c>
      <c r="N458" t="s">
        <v>1818</v>
      </c>
      <c r="O458" t="s">
        <v>1817</v>
      </c>
      <c r="P458" t="s">
        <v>1819</v>
      </c>
      <c r="Q458" t="s">
        <v>75</v>
      </c>
      <c r="R458" t="s">
        <v>1858</v>
      </c>
      <c r="S458" t="s">
        <v>763</v>
      </c>
      <c r="T458" t="s">
        <v>78</v>
      </c>
      <c r="U458" t="s">
        <v>1822</v>
      </c>
      <c r="V458" t="s">
        <v>80</v>
      </c>
      <c r="W458" s="1">
        <v>44696</v>
      </c>
      <c r="X458" t="s">
        <v>1859</v>
      </c>
      <c r="Y458" t="s">
        <v>1959</v>
      </c>
      <c r="Z458" t="s">
        <v>83</v>
      </c>
      <c r="AA458">
        <v>1</v>
      </c>
      <c r="AB458" t="s">
        <v>657</v>
      </c>
      <c r="AD458" t="s">
        <v>104</v>
      </c>
      <c r="AE458" t="s">
        <v>145</v>
      </c>
      <c r="AF458" t="s">
        <v>146</v>
      </c>
      <c r="AG458" t="s">
        <v>1310</v>
      </c>
      <c r="AH458" t="s">
        <v>1968</v>
      </c>
      <c r="AI458" t="s">
        <v>90</v>
      </c>
      <c r="AJ458">
        <v>32.425590999999997</v>
      </c>
      <c r="AK458">
        <v>-110.739936</v>
      </c>
      <c r="AL458">
        <v>3</v>
      </c>
      <c r="AN458">
        <v>2365</v>
      </c>
      <c r="AP458">
        <v>2365</v>
      </c>
      <c r="AQ458">
        <v>2383.5533959999998</v>
      </c>
      <c r="AT458">
        <v>15</v>
      </c>
      <c r="AU458">
        <v>5</v>
      </c>
      <c r="AV458">
        <v>2022</v>
      </c>
      <c r="AW458">
        <v>2437967</v>
      </c>
      <c r="AX458">
        <v>2437967</v>
      </c>
      <c r="AY458" t="s">
        <v>106</v>
      </c>
      <c r="AZ458" t="s">
        <v>92</v>
      </c>
      <c r="BA458" t="s">
        <v>107</v>
      </c>
      <c r="BB458" t="s">
        <v>1971</v>
      </c>
      <c r="BC458" t="s">
        <v>97</v>
      </c>
      <c r="BE458" t="s">
        <v>96</v>
      </c>
      <c r="BG458" t="s">
        <v>1865</v>
      </c>
      <c r="BI458" t="s">
        <v>98</v>
      </c>
      <c r="BJ458" t="s">
        <v>1878</v>
      </c>
      <c r="BL458" t="s">
        <v>110</v>
      </c>
    </row>
    <row r="459" spans="1:64" hidden="1" x14ac:dyDescent="0.2">
      <c r="A459">
        <v>1109</v>
      </c>
      <c r="B459">
        <v>4027015321</v>
      </c>
      <c r="C459" t="s">
        <v>101</v>
      </c>
      <c r="D459" t="s">
        <v>1972</v>
      </c>
      <c r="E459" t="s">
        <v>65</v>
      </c>
      <c r="F459" t="s">
        <v>66</v>
      </c>
      <c r="G459" t="s">
        <v>67</v>
      </c>
      <c r="H459" t="s">
        <v>68</v>
      </c>
      <c r="I459" t="s">
        <v>176</v>
      </c>
      <c r="J459" t="s">
        <v>177</v>
      </c>
      <c r="K459" t="s">
        <v>1817</v>
      </c>
      <c r="M459" t="s">
        <v>72</v>
      </c>
      <c r="N459" t="s">
        <v>1818</v>
      </c>
      <c r="O459" t="s">
        <v>1817</v>
      </c>
      <c r="P459" t="s">
        <v>1819</v>
      </c>
      <c r="Q459" t="s">
        <v>75</v>
      </c>
      <c r="R459" t="s">
        <v>1858</v>
      </c>
      <c r="S459" t="s">
        <v>763</v>
      </c>
      <c r="T459" t="s">
        <v>78</v>
      </c>
      <c r="U459" t="s">
        <v>1822</v>
      </c>
      <c r="V459" t="s">
        <v>80</v>
      </c>
      <c r="W459" s="1">
        <v>44696</v>
      </c>
      <c r="X459" t="s">
        <v>1859</v>
      </c>
      <c r="Y459" t="s">
        <v>1959</v>
      </c>
      <c r="Z459" t="s">
        <v>83</v>
      </c>
      <c r="AA459">
        <v>1</v>
      </c>
      <c r="AB459" t="s">
        <v>672</v>
      </c>
      <c r="AD459" t="s">
        <v>134</v>
      </c>
      <c r="AE459" t="s">
        <v>145</v>
      </c>
      <c r="AF459" t="s">
        <v>146</v>
      </c>
      <c r="AG459" t="s">
        <v>1310</v>
      </c>
      <c r="AH459" t="s">
        <v>1973</v>
      </c>
      <c r="AI459" t="s">
        <v>90</v>
      </c>
      <c r="AJ459">
        <v>32.425590999999997</v>
      </c>
      <c r="AK459">
        <v>-110.739936</v>
      </c>
      <c r="AL459">
        <v>3</v>
      </c>
      <c r="AN459">
        <v>2365</v>
      </c>
      <c r="AP459">
        <v>2365</v>
      </c>
      <c r="AQ459">
        <v>2383.5533959999998</v>
      </c>
      <c r="AT459">
        <v>15</v>
      </c>
      <c r="AU459">
        <v>5</v>
      </c>
      <c r="AV459">
        <v>2022</v>
      </c>
      <c r="AW459">
        <v>2437967</v>
      </c>
      <c r="AX459">
        <v>2437967</v>
      </c>
      <c r="AY459" t="s">
        <v>106</v>
      </c>
      <c r="AZ459" t="s">
        <v>92</v>
      </c>
      <c r="BA459" t="s">
        <v>107</v>
      </c>
      <c r="BB459" t="s">
        <v>1974</v>
      </c>
      <c r="BC459" t="s">
        <v>97</v>
      </c>
      <c r="BE459" t="s">
        <v>96</v>
      </c>
      <c r="BG459" t="s">
        <v>1865</v>
      </c>
      <c r="BI459" t="s">
        <v>98</v>
      </c>
      <c r="BJ459" t="s">
        <v>1878</v>
      </c>
      <c r="BL459" t="s">
        <v>110</v>
      </c>
    </row>
    <row r="460" spans="1:64" hidden="1" x14ac:dyDescent="0.2">
      <c r="A460">
        <v>1122</v>
      </c>
      <c r="B460">
        <v>4027015308</v>
      </c>
      <c r="C460" t="s">
        <v>101</v>
      </c>
      <c r="D460" t="s">
        <v>1975</v>
      </c>
      <c r="E460" t="s">
        <v>65</v>
      </c>
      <c r="F460" t="s">
        <v>66</v>
      </c>
      <c r="G460" t="s">
        <v>67</v>
      </c>
      <c r="H460" t="s">
        <v>68</v>
      </c>
      <c r="I460" t="s">
        <v>176</v>
      </c>
      <c r="J460" t="s">
        <v>177</v>
      </c>
      <c r="K460" t="s">
        <v>1817</v>
      </c>
      <c r="M460" t="s">
        <v>72</v>
      </c>
      <c r="N460" t="s">
        <v>1818</v>
      </c>
      <c r="O460" t="s">
        <v>1817</v>
      </c>
      <c r="P460" t="s">
        <v>1819</v>
      </c>
      <c r="Q460" t="s">
        <v>75</v>
      </c>
      <c r="R460" t="s">
        <v>1858</v>
      </c>
      <c r="T460" t="s">
        <v>78</v>
      </c>
      <c r="U460" t="s">
        <v>1822</v>
      </c>
      <c r="V460" t="s">
        <v>80</v>
      </c>
      <c r="W460" s="1">
        <v>44696</v>
      </c>
      <c r="X460" t="s">
        <v>1859</v>
      </c>
      <c r="Y460" t="s">
        <v>1959</v>
      </c>
      <c r="Z460" t="s">
        <v>83</v>
      </c>
      <c r="AA460">
        <v>1</v>
      </c>
      <c r="AB460" t="s">
        <v>1976</v>
      </c>
      <c r="AD460" t="s">
        <v>378</v>
      </c>
      <c r="AE460" t="s">
        <v>145</v>
      </c>
      <c r="AF460" t="s">
        <v>146</v>
      </c>
      <c r="AG460" t="s">
        <v>1310</v>
      </c>
      <c r="AH460" t="s">
        <v>1977</v>
      </c>
      <c r="AI460" t="s">
        <v>90</v>
      </c>
      <c r="AJ460">
        <v>32.425590999999997</v>
      </c>
      <c r="AK460">
        <v>-110.739936</v>
      </c>
      <c r="AL460">
        <v>3</v>
      </c>
      <c r="AN460">
        <v>2365</v>
      </c>
      <c r="AP460">
        <v>2365</v>
      </c>
      <c r="AQ460">
        <v>2383.5533959999998</v>
      </c>
      <c r="AT460">
        <v>15</v>
      </c>
      <c r="AU460">
        <v>5</v>
      </c>
      <c r="AV460">
        <v>2022</v>
      </c>
      <c r="AW460">
        <v>2437967</v>
      </c>
      <c r="AX460">
        <v>2437967</v>
      </c>
      <c r="AY460" t="s">
        <v>106</v>
      </c>
      <c r="AZ460" t="s">
        <v>92</v>
      </c>
      <c r="BA460" t="s">
        <v>107</v>
      </c>
      <c r="BB460" t="s">
        <v>1978</v>
      </c>
      <c r="BC460" t="s">
        <v>97</v>
      </c>
      <c r="BE460" t="s">
        <v>96</v>
      </c>
      <c r="BG460" t="s">
        <v>1865</v>
      </c>
      <c r="BI460" t="s">
        <v>98</v>
      </c>
      <c r="BJ460" t="s">
        <v>1979</v>
      </c>
      <c r="BL460" t="s">
        <v>110</v>
      </c>
    </row>
    <row r="461" spans="1:64" hidden="1" x14ac:dyDescent="0.2">
      <c r="A461">
        <v>1121</v>
      </c>
      <c r="B461">
        <v>4027015309</v>
      </c>
      <c r="C461" t="s">
        <v>101</v>
      </c>
      <c r="D461" t="s">
        <v>1980</v>
      </c>
      <c r="E461" t="s">
        <v>65</v>
      </c>
      <c r="F461" t="s">
        <v>66</v>
      </c>
      <c r="G461" t="s">
        <v>67</v>
      </c>
      <c r="H461" t="s">
        <v>68</v>
      </c>
      <c r="I461" t="s">
        <v>176</v>
      </c>
      <c r="J461" t="s">
        <v>177</v>
      </c>
      <c r="K461" t="s">
        <v>1817</v>
      </c>
      <c r="M461" t="s">
        <v>72</v>
      </c>
      <c r="N461" t="s">
        <v>1818</v>
      </c>
      <c r="O461" t="s">
        <v>1817</v>
      </c>
      <c r="P461" t="s">
        <v>1819</v>
      </c>
      <c r="Q461" t="s">
        <v>75</v>
      </c>
      <c r="R461" t="s">
        <v>1858</v>
      </c>
      <c r="S461" t="s">
        <v>763</v>
      </c>
      <c r="T461" t="s">
        <v>78</v>
      </c>
      <c r="U461" t="s">
        <v>1822</v>
      </c>
      <c r="V461" t="s">
        <v>80</v>
      </c>
      <c r="W461" s="1">
        <v>44696</v>
      </c>
      <c r="X461" t="s">
        <v>1859</v>
      </c>
      <c r="Y461" t="s">
        <v>1959</v>
      </c>
      <c r="Z461" t="s">
        <v>83</v>
      </c>
      <c r="AA461">
        <v>1</v>
      </c>
      <c r="AB461" t="s">
        <v>657</v>
      </c>
      <c r="AD461" t="s">
        <v>112</v>
      </c>
      <c r="AE461" t="s">
        <v>145</v>
      </c>
      <c r="AF461" t="s">
        <v>146</v>
      </c>
      <c r="AG461" t="s">
        <v>1310</v>
      </c>
      <c r="AH461" t="s">
        <v>1968</v>
      </c>
      <c r="AI461" t="s">
        <v>90</v>
      </c>
      <c r="AJ461">
        <v>32.425590999999997</v>
      </c>
      <c r="AK461">
        <v>-110.739936</v>
      </c>
      <c r="AL461">
        <v>3</v>
      </c>
      <c r="AN461">
        <v>2365</v>
      </c>
      <c r="AP461">
        <v>2365</v>
      </c>
      <c r="AQ461">
        <v>2383.5533959999998</v>
      </c>
      <c r="AT461">
        <v>15</v>
      </c>
      <c r="AU461">
        <v>5</v>
      </c>
      <c r="AV461">
        <v>2022</v>
      </c>
      <c r="AW461">
        <v>2437967</v>
      </c>
      <c r="AX461">
        <v>2437967</v>
      </c>
      <c r="AY461" t="s">
        <v>106</v>
      </c>
      <c r="AZ461" t="s">
        <v>92</v>
      </c>
      <c r="BA461" t="s">
        <v>107</v>
      </c>
      <c r="BB461" t="s">
        <v>1981</v>
      </c>
      <c r="BC461" t="s">
        <v>97</v>
      </c>
      <c r="BE461" t="s">
        <v>96</v>
      </c>
      <c r="BG461" t="s">
        <v>1865</v>
      </c>
      <c r="BI461" t="s">
        <v>98</v>
      </c>
      <c r="BJ461" t="s">
        <v>1982</v>
      </c>
      <c r="BL461" t="s">
        <v>110</v>
      </c>
    </row>
    <row r="462" spans="1:64" x14ac:dyDescent="0.2">
      <c r="A462">
        <v>1450</v>
      </c>
      <c r="B462">
        <v>3748770431</v>
      </c>
      <c r="C462" t="s">
        <v>63</v>
      </c>
      <c r="D462" s="2" t="s">
        <v>3737</v>
      </c>
      <c r="E462" t="s">
        <v>65</v>
      </c>
      <c r="F462" t="s">
        <v>66</v>
      </c>
      <c r="G462" t="s">
        <v>67</v>
      </c>
      <c r="H462" t="s">
        <v>68</v>
      </c>
      <c r="I462" t="s">
        <v>176</v>
      </c>
      <c r="J462" t="s">
        <v>177</v>
      </c>
      <c r="K462" t="s">
        <v>1817</v>
      </c>
      <c r="M462" t="s">
        <v>72</v>
      </c>
      <c r="N462" t="s">
        <v>1818</v>
      </c>
      <c r="O462" t="s">
        <v>1817</v>
      </c>
      <c r="P462" t="s">
        <v>1819</v>
      </c>
      <c r="Q462" t="s">
        <v>75</v>
      </c>
      <c r="R462" t="s">
        <v>3733</v>
      </c>
      <c r="S462" t="s">
        <v>3738</v>
      </c>
      <c r="T462" t="s">
        <v>78</v>
      </c>
      <c r="U462" t="s">
        <v>1822</v>
      </c>
      <c r="V462" t="s">
        <v>80</v>
      </c>
      <c r="W462" s="1">
        <v>44508</v>
      </c>
      <c r="X462" t="s">
        <v>1823</v>
      </c>
      <c r="Y462" t="s">
        <v>3739</v>
      </c>
      <c r="Z462" t="s">
        <v>83</v>
      </c>
      <c r="AA462">
        <v>1</v>
      </c>
      <c r="AB462" t="s">
        <v>3740</v>
      </c>
      <c r="AC462">
        <v>1</v>
      </c>
      <c r="AD462" s="6" t="s">
        <v>85</v>
      </c>
      <c r="AE462" s="6" t="s">
        <v>86</v>
      </c>
      <c r="AF462" s="6" t="s">
        <v>281</v>
      </c>
      <c r="AG462" s="6" t="s">
        <v>3741</v>
      </c>
      <c r="AH462" s="6" t="s">
        <v>3742</v>
      </c>
      <c r="AI462" s="6" t="s">
        <v>90</v>
      </c>
      <c r="AJ462" s="6">
        <v>32.441175999999999</v>
      </c>
      <c r="AK462" s="6">
        <v>-110.78695500000001</v>
      </c>
      <c r="AL462" s="6">
        <v>10</v>
      </c>
      <c r="AM462" s="6"/>
      <c r="AN462" s="6">
        <v>2776</v>
      </c>
      <c r="AO462" s="6"/>
      <c r="AP462" s="6">
        <v>2776</v>
      </c>
      <c r="AQ462" s="6">
        <v>2787.1691999999998</v>
      </c>
      <c r="AR462" s="6"/>
      <c r="AS462" s="6"/>
      <c r="AT462" s="6">
        <v>8</v>
      </c>
      <c r="AU462" s="6">
        <v>11</v>
      </c>
      <c r="AV462" s="6">
        <v>2021</v>
      </c>
      <c r="AW462" s="6">
        <v>2437967</v>
      </c>
      <c r="AX462" s="6">
        <v>2437967</v>
      </c>
      <c r="AY462" s="6" t="s">
        <v>91</v>
      </c>
      <c r="AZ462" t="s">
        <v>92</v>
      </c>
      <c r="BA462" t="s">
        <v>93</v>
      </c>
      <c r="BB462" t="s">
        <v>3743</v>
      </c>
      <c r="BC462" t="s">
        <v>1186</v>
      </c>
      <c r="BE462" t="s">
        <v>96</v>
      </c>
      <c r="BG462" t="s">
        <v>1186</v>
      </c>
      <c r="BI462" t="s">
        <v>98</v>
      </c>
      <c r="BJ462" t="s">
        <v>3744</v>
      </c>
      <c r="BL462" t="s">
        <v>100</v>
      </c>
    </row>
    <row r="463" spans="1:64" hidden="1" x14ac:dyDescent="0.2">
      <c r="A463">
        <v>1066</v>
      </c>
      <c r="B463">
        <v>4027015364</v>
      </c>
      <c r="C463" t="s">
        <v>101</v>
      </c>
      <c r="D463" t="s">
        <v>1994</v>
      </c>
      <c r="E463" t="s">
        <v>65</v>
      </c>
      <c r="F463" t="s">
        <v>66</v>
      </c>
      <c r="G463" t="s">
        <v>67</v>
      </c>
      <c r="H463" t="s">
        <v>68</v>
      </c>
      <c r="I463" t="s">
        <v>176</v>
      </c>
      <c r="J463" t="s">
        <v>177</v>
      </c>
      <c r="K463" t="s">
        <v>1817</v>
      </c>
      <c r="M463" t="s">
        <v>72</v>
      </c>
      <c r="N463" t="s">
        <v>1818</v>
      </c>
      <c r="O463" t="s">
        <v>1817</v>
      </c>
      <c r="P463" t="s">
        <v>1819</v>
      </c>
      <c r="Q463" t="s">
        <v>75</v>
      </c>
      <c r="R463" t="s">
        <v>1858</v>
      </c>
      <c r="S463" t="s">
        <v>777</v>
      </c>
      <c r="T463" t="s">
        <v>78</v>
      </c>
      <c r="U463" t="s">
        <v>1822</v>
      </c>
      <c r="V463" t="s">
        <v>80</v>
      </c>
      <c r="W463" s="1">
        <v>44696</v>
      </c>
      <c r="X463" t="s">
        <v>1859</v>
      </c>
      <c r="Y463" t="s">
        <v>1988</v>
      </c>
      <c r="Z463" t="s">
        <v>83</v>
      </c>
      <c r="AA463">
        <v>1</v>
      </c>
      <c r="AB463" t="s">
        <v>657</v>
      </c>
      <c r="AD463" t="s">
        <v>104</v>
      </c>
      <c r="AE463" t="s">
        <v>86</v>
      </c>
      <c r="AF463" t="s">
        <v>146</v>
      </c>
      <c r="AG463" t="s">
        <v>1990</v>
      </c>
      <c r="AH463" t="s">
        <v>1995</v>
      </c>
      <c r="AI463" t="s">
        <v>90</v>
      </c>
      <c r="AJ463">
        <v>32.425629000000001</v>
      </c>
      <c r="AK463">
        <v>-110.739727</v>
      </c>
      <c r="AL463">
        <v>3</v>
      </c>
      <c r="AN463">
        <v>2373</v>
      </c>
      <c r="AP463">
        <v>2373</v>
      </c>
      <c r="AQ463">
        <v>2380.0723560000001</v>
      </c>
      <c r="AT463">
        <v>15</v>
      </c>
      <c r="AU463">
        <v>5</v>
      </c>
      <c r="AV463">
        <v>2022</v>
      </c>
      <c r="AW463">
        <v>2437967</v>
      </c>
      <c r="AX463">
        <v>2437967</v>
      </c>
      <c r="AY463" t="s">
        <v>106</v>
      </c>
      <c r="AZ463" t="s">
        <v>92</v>
      </c>
      <c r="BA463" t="s">
        <v>107</v>
      </c>
      <c r="BB463" t="s">
        <v>1996</v>
      </c>
      <c r="BC463" t="s">
        <v>97</v>
      </c>
      <c r="BE463" t="s">
        <v>96</v>
      </c>
      <c r="BG463" t="s">
        <v>1865</v>
      </c>
      <c r="BI463" t="s">
        <v>98</v>
      </c>
      <c r="BJ463" t="s">
        <v>661</v>
      </c>
      <c r="BL463" t="s">
        <v>110</v>
      </c>
    </row>
    <row r="464" spans="1:64" hidden="1" x14ac:dyDescent="0.2">
      <c r="A464">
        <v>850</v>
      </c>
      <c r="B464">
        <v>4070420373</v>
      </c>
      <c r="C464" t="s">
        <v>101</v>
      </c>
      <c r="D464" t="s">
        <v>2616</v>
      </c>
      <c r="E464" t="s">
        <v>65</v>
      </c>
      <c r="F464" t="s">
        <v>66</v>
      </c>
      <c r="G464" t="s">
        <v>67</v>
      </c>
      <c r="H464" t="s">
        <v>68</v>
      </c>
      <c r="I464" t="s">
        <v>176</v>
      </c>
      <c r="J464" t="s">
        <v>773</v>
      </c>
      <c r="K464" t="s">
        <v>774</v>
      </c>
      <c r="M464" t="s">
        <v>72</v>
      </c>
      <c r="N464" t="s">
        <v>775</v>
      </c>
      <c r="O464" t="s">
        <v>774</v>
      </c>
      <c r="P464" t="s">
        <v>776</v>
      </c>
      <c r="Q464" t="s">
        <v>75</v>
      </c>
      <c r="R464" t="s">
        <v>2238</v>
      </c>
      <c r="S464" t="s">
        <v>2617</v>
      </c>
      <c r="T464" t="s">
        <v>78</v>
      </c>
      <c r="U464" t="s">
        <v>1822</v>
      </c>
      <c r="V464" t="s">
        <v>80</v>
      </c>
      <c r="W464" s="1">
        <v>44813</v>
      </c>
      <c r="X464" t="s">
        <v>1823</v>
      </c>
      <c r="Y464" t="s">
        <v>2618</v>
      </c>
      <c r="Z464" t="s">
        <v>83</v>
      </c>
      <c r="AA464">
        <v>1</v>
      </c>
      <c r="AB464" t="s">
        <v>127</v>
      </c>
      <c r="AC464">
        <v>0</v>
      </c>
      <c r="AD464" t="s">
        <v>128</v>
      </c>
      <c r="AE464" t="s">
        <v>145</v>
      </c>
      <c r="AF464" t="s">
        <v>146</v>
      </c>
      <c r="AI464" t="s">
        <v>90</v>
      </c>
      <c r="AJ464">
        <v>32.441271999999998</v>
      </c>
      <c r="AK464">
        <v>-110.78746</v>
      </c>
      <c r="AL464">
        <v>15</v>
      </c>
      <c r="AN464">
        <v>2773</v>
      </c>
      <c r="AP464">
        <v>2773</v>
      </c>
      <c r="AQ464">
        <v>2787.2139900000002</v>
      </c>
      <c r="AT464">
        <v>9</v>
      </c>
      <c r="AU464">
        <v>9</v>
      </c>
      <c r="AV464">
        <v>2022</v>
      </c>
      <c r="AW464">
        <v>2438447</v>
      </c>
      <c r="AX464">
        <v>2438447</v>
      </c>
      <c r="AY464" t="s">
        <v>106</v>
      </c>
      <c r="AZ464" t="s">
        <v>92</v>
      </c>
      <c r="BA464" t="s">
        <v>107</v>
      </c>
      <c r="BB464" t="s">
        <v>2619</v>
      </c>
      <c r="BC464" t="s">
        <v>2245</v>
      </c>
      <c r="BE464" t="s">
        <v>96</v>
      </c>
      <c r="BG464" t="s">
        <v>2246</v>
      </c>
      <c r="BI464" t="s">
        <v>98</v>
      </c>
      <c r="BJ464" t="s">
        <v>1850</v>
      </c>
      <c r="BL464" t="s">
        <v>412</v>
      </c>
    </row>
    <row r="465" spans="1:64" hidden="1" x14ac:dyDescent="0.2">
      <c r="A465">
        <v>1119</v>
      </c>
      <c r="B465">
        <v>4027015311</v>
      </c>
      <c r="C465" t="s">
        <v>101</v>
      </c>
      <c r="D465" t="s">
        <v>2000</v>
      </c>
      <c r="E465" t="s">
        <v>65</v>
      </c>
      <c r="F465" t="s">
        <v>66</v>
      </c>
      <c r="G465" t="s">
        <v>67</v>
      </c>
      <c r="H465" t="s">
        <v>68</v>
      </c>
      <c r="I465" t="s">
        <v>176</v>
      </c>
      <c r="J465" t="s">
        <v>177</v>
      </c>
      <c r="K465" t="s">
        <v>1817</v>
      </c>
      <c r="M465" t="s">
        <v>72</v>
      </c>
      <c r="N465" t="s">
        <v>1818</v>
      </c>
      <c r="O465" t="s">
        <v>1817</v>
      </c>
      <c r="P465" t="s">
        <v>1819</v>
      </c>
      <c r="Q465" t="s">
        <v>75</v>
      </c>
      <c r="R465" t="s">
        <v>1858</v>
      </c>
      <c r="S465" t="s">
        <v>777</v>
      </c>
      <c r="T465" t="s">
        <v>78</v>
      </c>
      <c r="U465" t="s">
        <v>1822</v>
      </c>
      <c r="V465" t="s">
        <v>80</v>
      </c>
      <c r="W465" s="1">
        <v>44696</v>
      </c>
      <c r="X465" t="s">
        <v>1859</v>
      </c>
      <c r="Y465" t="s">
        <v>1988</v>
      </c>
      <c r="Z465" t="s">
        <v>83</v>
      </c>
      <c r="AA465">
        <v>1</v>
      </c>
      <c r="AB465" t="s">
        <v>657</v>
      </c>
      <c r="AD465" t="s">
        <v>112</v>
      </c>
      <c r="AE465" t="s">
        <v>86</v>
      </c>
      <c r="AF465" t="s">
        <v>146</v>
      </c>
      <c r="AG465" t="s">
        <v>1990</v>
      </c>
      <c r="AH465" t="s">
        <v>1995</v>
      </c>
      <c r="AI465" t="s">
        <v>90</v>
      </c>
      <c r="AJ465">
        <v>32.425629000000001</v>
      </c>
      <c r="AK465">
        <v>-110.739727</v>
      </c>
      <c r="AL465">
        <v>3</v>
      </c>
      <c r="AN465">
        <v>2373</v>
      </c>
      <c r="AP465">
        <v>2373</v>
      </c>
      <c r="AQ465">
        <v>2380.0723560000001</v>
      </c>
      <c r="AT465">
        <v>15</v>
      </c>
      <c r="AU465">
        <v>5</v>
      </c>
      <c r="AV465">
        <v>2022</v>
      </c>
      <c r="AW465">
        <v>2437967</v>
      </c>
      <c r="AX465">
        <v>2437967</v>
      </c>
      <c r="AY465" t="s">
        <v>106</v>
      </c>
      <c r="AZ465" t="s">
        <v>92</v>
      </c>
      <c r="BA465" t="s">
        <v>107</v>
      </c>
      <c r="BB465" t="s">
        <v>2001</v>
      </c>
      <c r="BC465" t="s">
        <v>97</v>
      </c>
      <c r="BE465" t="s">
        <v>96</v>
      </c>
      <c r="BG465" t="s">
        <v>1865</v>
      </c>
      <c r="BI465" t="s">
        <v>98</v>
      </c>
      <c r="BJ465" t="s">
        <v>1979</v>
      </c>
      <c r="BL465" t="s">
        <v>110</v>
      </c>
    </row>
    <row r="466" spans="1:64" hidden="1" x14ac:dyDescent="0.2">
      <c r="A466">
        <v>1118</v>
      </c>
      <c r="B466">
        <v>4027015312</v>
      </c>
      <c r="C466" t="s">
        <v>101</v>
      </c>
      <c r="D466" t="s">
        <v>2002</v>
      </c>
      <c r="E466" t="s">
        <v>65</v>
      </c>
      <c r="F466" t="s">
        <v>66</v>
      </c>
      <c r="G466" t="s">
        <v>67</v>
      </c>
      <c r="H466" t="s">
        <v>68</v>
      </c>
      <c r="I466" t="s">
        <v>176</v>
      </c>
      <c r="J466" t="s">
        <v>177</v>
      </c>
      <c r="K466" t="s">
        <v>1817</v>
      </c>
      <c r="M466" t="s">
        <v>72</v>
      </c>
      <c r="N466" t="s">
        <v>1818</v>
      </c>
      <c r="O466" t="s">
        <v>1817</v>
      </c>
      <c r="P466" t="s">
        <v>1819</v>
      </c>
      <c r="Q466" t="s">
        <v>75</v>
      </c>
      <c r="R466" t="s">
        <v>1858</v>
      </c>
      <c r="S466" t="s">
        <v>777</v>
      </c>
      <c r="T466" t="s">
        <v>78</v>
      </c>
      <c r="U466" t="s">
        <v>1822</v>
      </c>
      <c r="V466" t="s">
        <v>80</v>
      </c>
      <c r="W466" s="1">
        <v>44696</v>
      </c>
      <c r="X466" t="s">
        <v>1859</v>
      </c>
      <c r="Y466" t="s">
        <v>1988</v>
      </c>
      <c r="Z466" t="s">
        <v>83</v>
      </c>
      <c r="AA466">
        <v>1</v>
      </c>
      <c r="AB466" t="s">
        <v>672</v>
      </c>
      <c r="AD466" t="s">
        <v>134</v>
      </c>
      <c r="AE466" t="s">
        <v>86</v>
      </c>
      <c r="AF466" t="s">
        <v>146</v>
      </c>
      <c r="AG466" t="s">
        <v>1990</v>
      </c>
      <c r="AH466" t="s">
        <v>2003</v>
      </c>
      <c r="AI466" t="s">
        <v>90</v>
      </c>
      <c r="AJ466">
        <v>32.425629000000001</v>
      </c>
      <c r="AK466">
        <v>-110.739727</v>
      </c>
      <c r="AL466">
        <v>3</v>
      </c>
      <c r="AN466">
        <v>2373</v>
      </c>
      <c r="AP466">
        <v>2373</v>
      </c>
      <c r="AQ466">
        <v>2380.0723560000001</v>
      </c>
      <c r="AT466">
        <v>15</v>
      </c>
      <c r="AU466">
        <v>5</v>
      </c>
      <c r="AV466">
        <v>2022</v>
      </c>
      <c r="AW466">
        <v>2437967</v>
      </c>
      <c r="AX466">
        <v>2437967</v>
      </c>
      <c r="AY466" t="s">
        <v>106</v>
      </c>
      <c r="AZ466" t="s">
        <v>92</v>
      </c>
      <c r="BA466" t="s">
        <v>107</v>
      </c>
      <c r="BB466" t="s">
        <v>2004</v>
      </c>
      <c r="BC466" t="s">
        <v>97</v>
      </c>
      <c r="BE466" t="s">
        <v>96</v>
      </c>
      <c r="BG466" t="s">
        <v>1865</v>
      </c>
      <c r="BI466" t="s">
        <v>98</v>
      </c>
      <c r="BJ466" t="s">
        <v>1979</v>
      </c>
      <c r="BL466" t="s">
        <v>110</v>
      </c>
    </row>
    <row r="467" spans="1:64" hidden="1" x14ac:dyDescent="0.2">
      <c r="A467">
        <v>1116</v>
      </c>
      <c r="B467">
        <v>4027015314</v>
      </c>
      <c r="C467" t="s">
        <v>101</v>
      </c>
      <c r="D467" t="s">
        <v>2005</v>
      </c>
      <c r="E467" t="s">
        <v>65</v>
      </c>
      <c r="F467" t="s">
        <v>66</v>
      </c>
      <c r="G467" t="s">
        <v>67</v>
      </c>
      <c r="H467" t="s">
        <v>68</v>
      </c>
      <c r="I467" t="s">
        <v>176</v>
      </c>
      <c r="J467" t="s">
        <v>177</v>
      </c>
      <c r="K467" t="s">
        <v>1817</v>
      </c>
      <c r="M467" t="s">
        <v>72</v>
      </c>
      <c r="N467" t="s">
        <v>1818</v>
      </c>
      <c r="O467" t="s">
        <v>1817</v>
      </c>
      <c r="P467" t="s">
        <v>1819</v>
      </c>
      <c r="Q467" t="s">
        <v>75</v>
      </c>
      <c r="R467" t="s">
        <v>1858</v>
      </c>
      <c r="S467" t="s">
        <v>777</v>
      </c>
      <c r="T467" t="s">
        <v>78</v>
      </c>
      <c r="U467" t="s">
        <v>1822</v>
      </c>
      <c r="V467" t="s">
        <v>80</v>
      </c>
      <c r="W467" s="1">
        <v>44696</v>
      </c>
      <c r="X467" t="s">
        <v>1859</v>
      </c>
      <c r="Y467" t="s">
        <v>1988</v>
      </c>
      <c r="Z467" t="s">
        <v>83</v>
      </c>
      <c r="AA467">
        <v>1</v>
      </c>
      <c r="AB467" t="s">
        <v>657</v>
      </c>
      <c r="AD467" t="s">
        <v>116</v>
      </c>
      <c r="AE467" t="s">
        <v>86</v>
      </c>
      <c r="AF467" t="s">
        <v>146</v>
      </c>
      <c r="AG467" t="s">
        <v>1990</v>
      </c>
      <c r="AH467" t="s">
        <v>1995</v>
      </c>
      <c r="AI467" t="s">
        <v>90</v>
      </c>
      <c r="AJ467">
        <v>32.425629000000001</v>
      </c>
      <c r="AK467">
        <v>-110.739727</v>
      </c>
      <c r="AL467">
        <v>3</v>
      </c>
      <c r="AN467">
        <v>2373</v>
      </c>
      <c r="AP467">
        <v>2373</v>
      </c>
      <c r="AQ467">
        <v>2380.0723560000001</v>
      </c>
      <c r="AT467">
        <v>15</v>
      </c>
      <c r="AU467">
        <v>5</v>
      </c>
      <c r="AV467">
        <v>2022</v>
      </c>
      <c r="AW467">
        <v>2437967</v>
      </c>
      <c r="AX467">
        <v>2437967</v>
      </c>
      <c r="AY467" t="s">
        <v>106</v>
      </c>
      <c r="AZ467" t="s">
        <v>92</v>
      </c>
      <c r="BA467" t="s">
        <v>107</v>
      </c>
      <c r="BB467" t="s">
        <v>2006</v>
      </c>
      <c r="BC467" t="s">
        <v>97</v>
      </c>
      <c r="BE467" t="s">
        <v>96</v>
      </c>
      <c r="BG467" t="s">
        <v>1865</v>
      </c>
      <c r="BI467" t="s">
        <v>98</v>
      </c>
      <c r="BJ467" t="s">
        <v>2007</v>
      </c>
      <c r="BL467" t="s">
        <v>110</v>
      </c>
    </row>
    <row r="468" spans="1:64" hidden="1" x14ac:dyDescent="0.2">
      <c r="A468">
        <v>846</v>
      </c>
      <c r="B468">
        <v>4070420377</v>
      </c>
      <c r="C468" t="s">
        <v>101</v>
      </c>
      <c r="D468" t="s">
        <v>2622</v>
      </c>
      <c r="E468" t="s">
        <v>65</v>
      </c>
      <c r="F468" t="s">
        <v>66</v>
      </c>
      <c r="G468" t="s">
        <v>67</v>
      </c>
      <c r="H468" t="s">
        <v>68</v>
      </c>
      <c r="I468" t="s">
        <v>176</v>
      </c>
      <c r="J468" t="s">
        <v>177</v>
      </c>
      <c r="K468" t="s">
        <v>1817</v>
      </c>
      <c r="M468" t="s">
        <v>72</v>
      </c>
      <c r="N468" t="s">
        <v>1818</v>
      </c>
      <c r="O468" t="s">
        <v>1817</v>
      </c>
      <c r="P468" t="s">
        <v>1819</v>
      </c>
      <c r="Q468" t="s">
        <v>75</v>
      </c>
      <c r="R468" t="s">
        <v>2238</v>
      </c>
      <c r="S468" t="s">
        <v>1039</v>
      </c>
      <c r="T468" t="s">
        <v>78</v>
      </c>
      <c r="U468" t="s">
        <v>1822</v>
      </c>
      <c r="V468" t="s">
        <v>1179</v>
      </c>
      <c r="W468" s="1">
        <v>44813</v>
      </c>
      <c r="X468" t="s">
        <v>1823</v>
      </c>
      <c r="Y468" t="s">
        <v>2623</v>
      </c>
      <c r="Z468" t="s">
        <v>83</v>
      </c>
      <c r="AA468">
        <v>1</v>
      </c>
      <c r="AB468" t="s">
        <v>127</v>
      </c>
      <c r="AC468">
        <v>0</v>
      </c>
      <c r="AD468" t="s">
        <v>128</v>
      </c>
      <c r="AE468" t="s">
        <v>145</v>
      </c>
      <c r="AF468" t="s">
        <v>281</v>
      </c>
      <c r="AI468" t="s">
        <v>90</v>
      </c>
      <c r="AJ468">
        <v>32.439850999999997</v>
      </c>
      <c r="AK468">
        <v>-110.78871700000001</v>
      </c>
      <c r="AL468">
        <v>3</v>
      </c>
      <c r="AN468">
        <v>2773</v>
      </c>
      <c r="AP468">
        <v>2773</v>
      </c>
      <c r="AQ468">
        <v>2776.1197520000001</v>
      </c>
      <c r="AT468">
        <v>9</v>
      </c>
      <c r="AU468">
        <v>9</v>
      </c>
      <c r="AV468">
        <v>2022</v>
      </c>
      <c r="AW468">
        <v>2437967</v>
      </c>
      <c r="AX468">
        <v>2437967</v>
      </c>
      <c r="AY468" t="s">
        <v>106</v>
      </c>
      <c r="AZ468" t="s">
        <v>92</v>
      </c>
      <c r="BA468" t="s">
        <v>107</v>
      </c>
      <c r="BB468" t="s">
        <v>2624</v>
      </c>
      <c r="BC468" t="s">
        <v>2245</v>
      </c>
      <c r="BE468" t="s">
        <v>96</v>
      </c>
      <c r="BG468" t="s">
        <v>2246</v>
      </c>
      <c r="BI468" t="s">
        <v>98</v>
      </c>
      <c r="BJ468" t="s">
        <v>2625</v>
      </c>
      <c r="BL468" t="s">
        <v>110</v>
      </c>
    </row>
    <row r="469" spans="1:64" hidden="1" x14ac:dyDescent="0.2">
      <c r="A469">
        <v>1114</v>
      </c>
      <c r="B469">
        <v>4027015316</v>
      </c>
      <c r="C469" t="s">
        <v>101</v>
      </c>
      <c r="D469" t="s">
        <v>2020</v>
      </c>
      <c r="E469" t="s">
        <v>65</v>
      </c>
      <c r="F469" t="s">
        <v>66</v>
      </c>
      <c r="G469" t="s">
        <v>67</v>
      </c>
      <c r="H469" t="s">
        <v>68</v>
      </c>
      <c r="I469" t="s">
        <v>176</v>
      </c>
      <c r="J469" t="s">
        <v>177</v>
      </c>
      <c r="K469" t="s">
        <v>1817</v>
      </c>
      <c r="M469" t="s">
        <v>72</v>
      </c>
      <c r="N469" t="s">
        <v>1818</v>
      </c>
      <c r="O469" t="s">
        <v>1817</v>
      </c>
      <c r="P469" t="s">
        <v>1819</v>
      </c>
      <c r="Q469" t="s">
        <v>75</v>
      </c>
      <c r="R469" t="s">
        <v>1858</v>
      </c>
      <c r="S469" t="s">
        <v>1075</v>
      </c>
      <c r="T469" t="s">
        <v>78</v>
      </c>
      <c r="U469" t="s">
        <v>1822</v>
      </c>
      <c r="V469" t="s">
        <v>80</v>
      </c>
      <c r="W469" s="1">
        <v>44696</v>
      </c>
      <c r="X469" t="s">
        <v>1859</v>
      </c>
      <c r="Y469" t="s">
        <v>2009</v>
      </c>
      <c r="Z469" t="s">
        <v>83</v>
      </c>
      <c r="AA469">
        <v>1</v>
      </c>
      <c r="AB469" t="s">
        <v>672</v>
      </c>
      <c r="AD469" t="s">
        <v>134</v>
      </c>
      <c r="AE469" t="s">
        <v>145</v>
      </c>
      <c r="AF469" t="s">
        <v>146</v>
      </c>
      <c r="AG469" t="s">
        <v>2016</v>
      </c>
      <c r="AH469" t="s">
        <v>2021</v>
      </c>
      <c r="AI469" t="s">
        <v>90</v>
      </c>
      <c r="AJ469">
        <v>32.425232000000001</v>
      </c>
      <c r="AK469">
        <v>-110.73919100000001</v>
      </c>
      <c r="AL469">
        <v>3</v>
      </c>
      <c r="AN469">
        <v>2355</v>
      </c>
      <c r="AP469">
        <v>2355</v>
      </c>
      <c r="AQ469">
        <v>2379.3617100000001</v>
      </c>
      <c r="AT469">
        <v>15</v>
      </c>
      <c r="AU469">
        <v>5</v>
      </c>
      <c r="AV469">
        <v>2022</v>
      </c>
      <c r="AW469">
        <v>2437967</v>
      </c>
      <c r="AX469">
        <v>2437967</v>
      </c>
      <c r="AY469" t="s">
        <v>106</v>
      </c>
      <c r="AZ469" t="s">
        <v>92</v>
      </c>
      <c r="BA469" t="s">
        <v>107</v>
      </c>
      <c r="BB469" t="s">
        <v>2022</v>
      </c>
      <c r="BC469" t="s">
        <v>97</v>
      </c>
      <c r="BE469" t="s">
        <v>96</v>
      </c>
      <c r="BG469" t="s">
        <v>1865</v>
      </c>
      <c r="BI469" t="s">
        <v>98</v>
      </c>
      <c r="BJ469" t="s">
        <v>1878</v>
      </c>
      <c r="BL469" t="s">
        <v>110</v>
      </c>
    </row>
    <row r="470" spans="1:64" hidden="1" x14ac:dyDescent="0.2">
      <c r="A470">
        <v>1024</v>
      </c>
      <c r="B470">
        <v>4027015406</v>
      </c>
      <c r="C470" t="s">
        <v>101</v>
      </c>
      <c r="D470" t="s">
        <v>2023</v>
      </c>
      <c r="E470" t="s">
        <v>65</v>
      </c>
      <c r="F470" t="s">
        <v>66</v>
      </c>
      <c r="G470" t="s">
        <v>67</v>
      </c>
      <c r="H470" t="s">
        <v>68</v>
      </c>
      <c r="I470" t="s">
        <v>176</v>
      </c>
      <c r="J470" t="s">
        <v>177</v>
      </c>
      <c r="K470" t="s">
        <v>1817</v>
      </c>
      <c r="M470" t="s">
        <v>72</v>
      </c>
      <c r="N470" t="s">
        <v>1818</v>
      </c>
      <c r="O470" t="s">
        <v>1817</v>
      </c>
      <c r="P470" t="s">
        <v>1819</v>
      </c>
      <c r="Q470" t="s">
        <v>75</v>
      </c>
      <c r="R470" t="s">
        <v>1858</v>
      </c>
      <c r="S470" t="s">
        <v>1075</v>
      </c>
      <c r="T470" t="s">
        <v>78</v>
      </c>
      <c r="U470" t="s">
        <v>1822</v>
      </c>
      <c r="V470" t="s">
        <v>80</v>
      </c>
      <c r="W470" s="1">
        <v>44696</v>
      </c>
      <c r="X470" t="s">
        <v>1859</v>
      </c>
      <c r="Y470" t="s">
        <v>2009</v>
      </c>
      <c r="Z470" t="s">
        <v>83</v>
      </c>
      <c r="AA470">
        <v>1</v>
      </c>
      <c r="AB470" t="s">
        <v>657</v>
      </c>
      <c r="AD470" t="s">
        <v>112</v>
      </c>
      <c r="AE470" t="s">
        <v>145</v>
      </c>
      <c r="AF470" t="s">
        <v>146</v>
      </c>
      <c r="AG470" t="s">
        <v>2016</v>
      </c>
      <c r="AH470" t="s">
        <v>2024</v>
      </c>
      <c r="AI470" t="s">
        <v>90</v>
      </c>
      <c r="AJ470">
        <v>32.425232000000001</v>
      </c>
      <c r="AK470">
        <v>-110.73919100000001</v>
      </c>
      <c r="AL470">
        <v>3</v>
      </c>
      <c r="AN470">
        <v>2355</v>
      </c>
      <c r="AP470">
        <v>2355</v>
      </c>
      <c r="AQ470">
        <v>2379.3617100000001</v>
      </c>
      <c r="AT470">
        <v>15</v>
      </c>
      <c r="AU470">
        <v>5</v>
      </c>
      <c r="AV470">
        <v>2022</v>
      </c>
      <c r="AW470">
        <v>2437967</v>
      </c>
      <c r="AX470">
        <v>2437967</v>
      </c>
      <c r="AY470" t="s">
        <v>106</v>
      </c>
      <c r="AZ470" t="s">
        <v>92</v>
      </c>
      <c r="BA470" t="s">
        <v>107</v>
      </c>
      <c r="BB470" t="s">
        <v>2025</v>
      </c>
      <c r="BC470" t="s">
        <v>97</v>
      </c>
      <c r="BE470" t="s">
        <v>96</v>
      </c>
      <c r="BG470" t="s">
        <v>1865</v>
      </c>
      <c r="BI470" t="s">
        <v>98</v>
      </c>
      <c r="BJ470" t="s">
        <v>2026</v>
      </c>
      <c r="BL470" t="s">
        <v>110</v>
      </c>
    </row>
    <row r="471" spans="1:64" hidden="1" x14ac:dyDescent="0.2">
      <c r="A471">
        <v>1022</v>
      </c>
      <c r="B471">
        <v>4027015408</v>
      </c>
      <c r="C471" t="s">
        <v>101</v>
      </c>
      <c r="D471" t="s">
        <v>2027</v>
      </c>
      <c r="E471" t="s">
        <v>65</v>
      </c>
      <c r="F471" t="s">
        <v>66</v>
      </c>
      <c r="G471" t="s">
        <v>67</v>
      </c>
      <c r="H471" t="s">
        <v>68</v>
      </c>
      <c r="I471" t="s">
        <v>176</v>
      </c>
      <c r="J471" t="s">
        <v>177</v>
      </c>
      <c r="K471" t="s">
        <v>1817</v>
      </c>
      <c r="M471" t="s">
        <v>72</v>
      </c>
      <c r="N471" t="s">
        <v>1818</v>
      </c>
      <c r="O471" t="s">
        <v>1817</v>
      </c>
      <c r="P471" t="s">
        <v>1819</v>
      </c>
      <c r="Q471" t="s">
        <v>75</v>
      </c>
      <c r="R471" t="s">
        <v>1858</v>
      </c>
      <c r="S471" t="s">
        <v>1075</v>
      </c>
      <c r="T471" t="s">
        <v>78</v>
      </c>
      <c r="U471" t="s">
        <v>1822</v>
      </c>
      <c r="V471" t="s">
        <v>80</v>
      </c>
      <c r="W471" s="1">
        <v>44696</v>
      </c>
      <c r="X471" t="s">
        <v>1859</v>
      </c>
      <c r="Y471" t="s">
        <v>2009</v>
      </c>
      <c r="Z471" t="s">
        <v>83</v>
      </c>
      <c r="AA471">
        <v>1</v>
      </c>
      <c r="AB471" t="s">
        <v>657</v>
      </c>
      <c r="AD471" t="s">
        <v>116</v>
      </c>
      <c r="AE471" t="s">
        <v>145</v>
      </c>
      <c r="AF471" t="s">
        <v>146</v>
      </c>
      <c r="AG471" t="s">
        <v>2016</v>
      </c>
      <c r="AH471" t="s">
        <v>2024</v>
      </c>
      <c r="AI471" t="s">
        <v>90</v>
      </c>
      <c r="AJ471">
        <v>32.425232000000001</v>
      </c>
      <c r="AK471">
        <v>-110.73919100000001</v>
      </c>
      <c r="AL471">
        <v>3</v>
      </c>
      <c r="AN471">
        <v>2355</v>
      </c>
      <c r="AP471">
        <v>2355</v>
      </c>
      <c r="AQ471">
        <v>2379.3617100000001</v>
      </c>
      <c r="AT471">
        <v>15</v>
      </c>
      <c r="AU471">
        <v>5</v>
      </c>
      <c r="AV471">
        <v>2022</v>
      </c>
      <c r="AW471">
        <v>2437967</v>
      </c>
      <c r="AX471">
        <v>2437967</v>
      </c>
      <c r="AY471" t="s">
        <v>106</v>
      </c>
      <c r="AZ471" t="s">
        <v>92</v>
      </c>
      <c r="BA471" t="s">
        <v>107</v>
      </c>
      <c r="BB471" t="s">
        <v>2028</v>
      </c>
      <c r="BC471" t="s">
        <v>97</v>
      </c>
      <c r="BE471" t="s">
        <v>96</v>
      </c>
      <c r="BG471" t="s">
        <v>1865</v>
      </c>
      <c r="BI471" t="s">
        <v>98</v>
      </c>
      <c r="BJ471" t="s">
        <v>2029</v>
      </c>
      <c r="BL471" t="s">
        <v>110</v>
      </c>
    </row>
    <row r="472" spans="1:64" hidden="1" x14ac:dyDescent="0.2">
      <c r="A472">
        <v>1020</v>
      </c>
      <c r="B472">
        <v>4027015410</v>
      </c>
      <c r="C472" t="s">
        <v>101</v>
      </c>
      <c r="D472" t="s">
        <v>2030</v>
      </c>
      <c r="E472" t="s">
        <v>65</v>
      </c>
      <c r="F472" t="s">
        <v>66</v>
      </c>
      <c r="G472" t="s">
        <v>67</v>
      </c>
      <c r="H472" t="s">
        <v>68</v>
      </c>
      <c r="I472" t="s">
        <v>176</v>
      </c>
      <c r="J472" t="s">
        <v>177</v>
      </c>
      <c r="K472" t="s">
        <v>1817</v>
      </c>
      <c r="M472" t="s">
        <v>72</v>
      </c>
      <c r="N472" t="s">
        <v>1818</v>
      </c>
      <c r="O472" t="s">
        <v>1817</v>
      </c>
      <c r="P472" t="s">
        <v>1819</v>
      </c>
      <c r="Q472" t="s">
        <v>75</v>
      </c>
      <c r="R472" t="s">
        <v>1858</v>
      </c>
      <c r="S472" t="s">
        <v>1075</v>
      </c>
      <c r="T472" t="s">
        <v>78</v>
      </c>
      <c r="U472" t="s">
        <v>1822</v>
      </c>
      <c r="V472" t="s">
        <v>80</v>
      </c>
      <c r="W472" s="1">
        <v>44696</v>
      </c>
      <c r="X472" t="s">
        <v>1859</v>
      </c>
      <c r="Y472" t="s">
        <v>2009</v>
      </c>
      <c r="Z472" t="s">
        <v>83</v>
      </c>
      <c r="AA472">
        <v>1</v>
      </c>
      <c r="AB472" t="s">
        <v>657</v>
      </c>
      <c r="AD472" t="s">
        <v>104</v>
      </c>
      <c r="AE472" t="s">
        <v>145</v>
      </c>
      <c r="AF472" t="s">
        <v>146</v>
      </c>
      <c r="AG472" t="s">
        <v>2016</v>
      </c>
      <c r="AH472" t="s">
        <v>2024</v>
      </c>
      <c r="AI472" t="s">
        <v>90</v>
      </c>
      <c r="AJ472">
        <v>32.425232000000001</v>
      </c>
      <c r="AK472">
        <v>-110.73919100000001</v>
      </c>
      <c r="AL472">
        <v>3</v>
      </c>
      <c r="AN472">
        <v>2355</v>
      </c>
      <c r="AP472">
        <v>2355</v>
      </c>
      <c r="AQ472">
        <v>2379.3617100000001</v>
      </c>
      <c r="AT472">
        <v>15</v>
      </c>
      <c r="AU472">
        <v>5</v>
      </c>
      <c r="AV472">
        <v>2022</v>
      </c>
      <c r="AW472">
        <v>2437967</v>
      </c>
      <c r="AX472">
        <v>2437967</v>
      </c>
      <c r="AY472" t="s">
        <v>106</v>
      </c>
      <c r="AZ472" t="s">
        <v>92</v>
      </c>
      <c r="BA472" t="s">
        <v>107</v>
      </c>
      <c r="BB472" t="s">
        <v>2031</v>
      </c>
      <c r="BC472" t="s">
        <v>97</v>
      </c>
      <c r="BE472" t="s">
        <v>96</v>
      </c>
      <c r="BG472" t="s">
        <v>1865</v>
      </c>
      <c r="BI472" t="s">
        <v>98</v>
      </c>
      <c r="BJ472" t="s">
        <v>2029</v>
      </c>
      <c r="BL472" t="s">
        <v>110</v>
      </c>
    </row>
    <row r="473" spans="1:64" hidden="1" x14ac:dyDescent="0.2">
      <c r="A473">
        <v>1276</v>
      </c>
      <c r="B473">
        <v>4022923437</v>
      </c>
      <c r="C473" t="s">
        <v>101</v>
      </c>
      <c r="D473" t="s">
        <v>2032</v>
      </c>
      <c r="E473" t="s">
        <v>65</v>
      </c>
      <c r="F473" t="s">
        <v>66</v>
      </c>
      <c r="G473" t="s">
        <v>67</v>
      </c>
      <c r="H473" t="s">
        <v>68</v>
      </c>
      <c r="I473" t="s">
        <v>176</v>
      </c>
      <c r="J473" t="s">
        <v>177</v>
      </c>
      <c r="K473" t="s">
        <v>1817</v>
      </c>
      <c r="M473" t="s">
        <v>72</v>
      </c>
      <c r="N473" t="s">
        <v>1818</v>
      </c>
      <c r="O473" t="s">
        <v>1817</v>
      </c>
      <c r="P473" t="s">
        <v>1819</v>
      </c>
      <c r="Q473" t="s">
        <v>75</v>
      </c>
      <c r="R473" t="s">
        <v>1858</v>
      </c>
      <c r="S473" t="s">
        <v>1075</v>
      </c>
      <c r="T473" t="s">
        <v>78</v>
      </c>
      <c r="U473" t="s">
        <v>1822</v>
      </c>
      <c r="V473" t="s">
        <v>80</v>
      </c>
      <c r="W473" s="1">
        <v>44696</v>
      </c>
      <c r="X473" t="s">
        <v>1859</v>
      </c>
      <c r="Y473" t="s">
        <v>2009</v>
      </c>
      <c r="Z473" t="s">
        <v>83</v>
      </c>
      <c r="AA473">
        <v>1</v>
      </c>
      <c r="AB473" t="s">
        <v>677</v>
      </c>
      <c r="AD473" t="s">
        <v>139</v>
      </c>
      <c r="AE473" t="s">
        <v>145</v>
      </c>
      <c r="AF473" t="s">
        <v>146</v>
      </c>
      <c r="AG473" t="s">
        <v>2016</v>
      </c>
      <c r="AH473" t="s">
        <v>2024</v>
      </c>
      <c r="AI473" t="s">
        <v>90</v>
      </c>
      <c r="AJ473">
        <v>32.425232000000001</v>
      </c>
      <c r="AK473">
        <v>-110.73919100000001</v>
      </c>
      <c r="AL473">
        <v>3</v>
      </c>
      <c r="AN473">
        <v>2355</v>
      </c>
      <c r="AP473">
        <v>2355</v>
      </c>
      <c r="AQ473">
        <v>2379.3617100000001</v>
      </c>
      <c r="AT473">
        <v>15</v>
      </c>
      <c r="AU473">
        <v>5</v>
      </c>
      <c r="AV473">
        <v>2022</v>
      </c>
      <c r="AW473">
        <v>2437967</v>
      </c>
      <c r="AX473">
        <v>2437967</v>
      </c>
      <c r="AY473" t="s">
        <v>106</v>
      </c>
      <c r="AZ473" t="s">
        <v>92</v>
      </c>
      <c r="BA473" t="s">
        <v>107</v>
      </c>
      <c r="BB473" t="s">
        <v>2033</v>
      </c>
      <c r="BC473" t="s">
        <v>97</v>
      </c>
      <c r="BE473" t="s">
        <v>96</v>
      </c>
      <c r="BG473" t="s">
        <v>1865</v>
      </c>
      <c r="BI473" t="s">
        <v>98</v>
      </c>
      <c r="BJ473" t="s">
        <v>1569</v>
      </c>
      <c r="BL473" t="s">
        <v>684</v>
      </c>
    </row>
    <row r="474" spans="1:64" hidden="1" x14ac:dyDescent="0.2">
      <c r="A474">
        <v>1274</v>
      </c>
      <c r="B474">
        <v>4022923439</v>
      </c>
      <c r="C474" t="s">
        <v>101</v>
      </c>
      <c r="D474" t="s">
        <v>2034</v>
      </c>
      <c r="E474" t="s">
        <v>65</v>
      </c>
      <c r="F474" t="s">
        <v>66</v>
      </c>
      <c r="G474" t="s">
        <v>67</v>
      </c>
      <c r="H474" t="s">
        <v>68</v>
      </c>
      <c r="I474" t="s">
        <v>176</v>
      </c>
      <c r="J474" t="s">
        <v>177</v>
      </c>
      <c r="K474" t="s">
        <v>1817</v>
      </c>
      <c r="M474" t="s">
        <v>72</v>
      </c>
      <c r="N474" t="s">
        <v>1818</v>
      </c>
      <c r="O474" t="s">
        <v>1817</v>
      </c>
      <c r="P474" t="s">
        <v>1819</v>
      </c>
      <c r="Q474" t="s">
        <v>75</v>
      </c>
      <c r="R474" t="s">
        <v>1858</v>
      </c>
      <c r="S474" t="s">
        <v>1075</v>
      </c>
      <c r="T474" t="s">
        <v>78</v>
      </c>
      <c r="U474" t="s">
        <v>1822</v>
      </c>
      <c r="V474" t="s">
        <v>80</v>
      </c>
      <c r="W474" s="1">
        <v>44696</v>
      </c>
      <c r="X474" t="s">
        <v>1859</v>
      </c>
      <c r="Y474" t="s">
        <v>2009</v>
      </c>
      <c r="Z474" t="s">
        <v>83</v>
      </c>
      <c r="AA474">
        <v>1</v>
      </c>
      <c r="AB474" t="s">
        <v>677</v>
      </c>
      <c r="AD474" t="s">
        <v>123</v>
      </c>
      <c r="AE474" t="s">
        <v>145</v>
      </c>
      <c r="AF474" t="s">
        <v>146</v>
      </c>
      <c r="AG474" t="s">
        <v>2016</v>
      </c>
      <c r="AH474" t="s">
        <v>2024</v>
      </c>
      <c r="AI474" t="s">
        <v>90</v>
      </c>
      <c r="AJ474">
        <v>32.425232000000001</v>
      </c>
      <c r="AK474">
        <v>-110.73919100000001</v>
      </c>
      <c r="AL474">
        <v>3</v>
      </c>
      <c r="AN474">
        <v>2355</v>
      </c>
      <c r="AP474">
        <v>2355</v>
      </c>
      <c r="AQ474">
        <v>2379.3617100000001</v>
      </c>
      <c r="AT474">
        <v>15</v>
      </c>
      <c r="AU474">
        <v>5</v>
      </c>
      <c r="AV474">
        <v>2022</v>
      </c>
      <c r="AW474">
        <v>2437967</v>
      </c>
      <c r="AX474">
        <v>2437967</v>
      </c>
      <c r="AY474" t="s">
        <v>106</v>
      </c>
      <c r="AZ474" t="s">
        <v>92</v>
      </c>
      <c r="BA474" t="s">
        <v>107</v>
      </c>
      <c r="BB474" t="s">
        <v>2035</v>
      </c>
      <c r="BC474" t="s">
        <v>97</v>
      </c>
      <c r="BE474" t="s">
        <v>96</v>
      </c>
      <c r="BG474" t="s">
        <v>1865</v>
      </c>
      <c r="BI474" t="s">
        <v>98</v>
      </c>
      <c r="BJ474" t="s">
        <v>2036</v>
      </c>
      <c r="BL474" t="s">
        <v>684</v>
      </c>
    </row>
    <row r="475" spans="1:64" hidden="1" x14ac:dyDescent="0.2">
      <c r="A475">
        <v>1018</v>
      </c>
      <c r="B475">
        <v>4027015412</v>
      </c>
      <c r="C475" t="s">
        <v>101</v>
      </c>
      <c r="D475" t="s">
        <v>2037</v>
      </c>
      <c r="E475" t="s">
        <v>65</v>
      </c>
      <c r="F475" t="s">
        <v>66</v>
      </c>
      <c r="G475" t="s">
        <v>67</v>
      </c>
      <c r="H475" t="s">
        <v>68</v>
      </c>
      <c r="I475" t="s">
        <v>350</v>
      </c>
      <c r="J475" t="s">
        <v>351</v>
      </c>
      <c r="K475" t="s">
        <v>352</v>
      </c>
      <c r="M475" t="s">
        <v>72</v>
      </c>
      <c r="N475" t="s">
        <v>353</v>
      </c>
      <c r="O475" t="s">
        <v>352</v>
      </c>
      <c r="P475" t="s">
        <v>180</v>
      </c>
      <c r="Q475" t="s">
        <v>75</v>
      </c>
      <c r="R475" t="s">
        <v>1858</v>
      </c>
      <c r="S475" t="s">
        <v>815</v>
      </c>
      <c r="T475" t="s">
        <v>78</v>
      </c>
      <c r="U475" t="s">
        <v>1822</v>
      </c>
      <c r="V475" t="s">
        <v>80</v>
      </c>
      <c r="W475" s="1">
        <v>44696</v>
      </c>
      <c r="X475" t="s">
        <v>1859</v>
      </c>
      <c r="Y475" t="s">
        <v>2038</v>
      </c>
      <c r="Z475" t="s">
        <v>83</v>
      </c>
      <c r="AA475">
        <v>1</v>
      </c>
      <c r="AB475" t="s">
        <v>657</v>
      </c>
      <c r="AD475" t="s">
        <v>343</v>
      </c>
      <c r="AE475" t="s">
        <v>86</v>
      </c>
      <c r="AF475" t="s">
        <v>146</v>
      </c>
      <c r="AG475" t="s">
        <v>2039</v>
      </c>
      <c r="AI475" t="s">
        <v>90</v>
      </c>
      <c r="AJ475">
        <v>32.425576</v>
      </c>
      <c r="AK475">
        <v>-110.740246</v>
      </c>
      <c r="AL475">
        <v>5</v>
      </c>
      <c r="AN475">
        <v>2386</v>
      </c>
      <c r="AP475">
        <v>2386</v>
      </c>
      <c r="AQ475">
        <v>2390.1579780000002</v>
      </c>
      <c r="AT475">
        <v>15</v>
      </c>
      <c r="AU475">
        <v>5</v>
      </c>
      <c r="AV475">
        <v>2022</v>
      </c>
      <c r="AW475">
        <v>4972385</v>
      </c>
      <c r="AX475">
        <v>2437431</v>
      </c>
      <c r="AY475" t="s">
        <v>106</v>
      </c>
      <c r="AZ475" t="s">
        <v>92</v>
      </c>
      <c r="BA475" t="s">
        <v>107</v>
      </c>
      <c r="BB475" t="s">
        <v>2040</v>
      </c>
      <c r="BC475" t="s">
        <v>97</v>
      </c>
      <c r="BE475" t="s">
        <v>96</v>
      </c>
      <c r="BG475" t="s">
        <v>1865</v>
      </c>
      <c r="BI475" t="s">
        <v>98</v>
      </c>
      <c r="BJ475" t="s">
        <v>2041</v>
      </c>
      <c r="BL475" t="s">
        <v>110</v>
      </c>
    </row>
    <row r="476" spans="1:64" hidden="1" x14ac:dyDescent="0.2">
      <c r="A476">
        <v>784</v>
      </c>
      <c r="B476">
        <v>4070420448</v>
      </c>
      <c r="C476" t="s">
        <v>101</v>
      </c>
      <c r="D476" t="s">
        <v>2629</v>
      </c>
      <c r="E476" t="s">
        <v>65</v>
      </c>
      <c r="F476" t="s">
        <v>66</v>
      </c>
      <c r="G476" t="s">
        <v>67</v>
      </c>
      <c r="H476" t="s">
        <v>68</v>
      </c>
      <c r="I476" t="s">
        <v>176</v>
      </c>
      <c r="J476" t="s">
        <v>177</v>
      </c>
      <c r="K476" t="s">
        <v>1817</v>
      </c>
      <c r="M476" t="s">
        <v>72</v>
      </c>
      <c r="N476" t="s">
        <v>1818</v>
      </c>
      <c r="O476" t="s">
        <v>1817</v>
      </c>
      <c r="P476" t="s">
        <v>1819</v>
      </c>
      <c r="Q476" t="s">
        <v>75</v>
      </c>
      <c r="R476" t="s">
        <v>2238</v>
      </c>
      <c r="S476" t="s">
        <v>1032</v>
      </c>
      <c r="T476" t="s">
        <v>78</v>
      </c>
      <c r="U476" t="s">
        <v>1822</v>
      </c>
      <c r="V476" t="s">
        <v>1179</v>
      </c>
      <c r="W476" s="1">
        <v>44813</v>
      </c>
      <c r="X476" t="s">
        <v>1823</v>
      </c>
      <c r="Y476" t="s">
        <v>2630</v>
      </c>
      <c r="Z476" t="s">
        <v>83</v>
      </c>
      <c r="AA476">
        <v>1</v>
      </c>
      <c r="AB476" t="s">
        <v>127</v>
      </c>
      <c r="AC476">
        <v>0</v>
      </c>
      <c r="AD476" t="s">
        <v>128</v>
      </c>
      <c r="AE476" t="s">
        <v>145</v>
      </c>
      <c r="AF476" t="s">
        <v>281</v>
      </c>
      <c r="AI476" t="s">
        <v>90</v>
      </c>
      <c r="AJ476">
        <v>32.439624999999999</v>
      </c>
      <c r="AK476">
        <v>-110.788471</v>
      </c>
      <c r="AL476">
        <v>3</v>
      </c>
      <c r="AN476">
        <v>2767</v>
      </c>
      <c r="AP476">
        <v>2767</v>
      </c>
      <c r="AQ476">
        <v>2770.9076180000002</v>
      </c>
      <c r="AT476">
        <v>9</v>
      </c>
      <c r="AU476">
        <v>9</v>
      </c>
      <c r="AV476">
        <v>2022</v>
      </c>
      <c r="AW476">
        <v>2437967</v>
      </c>
      <c r="AX476">
        <v>2437967</v>
      </c>
      <c r="AY476" t="s">
        <v>106</v>
      </c>
      <c r="AZ476" t="s">
        <v>92</v>
      </c>
      <c r="BA476" t="s">
        <v>107</v>
      </c>
      <c r="BB476" t="s">
        <v>2631</v>
      </c>
      <c r="BC476" t="s">
        <v>2245</v>
      </c>
      <c r="BE476" t="s">
        <v>96</v>
      </c>
      <c r="BG476" t="s">
        <v>2246</v>
      </c>
      <c r="BI476" t="s">
        <v>98</v>
      </c>
      <c r="BJ476" t="s">
        <v>2632</v>
      </c>
      <c r="BL476" t="s">
        <v>110</v>
      </c>
    </row>
    <row r="477" spans="1:64" hidden="1" x14ac:dyDescent="0.2">
      <c r="A477">
        <v>780</v>
      </c>
      <c r="B477">
        <v>4070420454</v>
      </c>
      <c r="C477" t="s">
        <v>101</v>
      </c>
      <c r="D477" t="s">
        <v>2635</v>
      </c>
      <c r="E477" t="s">
        <v>65</v>
      </c>
      <c r="F477" t="s">
        <v>66</v>
      </c>
      <c r="G477" t="s">
        <v>67</v>
      </c>
      <c r="H477" t="s">
        <v>68</v>
      </c>
      <c r="I477" t="s">
        <v>176</v>
      </c>
      <c r="J477" t="s">
        <v>177</v>
      </c>
      <c r="K477" t="s">
        <v>1817</v>
      </c>
      <c r="M477" t="s">
        <v>72</v>
      </c>
      <c r="N477" t="s">
        <v>1818</v>
      </c>
      <c r="O477" t="s">
        <v>1817</v>
      </c>
      <c r="P477" t="s">
        <v>1819</v>
      </c>
      <c r="Q477" t="s">
        <v>75</v>
      </c>
      <c r="R477" t="s">
        <v>2238</v>
      </c>
      <c r="S477" t="s">
        <v>987</v>
      </c>
      <c r="T477" t="s">
        <v>78</v>
      </c>
      <c r="U477" t="s">
        <v>1822</v>
      </c>
      <c r="V477" t="s">
        <v>1179</v>
      </c>
      <c r="W477" s="1">
        <v>44813</v>
      </c>
      <c r="X477" t="s">
        <v>1823</v>
      </c>
      <c r="Y477" t="s">
        <v>2636</v>
      </c>
      <c r="Z477" t="s">
        <v>83</v>
      </c>
      <c r="AA477">
        <v>1</v>
      </c>
      <c r="AB477" t="s">
        <v>127</v>
      </c>
      <c r="AC477">
        <v>0</v>
      </c>
      <c r="AD477" t="s">
        <v>128</v>
      </c>
      <c r="AE477" t="s">
        <v>86</v>
      </c>
      <c r="AF477" t="s">
        <v>146</v>
      </c>
      <c r="AI477" t="s">
        <v>90</v>
      </c>
      <c r="AJ477">
        <v>32.439701999999997</v>
      </c>
      <c r="AK477">
        <v>-110.788293</v>
      </c>
      <c r="AL477">
        <v>3</v>
      </c>
      <c r="AN477">
        <v>2780</v>
      </c>
      <c r="AP477">
        <v>2780</v>
      </c>
      <c r="AQ477">
        <v>2769.668111</v>
      </c>
      <c r="AT477">
        <v>9</v>
      </c>
      <c r="AU477">
        <v>9</v>
      </c>
      <c r="AV477">
        <v>2022</v>
      </c>
      <c r="AW477">
        <v>2437967</v>
      </c>
      <c r="AX477">
        <v>2437967</v>
      </c>
      <c r="AY477" t="s">
        <v>106</v>
      </c>
      <c r="AZ477" t="s">
        <v>92</v>
      </c>
      <c r="BA477" t="s">
        <v>107</v>
      </c>
      <c r="BB477" t="s">
        <v>2637</v>
      </c>
      <c r="BC477" t="s">
        <v>2245</v>
      </c>
      <c r="BE477" t="s">
        <v>96</v>
      </c>
      <c r="BG477" t="s">
        <v>2246</v>
      </c>
      <c r="BI477" t="s">
        <v>98</v>
      </c>
      <c r="BJ477" t="s">
        <v>2632</v>
      </c>
      <c r="BL477" t="s">
        <v>110</v>
      </c>
    </row>
    <row r="478" spans="1:64" x14ac:dyDescent="0.2">
      <c r="A478">
        <v>1447</v>
      </c>
      <c r="B478">
        <v>3748770434</v>
      </c>
      <c r="C478" t="s">
        <v>63</v>
      </c>
      <c r="D478" t="s">
        <v>3766</v>
      </c>
      <c r="E478" t="s">
        <v>65</v>
      </c>
      <c r="F478" t="s">
        <v>66</v>
      </c>
      <c r="G478" t="s">
        <v>67</v>
      </c>
      <c r="H478" t="s">
        <v>68</v>
      </c>
      <c r="I478" t="s">
        <v>176</v>
      </c>
      <c r="J478" t="s">
        <v>773</v>
      </c>
      <c r="K478" t="s">
        <v>774</v>
      </c>
      <c r="M478" t="s">
        <v>72</v>
      </c>
      <c r="N478" t="s">
        <v>775</v>
      </c>
      <c r="O478" t="s">
        <v>774</v>
      </c>
      <c r="P478" t="s">
        <v>776</v>
      </c>
      <c r="Q478" t="s">
        <v>75</v>
      </c>
      <c r="R478" t="s">
        <v>3733</v>
      </c>
      <c r="S478" t="s">
        <v>3767</v>
      </c>
      <c r="T478" t="s">
        <v>78</v>
      </c>
      <c r="U478" t="s">
        <v>1822</v>
      </c>
      <c r="V478" t="s">
        <v>80</v>
      </c>
      <c r="W478" s="1">
        <v>44508</v>
      </c>
      <c r="X478" t="s">
        <v>1823</v>
      </c>
      <c r="Y478" t="s">
        <v>3768</v>
      </c>
      <c r="Z478" t="s">
        <v>83</v>
      </c>
      <c r="AA478">
        <v>1</v>
      </c>
      <c r="AB478" t="s">
        <v>3769</v>
      </c>
      <c r="AC478">
        <v>1</v>
      </c>
      <c r="AD478" s="6" t="s">
        <v>85</v>
      </c>
      <c r="AE478" s="6" t="s">
        <v>86</v>
      </c>
      <c r="AF478" s="6" t="s">
        <v>146</v>
      </c>
      <c r="AG478" s="6" t="s">
        <v>3770</v>
      </c>
      <c r="AH478" s="6" t="s">
        <v>3771</v>
      </c>
      <c r="AI478" s="6" t="s">
        <v>90</v>
      </c>
      <c r="AJ478" s="6">
        <v>32.441274</v>
      </c>
      <c r="AK478" s="6">
        <v>-110.787142</v>
      </c>
      <c r="AL478" s="6">
        <v>3</v>
      </c>
      <c r="AM478" s="6"/>
      <c r="AN478" s="6">
        <v>2772</v>
      </c>
      <c r="AO478" s="6"/>
      <c r="AP478" s="6">
        <v>2772</v>
      </c>
      <c r="AQ478" s="6">
        <v>2785.02</v>
      </c>
      <c r="AR478" s="6"/>
      <c r="AS478" s="6"/>
      <c r="AT478" s="6">
        <v>8</v>
      </c>
      <c r="AU478" s="6">
        <v>11</v>
      </c>
      <c r="AV478" s="6">
        <v>2021</v>
      </c>
      <c r="AW478" s="6">
        <v>2438447</v>
      </c>
      <c r="AX478" s="6">
        <v>2438447</v>
      </c>
      <c r="AY478" s="6" t="s">
        <v>91</v>
      </c>
      <c r="AZ478" t="s">
        <v>92</v>
      </c>
      <c r="BA478" t="s">
        <v>93</v>
      </c>
      <c r="BB478" t="s">
        <v>3772</v>
      </c>
      <c r="BC478" t="s">
        <v>1186</v>
      </c>
      <c r="BE478" t="s">
        <v>96</v>
      </c>
      <c r="BG478" t="s">
        <v>1186</v>
      </c>
      <c r="BI478" t="s">
        <v>98</v>
      </c>
      <c r="BJ478" t="s">
        <v>3773</v>
      </c>
      <c r="BL478" t="s">
        <v>100</v>
      </c>
    </row>
    <row r="479" spans="1:64" hidden="1" x14ac:dyDescent="0.2">
      <c r="A479">
        <v>1043</v>
      </c>
      <c r="B479">
        <v>4027015387</v>
      </c>
      <c r="C479" t="s">
        <v>101</v>
      </c>
      <c r="D479" t="s">
        <v>2060</v>
      </c>
      <c r="E479" t="s">
        <v>65</v>
      </c>
      <c r="F479" t="s">
        <v>66</v>
      </c>
      <c r="G479" t="s">
        <v>67</v>
      </c>
      <c r="H479" t="s">
        <v>68</v>
      </c>
      <c r="I479" t="s">
        <v>350</v>
      </c>
      <c r="J479" t="s">
        <v>351</v>
      </c>
      <c r="K479" t="s">
        <v>352</v>
      </c>
      <c r="M479" t="s">
        <v>72</v>
      </c>
      <c r="N479" t="s">
        <v>353</v>
      </c>
      <c r="O479" t="s">
        <v>352</v>
      </c>
      <c r="P479" t="s">
        <v>180</v>
      </c>
      <c r="Q479" t="s">
        <v>75</v>
      </c>
      <c r="R479" t="s">
        <v>1858</v>
      </c>
      <c r="S479" t="s">
        <v>823</v>
      </c>
      <c r="T479" t="s">
        <v>78</v>
      </c>
      <c r="U479" t="s">
        <v>1822</v>
      </c>
      <c r="V479" t="s">
        <v>80</v>
      </c>
      <c r="W479" s="1">
        <v>44696</v>
      </c>
      <c r="X479" t="s">
        <v>1859</v>
      </c>
      <c r="Y479" t="s">
        <v>2045</v>
      </c>
      <c r="Z479" t="s">
        <v>83</v>
      </c>
      <c r="AA479">
        <v>1</v>
      </c>
      <c r="AB479" t="s">
        <v>657</v>
      </c>
      <c r="AD479" t="s">
        <v>112</v>
      </c>
      <c r="AE479" t="s">
        <v>145</v>
      </c>
      <c r="AF479" t="s">
        <v>146</v>
      </c>
      <c r="AG479" t="s">
        <v>2052</v>
      </c>
      <c r="AH479" t="s">
        <v>2061</v>
      </c>
      <c r="AI479" t="s">
        <v>90</v>
      </c>
      <c r="AJ479">
        <v>32.425452999999997</v>
      </c>
      <c r="AK479">
        <v>-110.740354</v>
      </c>
      <c r="AL479">
        <v>4</v>
      </c>
      <c r="AN479">
        <v>2385</v>
      </c>
      <c r="AP479">
        <v>2385</v>
      </c>
      <c r="AQ479">
        <v>2398.42578</v>
      </c>
      <c r="AT479">
        <v>15</v>
      </c>
      <c r="AU479">
        <v>5</v>
      </c>
      <c r="AV479">
        <v>2022</v>
      </c>
      <c r="AW479">
        <v>4972385</v>
      </c>
      <c r="AX479">
        <v>2437431</v>
      </c>
      <c r="AY479" t="s">
        <v>106</v>
      </c>
      <c r="AZ479" t="s">
        <v>92</v>
      </c>
      <c r="BA479" t="s">
        <v>107</v>
      </c>
      <c r="BB479" t="s">
        <v>2062</v>
      </c>
      <c r="BC479" t="s">
        <v>97</v>
      </c>
      <c r="BE479" t="s">
        <v>96</v>
      </c>
      <c r="BG479" t="s">
        <v>1865</v>
      </c>
      <c r="BI479" t="s">
        <v>98</v>
      </c>
      <c r="BJ479" t="s">
        <v>2063</v>
      </c>
      <c r="BL479" t="s">
        <v>110</v>
      </c>
    </row>
    <row r="480" spans="1:64" hidden="1" x14ac:dyDescent="0.2">
      <c r="A480">
        <v>1041</v>
      </c>
      <c r="B480">
        <v>4027015389</v>
      </c>
      <c r="C480" t="s">
        <v>101</v>
      </c>
      <c r="D480" t="s">
        <v>2064</v>
      </c>
      <c r="E480" t="s">
        <v>65</v>
      </c>
      <c r="F480" t="s">
        <v>66</v>
      </c>
      <c r="G480" t="s">
        <v>67</v>
      </c>
      <c r="H480" t="s">
        <v>68</v>
      </c>
      <c r="I480" t="s">
        <v>350</v>
      </c>
      <c r="J480" t="s">
        <v>351</v>
      </c>
      <c r="K480" t="s">
        <v>352</v>
      </c>
      <c r="M480" t="s">
        <v>72</v>
      </c>
      <c r="N480" t="s">
        <v>353</v>
      </c>
      <c r="O480" t="s">
        <v>352</v>
      </c>
      <c r="P480" t="s">
        <v>180</v>
      </c>
      <c r="Q480" t="s">
        <v>75</v>
      </c>
      <c r="R480" t="s">
        <v>1858</v>
      </c>
      <c r="T480" t="s">
        <v>78</v>
      </c>
      <c r="U480" t="s">
        <v>1822</v>
      </c>
      <c r="V480" t="s">
        <v>80</v>
      </c>
      <c r="W480" s="1">
        <v>44696</v>
      </c>
      <c r="X480" t="s">
        <v>1859</v>
      </c>
      <c r="Y480" t="s">
        <v>2045</v>
      </c>
      <c r="Z480" t="s">
        <v>83</v>
      </c>
      <c r="AA480">
        <v>1</v>
      </c>
      <c r="AB480" t="s">
        <v>2065</v>
      </c>
      <c r="AD480" t="s">
        <v>378</v>
      </c>
      <c r="AE480" t="s">
        <v>145</v>
      </c>
      <c r="AF480" t="s">
        <v>146</v>
      </c>
      <c r="AG480" t="s">
        <v>2052</v>
      </c>
      <c r="AH480" t="s">
        <v>2066</v>
      </c>
      <c r="AI480" t="s">
        <v>90</v>
      </c>
      <c r="AJ480">
        <v>32.425452999999997</v>
      </c>
      <c r="AK480">
        <v>-110.740354</v>
      </c>
      <c r="AL480">
        <v>4</v>
      </c>
      <c r="AN480">
        <v>2385</v>
      </c>
      <c r="AP480">
        <v>2385</v>
      </c>
      <c r="AQ480">
        <v>2398.42578</v>
      </c>
      <c r="AT480">
        <v>15</v>
      </c>
      <c r="AU480">
        <v>5</v>
      </c>
      <c r="AV480">
        <v>2022</v>
      </c>
      <c r="AW480">
        <v>4972385</v>
      </c>
      <c r="AX480">
        <v>2437431</v>
      </c>
      <c r="AY480" t="s">
        <v>106</v>
      </c>
      <c r="AZ480" t="s">
        <v>92</v>
      </c>
      <c r="BA480" t="s">
        <v>107</v>
      </c>
      <c r="BB480" t="s">
        <v>2067</v>
      </c>
      <c r="BC480" t="s">
        <v>97</v>
      </c>
      <c r="BE480" t="s">
        <v>96</v>
      </c>
      <c r="BG480" t="s">
        <v>1865</v>
      </c>
      <c r="BI480" t="s">
        <v>98</v>
      </c>
      <c r="BJ480" t="s">
        <v>2068</v>
      </c>
      <c r="BL480" t="s">
        <v>110</v>
      </c>
    </row>
    <row r="481" spans="1:64" hidden="1" x14ac:dyDescent="0.2">
      <c r="A481">
        <v>1039</v>
      </c>
      <c r="B481">
        <v>4027015391</v>
      </c>
      <c r="C481" t="s">
        <v>101</v>
      </c>
      <c r="D481" t="s">
        <v>2069</v>
      </c>
      <c r="E481" t="s">
        <v>65</v>
      </c>
      <c r="F481" t="s">
        <v>66</v>
      </c>
      <c r="G481" t="s">
        <v>67</v>
      </c>
      <c r="H481" t="s">
        <v>68</v>
      </c>
      <c r="I481" t="s">
        <v>350</v>
      </c>
      <c r="J481" t="s">
        <v>351</v>
      </c>
      <c r="K481" t="s">
        <v>352</v>
      </c>
      <c r="M481" t="s">
        <v>72</v>
      </c>
      <c r="N481" t="s">
        <v>353</v>
      </c>
      <c r="O481" t="s">
        <v>352</v>
      </c>
      <c r="P481" t="s">
        <v>180</v>
      </c>
      <c r="Q481" t="s">
        <v>75</v>
      </c>
      <c r="R481" t="s">
        <v>1858</v>
      </c>
      <c r="S481" t="s">
        <v>823</v>
      </c>
      <c r="T481" t="s">
        <v>78</v>
      </c>
      <c r="U481" t="s">
        <v>1822</v>
      </c>
      <c r="V481" t="s">
        <v>80</v>
      </c>
      <c r="W481" s="1">
        <v>44696</v>
      </c>
      <c r="X481" t="s">
        <v>1859</v>
      </c>
      <c r="Y481" t="s">
        <v>2045</v>
      </c>
      <c r="Z481" t="s">
        <v>83</v>
      </c>
      <c r="AA481">
        <v>1</v>
      </c>
      <c r="AB481" t="s">
        <v>657</v>
      </c>
      <c r="AD481" t="s">
        <v>116</v>
      </c>
      <c r="AE481" t="s">
        <v>145</v>
      </c>
      <c r="AF481" t="s">
        <v>146</v>
      </c>
      <c r="AG481" t="s">
        <v>2052</v>
      </c>
      <c r="AH481" t="s">
        <v>2061</v>
      </c>
      <c r="AI481" t="s">
        <v>90</v>
      </c>
      <c r="AJ481">
        <v>32.425452999999997</v>
      </c>
      <c r="AK481">
        <v>-110.740354</v>
      </c>
      <c r="AL481">
        <v>4</v>
      </c>
      <c r="AN481">
        <v>2385</v>
      </c>
      <c r="AP481">
        <v>2385</v>
      </c>
      <c r="AQ481">
        <v>2398.42578</v>
      </c>
      <c r="AT481">
        <v>15</v>
      </c>
      <c r="AU481">
        <v>5</v>
      </c>
      <c r="AV481">
        <v>2022</v>
      </c>
      <c r="AW481">
        <v>4972385</v>
      </c>
      <c r="AX481">
        <v>2437431</v>
      </c>
      <c r="AY481" t="s">
        <v>106</v>
      </c>
      <c r="AZ481" t="s">
        <v>92</v>
      </c>
      <c r="BA481" t="s">
        <v>107</v>
      </c>
      <c r="BB481" t="s">
        <v>2070</v>
      </c>
      <c r="BC481" t="s">
        <v>97</v>
      </c>
      <c r="BE481" t="s">
        <v>96</v>
      </c>
      <c r="BG481" t="s">
        <v>1865</v>
      </c>
      <c r="BI481" t="s">
        <v>98</v>
      </c>
      <c r="BJ481" t="s">
        <v>2071</v>
      </c>
      <c r="BL481" t="s">
        <v>110</v>
      </c>
    </row>
    <row r="482" spans="1:64" hidden="1" x14ac:dyDescent="0.2">
      <c r="A482">
        <v>970</v>
      </c>
      <c r="B482">
        <v>4027015460</v>
      </c>
      <c r="C482" t="s">
        <v>101</v>
      </c>
      <c r="D482" t="s">
        <v>2072</v>
      </c>
      <c r="E482" t="s">
        <v>65</v>
      </c>
      <c r="F482" t="s">
        <v>66</v>
      </c>
      <c r="G482" t="s">
        <v>67</v>
      </c>
      <c r="H482" t="s">
        <v>68</v>
      </c>
      <c r="I482" t="s">
        <v>350</v>
      </c>
      <c r="J482" t="s">
        <v>351</v>
      </c>
      <c r="K482" t="s">
        <v>352</v>
      </c>
      <c r="M482" t="s">
        <v>72</v>
      </c>
      <c r="N482" t="s">
        <v>353</v>
      </c>
      <c r="O482" t="s">
        <v>352</v>
      </c>
      <c r="P482" t="s">
        <v>180</v>
      </c>
      <c r="Q482" t="s">
        <v>75</v>
      </c>
      <c r="R482" t="s">
        <v>1858</v>
      </c>
      <c r="S482" t="s">
        <v>823</v>
      </c>
      <c r="T482" t="s">
        <v>78</v>
      </c>
      <c r="U482" t="s">
        <v>1822</v>
      </c>
      <c r="V482" t="s">
        <v>80</v>
      </c>
      <c r="W482" s="1">
        <v>44696</v>
      </c>
      <c r="X482" t="s">
        <v>1859</v>
      </c>
      <c r="Y482" t="s">
        <v>2045</v>
      </c>
      <c r="Z482" t="s">
        <v>83</v>
      </c>
      <c r="AA482">
        <v>1</v>
      </c>
      <c r="AB482" t="s">
        <v>672</v>
      </c>
      <c r="AD482" t="s">
        <v>134</v>
      </c>
      <c r="AE482" t="s">
        <v>145</v>
      </c>
      <c r="AF482" t="s">
        <v>146</v>
      </c>
      <c r="AG482" t="s">
        <v>2052</v>
      </c>
      <c r="AH482" t="s">
        <v>2073</v>
      </c>
      <c r="AI482" t="s">
        <v>90</v>
      </c>
      <c r="AJ482">
        <v>32.425452999999997</v>
      </c>
      <c r="AK482">
        <v>-110.740354</v>
      </c>
      <c r="AL482">
        <v>4</v>
      </c>
      <c r="AN482">
        <v>2385</v>
      </c>
      <c r="AP482">
        <v>2385</v>
      </c>
      <c r="AQ482">
        <v>2398.42578</v>
      </c>
      <c r="AT482">
        <v>15</v>
      </c>
      <c r="AU482">
        <v>5</v>
      </c>
      <c r="AV482">
        <v>2022</v>
      </c>
      <c r="AW482">
        <v>4972385</v>
      </c>
      <c r="AX482">
        <v>2437431</v>
      </c>
      <c r="AY482" t="s">
        <v>106</v>
      </c>
      <c r="AZ482" t="s">
        <v>92</v>
      </c>
      <c r="BA482" t="s">
        <v>107</v>
      </c>
      <c r="BB482" t="s">
        <v>2074</v>
      </c>
      <c r="BC482" t="s">
        <v>97</v>
      </c>
      <c r="BE482" t="s">
        <v>96</v>
      </c>
      <c r="BG482" t="s">
        <v>1865</v>
      </c>
      <c r="BI482" t="s">
        <v>98</v>
      </c>
      <c r="BJ482" t="s">
        <v>1870</v>
      </c>
      <c r="BL482" t="s">
        <v>684</v>
      </c>
    </row>
    <row r="483" spans="1:64" hidden="1" x14ac:dyDescent="0.2">
      <c r="A483">
        <v>931</v>
      </c>
      <c r="B483">
        <v>4040367314</v>
      </c>
      <c r="C483" t="s">
        <v>101</v>
      </c>
      <c r="D483" t="s">
        <v>2075</v>
      </c>
      <c r="E483" t="s">
        <v>65</v>
      </c>
      <c r="F483" t="s">
        <v>66</v>
      </c>
      <c r="G483" t="s">
        <v>67</v>
      </c>
      <c r="H483" t="s">
        <v>68</v>
      </c>
      <c r="I483" t="s">
        <v>350</v>
      </c>
      <c r="J483" t="s">
        <v>351</v>
      </c>
      <c r="K483" t="s">
        <v>352</v>
      </c>
      <c r="M483" t="s">
        <v>72</v>
      </c>
      <c r="N483" t="s">
        <v>353</v>
      </c>
      <c r="O483" t="s">
        <v>352</v>
      </c>
      <c r="P483" t="s">
        <v>180</v>
      </c>
      <c r="Q483" t="s">
        <v>75</v>
      </c>
      <c r="R483" t="s">
        <v>1858</v>
      </c>
      <c r="S483" t="s">
        <v>823</v>
      </c>
      <c r="T483" t="s">
        <v>78</v>
      </c>
      <c r="U483" t="s">
        <v>1822</v>
      </c>
      <c r="V483" t="s">
        <v>80</v>
      </c>
      <c r="W483" s="1">
        <v>44696</v>
      </c>
      <c r="X483" t="s">
        <v>1859</v>
      </c>
      <c r="Y483" t="s">
        <v>2045</v>
      </c>
      <c r="Z483" t="s">
        <v>83</v>
      </c>
      <c r="AA483">
        <v>1</v>
      </c>
      <c r="AB483" t="s">
        <v>657</v>
      </c>
      <c r="AD483" t="s">
        <v>104</v>
      </c>
      <c r="AE483" t="s">
        <v>145</v>
      </c>
      <c r="AF483" t="s">
        <v>146</v>
      </c>
      <c r="AG483" t="s">
        <v>2052</v>
      </c>
      <c r="AH483" t="s">
        <v>2061</v>
      </c>
      <c r="AI483" t="s">
        <v>90</v>
      </c>
      <c r="AJ483">
        <v>32.425452999999997</v>
      </c>
      <c r="AK483">
        <v>-110.740354</v>
      </c>
      <c r="AL483">
        <v>4</v>
      </c>
      <c r="AN483">
        <v>2385</v>
      </c>
      <c r="AP483">
        <v>2385</v>
      </c>
      <c r="AQ483">
        <v>2398.42578</v>
      </c>
      <c r="AT483">
        <v>15</v>
      </c>
      <c r="AU483">
        <v>5</v>
      </c>
      <c r="AV483">
        <v>2022</v>
      </c>
      <c r="AW483">
        <v>4972385</v>
      </c>
      <c r="AX483">
        <v>2437431</v>
      </c>
      <c r="AY483" t="s">
        <v>106</v>
      </c>
      <c r="AZ483" t="s">
        <v>92</v>
      </c>
      <c r="BA483" t="s">
        <v>107</v>
      </c>
      <c r="BB483" t="s">
        <v>2076</v>
      </c>
      <c r="BC483" t="s">
        <v>97</v>
      </c>
      <c r="BE483" t="s">
        <v>96</v>
      </c>
      <c r="BG483" t="s">
        <v>1865</v>
      </c>
      <c r="BI483" t="s">
        <v>98</v>
      </c>
      <c r="BJ483" t="s">
        <v>2077</v>
      </c>
      <c r="BL483" t="s">
        <v>110</v>
      </c>
    </row>
    <row r="484" spans="1:64" x14ac:dyDescent="0.2">
      <c r="A484">
        <v>1451</v>
      </c>
      <c r="B484">
        <v>3748770430</v>
      </c>
      <c r="C484" t="s">
        <v>63</v>
      </c>
      <c r="D484" t="s">
        <v>3815</v>
      </c>
      <c r="E484" t="s">
        <v>65</v>
      </c>
      <c r="F484" t="s">
        <v>66</v>
      </c>
      <c r="G484" t="s">
        <v>67</v>
      </c>
      <c r="H484" t="s">
        <v>68</v>
      </c>
      <c r="I484" t="s">
        <v>69</v>
      </c>
      <c r="J484" t="s">
        <v>70</v>
      </c>
      <c r="K484" t="s">
        <v>71</v>
      </c>
      <c r="M484" t="s">
        <v>72</v>
      </c>
      <c r="N484" t="s">
        <v>73</v>
      </c>
      <c r="O484" t="s">
        <v>71</v>
      </c>
      <c r="P484" t="s">
        <v>74</v>
      </c>
      <c r="Q484" t="s">
        <v>75</v>
      </c>
      <c r="R484" t="s">
        <v>3816</v>
      </c>
      <c r="S484" t="s">
        <v>3762</v>
      </c>
      <c r="T484" t="s">
        <v>78</v>
      </c>
      <c r="U484" t="s">
        <v>3817</v>
      </c>
      <c r="V484" t="s">
        <v>80</v>
      </c>
      <c r="W484" s="1">
        <v>44519</v>
      </c>
      <c r="X484" t="s">
        <v>3818</v>
      </c>
      <c r="Y484" t="s">
        <v>3819</v>
      </c>
      <c r="Z484" t="s">
        <v>83</v>
      </c>
      <c r="AA484">
        <v>1</v>
      </c>
      <c r="AB484" t="s">
        <v>3820</v>
      </c>
      <c r="AC484">
        <v>1</v>
      </c>
      <c r="AD484" s="6" t="s">
        <v>85</v>
      </c>
      <c r="AE484" s="6" t="s">
        <v>86</v>
      </c>
      <c r="AF484" s="6" t="s">
        <v>146</v>
      </c>
      <c r="AG484" s="6" t="s">
        <v>3821</v>
      </c>
      <c r="AH484" s="6" t="s">
        <v>3822</v>
      </c>
      <c r="AI484" s="6" t="s">
        <v>90</v>
      </c>
      <c r="AJ484" s="6">
        <v>32.515846000000003</v>
      </c>
      <c r="AK484" s="6">
        <v>-110.688399</v>
      </c>
      <c r="AL484" s="6">
        <v>3</v>
      </c>
      <c r="AM484" s="6"/>
      <c r="AN484" s="6">
        <v>1356</v>
      </c>
      <c r="AO484" s="6"/>
      <c r="AP484" s="6">
        <v>1356</v>
      </c>
      <c r="AQ484" s="6">
        <v>1364.8739800000001</v>
      </c>
      <c r="AR484" s="6"/>
      <c r="AS484" s="6"/>
      <c r="AT484" s="6">
        <v>19</v>
      </c>
      <c r="AU484" s="6">
        <v>11</v>
      </c>
      <c r="AV484" s="6">
        <v>2021</v>
      </c>
      <c r="AW484" s="6">
        <v>2439581</v>
      </c>
      <c r="AX484" s="6">
        <v>2439581</v>
      </c>
      <c r="AY484" s="6" t="s">
        <v>91</v>
      </c>
      <c r="AZ484" t="s">
        <v>92</v>
      </c>
      <c r="BA484" t="s">
        <v>93</v>
      </c>
      <c r="BB484" t="s">
        <v>3823</v>
      </c>
      <c r="BC484" t="s">
        <v>97</v>
      </c>
      <c r="BE484" t="s">
        <v>96</v>
      </c>
      <c r="BG484" t="s">
        <v>97</v>
      </c>
      <c r="BI484" t="s">
        <v>98</v>
      </c>
      <c r="BJ484" t="s">
        <v>3824</v>
      </c>
      <c r="BL484" t="s">
        <v>100</v>
      </c>
    </row>
    <row r="485" spans="1:64" hidden="1" x14ac:dyDescent="0.2">
      <c r="A485">
        <v>1031</v>
      </c>
      <c r="B485">
        <v>4027015399</v>
      </c>
      <c r="C485" t="s">
        <v>101</v>
      </c>
      <c r="D485" t="s">
        <v>2081</v>
      </c>
      <c r="E485" t="s">
        <v>65</v>
      </c>
      <c r="F485" t="s">
        <v>66</v>
      </c>
      <c r="G485" t="s">
        <v>67</v>
      </c>
      <c r="H485" t="s">
        <v>68</v>
      </c>
      <c r="I485" t="s">
        <v>176</v>
      </c>
      <c r="J485" t="s">
        <v>177</v>
      </c>
      <c r="K485" t="s">
        <v>1817</v>
      </c>
      <c r="M485" t="s">
        <v>72</v>
      </c>
      <c r="N485" t="s">
        <v>1818</v>
      </c>
      <c r="O485" t="s">
        <v>1817</v>
      </c>
      <c r="P485" t="s">
        <v>1819</v>
      </c>
      <c r="Q485" t="s">
        <v>75</v>
      </c>
      <c r="R485" t="s">
        <v>1858</v>
      </c>
      <c r="S485" t="s">
        <v>830</v>
      </c>
      <c r="T485" t="s">
        <v>78</v>
      </c>
      <c r="U485" t="s">
        <v>1822</v>
      </c>
      <c r="V485" t="s">
        <v>80</v>
      </c>
      <c r="W485" s="1">
        <v>44696</v>
      </c>
      <c r="X485" t="s">
        <v>1859</v>
      </c>
      <c r="Y485" t="s">
        <v>2079</v>
      </c>
      <c r="Z485" t="s">
        <v>83</v>
      </c>
      <c r="AA485">
        <v>1</v>
      </c>
      <c r="AB485" t="s">
        <v>657</v>
      </c>
      <c r="AD485" t="s">
        <v>343</v>
      </c>
      <c r="AE485" t="s">
        <v>86</v>
      </c>
      <c r="AF485" t="s">
        <v>146</v>
      </c>
      <c r="AG485" t="s">
        <v>875</v>
      </c>
      <c r="AI485" t="s">
        <v>90</v>
      </c>
      <c r="AJ485">
        <v>32.425418000000001</v>
      </c>
      <c r="AK485">
        <v>-110.74032800000001</v>
      </c>
      <c r="AL485">
        <v>4</v>
      </c>
      <c r="AN485">
        <v>2374</v>
      </c>
      <c r="AP485">
        <v>2374</v>
      </c>
      <c r="AQ485">
        <v>2398.6185329999998</v>
      </c>
      <c r="AT485">
        <v>15</v>
      </c>
      <c r="AU485">
        <v>5</v>
      </c>
      <c r="AV485">
        <v>2022</v>
      </c>
      <c r="AW485">
        <v>2437967</v>
      </c>
      <c r="AX485">
        <v>2437967</v>
      </c>
      <c r="AY485" t="s">
        <v>106</v>
      </c>
      <c r="AZ485" t="s">
        <v>92</v>
      </c>
      <c r="BA485" t="s">
        <v>107</v>
      </c>
      <c r="BB485" t="s">
        <v>2082</v>
      </c>
      <c r="BC485" t="s">
        <v>97</v>
      </c>
      <c r="BE485" t="s">
        <v>96</v>
      </c>
      <c r="BG485" t="s">
        <v>1865</v>
      </c>
      <c r="BI485" t="s">
        <v>98</v>
      </c>
      <c r="BJ485" t="s">
        <v>2083</v>
      </c>
      <c r="BL485" t="s">
        <v>110</v>
      </c>
    </row>
    <row r="486" spans="1:64" hidden="1" x14ac:dyDescent="0.2">
      <c r="A486">
        <v>776</v>
      </c>
      <c r="B486">
        <v>4070420460</v>
      </c>
      <c r="C486" t="s">
        <v>101</v>
      </c>
      <c r="D486" t="s">
        <v>2641</v>
      </c>
      <c r="E486" t="s">
        <v>65</v>
      </c>
      <c r="F486" t="s">
        <v>66</v>
      </c>
      <c r="G486" t="s">
        <v>67</v>
      </c>
      <c r="H486" t="s">
        <v>68</v>
      </c>
      <c r="I486" t="s">
        <v>176</v>
      </c>
      <c r="J486" t="s">
        <v>177</v>
      </c>
      <c r="K486" t="s">
        <v>1817</v>
      </c>
      <c r="M486" t="s">
        <v>72</v>
      </c>
      <c r="N486" t="s">
        <v>1818</v>
      </c>
      <c r="O486" t="s">
        <v>1817</v>
      </c>
      <c r="P486" t="s">
        <v>1819</v>
      </c>
      <c r="Q486" t="s">
        <v>75</v>
      </c>
      <c r="R486" t="s">
        <v>2238</v>
      </c>
      <c r="S486" t="s">
        <v>1066</v>
      </c>
      <c r="T486" t="s">
        <v>78</v>
      </c>
      <c r="U486" t="s">
        <v>1822</v>
      </c>
      <c r="V486" t="s">
        <v>1179</v>
      </c>
      <c r="W486" s="1">
        <v>44813</v>
      </c>
      <c r="X486" t="s">
        <v>1823</v>
      </c>
      <c r="Y486" t="s">
        <v>2642</v>
      </c>
      <c r="Z486" t="s">
        <v>83</v>
      </c>
      <c r="AA486">
        <v>1</v>
      </c>
      <c r="AB486" t="s">
        <v>127</v>
      </c>
      <c r="AC486">
        <v>0</v>
      </c>
      <c r="AD486" t="s">
        <v>128</v>
      </c>
      <c r="AE486" t="s">
        <v>145</v>
      </c>
      <c r="AF486" t="s">
        <v>281</v>
      </c>
      <c r="AI486" t="s">
        <v>90</v>
      </c>
      <c r="AJ486">
        <v>32.439883999999999</v>
      </c>
      <c r="AK486">
        <v>-110.789023</v>
      </c>
      <c r="AL486">
        <v>3</v>
      </c>
      <c r="AN486">
        <v>2766</v>
      </c>
      <c r="AP486">
        <v>2766</v>
      </c>
      <c r="AQ486">
        <v>2772.830367</v>
      </c>
      <c r="AT486">
        <v>9</v>
      </c>
      <c r="AU486">
        <v>9</v>
      </c>
      <c r="AV486">
        <v>2022</v>
      </c>
      <c r="AW486">
        <v>2437967</v>
      </c>
      <c r="AX486">
        <v>2437967</v>
      </c>
      <c r="AY486" t="s">
        <v>106</v>
      </c>
      <c r="AZ486" t="s">
        <v>92</v>
      </c>
      <c r="BA486" t="s">
        <v>107</v>
      </c>
      <c r="BB486" t="s">
        <v>2643</v>
      </c>
      <c r="BC486" t="s">
        <v>2245</v>
      </c>
      <c r="BE486" t="s">
        <v>96</v>
      </c>
      <c r="BG486" t="s">
        <v>2246</v>
      </c>
      <c r="BI486" t="s">
        <v>98</v>
      </c>
      <c r="BJ486" t="s">
        <v>2640</v>
      </c>
      <c r="BL486" t="s">
        <v>110</v>
      </c>
    </row>
    <row r="487" spans="1:64" hidden="1" x14ac:dyDescent="0.2">
      <c r="A487">
        <v>1059</v>
      </c>
      <c r="B487">
        <v>4027015371</v>
      </c>
      <c r="C487" t="s">
        <v>101</v>
      </c>
      <c r="D487" t="s">
        <v>2087</v>
      </c>
      <c r="E487" t="s">
        <v>65</v>
      </c>
      <c r="F487" t="s">
        <v>66</v>
      </c>
      <c r="G487" t="s">
        <v>67</v>
      </c>
      <c r="H487" t="s">
        <v>68</v>
      </c>
      <c r="I487" t="s">
        <v>176</v>
      </c>
      <c r="J487" t="s">
        <v>177</v>
      </c>
      <c r="K487" t="s">
        <v>1817</v>
      </c>
      <c r="M487" t="s">
        <v>72</v>
      </c>
      <c r="N487" t="s">
        <v>1818</v>
      </c>
      <c r="O487" t="s">
        <v>1817</v>
      </c>
      <c r="P487" t="s">
        <v>1819</v>
      </c>
      <c r="Q487" t="s">
        <v>75</v>
      </c>
      <c r="R487" t="s">
        <v>1858</v>
      </c>
      <c r="S487" t="s">
        <v>838</v>
      </c>
      <c r="T487" t="s">
        <v>78</v>
      </c>
      <c r="U487" t="s">
        <v>1822</v>
      </c>
      <c r="V487" t="s">
        <v>80</v>
      </c>
      <c r="W487" s="1">
        <v>44696</v>
      </c>
      <c r="X487" t="s">
        <v>1859</v>
      </c>
      <c r="Y487" t="s">
        <v>2088</v>
      </c>
      <c r="Z487" t="s">
        <v>83</v>
      </c>
      <c r="AA487">
        <v>1</v>
      </c>
      <c r="AB487" t="s">
        <v>657</v>
      </c>
      <c r="AD487" t="s">
        <v>343</v>
      </c>
      <c r="AE487" t="s">
        <v>145</v>
      </c>
      <c r="AF487" t="s">
        <v>1079</v>
      </c>
      <c r="AG487" t="s">
        <v>765</v>
      </c>
      <c r="AI487" t="s">
        <v>90</v>
      </c>
      <c r="AJ487">
        <v>32.425297</v>
      </c>
      <c r="AK487">
        <v>-110.740306</v>
      </c>
      <c r="AL487">
        <v>6</v>
      </c>
      <c r="AN487">
        <v>2392</v>
      </c>
      <c r="AP487">
        <v>2392</v>
      </c>
      <c r="AQ487">
        <v>2402.3704590000002</v>
      </c>
      <c r="AT487">
        <v>15</v>
      </c>
      <c r="AU487">
        <v>5</v>
      </c>
      <c r="AV487">
        <v>2022</v>
      </c>
      <c r="AW487">
        <v>2437967</v>
      </c>
      <c r="AX487">
        <v>2437967</v>
      </c>
      <c r="AY487" t="s">
        <v>106</v>
      </c>
      <c r="AZ487" t="s">
        <v>92</v>
      </c>
      <c r="BA487" t="s">
        <v>107</v>
      </c>
      <c r="BB487" t="s">
        <v>2089</v>
      </c>
      <c r="BC487" t="s">
        <v>97</v>
      </c>
      <c r="BE487" t="s">
        <v>96</v>
      </c>
      <c r="BG487" t="s">
        <v>1865</v>
      </c>
      <c r="BI487" t="s">
        <v>98</v>
      </c>
      <c r="BJ487" t="s">
        <v>2086</v>
      </c>
      <c r="BL487" t="s">
        <v>110</v>
      </c>
    </row>
    <row r="488" spans="1:64" hidden="1" x14ac:dyDescent="0.2">
      <c r="A488">
        <v>806</v>
      </c>
      <c r="B488">
        <v>4070420418</v>
      </c>
      <c r="C488" t="s">
        <v>101</v>
      </c>
      <c r="D488" t="s">
        <v>2678</v>
      </c>
      <c r="E488" t="s">
        <v>65</v>
      </c>
      <c r="F488" t="s">
        <v>66</v>
      </c>
      <c r="G488" t="s">
        <v>67</v>
      </c>
      <c r="H488" t="s">
        <v>68</v>
      </c>
      <c r="I488" t="s">
        <v>176</v>
      </c>
      <c r="J488" t="s">
        <v>177</v>
      </c>
      <c r="K488" t="s">
        <v>1817</v>
      </c>
      <c r="M488" t="s">
        <v>72</v>
      </c>
      <c r="N488" t="s">
        <v>1818</v>
      </c>
      <c r="O488" t="s">
        <v>1817</v>
      </c>
      <c r="P488" t="s">
        <v>1819</v>
      </c>
      <c r="Q488" t="s">
        <v>75</v>
      </c>
      <c r="R488" t="s">
        <v>2238</v>
      </c>
      <c r="S488" t="s">
        <v>978</v>
      </c>
      <c r="T488" t="s">
        <v>78</v>
      </c>
      <c r="U488" t="s">
        <v>1822</v>
      </c>
      <c r="V488" t="s">
        <v>1179</v>
      </c>
      <c r="W488" s="1">
        <v>44813</v>
      </c>
      <c r="X488" t="s">
        <v>1823</v>
      </c>
      <c r="Y488" t="s">
        <v>2679</v>
      </c>
      <c r="Z488" t="s">
        <v>83</v>
      </c>
      <c r="AA488">
        <v>1</v>
      </c>
      <c r="AB488" t="s">
        <v>127</v>
      </c>
      <c r="AC488">
        <v>0</v>
      </c>
      <c r="AD488" t="s">
        <v>128</v>
      </c>
      <c r="AE488" t="s">
        <v>86</v>
      </c>
      <c r="AF488" t="s">
        <v>146</v>
      </c>
      <c r="AI488" t="s">
        <v>90</v>
      </c>
      <c r="AJ488">
        <v>32.439743999999997</v>
      </c>
      <c r="AK488">
        <v>-110.788245</v>
      </c>
      <c r="AL488">
        <v>4</v>
      </c>
      <c r="AN488">
        <v>2775</v>
      </c>
      <c r="AP488">
        <v>2775</v>
      </c>
      <c r="AQ488">
        <v>2770.205868</v>
      </c>
      <c r="AT488">
        <v>9</v>
      </c>
      <c r="AU488">
        <v>9</v>
      </c>
      <c r="AV488">
        <v>2022</v>
      </c>
      <c r="AW488">
        <v>2437967</v>
      </c>
      <c r="AX488">
        <v>2437967</v>
      </c>
      <c r="AY488" t="s">
        <v>106</v>
      </c>
      <c r="AZ488" t="s">
        <v>92</v>
      </c>
      <c r="BA488" t="s">
        <v>107</v>
      </c>
      <c r="BB488" t="s">
        <v>2680</v>
      </c>
      <c r="BC488" t="s">
        <v>2245</v>
      </c>
      <c r="BE488" t="s">
        <v>96</v>
      </c>
      <c r="BG488" t="s">
        <v>2246</v>
      </c>
      <c r="BI488" t="s">
        <v>98</v>
      </c>
      <c r="BJ488" t="s">
        <v>761</v>
      </c>
      <c r="BL488" t="s">
        <v>110</v>
      </c>
    </row>
    <row r="489" spans="1:64" hidden="1" x14ac:dyDescent="0.2">
      <c r="A489">
        <v>1055</v>
      </c>
      <c r="B489">
        <v>4027015375</v>
      </c>
      <c r="C489" t="s">
        <v>101</v>
      </c>
      <c r="D489" t="s">
        <v>2101</v>
      </c>
      <c r="E489" t="s">
        <v>65</v>
      </c>
      <c r="F489" t="s">
        <v>66</v>
      </c>
      <c r="G489" t="s">
        <v>67</v>
      </c>
      <c r="H489" t="s">
        <v>68</v>
      </c>
      <c r="I489" t="s">
        <v>176</v>
      </c>
      <c r="J489" t="s">
        <v>177</v>
      </c>
      <c r="K489" t="s">
        <v>1817</v>
      </c>
      <c r="M489" t="s">
        <v>72</v>
      </c>
      <c r="N489" t="s">
        <v>1818</v>
      </c>
      <c r="O489" t="s">
        <v>1817</v>
      </c>
      <c r="P489" t="s">
        <v>1819</v>
      </c>
      <c r="Q489" t="s">
        <v>75</v>
      </c>
      <c r="R489" t="s">
        <v>1858</v>
      </c>
      <c r="S489" t="s">
        <v>2091</v>
      </c>
      <c r="T489" t="s">
        <v>78</v>
      </c>
      <c r="U489" t="s">
        <v>1822</v>
      </c>
      <c r="V489" t="s">
        <v>80</v>
      </c>
      <c r="W489" s="1">
        <v>44696</v>
      </c>
      <c r="X489" t="s">
        <v>1859</v>
      </c>
      <c r="Y489" t="s">
        <v>2092</v>
      </c>
      <c r="Z489" t="s">
        <v>83</v>
      </c>
      <c r="AA489">
        <v>1</v>
      </c>
      <c r="AB489" t="s">
        <v>657</v>
      </c>
      <c r="AD489" t="s">
        <v>343</v>
      </c>
      <c r="AE489" t="s">
        <v>86</v>
      </c>
      <c r="AF489" t="s">
        <v>146</v>
      </c>
      <c r="AG489" t="s">
        <v>2094</v>
      </c>
      <c r="AH489" t="s">
        <v>2102</v>
      </c>
      <c r="AI489" t="s">
        <v>90</v>
      </c>
      <c r="AJ489">
        <v>32.425035999999999</v>
      </c>
      <c r="AK489">
        <v>-110.74028800000001</v>
      </c>
      <c r="AL489">
        <v>4</v>
      </c>
      <c r="AN489">
        <v>2401</v>
      </c>
      <c r="AP489">
        <v>2401</v>
      </c>
      <c r="AQ489">
        <v>2410.9486449999999</v>
      </c>
      <c r="AT489">
        <v>15</v>
      </c>
      <c r="AU489">
        <v>5</v>
      </c>
      <c r="AV489">
        <v>2022</v>
      </c>
      <c r="AW489">
        <v>2437967</v>
      </c>
      <c r="AX489">
        <v>2437967</v>
      </c>
      <c r="AY489" t="s">
        <v>106</v>
      </c>
      <c r="AZ489" t="s">
        <v>92</v>
      </c>
      <c r="BA489" t="s">
        <v>107</v>
      </c>
      <c r="BB489" t="s">
        <v>2103</v>
      </c>
      <c r="BC489" t="s">
        <v>97</v>
      </c>
      <c r="BE489" t="s">
        <v>96</v>
      </c>
      <c r="BG489" t="s">
        <v>1865</v>
      </c>
      <c r="BI489" t="s">
        <v>98</v>
      </c>
      <c r="BJ489" t="s">
        <v>2086</v>
      </c>
      <c r="BL489" t="s">
        <v>110</v>
      </c>
    </row>
    <row r="490" spans="1:64" hidden="1" x14ac:dyDescent="0.2">
      <c r="A490">
        <v>1297</v>
      </c>
      <c r="B490">
        <v>4022923416</v>
      </c>
      <c r="C490" t="s">
        <v>101</v>
      </c>
      <c r="D490" t="s">
        <v>2104</v>
      </c>
      <c r="E490" t="s">
        <v>65</v>
      </c>
      <c r="F490" t="s">
        <v>66</v>
      </c>
      <c r="G490" t="s">
        <v>67</v>
      </c>
      <c r="H490" t="s">
        <v>68</v>
      </c>
      <c r="I490" t="s">
        <v>176</v>
      </c>
      <c r="J490" t="s">
        <v>177</v>
      </c>
      <c r="K490" t="s">
        <v>1817</v>
      </c>
      <c r="M490" t="s">
        <v>72</v>
      </c>
      <c r="N490" t="s">
        <v>1818</v>
      </c>
      <c r="O490" t="s">
        <v>1817</v>
      </c>
      <c r="P490" t="s">
        <v>1819</v>
      </c>
      <c r="Q490" t="s">
        <v>75</v>
      </c>
      <c r="R490" t="s">
        <v>1858</v>
      </c>
      <c r="S490" t="s">
        <v>2091</v>
      </c>
      <c r="T490" t="s">
        <v>78</v>
      </c>
      <c r="U490" t="s">
        <v>1822</v>
      </c>
      <c r="V490" t="s">
        <v>80</v>
      </c>
      <c r="W490" s="1">
        <v>44696</v>
      </c>
      <c r="X490" t="s">
        <v>1859</v>
      </c>
      <c r="Y490" t="s">
        <v>2092</v>
      </c>
      <c r="Z490" t="s">
        <v>83</v>
      </c>
      <c r="AA490">
        <v>1</v>
      </c>
      <c r="AB490" t="s">
        <v>677</v>
      </c>
      <c r="AD490" t="s">
        <v>116</v>
      </c>
      <c r="AE490" t="s">
        <v>86</v>
      </c>
      <c r="AF490" t="s">
        <v>146</v>
      </c>
      <c r="AG490" t="s">
        <v>2094</v>
      </c>
      <c r="AH490" t="s">
        <v>2102</v>
      </c>
      <c r="AI490" t="s">
        <v>90</v>
      </c>
      <c r="AJ490">
        <v>32.425035999999999</v>
      </c>
      <c r="AK490">
        <v>-110.74028800000001</v>
      </c>
      <c r="AL490">
        <v>4</v>
      </c>
      <c r="AN490">
        <v>2401</v>
      </c>
      <c r="AP490">
        <v>2401</v>
      </c>
      <c r="AQ490">
        <v>2410.9486449999999</v>
      </c>
      <c r="AT490">
        <v>15</v>
      </c>
      <c r="AU490">
        <v>5</v>
      </c>
      <c r="AV490">
        <v>2022</v>
      </c>
      <c r="AW490">
        <v>2437967</v>
      </c>
      <c r="AX490">
        <v>2437967</v>
      </c>
      <c r="AY490" t="s">
        <v>106</v>
      </c>
      <c r="AZ490" t="s">
        <v>92</v>
      </c>
      <c r="BA490" t="s">
        <v>107</v>
      </c>
      <c r="BB490" t="s">
        <v>2105</v>
      </c>
      <c r="BC490" t="s">
        <v>97</v>
      </c>
      <c r="BE490" t="s">
        <v>96</v>
      </c>
      <c r="BG490" t="s">
        <v>1865</v>
      </c>
      <c r="BI490" t="s">
        <v>98</v>
      </c>
      <c r="BJ490" t="s">
        <v>1622</v>
      </c>
      <c r="BL490" t="s">
        <v>684</v>
      </c>
    </row>
    <row r="491" spans="1:64" hidden="1" x14ac:dyDescent="0.2">
      <c r="A491">
        <v>1295</v>
      </c>
      <c r="B491">
        <v>4022923418</v>
      </c>
      <c r="C491" t="s">
        <v>101</v>
      </c>
      <c r="D491" t="s">
        <v>2106</v>
      </c>
      <c r="E491" t="s">
        <v>65</v>
      </c>
      <c r="F491" t="s">
        <v>66</v>
      </c>
      <c r="G491" t="s">
        <v>67</v>
      </c>
      <c r="H491" t="s">
        <v>68</v>
      </c>
      <c r="I491" t="s">
        <v>176</v>
      </c>
      <c r="J491" t="s">
        <v>177</v>
      </c>
      <c r="K491" t="s">
        <v>1817</v>
      </c>
      <c r="M491" t="s">
        <v>72</v>
      </c>
      <c r="N491" t="s">
        <v>1818</v>
      </c>
      <c r="O491" t="s">
        <v>1817</v>
      </c>
      <c r="P491" t="s">
        <v>1819</v>
      </c>
      <c r="Q491" t="s">
        <v>75</v>
      </c>
      <c r="R491" t="s">
        <v>1858</v>
      </c>
      <c r="S491" t="s">
        <v>2091</v>
      </c>
      <c r="T491" t="s">
        <v>78</v>
      </c>
      <c r="U491" t="s">
        <v>1822</v>
      </c>
      <c r="V491" t="s">
        <v>80</v>
      </c>
      <c r="W491" s="1">
        <v>44696</v>
      </c>
      <c r="X491" t="s">
        <v>1859</v>
      </c>
      <c r="Y491" t="s">
        <v>2092</v>
      </c>
      <c r="Z491" t="s">
        <v>83</v>
      </c>
      <c r="AA491">
        <v>1</v>
      </c>
      <c r="AB491" t="s">
        <v>677</v>
      </c>
      <c r="AD491" t="s">
        <v>104</v>
      </c>
      <c r="AE491" t="s">
        <v>86</v>
      </c>
      <c r="AF491" t="s">
        <v>146</v>
      </c>
      <c r="AG491" t="s">
        <v>2094</v>
      </c>
      <c r="AH491" t="s">
        <v>2102</v>
      </c>
      <c r="AI491" t="s">
        <v>90</v>
      </c>
      <c r="AJ491">
        <v>32.425035999999999</v>
      </c>
      <c r="AK491">
        <v>-110.74028800000001</v>
      </c>
      <c r="AL491">
        <v>4</v>
      </c>
      <c r="AN491">
        <v>2401</v>
      </c>
      <c r="AP491">
        <v>2401</v>
      </c>
      <c r="AQ491">
        <v>2410.9486449999999</v>
      </c>
      <c r="AT491">
        <v>15</v>
      </c>
      <c r="AU491">
        <v>5</v>
      </c>
      <c r="AV491">
        <v>2022</v>
      </c>
      <c r="AW491">
        <v>2437967</v>
      </c>
      <c r="AX491">
        <v>2437967</v>
      </c>
      <c r="AY491" t="s">
        <v>106</v>
      </c>
      <c r="AZ491" t="s">
        <v>92</v>
      </c>
      <c r="BA491" t="s">
        <v>107</v>
      </c>
      <c r="BB491" t="s">
        <v>2107</v>
      </c>
      <c r="BC491" t="s">
        <v>97</v>
      </c>
      <c r="BE491" t="s">
        <v>96</v>
      </c>
      <c r="BG491" t="s">
        <v>1865</v>
      </c>
      <c r="BI491" t="s">
        <v>98</v>
      </c>
      <c r="BJ491" t="s">
        <v>2108</v>
      </c>
      <c r="BL491" t="s">
        <v>684</v>
      </c>
    </row>
    <row r="492" spans="1:64" hidden="1" x14ac:dyDescent="0.2">
      <c r="A492">
        <v>1330</v>
      </c>
      <c r="B492">
        <v>4022923383</v>
      </c>
      <c r="C492" t="s">
        <v>101</v>
      </c>
      <c r="D492" t="s">
        <v>2109</v>
      </c>
      <c r="E492" t="s">
        <v>65</v>
      </c>
      <c r="F492" t="s">
        <v>66</v>
      </c>
      <c r="G492" t="s">
        <v>67</v>
      </c>
      <c r="H492" t="s">
        <v>68</v>
      </c>
      <c r="I492" t="s">
        <v>176</v>
      </c>
      <c r="J492" t="s">
        <v>177</v>
      </c>
      <c r="K492" t="s">
        <v>1817</v>
      </c>
      <c r="M492" t="s">
        <v>72</v>
      </c>
      <c r="N492" t="s">
        <v>1818</v>
      </c>
      <c r="O492" t="s">
        <v>1817</v>
      </c>
      <c r="P492" t="s">
        <v>1819</v>
      </c>
      <c r="Q492" t="s">
        <v>75</v>
      </c>
      <c r="R492" t="s">
        <v>1858</v>
      </c>
      <c r="S492" t="s">
        <v>2091</v>
      </c>
      <c r="T492" t="s">
        <v>78</v>
      </c>
      <c r="U492" t="s">
        <v>1822</v>
      </c>
      <c r="V492" t="s">
        <v>80</v>
      </c>
      <c r="W492" s="1">
        <v>44696</v>
      </c>
      <c r="X492" t="s">
        <v>1859</v>
      </c>
      <c r="Y492" t="s">
        <v>2092</v>
      </c>
      <c r="Z492" t="s">
        <v>83</v>
      </c>
      <c r="AA492">
        <v>1</v>
      </c>
      <c r="AB492" t="s">
        <v>677</v>
      </c>
      <c r="AD492" t="s">
        <v>139</v>
      </c>
      <c r="AE492" t="s">
        <v>86</v>
      </c>
      <c r="AF492" t="s">
        <v>146</v>
      </c>
      <c r="AG492" t="s">
        <v>2094</v>
      </c>
      <c r="AH492" t="s">
        <v>2102</v>
      </c>
      <c r="AI492" t="s">
        <v>90</v>
      </c>
      <c r="AJ492">
        <v>32.425035999999999</v>
      </c>
      <c r="AK492">
        <v>-110.74028800000001</v>
      </c>
      <c r="AL492">
        <v>4</v>
      </c>
      <c r="AN492">
        <v>2401</v>
      </c>
      <c r="AP492">
        <v>2401</v>
      </c>
      <c r="AQ492">
        <v>2410.9486449999999</v>
      </c>
      <c r="AT492">
        <v>15</v>
      </c>
      <c r="AU492">
        <v>5</v>
      </c>
      <c r="AV492">
        <v>2022</v>
      </c>
      <c r="AW492">
        <v>2437967</v>
      </c>
      <c r="AX492">
        <v>2437967</v>
      </c>
      <c r="AY492" t="s">
        <v>106</v>
      </c>
      <c r="AZ492" t="s">
        <v>92</v>
      </c>
      <c r="BA492" t="s">
        <v>107</v>
      </c>
      <c r="BB492" t="s">
        <v>2110</v>
      </c>
      <c r="BC492" t="s">
        <v>97</v>
      </c>
      <c r="BE492" t="s">
        <v>96</v>
      </c>
      <c r="BG492" t="s">
        <v>1865</v>
      </c>
      <c r="BI492" t="s">
        <v>98</v>
      </c>
      <c r="BJ492" t="s">
        <v>2111</v>
      </c>
      <c r="BL492" t="s">
        <v>684</v>
      </c>
    </row>
    <row r="493" spans="1:64" hidden="1" x14ac:dyDescent="0.2">
      <c r="A493">
        <v>1318</v>
      </c>
      <c r="B493">
        <v>4022923395</v>
      </c>
      <c r="C493" t="s">
        <v>101</v>
      </c>
      <c r="D493" t="s">
        <v>2112</v>
      </c>
      <c r="E493" t="s">
        <v>65</v>
      </c>
      <c r="F493" t="s">
        <v>66</v>
      </c>
      <c r="G493" t="s">
        <v>67</v>
      </c>
      <c r="H493" t="s">
        <v>68</v>
      </c>
      <c r="I493" t="s">
        <v>176</v>
      </c>
      <c r="J493" t="s">
        <v>177</v>
      </c>
      <c r="K493" t="s">
        <v>1817</v>
      </c>
      <c r="M493" t="s">
        <v>72</v>
      </c>
      <c r="N493" t="s">
        <v>1818</v>
      </c>
      <c r="O493" t="s">
        <v>1817</v>
      </c>
      <c r="P493" t="s">
        <v>1819</v>
      </c>
      <c r="Q493" t="s">
        <v>75</v>
      </c>
      <c r="R493" t="s">
        <v>1858</v>
      </c>
      <c r="S493" t="s">
        <v>2091</v>
      </c>
      <c r="T493" t="s">
        <v>78</v>
      </c>
      <c r="U493" t="s">
        <v>1822</v>
      </c>
      <c r="V493" t="s">
        <v>80</v>
      </c>
      <c r="W493" s="1">
        <v>44696</v>
      </c>
      <c r="X493" t="s">
        <v>1859</v>
      </c>
      <c r="Y493" t="s">
        <v>2092</v>
      </c>
      <c r="Z493" t="s">
        <v>83</v>
      </c>
      <c r="AA493">
        <v>1</v>
      </c>
      <c r="AB493" t="s">
        <v>677</v>
      </c>
      <c r="AD493" t="s">
        <v>123</v>
      </c>
      <c r="AE493" t="s">
        <v>86</v>
      </c>
      <c r="AF493" t="s">
        <v>146</v>
      </c>
      <c r="AG493" t="s">
        <v>2094</v>
      </c>
      <c r="AH493" t="s">
        <v>2102</v>
      </c>
      <c r="AI493" t="s">
        <v>90</v>
      </c>
      <c r="AJ493">
        <v>32.425035999999999</v>
      </c>
      <c r="AK493">
        <v>-110.74028800000001</v>
      </c>
      <c r="AL493">
        <v>4</v>
      </c>
      <c r="AN493">
        <v>2401</v>
      </c>
      <c r="AP493">
        <v>2401</v>
      </c>
      <c r="AQ493">
        <v>2410.9486449999999</v>
      </c>
      <c r="AT493">
        <v>15</v>
      </c>
      <c r="AU493">
        <v>5</v>
      </c>
      <c r="AV493">
        <v>2022</v>
      </c>
      <c r="AW493">
        <v>2437967</v>
      </c>
      <c r="AX493">
        <v>2437967</v>
      </c>
      <c r="AY493" t="s">
        <v>106</v>
      </c>
      <c r="AZ493" t="s">
        <v>92</v>
      </c>
      <c r="BA493" t="s">
        <v>107</v>
      </c>
      <c r="BB493" t="s">
        <v>2113</v>
      </c>
      <c r="BC493" t="s">
        <v>97</v>
      </c>
      <c r="BE493" t="s">
        <v>96</v>
      </c>
      <c r="BG493" t="s">
        <v>1865</v>
      </c>
      <c r="BI493" t="s">
        <v>98</v>
      </c>
      <c r="BJ493" t="s">
        <v>2114</v>
      </c>
      <c r="BL493" t="s">
        <v>684</v>
      </c>
    </row>
    <row r="494" spans="1:64" hidden="1" x14ac:dyDescent="0.2">
      <c r="A494">
        <v>1315</v>
      </c>
      <c r="B494">
        <v>4022923398</v>
      </c>
      <c r="C494" t="s">
        <v>101</v>
      </c>
      <c r="D494" t="s">
        <v>2115</v>
      </c>
      <c r="E494" t="s">
        <v>65</v>
      </c>
      <c r="F494" t="s">
        <v>66</v>
      </c>
      <c r="G494" t="s">
        <v>67</v>
      </c>
      <c r="H494" t="s">
        <v>68</v>
      </c>
      <c r="I494" t="s">
        <v>176</v>
      </c>
      <c r="J494" t="s">
        <v>177</v>
      </c>
      <c r="K494" t="s">
        <v>1817</v>
      </c>
      <c r="M494" t="s">
        <v>72</v>
      </c>
      <c r="N494" t="s">
        <v>1818</v>
      </c>
      <c r="O494" t="s">
        <v>1817</v>
      </c>
      <c r="P494" t="s">
        <v>1819</v>
      </c>
      <c r="Q494" t="s">
        <v>75</v>
      </c>
      <c r="R494" t="s">
        <v>1858</v>
      </c>
      <c r="S494" t="s">
        <v>2091</v>
      </c>
      <c r="T494" t="s">
        <v>78</v>
      </c>
      <c r="U494" t="s">
        <v>1822</v>
      </c>
      <c r="V494" t="s">
        <v>80</v>
      </c>
      <c r="W494" s="1">
        <v>44696</v>
      </c>
      <c r="X494" t="s">
        <v>1859</v>
      </c>
      <c r="Y494" t="s">
        <v>2092</v>
      </c>
      <c r="Z494" t="s">
        <v>83</v>
      </c>
      <c r="AA494">
        <v>1</v>
      </c>
      <c r="AB494" t="s">
        <v>677</v>
      </c>
      <c r="AD494" t="s">
        <v>112</v>
      </c>
      <c r="AE494" t="s">
        <v>86</v>
      </c>
      <c r="AF494" t="s">
        <v>146</v>
      </c>
      <c r="AG494" t="s">
        <v>2094</v>
      </c>
      <c r="AH494" t="s">
        <v>2102</v>
      </c>
      <c r="AI494" t="s">
        <v>90</v>
      </c>
      <c r="AJ494">
        <v>32.425035999999999</v>
      </c>
      <c r="AK494">
        <v>-110.74028800000001</v>
      </c>
      <c r="AL494">
        <v>4</v>
      </c>
      <c r="AN494">
        <v>2401</v>
      </c>
      <c r="AP494">
        <v>2401</v>
      </c>
      <c r="AQ494">
        <v>2410.9486449999999</v>
      </c>
      <c r="AT494">
        <v>15</v>
      </c>
      <c r="AU494">
        <v>5</v>
      </c>
      <c r="AV494">
        <v>2022</v>
      </c>
      <c r="AW494">
        <v>2437967</v>
      </c>
      <c r="AX494">
        <v>2437967</v>
      </c>
      <c r="AY494" t="s">
        <v>106</v>
      </c>
      <c r="AZ494" t="s">
        <v>92</v>
      </c>
      <c r="BA494" t="s">
        <v>107</v>
      </c>
      <c r="BB494" t="s">
        <v>2116</v>
      </c>
      <c r="BC494" t="s">
        <v>97</v>
      </c>
      <c r="BE494" t="s">
        <v>96</v>
      </c>
      <c r="BG494" t="s">
        <v>1865</v>
      </c>
      <c r="BI494" t="s">
        <v>98</v>
      </c>
      <c r="BJ494" t="s">
        <v>2117</v>
      </c>
      <c r="BL494" t="s">
        <v>684</v>
      </c>
    </row>
    <row r="495" spans="1:64" hidden="1" x14ac:dyDescent="0.2">
      <c r="A495">
        <v>1053</v>
      </c>
      <c r="B495">
        <v>4027015377</v>
      </c>
      <c r="C495" t="s">
        <v>101</v>
      </c>
      <c r="D495" t="s">
        <v>2118</v>
      </c>
      <c r="E495" t="s">
        <v>65</v>
      </c>
      <c r="F495" t="s">
        <v>66</v>
      </c>
      <c r="G495" t="s">
        <v>67</v>
      </c>
      <c r="H495" t="s">
        <v>68</v>
      </c>
      <c r="I495" t="s">
        <v>176</v>
      </c>
      <c r="J495" t="s">
        <v>177</v>
      </c>
      <c r="K495" t="s">
        <v>1817</v>
      </c>
      <c r="M495" t="s">
        <v>72</v>
      </c>
      <c r="N495" t="s">
        <v>1818</v>
      </c>
      <c r="O495" t="s">
        <v>1817</v>
      </c>
      <c r="P495" t="s">
        <v>1819</v>
      </c>
      <c r="Q495" t="s">
        <v>75</v>
      </c>
      <c r="R495" t="s">
        <v>1858</v>
      </c>
      <c r="S495" t="s">
        <v>2119</v>
      </c>
      <c r="T495" t="s">
        <v>78</v>
      </c>
      <c r="U495" t="s">
        <v>1822</v>
      </c>
      <c r="V495" t="s">
        <v>80</v>
      </c>
      <c r="W495" s="1">
        <v>44696</v>
      </c>
      <c r="X495" t="s">
        <v>1859</v>
      </c>
      <c r="Y495" t="s">
        <v>2120</v>
      </c>
      <c r="Z495" t="s">
        <v>83</v>
      </c>
      <c r="AA495">
        <v>1</v>
      </c>
      <c r="AB495" t="s">
        <v>657</v>
      </c>
      <c r="AD495" t="s">
        <v>343</v>
      </c>
      <c r="AE495" t="s">
        <v>86</v>
      </c>
      <c r="AF495" t="s">
        <v>146</v>
      </c>
      <c r="AG495" t="s">
        <v>2121</v>
      </c>
      <c r="AI495" t="s">
        <v>90</v>
      </c>
      <c r="AJ495">
        <v>32.424996999999998</v>
      </c>
      <c r="AK495">
        <v>-110.740269</v>
      </c>
      <c r="AL495">
        <v>3</v>
      </c>
      <c r="AN495">
        <v>2406</v>
      </c>
      <c r="AP495">
        <v>2406</v>
      </c>
      <c r="AQ495">
        <v>2411.738339</v>
      </c>
      <c r="AT495">
        <v>15</v>
      </c>
      <c r="AU495">
        <v>5</v>
      </c>
      <c r="AV495">
        <v>2022</v>
      </c>
      <c r="AW495">
        <v>2437967</v>
      </c>
      <c r="AX495">
        <v>2437967</v>
      </c>
      <c r="AY495" t="s">
        <v>106</v>
      </c>
      <c r="AZ495" t="s">
        <v>92</v>
      </c>
      <c r="BA495" t="s">
        <v>107</v>
      </c>
      <c r="BB495" t="s">
        <v>2122</v>
      </c>
      <c r="BC495" t="s">
        <v>97</v>
      </c>
      <c r="BE495" t="s">
        <v>96</v>
      </c>
      <c r="BG495" t="s">
        <v>1865</v>
      </c>
      <c r="BI495" t="s">
        <v>98</v>
      </c>
      <c r="BJ495" t="s">
        <v>2123</v>
      </c>
      <c r="BL495" t="s">
        <v>110</v>
      </c>
    </row>
    <row r="496" spans="1:64" hidden="1" x14ac:dyDescent="0.2">
      <c r="A496">
        <v>802</v>
      </c>
      <c r="B496">
        <v>4070420424</v>
      </c>
      <c r="C496" t="s">
        <v>101</v>
      </c>
      <c r="D496" t="s">
        <v>2683</v>
      </c>
      <c r="E496" t="s">
        <v>65</v>
      </c>
      <c r="F496" t="s">
        <v>66</v>
      </c>
      <c r="G496" t="s">
        <v>67</v>
      </c>
      <c r="H496" t="s">
        <v>68</v>
      </c>
      <c r="I496" t="s">
        <v>176</v>
      </c>
      <c r="J496" t="s">
        <v>177</v>
      </c>
      <c r="K496" t="s">
        <v>1817</v>
      </c>
      <c r="M496" t="s">
        <v>72</v>
      </c>
      <c r="N496" t="s">
        <v>1818</v>
      </c>
      <c r="O496" t="s">
        <v>1817</v>
      </c>
      <c r="P496" t="s">
        <v>1819</v>
      </c>
      <c r="Q496" t="s">
        <v>75</v>
      </c>
      <c r="R496" t="s">
        <v>2238</v>
      </c>
      <c r="S496" t="s">
        <v>1150</v>
      </c>
      <c r="T496" t="s">
        <v>78</v>
      </c>
      <c r="U496" t="s">
        <v>1822</v>
      </c>
      <c r="V496" t="s">
        <v>1179</v>
      </c>
      <c r="W496" s="1">
        <v>44813</v>
      </c>
      <c r="X496" t="s">
        <v>1823</v>
      </c>
      <c r="Y496" t="s">
        <v>2684</v>
      </c>
      <c r="Z496" t="s">
        <v>83</v>
      </c>
      <c r="AA496">
        <v>1</v>
      </c>
      <c r="AB496" t="s">
        <v>127</v>
      </c>
      <c r="AC496">
        <v>0</v>
      </c>
      <c r="AD496" t="s">
        <v>128</v>
      </c>
      <c r="AE496" t="s">
        <v>86</v>
      </c>
      <c r="AF496" t="s">
        <v>146</v>
      </c>
      <c r="AI496" t="s">
        <v>90</v>
      </c>
      <c r="AJ496">
        <v>32.439954</v>
      </c>
      <c r="AK496">
        <v>-110.78934</v>
      </c>
      <c r="AL496">
        <v>3</v>
      </c>
      <c r="AN496">
        <v>2758</v>
      </c>
      <c r="AP496">
        <v>2758</v>
      </c>
      <c r="AQ496">
        <v>2769.2549389999999</v>
      </c>
      <c r="AT496">
        <v>9</v>
      </c>
      <c r="AU496">
        <v>9</v>
      </c>
      <c r="AV496">
        <v>2022</v>
      </c>
      <c r="AW496">
        <v>2437967</v>
      </c>
      <c r="AX496">
        <v>2437967</v>
      </c>
      <c r="AY496" t="s">
        <v>106</v>
      </c>
      <c r="AZ496" t="s">
        <v>92</v>
      </c>
      <c r="BA496" t="s">
        <v>107</v>
      </c>
      <c r="BB496" t="s">
        <v>2685</v>
      </c>
      <c r="BC496" t="s">
        <v>2245</v>
      </c>
      <c r="BE496" t="s">
        <v>96</v>
      </c>
      <c r="BG496" t="s">
        <v>2246</v>
      </c>
      <c r="BI496" t="s">
        <v>98</v>
      </c>
      <c r="BJ496" t="s">
        <v>761</v>
      </c>
      <c r="BL496" t="s">
        <v>110</v>
      </c>
    </row>
    <row r="497" spans="1:64" x14ac:dyDescent="0.2">
      <c r="A497">
        <v>1457</v>
      </c>
      <c r="B497">
        <v>3748770424</v>
      </c>
      <c r="C497" t="s">
        <v>63</v>
      </c>
      <c r="D497" t="s">
        <v>3872</v>
      </c>
      <c r="E497" t="s">
        <v>65</v>
      </c>
      <c r="F497" t="s">
        <v>66</v>
      </c>
      <c r="G497" t="s">
        <v>67</v>
      </c>
      <c r="H497" t="s">
        <v>68</v>
      </c>
      <c r="I497" t="s">
        <v>69</v>
      </c>
      <c r="J497" t="s">
        <v>70</v>
      </c>
      <c r="K497" t="s">
        <v>71</v>
      </c>
      <c r="M497" t="s">
        <v>72</v>
      </c>
      <c r="N497" t="s">
        <v>73</v>
      </c>
      <c r="O497" t="s">
        <v>71</v>
      </c>
      <c r="P497" t="s">
        <v>74</v>
      </c>
      <c r="Q497" t="s">
        <v>75</v>
      </c>
      <c r="R497" t="s">
        <v>3816</v>
      </c>
      <c r="S497" t="s">
        <v>3738</v>
      </c>
      <c r="T497" t="s">
        <v>78</v>
      </c>
      <c r="U497" t="s">
        <v>3817</v>
      </c>
      <c r="V497" t="s">
        <v>80</v>
      </c>
      <c r="W497" s="1">
        <v>44519</v>
      </c>
      <c r="X497" t="s">
        <v>3818</v>
      </c>
      <c r="Y497" t="s">
        <v>3873</v>
      </c>
      <c r="Z497" t="s">
        <v>83</v>
      </c>
      <c r="AA497">
        <v>1</v>
      </c>
      <c r="AB497" t="s">
        <v>3874</v>
      </c>
      <c r="AC497">
        <v>1</v>
      </c>
      <c r="AD497" s="6" t="s">
        <v>85</v>
      </c>
      <c r="AE497" s="6" t="s">
        <v>86</v>
      </c>
      <c r="AF497" s="6" t="s">
        <v>146</v>
      </c>
      <c r="AG497" s="6" t="s">
        <v>3875</v>
      </c>
      <c r="AH497" s="6" t="s">
        <v>3876</v>
      </c>
      <c r="AI497" s="6" t="s">
        <v>90</v>
      </c>
      <c r="AJ497" s="6">
        <v>32.516139000000003</v>
      </c>
      <c r="AK497" s="6">
        <v>-110.68828499999999</v>
      </c>
      <c r="AL497" s="6">
        <v>3</v>
      </c>
      <c r="AM497" s="6"/>
      <c r="AN497" s="6">
        <v>1347</v>
      </c>
      <c r="AO497" s="6"/>
      <c r="AP497" s="6">
        <v>1347</v>
      </c>
      <c r="AQ497" s="6">
        <v>1362.3691920000001</v>
      </c>
      <c r="AR497" s="6"/>
      <c r="AS497" s="6"/>
      <c r="AT497" s="6">
        <v>19</v>
      </c>
      <c r="AU497" s="6">
        <v>11</v>
      </c>
      <c r="AV497" s="6">
        <v>2021</v>
      </c>
      <c r="AW497" s="6">
        <v>2439581</v>
      </c>
      <c r="AX497" s="6">
        <v>2439581</v>
      </c>
      <c r="AY497" s="6" t="s">
        <v>91</v>
      </c>
      <c r="AZ497" t="s">
        <v>92</v>
      </c>
      <c r="BA497" t="s">
        <v>93</v>
      </c>
      <c r="BB497" t="s">
        <v>3877</v>
      </c>
      <c r="BC497" t="s">
        <v>97</v>
      </c>
      <c r="BE497" t="s">
        <v>96</v>
      </c>
      <c r="BG497" t="s">
        <v>97</v>
      </c>
      <c r="BI497" t="s">
        <v>98</v>
      </c>
      <c r="BJ497" t="s">
        <v>3878</v>
      </c>
      <c r="BL497" t="s">
        <v>100</v>
      </c>
    </row>
    <row r="498" spans="1:64" hidden="1" x14ac:dyDescent="0.2">
      <c r="A498">
        <v>995</v>
      </c>
      <c r="B498">
        <v>4027015435</v>
      </c>
      <c r="C498" t="s">
        <v>101</v>
      </c>
      <c r="D498" t="s">
        <v>2136</v>
      </c>
      <c r="E498" t="s">
        <v>65</v>
      </c>
      <c r="F498" t="s">
        <v>66</v>
      </c>
      <c r="G498" t="s">
        <v>67</v>
      </c>
      <c r="H498" t="s">
        <v>68</v>
      </c>
      <c r="I498" t="s">
        <v>350</v>
      </c>
      <c r="J498" t="s">
        <v>351</v>
      </c>
      <c r="K498" t="s">
        <v>352</v>
      </c>
      <c r="M498" t="s">
        <v>72</v>
      </c>
      <c r="N498" t="s">
        <v>353</v>
      </c>
      <c r="O498" t="s">
        <v>352</v>
      </c>
      <c r="P498" t="s">
        <v>180</v>
      </c>
      <c r="Q498" t="s">
        <v>75</v>
      </c>
      <c r="R498" t="s">
        <v>1858</v>
      </c>
      <c r="S498" t="s">
        <v>2129</v>
      </c>
      <c r="T498" t="s">
        <v>78</v>
      </c>
      <c r="U498" t="s">
        <v>1822</v>
      </c>
      <c r="V498" t="s">
        <v>80</v>
      </c>
      <c r="W498" s="1">
        <v>44696</v>
      </c>
      <c r="X498" t="s">
        <v>1859</v>
      </c>
      <c r="Y498" t="s">
        <v>2130</v>
      </c>
      <c r="Z498" t="s">
        <v>83</v>
      </c>
      <c r="AA498">
        <v>1</v>
      </c>
      <c r="AB498" t="s">
        <v>657</v>
      </c>
      <c r="AD498" t="s">
        <v>104</v>
      </c>
      <c r="AE498" t="s">
        <v>145</v>
      </c>
      <c r="AF498" t="s">
        <v>146</v>
      </c>
      <c r="AG498" t="s">
        <v>2137</v>
      </c>
      <c r="AH498" t="s">
        <v>2138</v>
      </c>
      <c r="AI498" t="s">
        <v>90</v>
      </c>
      <c r="AJ498">
        <v>32.424956999999999</v>
      </c>
      <c r="AK498">
        <v>-110.740188</v>
      </c>
      <c r="AL498">
        <v>4</v>
      </c>
      <c r="AN498">
        <v>2407</v>
      </c>
      <c r="AP498">
        <v>2407</v>
      </c>
      <c r="AQ498">
        <v>2409.5920289999999</v>
      </c>
      <c r="AT498">
        <v>15</v>
      </c>
      <c r="AU498">
        <v>5</v>
      </c>
      <c r="AV498">
        <v>2022</v>
      </c>
      <c r="AW498">
        <v>4972385</v>
      </c>
      <c r="AX498">
        <v>2437431</v>
      </c>
      <c r="AY498" t="s">
        <v>106</v>
      </c>
      <c r="AZ498" t="s">
        <v>92</v>
      </c>
      <c r="BA498" t="s">
        <v>107</v>
      </c>
      <c r="BB498" t="s">
        <v>2139</v>
      </c>
      <c r="BC498" t="s">
        <v>97</v>
      </c>
      <c r="BE498" t="s">
        <v>96</v>
      </c>
      <c r="BG498" t="s">
        <v>1865</v>
      </c>
      <c r="BI498" t="s">
        <v>98</v>
      </c>
      <c r="BJ498" t="s">
        <v>2140</v>
      </c>
      <c r="BL498" t="s">
        <v>110</v>
      </c>
    </row>
    <row r="499" spans="1:64" x14ac:dyDescent="0.2">
      <c r="A499">
        <v>1455</v>
      </c>
      <c r="B499">
        <v>3748770426</v>
      </c>
      <c r="C499" t="s">
        <v>63</v>
      </c>
      <c r="D499" t="s">
        <v>3894</v>
      </c>
      <c r="E499" t="s">
        <v>65</v>
      </c>
      <c r="F499" t="s">
        <v>66</v>
      </c>
      <c r="G499" t="s">
        <v>67</v>
      </c>
      <c r="H499" t="s">
        <v>68</v>
      </c>
      <c r="I499" t="s">
        <v>176</v>
      </c>
      <c r="J499" t="s">
        <v>773</v>
      </c>
      <c r="K499" t="s">
        <v>1347</v>
      </c>
      <c r="M499" t="s">
        <v>72</v>
      </c>
      <c r="N499" t="s">
        <v>1348</v>
      </c>
      <c r="O499" t="s">
        <v>1347</v>
      </c>
      <c r="P499" t="s">
        <v>1349</v>
      </c>
      <c r="Q499" t="s">
        <v>75</v>
      </c>
      <c r="R499" t="s">
        <v>3816</v>
      </c>
      <c r="S499" t="s">
        <v>3767</v>
      </c>
      <c r="T499" t="s">
        <v>78</v>
      </c>
      <c r="U499" t="s">
        <v>3817</v>
      </c>
      <c r="V499" t="s">
        <v>80</v>
      </c>
      <c r="W499" s="1">
        <v>44519</v>
      </c>
      <c r="X499" t="s">
        <v>3818</v>
      </c>
      <c r="Y499" t="s">
        <v>3895</v>
      </c>
      <c r="Z499" t="s">
        <v>83</v>
      </c>
      <c r="AA499">
        <v>1</v>
      </c>
      <c r="AB499" t="s">
        <v>3896</v>
      </c>
      <c r="AC499">
        <v>1</v>
      </c>
      <c r="AD499" s="6" t="s">
        <v>85</v>
      </c>
      <c r="AE499" s="6" t="s">
        <v>86</v>
      </c>
      <c r="AF499" s="6" t="s">
        <v>146</v>
      </c>
      <c r="AG499" s="6" t="s">
        <v>3897</v>
      </c>
      <c r="AH499" s="6" t="s">
        <v>3898</v>
      </c>
      <c r="AI499" s="6" t="s">
        <v>90</v>
      </c>
      <c r="AJ499" s="6">
        <v>32.515863000000003</v>
      </c>
      <c r="AK499" s="6">
        <v>-110.68825200000001</v>
      </c>
      <c r="AL499" s="6">
        <v>3</v>
      </c>
      <c r="AM499" s="6"/>
      <c r="AN499" s="6">
        <v>1361</v>
      </c>
      <c r="AO499" s="6"/>
      <c r="AP499" s="6">
        <v>1361</v>
      </c>
      <c r="AQ499" s="6">
        <v>1366.3425890000001</v>
      </c>
      <c r="AR499" s="6"/>
      <c r="AS499" s="6"/>
      <c r="AT499" s="6">
        <v>19</v>
      </c>
      <c r="AU499" s="6">
        <v>11</v>
      </c>
      <c r="AV499" s="6">
        <v>2021</v>
      </c>
      <c r="AW499" s="6">
        <v>2438454</v>
      </c>
      <c r="AX499" s="6">
        <v>2438454</v>
      </c>
      <c r="AY499" s="6" t="s">
        <v>91</v>
      </c>
      <c r="AZ499" t="s">
        <v>92</v>
      </c>
      <c r="BA499" t="s">
        <v>93</v>
      </c>
      <c r="BB499" t="s">
        <v>3899</v>
      </c>
      <c r="BC499" t="s">
        <v>97</v>
      </c>
      <c r="BE499" t="s">
        <v>96</v>
      </c>
      <c r="BG499" t="s">
        <v>97</v>
      </c>
      <c r="BI499" t="s">
        <v>98</v>
      </c>
      <c r="BJ499" t="s">
        <v>3900</v>
      </c>
      <c r="BL499" t="s">
        <v>100</v>
      </c>
    </row>
    <row r="500" spans="1:64" hidden="1" x14ac:dyDescent="0.2">
      <c r="A500">
        <v>1074</v>
      </c>
      <c r="B500">
        <v>4027015356</v>
      </c>
      <c r="C500" t="s">
        <v>101</v>
      </c>
      <c r="D500" t="s">
        <v>2145</v>
      </c>
      <c r="E500" t="s">
        <v>65</v>
      </c>
      <c r="F500" t="s">
        <v>66</v>
      </c>
      <c r="G500" t="s">
        <v>67</v>
      </c>
      <c r="H500" t="s">
        <v>68</v>
      </c>
      <c r="I500" t="s">
        <v>350</v>
      </c>
      <c r="J500" t="s">
        <v>351</v>
      </c>
      <c r="K500" t="s">
        <v>352</v>
      </c>
      <c r="M500" t="s">
        <v>72</v>
      </c>
      <c r="N500" t="s">
        <v>353</v>
      </c>
      <c r="O500" t="s">
        <v>352</v>
      </c>
      <c r="P500" t="s">
        <v>180</v>
      </c>
      <c r="Q500" t="s">
        <v>75</v>
      </c>
      <c r="R500" t="s">
        <v>1858</v>
      </c>
      <c r="S500" t="s">
        <v>2129</v>
      </c>
      <c r="T500" t="s">
        <v>78</v>
      </c>
      <c r="U500" t="s">
        <v>1822</v>
      </c>
      <c r="V500" t="s">
        <v>80</v>
      </c>
      <c r="W500" s="1">
        <v>44696</v>
      </c>
      <c r="X500" t="s">
        <v>1859</v>
      </c>
      <c r="Y500" t="s">
        <v>2130</v>
      </c>
      <c r="Z500" t="s">
        <v>83</v>
      </c>
      <c r="AA500">
        <v>1</v>
      </c>
      <c r="AB500" t="s">
        <v>657</v>
      </c>
      <c r="AD500" t="s">
        <v>112</v>
      </c>
      <c r="AE500" t="s">
        <v>145</v>
      </c>
      <c r="AF500" t="s">
        <v>146</v>
      </c>
      <c r="AG500" t="s">
        <v>2137</v>
      </c>
      <c r="AH500" t="s">
        <v>2138</v>
      </c>
      <c r="AI500" t="s">
        <v>90</v>
      </c>
      <c r="AJ500">
        <v>32.424956999999999</v>
      </c>
      <c r="AK500">
        <v>-110.740188</v>
      </c>
      <c r="AL500">
        <v>4</v>
      </c>
      <c r="AN500">
        <v>2407</v>
      </c>
      <c r="AP500">
        <v>2407</v>
      </c>
      <c r="AQ500">
        <v>2409.5920289999999</v>
      </c>
      <c r="AT500">
        <v>15</v>
      </c>
      <c r="AU500">
        <v>5</v>
      </c>
      <c r="AV500">
        <v>2022</v>
      </c>
      <c r="AW500">
        <v>4972385</v>
      </c>
      <c r="AX500">
        <v>2437431</v>
      </c>
      <c r="AY500" t="s">
        <v>106</v>
      </c>
      <c r="AZ500" t="s">
        <v>92</v>
      </c>
      <c r="BA500" t="s">
        <v>107</v>
      </c>
      <c r="BB500" t="s">
        <v>2146</v>
      </c>
      <c r="BC500" t="s">
        <v>97</v>
      </c>
      <c r="BE500" t="s">
        <v>96</v>
      </c>
      <c r="BG500" t="s">
        <v>1865</v>
      </c>
      <c r="BI500" t="s">
        <v>98</v>
      </c>
      <c r="BJ500" t="s">
        <v>2144</v>
      </c>
      <c r="BL500" t="s">
        <v>110</v>
      </c>
    </row>
    <row r="501" spans="1:64" hidden="1" x14ac:dyDescent="0.2">
      <c r="A501">
        <v>1070</v>
      </c>
      <c r="B501">
        <v>4027015360</v>
      </c>
      <c r="C501" t="s">
        <v>101</v>
      </c>
      <c r="D501" t="s">
        <v>2147</v>
      </c>
      <c r="E501" t="s">
        <v>65</v>
      </c>
      <c r="F501" t="s">
        <v>66</v>
      </c>
      <c r="G501" t="s">
        <v>67</v>
      </c>
      <c r="H501" t="s">
        <v>68</v>
      </c>
      <c r="I501" t="s">
        <v>350</v>
      </c>
      <c r="J501" t="s">
        <v>351</v>
      </c>
      <c r="K501" t="s">
        <v>352</v>
      </c>
      <c r="M501" t="s">
        <v>72</v>
      </c>
      <c r="N501" t="s">
        <v>353</v>
      </c>
      <c r="O501" t="s">
        <v>352</v>
      </c>
      <c r="P501" t="s">
        <v>180</v>
      </c>
      <c r="Q501" t="s">
        <v>75</v>
      </c>
      <c r="R501" t="s">
        <v>1858</v>
      </c>
      <c r="S501" t="s">
        <v>2129</v>
      </c>
      <c r="T501" t="s">
        <v>78</v>
      </c>
      <c r="U501" t="s">
        <v>1822</v>
      </c>
      <c r="V501" t="s">
        <v>80</v>
      </c>
      <c r="W501" s="1">
        <v>44696</v>
      </c>
      <c r="X501" t="s">
        <v>1859</v>
      </c>
      <c r="Y501" t="s">
        <v>2130</v>
      </c>
      <c r="Z501" t="s">
        <v>83</v>
      </c>
      <c r="AA501">
        <v>1</v>
      </c>
      <c r="AB501" t="s">
        <v>657</v>
      </c>
      <c r="AD501" t="s">
        <v>116</v>
      </c>
      <c r="AE501" t="s">
        <v>145</v>
      </c>
      <c r="AF501" t="s">
        <v>146</v>
      </c>
      <c r="AG501" t="s">
        <v>2137</v>
      </c>
      <c r="AH501" t="s">
        <v>2138</v>
      </c>
      <c r="AI501" t="s">
        <v>90</v>
      </c>
      <c r="AJ501">
        <v>32.424956999999999</v>
      </c>
      <c r="AK501">
        <v>-110.740188</v>
      </c>
      <c r="AL501">
        <v>4</v>
      </c>
      <c r="AN501">
        <v>2407</v>
      </c>
      <c r="AP501">
        <v>2407</v>
      </c>
      <c r="AQ501">
        <v>2409.5920289999999</v>
      </c>
      <c r="AT501">
        <v>15</v>
      </c>
      <c r="AU501">
        <v>5</v>
      </c>
      <c r="AV501">
        <v>2022</v>
      </c>
      <c r="AW501">
        <v>4972385</v>
      </c>
      <c r="AX501">
        <v>2437431</v>
      </c>
      <c r="AY501" t="s">
        <v>106</v>
      </c>
      <c r="AZ501" t="s">
        <v>92</v>
      </c>
      <c r="BA501" t="s">
        <v>107</v>
      </c>
      <c r="BB501" t="s">
        <v>2148</v>
      </c>
      <c r="BC501" t="s">
        <v>97</v>
      </c>
      <c r="BE501" t="s">
        <v>96</v>
      </c>
      <c r="BG501" t="s">
        <v>1865</v>
      </c>
      <c r="BI501" t="s">
        <v>98</v>
      </c>
      <c r="BJ501" t="s">
        <v>2144</v>
      </c>
      <c r="BL501" t="s">
        <v>110</v>
      </c>
    </row>
    <row r="502" spans="1:64" hidden="1" x14ac:dyDescent="0.2">
      <c r="A502">
        <v>1101</v>
      </c>
      <c r="B502">
        <v>4027015329</v>
      </c>
      <c r="C502" t="s">
        <v>101</v>
      </c>
      <c r="D502" t="s">
        <v>2149</v>
      </c>
      <c r="E502" t="s">
        <v>65</v>
      </c>
      <c r="F502" t="s">
        <v>66</v>
      </c>
      <c r="G502" t="s">
        <v>67</v>
      </c>
      <c r="H502" t="s">
        <v>68</v>
      </c>
      <c r="I502" t="s">
        <v>350</v>
      </c>
      <c r="J502" t="s">
        <v>351</v>
      </c>
      <c r="K502" t="s">
        <v>352</v>
      </c>
      <c r="M502" t="s">
        <v>72</v>
      </c>
      <c r="N502" t="s">
        <v>353</v>
      </c>
      <c r="O502" t="s">
        <v>352</v>
      </c>
      <c r="P502" t="s">
        <v>180</v>
      </c>
      <c r="Q502" t="s">
        <v>75</v>
      </c>
      <c r="R502" t="s">
        <v>1858</v>
      </c>
      <c r="S502" t="s">
        <v>2129</v>
      </c>
      <c r="T502" t="s">
        <v>78</v>
      </c>
      <c r="U502" t="s">
        <v>1822</v>
      </c>
      <c r="V502" t="s">
        <v>80</v>
      </c>
      <c r="W502" s="1">
        <v>44696</v>
      </c>
      <c r="X502" t="s">
        <v>1859</v>
      </c>
      <c r="Y502" t="s">
        <v>2130</v>
      </c>
      <c r="Z502" t="s">
        <v>83</v>
      </c>
      <c r="AA502">
        <v>1</v>
      </c>
      <c r="AB502" t="s">
        <v>672</v>
      </c>
      <c r="AD502" t="s">
        <v>134</v>
      </c>
      <c r="AE502" t="s">
        <v>145</v>
      </c>
      <c r="AF502" t="s">
        <v>146</v>
      </c>
      <c r="AG502" t="s">
        <v>2137</v>
      </c>
      <c r="AH502" t="s">
        <v>2150</v>
      </c>
      <c r="AI502" t="s">
        <v>90</v>
      </c>
      <c r="AJ502">
        <v>32.424956999999999</v>
      </c>
      <c r="AK502">
        <v>-110.740188</v>
      </c>
      <c r="AL502">
        <v>4</v>
      </c>
      <c r="AN502">
        <v>2407</v>
      </c>
      <c r="AP502">
        <v>2407</v>
      </c>
      <c r="AQ502">
        <v>2409.5920289999999</v>
      </c>
      <c r="AT502">
        <v>15</v>
      </c>
      <c r="AU502">
        <v>5</v>
      </c>
      <c r="AV502">
        <v>2022</v>
      </c>
      <c r="AW502">
        <v>4972385</v>
      </c>
      <c r="AX502">
        <v>2437431</v>
      </c>
      <c r="AY502" t="s">
        <v>106</v>
      </c>
      <c r="AZ502" t="s">
        <v>92</v>
      </c>
      <c r="BA502" t="s">
        <v>107</v>
      </c>
      <c r="BB502" t="s">
        <v>2151</v>
      </c>
      <c r="BC502" t="s">
        <v>97</v>
      </c>
      <c r="BE502" t="s">
        <v>96</v>
      </c>
      <c r="BG502" t="s">
        <v>1865</v>
      </c>
      <c r="BI502" t="s">
        <v>98</v>
      </c>
      <c r="BJ502" t="s">
        <v>2152</v>
      </c>
      <c r="BL502" t="s">
        <v>110</v>
      </c>
    </row>
    <row r="503" spans="1:64" hidden="1" x14ac:dyDescent="0.2">
      <c r="A503">
        <v>796</v>
      </c>
      <c r="B503">
        <v>4070420431</v>
      </c>
      <c r="C503" t="s">
        <v>101</v>
      </c>
      <c r="D503" t="s">
        <v>2690</v>
      </c>
      <c r="E503" t="s">
        <v>65</v>
      </c>
      <c r="F503" t="s">
        <v>66</v>
      </c>
      <c r="G503" t="s">
        <v>67</v>
      </c>
      <c r="H503" t="s">
        <v>68</v>
      </c>
      <c r="I503" t="s">
        <v>176</v>
      </c>
      <c r="J503" t="s">
        <v>177</v>
      </c>
      <c r="K503" t="s">
        <v>1817</v>
      </c>
      <c r="M503" t="s">
        <v>72</v>
      </c>
      <c r="N503" t="s">
        <v>1818</v>
      </c>
      <c r="O503" t="s">
        <v>1817</v>
      </c>
      <c r="P503" t="s">
        <v>1819</v>
      </c>
      <c r="Q503" t="s">
        <v>75</v>
      </c>
      <c r="R503" t="s">
        <v>2238</v>
      </c>
      <c r="S503" t="s">
        <v>2691</v>
      </c>
      <c r="T503" t="s">
        <v>78</v>
      </c>
      <c r="U503" t="s">
        <v>1822</v>
      </c>
      <c r="V503" t="s">
        <v>1179</v>
      </c>
      <c r="W503" s="1">
        <v>44813</v>
      </c>
      <c r="X503" t="s">
        <v>1823</v>
      </c>
      <c r="Y503" t="s">
        <v>2692</v>
      </c>
      <c r="Z503" t="s">
        <v>83</v>
      </c>
      <c r="AA503">
        <v>1</v>
      </c>
      <c r="AB503" t="s">
        <v>127</v>
      </c>
      <c r="AC503">
        <v>0</v>
      </c>
      <c r="AD503" t="s">
        <v>128</v>
      </c>
      <c r="AE503" t="s">
        <v>86</v>
      </c>
      <c r="AF503" t="s">
        <v>146</v>
      </c>
      <c r="AI503" t="s">
        <v>90</v>
      </c>
      <c r="AJ503">
        <v>32.439920999999998</v>
      </c>
      <c r="AK503">
        <v>-110.789141</v>
      </c>
      <c r="AL503">
        <v>3</v>
      </c>
      <c r="AN503">
        <v>2770</v>
      </c>
      <c r="AP503">
        <v>2770</v>
      </c>
      <c r="AQ503">
        <v>2771.2845579999998</v>
      </c>
      <c r="AT503">
        <v>9</v>
      </c>
      <c r="AU503">
        <v>9</v>
      </c>
      <c r="AV503">
        <v>2022</v>
      </c>
      <c r="AW503">
        <v>2437967</v>
      </c>
      <c r="AX503">
        <v>2437967</v>
      </c>
      <c r="AY503" t="s">
        <v>106</v>
      </c>
      <c r="AZ503" t="s">
        <v>92</v>
      </c>
      <c r="BA503" t="s">
        <v>107</v>
      </c>
      <c r="BB503" t="s">
        <v>2693</v>
      </c>
      <c r="BC503" t="s">
        <v>2245</v>
      </c>
      <c r="BE503" t="s">
        <v>96</v>
      </c>
      <c r="BG503" t="s">
        <v>2246</v>
      </c>
      <c r="BI503" t="s">
        <v>98</v>
      </c>
      <c r="BJ503" t="s">
        <v>864</v>
      </c>
      <c r="BL503" t="s">
        <v>110</v>
      </c>
    </row>
    <row r="504" spans="1:64" hidden="1" x14ac:dyDescent="0.2">
      <c r="A504">
        <v>1307</v>
      </c>
      <c r="B504">
        <v>4022923406</v>
      </c>
      <c r="C504" t="s">
        <v>101</v>
      </c>
      <c r="D504" t="s">
        <v>2156</v>
      </c>
      <c r="E504" t="s">
        <v>65</v>
      </c>
      <c r="F504" t="s">
        <v>66</v>
      </c>
      <c r="G504" t="s">
        <v>67</v>
      </c>
      <c r="H504" t="s">
        <v>68</v>
      </c>
      <c r="I504" t="s">
        <v>350</v>
      </c>
      <c r="J504" t="s">
        <v>351</v>
      </c>
      <c r="K504" t="s">
        <v>352</v>
      </c>
      <c r="M504" t="s">
        <v>72</v>
      </c>
      <c r="N504" t="s">
        <v>353</v>
      </c>
      <c r="O504" t="s">
        <v>352</v>
      </c>
      <c r="P504" t="s">
        <v>180</v>
      </c>
      <c r="Q504" t="s">
        <v>75</v>
      </c>
      <c r="R504" t="s">
        <v>1858</v>
      </c>
      <c r="S504" t="s">
        <v>2129</v>
      </c>
      <c r="T504" t="s">
        <v>78</v>
      </c>
      <c r="U504" t="s">
        <v>1822</v>
      </c>
      <c r="V504" t="s">
        <v>80</v>
      </c>
      <c r="W504" s="1">
        <v>44696</v>
      </c>
      <c r="X504" t="s">
        <v>1859</v>
      </c>
      <c r="Y504" t="s">
        <v>2130</v>
      </c>
      <c r="Z504" t="s">
        <v>83</v>
      </c>
      <c r="AA504">
        <v>1</v>
      </c>
      <c r="AB504" t="s">
        <v>677</v>
      </c>
      <c r="AD504" t="s">
        <v>139</v>
      </c>
      <c r="AE504" t="s">
        <v>145</v>
      </c>
      <c r="AF504" t="s">
        <v>146</v>
      </c>
      <c r="AG504" t="s">
        <v>2137</v>
      </c>
      <c r="AH504" t="s">
        <v>2138</v>
      </c>
      <c r="AI504" t="s">
        <v>90</v>
      </c>
      <c r="AJ504">
        <v>32.424956999999999</v>
      </c>
      <c r="AK504">
        <v>-110.740188</v>
      </c>
      <c r="AL504">
        <v>4</v>
      </c>
      <c r="AN504">
        <v>2407</v>
      </c>
      <c r="AP504">
        <v>2407</v>
      </c>
      <c r="AQ504">
        <v>2409.5920289999999</v>
      </c>
      <c r="AT504">
        <v>15</v>
      </c>
      <c r="AU504">
        <v>5</v>
      </c>
      <c r="AV504">
        <v>2022</v>
      </c>
      <c r="AW504">
        <v>4972385</v>
      </c>
      <c r="AX504">
        <v>2437431</v>
      </c>
      <c r="AY504" t="s">
        <v>106</v>
      </c>
      <c r="AZ504" t="s">
        <v>92</v>
      </c>
      <c r="BA504" t="s">
        <v>107</v>
      </c>
      <c r="BB504" t="s">
        <v>2157</v>
      </c>
      <c r="BC504" t="s">
        <v>97</v>
      </c>
      <c r="BE504" t="s">
        <v>96</v>
      </c>
      <c r="BG504" t="s">
        <v>1865</v>
      </c>
      <c r="BI504" t="s">
        <v>98</v>
      </c>
      <c r="BJ504" t="s">
        <v>2158</v>
      </c>
      <c r="BL504" t="s">
        <v>684</v>
      </c>
    </row>
    <row r="505" spans="1:64" hidden="1" x14ac:dyDescent="0.2">
      <c r="A505">
        <v>1306</v>
      </c>
      <c r="B505">
        <v>4022923407</v>
      </c>
      <c r="C505" t="s">
        <v>101</v>
      </c>
      <c r="D505" t="s">
        <v>2159</v>
      </c>
      <c r="E505" t="s">
        <v>65</v>
      </c>
      <c r="F505" t="s">
        <v>66</v>
      </c>
      <c r="G505" t="s">
        <v>67</v>
      </c>
      <c r="H505" t="s">
        <v>68</v>
      </c>
      <c r="I505" t="s">
        <v>350</v>
      </c>
      <c r="J505" t="s">
        <v>351</v>
      </c>
      <c r="K505" t="s">
        <v>352</v>
      </c>
      <c r="M505" t="s">
        <v>72</v>
      </c>
      <c r="N505" t="s">
        <v>353</v>
      </c>
      <c r="O505" t="s">
        <v>352</v>
      </c>
      <c r="P505" t="s">
        <v>180</v>
      </c>
      <c r="Q505" t="s">
        <v>75</v>
      </c>
      <c r="R505" t="s">
        <v>1858</v>
      </c>
      <c r="S505" t="s">
        <v>2129</v>
      </c>
      <c r="T505" t="s">
        <v>78</v>
      </c>
      <c r="U505" t="s">
        <v>1822</v>
      </c>
      <c r="V505" t="s">
        <v>80</v>
      </c>
      <c r="W505" s="1">
        <v>44696</v>
      </c>
      <c r="X505" t="s">
        <v>1859</v>
      </c>
      <c r="Y505" t="s">
        <v>2130</v>
      </c>
      <c r="Z505" t="s">
        <v>83</v>
      </c>
      <c r="AA505">
        <v>1</v>
      </c>
      <c r="AB505" t="s">
        <v>677</v>
      </c>
      <c r="AD505" t="s">
        <v>123</v>
      </c>
      <c r="AE505" t="s">
        <v>145</v>
      </c>
      <c r="AF505" t="s">
        <v>146</v>
      </c>
      <c r="AG505" t="s">
        <v>2137</v>
      </c>
      <c r="AH505" t="s">
        <v>2138</v>
      </c>
      <c r="AI505" t="s">
        <v>90</v>
      </c>
      <c r="AJ505">
        <v>32.424956999999999</v>
      </c>
      <c r="AK505">
        <v>-110.740188</v>
      </c>
      <c r="AL505">
        <v>4</v>
      </c>
      <c r="AN505">
        <v>2407</v>
      </c>
      <c r="AP505">
        <v>2407</v>
      </c>
      <c r="AQ505">
        <v>2409.5920289999999</v>
      </c>
      <c r="AT505">
        <v>15</v>
      </c>
      <c r="AU505">
        <v>5</v>
      </c>
      <c r="AV505">
        <v>2022</v>
      </c>
      <c r="AW505">
        <v>4972385</v>
      </c>
      <c r="AX505">
        <v>2437431</v>
      </c>
      <c r="AY505" t="s">
        <v>106</v>
      </c>
      <c r="AZ505" t="s">
        <v>92</v>
      </c>
      <c r="BA505" t="s">
        <v>107</v>
      </c>
      <c r="BB505" t="s">
        <v>2160</v>
      </c>
      <c r="BC505" t="s">
        <v>97</v>
      </c>
      <c r="BE505" t="s">
        <v>96</v>
      </c>
      <c r="BG505" t="s">
        <v>1865</v>
      </c>
      <c r="BI505" t="s">
        <v>98</v>
      </c>
      <c r="BJ505" t="s">
        <v>1653</v>
      </c>
      <c r="BL505" t="s">
        <v>684</v>
      </c>
    </row>
    <row r="506" spans="1:64" hidden="1" x14ac:dyDescent="0.2">
      <c r="A506">
        <v>1097</v>
      </c>
      <c r="B506">
        <v>4027015333</v>
      </c>
      <c r="C506" t="s">
        <v>101</v>
      </c>
      <c r="D506" t="s">
        <v>2161</v>
      </c>
      <c r="E506" t="s">
        <v>65</v>
      </c>
      <c r="F506" t="s">
        <v>66</v>
      </c>
      <c r="G506" t="s">
        <v>67</v>
      </c>
      <c r="H506" t="s">
        <v>68</v>
      </c>
      <c r="I506" t="s">
        <v>176</v>
      </c>
      <c r="J506" t="s">
        <v>177</v>
      </c>
      <c r="K506" t="s">
        <v>1817</v>
      </c>
      <c r="M506" t="s">
        <v>72</v>
      </c>
      <c r="N506" t="s">
        <v>1818</v>
      </c>
      <c r="O506" t="s">
        <v>1817</v>
      </c>
      <c r="P506" t="s">
        <v>1819</v>
      </c>
      <c r="Q506" t="s">
        <v>75</v>
      </c>
      <c r="R506" t="s">
        <v>1858</v>
      </c>
      <c r="S506" t="s">
        <v>1083</v>
      </c>
      <c r="T506" t="s">
        <v>78</v>
      </c>
      <c r="U506" t="s">
        <v>1822</v>
      </c>
      <c r="V506" t="s">
        <v>80</v>
      </c>
      <c r="W506" s="1">
        <v>44696</v>
      </c>
      <c r="X506" t="s">
        <v>1859</v>
      </c>
      <c r="Y506" t="s">
        <v>2162</v>
      </c>
      <c r="Z506" t="s">
        <v>83</v>
      </c>
      <c r="AA506">
        <v>1</v>
      </c>
      <c r="AB506" t="s">
        <v>657</v>
      </c>
      <c r="AD506" t="s">
        <v>343</v>
      </c>
      <c r="AE506" t="s">
        <v>145</v>
      </c>
      <c r="AF506" t="s">
        <v>146</v>
      </c>
      <c r="AG506" t="s">
        <v>765</v>
      </c>
      <c r="AI506" t="s">
        <v>90</v>
      </c>
      <c r="AJ506">
        <v>32.424793999999999</v>
      </c>
      <c r="AK506">
        <v>-110.740258</v>
      </c>
      <c r="AL506">
        <v>4</v>
      </c>
      <c r="AN506">
        <v>2413</v>
      </c>
      <c r="AP506">
        <v>2413</v>
      </c>
      <c r="AQ506">
        <v>2415.0487990000001</v>
      </c>
      <c r="AT506">
        <v>15</v>
      </c>
      <c r="AU506">
        <v>5</v>
      </c>
      <c r="AV506">
        <v>2022</v>
      </c>
      <c r="AW506">
        <v>2437967</v>
      </c>
      <c r="AX506">
        <v>2437967</v>
      </c>
      <c r="AY506" t="s">
        <v>106</v>
      </c>
      <c r="AZ506" t="s">
        <v>92</v>
      </c>
      <c r="BA506" t="s">
        <v>107</v>
      </c>
      <c r="BB506" t="s">
        <v>2163</v>
      </c>
      <c r="BC506" t="s">
        <v>97</v>
      </c>
      <c r="BE506" t="s">
        <v>96</v>
      </c>
      <c r="BG506" t="s">
        <v>1865</v>
      </c>
      <c r="BI506" t="s">
        <v>98</v>
      </c>
      <c r="BJ506" t="s">
        <v>926</v>
      </c>
      <c r="BL506" t="s">
        <v>110</v>
      </c>
    </row>
    <row r="507" spans="1:64" hidden="1" x14ac:dyDescent="0.2">
      <c r="A507">
        <v>811</v>
      </c>
      <c r="B507">
        <v>4070420412</v>
      </c>
      <c r="C507" t="s">
        <v>101</v>
      </c>
      <c r="D507" t="s">
        <v>2696</v>
      </c>
      <c r="E507" t="s">
        <v>65</v>
      </c>
      <c r="F507" t="s">
        <v>66</v>
      </c>
      <c r="G507" t="s">
        <v>67</v>
      </c>
      <c r="H507" t="s">
        <v>68</v>
      </c>
      <c r="I507" t="s">
        <v>176</v>
      </c>
      <c r="J507" t="s">
        <v>177</v>
      </c>
      <c r="K507" t="s">
        <v>1817</v>
      </c>
      <c r="M507" t="s">
        <v>72</v>
      </c>
      <c r="N507" t="s">
        <v>1818</v>
      </c>
      <c r="O507" t="s">
        <v>1817</v>
      </c>
      <c r="P507" t="s">
        <v>1819</v>
      </c>
      <c r="Q507" t="s">
        <v>75</v>
      </c>
      <c r="R507" t="s">
        <v>2238</v>
      </c>
      <c r="S507" t="s">
        <v>1159</v>
      </c>
      <c r="T507" t="s">
        <v>78</v>
      </c>
      <c r="U507" t="s">
        <v>1822</v>
      </c>
      <c r="V507" t="s">
        <v>1179</v>
      </c>
      <c r="W507" s="1">
        <v>44813</v>
      </c>
      <c r="X507" t="s">
        <v>1823</v>
      </c>
      <c r="Y507" t="s">
        <v>2697</v>
      </c>
      <c r="Z507" t="s">
        <v>83</v>
      </c>
      <c r="AA507">
        <v>1</v>
      </c>
      <c r="AB507" t="s">
        <v>127</v>
      </c>
      <c r="AC507">
        <v>0</v>
      </c>
      <c r="AD507" t="s">
        <v>128</v>
      </c>
      <c r="AE507" t="s">
        <v>1078</v>
      </c>
      <c r="AF507" t="s">
        <v>1079</v>
      </c>
      <c r="AI507" t="s">
        <v>90</v>
      </c>
      <c r="AJ507">
        <v>32.439867</v>
      </c>
      <c r="AK507">
        <v>-110.789509</v>
      </c>
      <c r="AL507">
        <v>3</v>
      </c>
      <c r="AN507">
        <v>2751</v>
      </c>
      <c r="AP507">
        <v>2751</v>
      </c>
      <c r="AQ507">
        <v>2768.4549459999998</v>
      </c>
      <c r="AT507">
        <v>9</v>
      </c>
      <c r="AU507">
        <v>9</v>
      </c>
      <c r="AV507">
        <v>2022</v>
      </c>
      <c r="AW507">
        <v>2437967</v>
      </c>
      <c r="AX507">
        <v>2437967</v>
      </c>
      <c r="AY507" t="s">
        <v>106</v>
      </c>
      <c r="AZ507" t="s">
        <v>92</v>
      </c>
      <c r="BA507" t="s">
        <v>107</v>
      </c>
      <c r="BB507" t="s">
        <v>2698</v>
      </c>
      <c r="BC507" t="s">
        <v>2245</v>
      </c>
      <c r="BE507" t="s">
        <v>96</v>
      </c>
      <c r="BG507" t="s">
        <v>2246</v>
      </c>
      <c r="BI507" t="s">
        <v>98</v>
      </c>
      <c r="BJ507" t="s">
        <v>869</v>
      </c>
      <c r="BL507" t="s">
        <v>110</v>
      </c>
    </row>
    <row r="508" spans="1:64" hidden="1" x14ac:dyDescent="0.2">
      <c r="A508">
        <v>751</v>
      </c>
      <c r="B508">
        <v>4070420486</v>
      </c>
      <c r="C508" t="s">
        <v>101</v>
      </c>
      <c r="D508" t="s">
        <v>2701</v>
      </c>
      <c r="E508" t="s">
        <v>65</v>
      </c>
      <c r="F508" t="s">
        <v>66</v>
      </c>
      <c r="G508" t="s">
        <v>67</v>
      </c>
      <c r="H508" t="s">
        <v>68</v>
      </c>
      <c r="I508" t="s">
        <v>176</v>
      </c>
      <c r="J508" t="s">
        <v>177</v>
      </c>
      <c r="K508" t="s">
        <v>1817</v>
      </c>
      <c r="M508" t="s">
        <v>72</v>
      </c>
      <c r="N508" t="s">
        <v>1818</v>
      </c>
      <c r="O508" t="s">
        <v>1817</v>
      </c>
      <c r="P508" t="s">
        <v>1819</v>
      </c>
      <c r="Q508" t="s">
        <v>75</v>
      </c>
      <c r="R508" t="s">
        <v>2238</v>
      </c>
      <c r="S508" t="s">
        <v>1166</v>
      </c>
      <c r="T508" t="s">
        <v>78</v>
      </c>
      <c r="U508" t="s">
        <v>1822</v>
      </c>
      <c r="V508" t="s">
        <v>1179</v>
      </c>
      <c r="W508" s="1">
        <v>44813</v>
      </c>
      <c r="X508" t="s">
        <v>1823</v>
      </c>
      <c r="Y508" t="s">
        <v>2702</v>
      </c>
      <c r="Z508" t="s">
        <v>83</v>
      </c>
      <c r="AA508">
        <v>1</v>
      </c>
      <c r="AB508" t="s">
        <v>127</v>
      </c>
      <c r="AC508">
        <v>0</v>
      </c>
      <c r="AD508" t="s">
        <v>128</v>
      </c>
      <c r="AE508" t="s">
        <v>1078</v>
      </c>
      <c r="AF508" t="s">
        <v>1079</v>
      </c>
      <c r="AI508" t="s">
        <v>90</v>
      </c>
      <c r="AJ508">
        <v>32.439717000000002</v>
      </c>
      <c r="AK508">
        <v>-110.789665</v>
      </c>
      <c r="AL508">
        <v>3</v>
      </c>
      <c r="AN508">
        <v>2768</v>
      </c>
      <c r="AP508">
        <v>2768</v>
      </c>
      <c r="AQ508">
        <v>2770.2614530000001</v>
      </c>
      <c r="AT508">
        <v>9</v>
      </c>
      <c r="AU508">
        <v>9</v>
      </c>
      <c r="AV508">
        <v>2022</v>
      </c>
      <c r="AW508">
        <v>2437967</v>
      </c>
      <c r="AX508">
        <v>2437967</v>
      </c>
      <c r="AY508" t="s">
        <v>106</v>
      </c>
      <c r="AZ508" t="s">
        <v>92</v>
      </c>
      <c r="BA508" t="s">
        <v>107</v>
      </c>
      <c r="BB508" t="s">
        <v>2703</v>
      </c>
      <c r="BC508" t="s">
        <v>2245</v>
      </c>
      <c r="BE508" t="s">
        <v>96</v>
      </c>
      <c r="BG508" t="s">
        <v>2246</v>
      </c>
      <c r="BI508" t="s">
        <v>98</v>
      </c>
      <c r="BJ508" t="s">
        <v>2704</v>
      </c>
      <c r="BL508" t="s">
        <v>110</v>
      </c>
    </row>
    <row r="509" spans="1:64" hidden="1" x14ac:dyDescent="0.2">
      <c r="A509">
        <v>1127</v>
      </c>
      <c r="B509">
        <v>4027015303</v>
      </c>
      <c r="C509" t="s">
        <v>101</v>
      </c>
      <c r="D509" t="s">
        <v>2173</v>
      </c>
      <c r="E509" t="s">
        <v>65</v>
      </c>
      <c r="F509" t="s">
        <v>66</v>
      </c>
      <c r="G509" t="s">
        <v>67</v>
      </c>
      <c r="H509" t="s">
        <v>68</v>
      </c>
      <c r="I509" t="s">
        <v>176</v>
      </c>
      <c r="J509" t="s">
        <v>177</v>
      </c>
      <c r="K509" t="s">
        <v>1817</v>
      </c>
      <c r="M509" t="s">
        <v>72</v>
      </c>
      <c r="N509" t="s">
        <v>1818</v>
      </c>
      <c r="O509" t="s">
        <v>1817</v>
      </c>
      <c r="P509" t="s">
        <v>1819</v>
      </c>
      <c r="Q509" t="s">
        <v>75</v>
      </c>
      <c r="R509" t="s">
        <v>2168</v>
      </c>
      <c r="S509" t="s">
        <v>873</v>
      </c>
      <c r="T509" t="s">
        <v>78</v>
      </c>
      <c r="U509" t="s">
        <v>1822</v>
      </c>
      <c r="V509" t="s">
        <v>80</v>
      </c>
      <c r="W509" s="1">
        <v>44696</v>
      </c>
      <c r="X509" t="s">
        <v>1859</v>
      </c>
      <c r="Y509" t="s">
        <v>2169</v>
      </c>
      <c r="Z509" t="s">
        <v>83</v>
      </c>
      <c r="AA509">
        <v>1</v>
      </c>
      <c r="AB509" t="s">
        <v>657</v>
      </c>
      <c r="AD509" t="s">
        <v>343</v>
      </c>
      <c r="AE509" t="s">
        <v>86</v>
      </c>
      <c r="AF509" t="s">
        <v>146</v>
      </c>
      <c r="AG509" t="s">
        <v>2170</v>
      </c>
      <c r="AI509" t="s">
        <v>90</v>
      </c>
      <c r="AJ509">
        <v>32.422614000000003</v>
      </c>
      <c r="AK509">
        <v>-110.73336399999999</v>
      </c>
      <c r="AL509">
        <v>174</v>
      </c>
      <c r="AP509">
        <v>2419.8365840000001</v>
      </c>
      <c r="AQ509">
        <v>2419.8365840000001</v>
      </c>
      <c r="AT509">
        <v>15</v>
      </c>
      <c r="AU509">
        <v>5</v>
      </c>
      <c r="AV509">
        <v>2022</v>
      </c>
      <c r="AW509">
        <v>2437967</v>
      </c>
      <c r="AX509">
        <v>2437967</v>
      </c>
      <c r="AY509" t="s">
        <v>106</v>
      </c>
      <c r="AZ509" t="s">
        <v>92</v>
      </c>
      <c r="BA509" t="s">
        <v>107</v>
      </c>
      <c r="BB509" t="s">
        <v>2174</v>
      </c>
      <c r="BC509" t="s">
        <v>97</v>
      </c>
      <c r="BE509" t="s">
        <v>96</v>
      </c>
      <c r="BG509" t="s">
        <v>1865</v>
      </c>
      <c r="BI509" t="s">
        <v>98</v>
      </c>
      <c r="BJ509" t="s">
        <v>2175</v>
      </c>
      <c r="BL509" t="s">
        <v>412</v>
      </c>
    </row>
    <row r="510" spans="1:64" hidden="1" x14ac:dyDescent="0.2">
      <c r="A510">
        <v>993</v>
      </c>
      <c r="B510">
        <v>4027015437</v>
      </c>
      <c r="C510" t="s">
        <v>101</v>
      </c>
      <c r="D510" t="s">
        <v>2183</v>
      </c>
      <c r="E510" t="s">
        <v>65</v>
      </c>
      <c r="F510" t="s">
        <v>66</v>
      </c>
      <c r="G510" t="s">
        <v>67</v>
      </c>
      <c r="H510" t="s">
        <v>68</v>
      </c>
      <c r="I510" t="s">
        <v>350</v>
      </c>
      <c r="J510" t="s">
        <v>351</v>
      </c>
      <c r="K510" t="s">
        <v>352</v>
      </c>
      <c r="M510" t="s">
        <v>72</v>
      </c>
      <c r="N510" t="s">
        <v>353</v>
      </c>
      <c r="O510" t="s">
        <v>352</v>
      </c>
      <c r="P510" t="s">
        <v>180</v>
      </c>
      <c r="Q510" t="s">
        <v>75</v>
      </c>
      <c r="R510" t="s">
        <v>2168</v>
      </c>
      <c r="S510" t="s">
        <v>2177</v>
      </c>
      <c r="T510" t="s">
        <v>78</v>
      </c>
      <c r="U510" t="s">
        <v>1822</v>
      </c>
      <c r="V510" t="s">
        <v>80</v>
      </c>
      <c r="W510" s="1">
        <v>44696</v>
      </c>
      <c r="X510" t="s">
        <v>1859</v>
      </c>
      <c r="Y510" t="s">
        <v>2178</v>
      </c>
      <c r="Z510" t="s">
        <v>83</v>
      </c>
      <c r="AA510">
        <v>1</v>
      </c>
      <c r="AB510" t="s">
        <v>657</v>
      </c>
      <c r="AD510" t="s">
        <v>104</v>
      </c>
      <c r="AE510" t="s">
        <v>145</v>
      </c>
      <c r="AF510" t="s">
        <v>146</v>
      </c>
      <c r="AG510" t="s">
        <v>2184</v>
      </c>
      <c r="AH510" t="s">
        <v>2185</v>
      </c>
      <c r="AI510" t="s">
        <v>90</v>
      </c>
      <c r="AJ510">
        <v>32.422614000000003</v>
      </c>
      <c r="AK510">
        <v>-110.73336399999999</v>
      </c>
      <c r="AL510">
        <v>174</v>
      </c>
      <c r="AP510">
        <v>2419.8365840000001</v>
      </c>
      <c r="AQ510">
        <v>2419.8365840000001</v>
      </c>
      <c r="AT510">
        <v>15</v>
      </c>
      <c r="AU510">
        <v>5</v>
      </c>
      <c r="AV510">
        <v>2022</v>
      </c>
      <c r="AW510">
        <v>4972385</v>
      </c>
      <c r="AX510">
        <v>2437431</v>
      </c>
      <c r="AY510" t="s">
        <v>106</v>
      </c>
      <c r="AZ510" t="s">
        <v>92</v>
      </c>
      <c r="BA510" t="s">
        <v>107</v>
      </c>
      <c r="BB510" t="s">
        <v>2186</v>
      </c>
      <c r="BC510" t="s">
        <v>97</v>
      </c>
      <c r="BE510" t="s">
        <v>96</v>
      </c>
      <c r="BG510" t="s">
        <v>1865</v>
      </c>
      <c r="BI510" t="s">
        <v>98</v>
      </c>
      <c r="BJ510" t="s">
        <v>2140</v>
      </c>
      <c r="BL510" t="s">
        <v>412</v>
      </c>
    </row>
    <row r="511" spans="1:64" hidden="1" x14ac:dyDescent="0.2">
      <c r="A511">
        <v>1126</v>
      </c>
      <c r="B511">
        <v>4027015304</v>
      </c>
      <c r="C511" t="s">
        <v>101</v>
      </c>
      <c r="D511" s="2" t="s">
        <v>2187</v>
      </c>
      <c r="E511" t="s">
        <v>65</v>
      </c>
      <c r="F511" t="s">
        <v>66</v>
      </c>
      <c r="G511" t="s">
        <v>67</v>
      </c>
      <c r="H511" t="s">
        <v>68</v>
      </c>
      <c r="I511" t="s">
        <v>350</v>
      </c>
      <c r="J511" t="s">
        <v>351</v>
      </c>
      <c r="K511" t="s">
        <v>352</v>
      </c>
      <c r="M511" t="s">
        <v>72</v>
      </c>
      <c r="N511" t="s">
        <v>353</v>
      </c>
      <c r="O511" t="s">
        <v>352</v>
      </c>
      <c r="P511" t="s">
        <v>180</v>
      </c>
      <c r="Q511" t="s">
        <v>75</v>
      </c>
      <c r="R511" t="s">
        <v>2168</v>
      </c>
      <c r="S511" t="s">
        <v>2177</v>
      </c>
      <c r="T511" t="s">
        <v>78</v>
      </c>
      <c r="U511" t="s">
        <v>1822</v>
      </c>
      <c r="V511" t="s">
        <v>80</v>
      </c>
      <c r="W511" s="1">
        <v>44696</v>
      </c>
      <c r="X511" t="s">
        <v>1859</v>
      </c>
      <c r="Y511" t="s">
        <v>2178</v>
      </c>
      <c r="Z511" t="s">
        <v>83</v>
      </c>
      <c r="AA511">
        <v>1</v>
      </c>
      <c r="AB511" t="s">
        <v>672</v>
      </c>
      <c r="AD511" t="s">
        <v>134</v>
      </c>
      <c r="AE511" t="s">
        <v>145</v>
      </c>
      <c r="AF511" t="s">
        <v>146</v>
      </c>
      <c r="AG511" t="s">
        <v>2184</v>
      </c>
      <c r="AH511" t="s">
        <v>2188</v>
      </c>
      <c r="AI511" t="s">
        <v>90</v>
      </c>
      <c r="AJ511">
        <v>32.422614000000003</v>
      </c>
      <c r="AK511">
        <v>-110.73336399999999</v>
      </c>
      <c r="AL511">
        <v>174</v>
      </c>
      <c r="AP511">
        <v>2419.8365840000001</v>
      </c>
      <c r="AQ511">
        <v>2419.8365840000001</v>
      </c>
      <c r="AT511">
        <v>15</v>
      </c>
      <c r="AU511">
        <v>5</v>
      </c>
      <c r="AV511">
        <v>2022</v>
      </c>
      <c r="AW511">
        <v>4972385</v>
      </c>
      <c r="AX511">
        <v>2437431</v>
      </c>
      <c r="AY511" t="s">
        <v>106</v>
      </c>
      <c r="AZ511" t="s">
        <v>92</v>
      </c>
      <c r="BA511" t="s">
        <v>107</v>
      </c>
      <c r="BB511" t="s">
        <v>2189</v>
      </c>
      <c r="BC511" t="s">
        <v>97</v>
      </c>
      <c r="BE511" t="s">
        <v>96</v>
      </c>
      <c r="BG511" t="s">
        <v>1865</v>
      </c>
      <c r="BI511" t="s">
        <v>98</v>
      </c>
      <c r="BJ511" t="s">
        <v>2190</v>
      </c>
      <c r="BL511" t="s">
        <v>412</v>
      </c>
    </row>
    <row r="512" spans="1:64" hidden="1" x14ac:dyDescent="0.2">
      <c r="A512">
        <v>746</v>
      </c>
      <c r="B512">
        <v>4070420491</v>
      </c>
      <c r="C512" t="s">
        <v>101</v>
      </c>
      <c r="D512" t="s">
        <v>2707</v>
      </c>
      <c r="E512" t="s">
        <v>65</v>
      </c>
      <c r="F512" t="s">
        <v>66</v>
      </c>
      <c r="G512" t="s">
        <v>67</v>
      </c>
      <c r="H512" t="s">
        <v>68</v>
      </c>
      <c r="I512" t="s">
        <v>176</v>
      </c>
      <c r="J512" t="s">
        <v>177</v>
      </c>
      <c r="K512" t="s">
        <v>1817</v>
      </c>
      <c r="M512" t="s">
        <v>72</v>
      </c>
      <c r="N512" t="s">
        <v>1818</v>
      </c>
      <c r="O512" t="s">
        <v>1817</v>
      </c>
      <c r="P512" t="s">
        <v>1819</v>
      </c>
      <c r="Q512" t="s">
        <v>75</v>
      </c>
      <c r="R512" t="s">
        <v>2238</v>
      </c>
      <c r="S512" t="s">
        <v>2708</v>
      </c>
      <c r="T512" t="s">
        <v>78</v>
      </c>
      <c r="U512" t="s">
        <v>1822</v>
      </c>
      <c r="V512" t="s">
        <v>80</v>
      </c>
      <c r="W512" s="1">
        <v>44813</v>
      </c>
      <c r="X512" t="s">
        <v>1823</v>
      </c>
      <c r="Y512" t="s">
        <v>2709</v>
      </c>
      <c r="Z512" t="s">
        <v>83</v>
      </c>
      <c r="AA512">
        <v>1</v>
      </c>
      <c r="AB512" t="s">
        <v>127</v>
      </c>
      <c r="AC512">
        <v>0</v>
      </c>
      <c r="AD512" t="s">
        <v>128</v>
      </c>
      <c r="AE512" t="s">
        <v>145</v>
      </c>
      <c r="AF512" t="s">
        <v>281</v>
      </c>
      <c r="AI512" t="s">
        <v>90</v>
      </c>
      <c r="AJ512">
        <v>32.441763999999999</v>
      </c>
      <c r="AK512">
        <v>-110.78778200000001</v>
      </c>
      <c r="AL512">
        <v>3</v>
      </c>
      <c r="AN512">
        <v>2692</v>
      </c>
      <c r="AP512">
        <v>2692</v>
      </c>
      <c r="AQ512">
        <v>2785.365828</v>
      </c>
      <c r="AT512">
        <v>9</v>
      </c>
      <c r="AU512">
        <v>9</v>
      </c>
      <c r="AV512">
        <v>2022</v>
      </c>
      <c r="AW512">
        <v>2437967</v>
      </c>
      <c r="AX512">
        <v>2437967</v>
      </c>
      <c r="AY512" t="s">
        <v>106</v>
      </c>
      <c r="AZ512" t="s">
        <v>92</v>
      </c>
      <c r="BA512" t="s">
        <v>107</v>
      </c>
      <c r="BB512" t="s">
        <v>2710</v>
      </c>
      <c r="BC512" t="s">
        <v>2245</v>
      </c>
      <c r="BE512" t="s">
        <v>96</v>
      </c>
      <c r="BG512" t="s">
        <v>2246</v>
      </c>
      <c r="BI512" t="s">
        <v>98</v>
      </c>
      <c r="BJ512" t="s">
        <v>2711</v>
      </c>
      <c r="BL512" t="s">
        <v>412</v>
      </c>
    </row>
    <row r="513" spans="1:64" x14ac:dyDescent="0.2">
      <c r="A513">
        <v>1459</v>
      </c>
      <c r="B513">
        <v>3748770422</v>
      </c>
      <c r="C513" t="s">
        <v>63</v>
      </c>
      <c r="D513" t="s">
        <v>3924</v>
      </c>
      <c r="E513" t="s">
        <v>65</v>
      </c>
      <c r="F513" t="s">
        <v>66</v>
      </c>
      <c r="G513" t="s">
        <v>67</v>
      </c>
      <c r="H513" t="s">
        <v>68</v>
      </c>
      <c r="I513" t="s">
        <v>176</v>
      </c>
      <c r="J513" t="s">
        <v>177</v>
      </c>
      <c r="K513" t="s">
        <v>3925</v>
      </c>
      <c r="M513" t="s">
        <v>72</v>
      </c>
      <c r="N513" t="s">
        <v>3926</v>
      </c>
      <c r="O513" t="s">
        <v>3925</v>
      </c>
      <c r="P513" t="s">
        <v>1176</v>
      </c>
      <c r="Q513" t="s">
        <v>75</v>
      </c>
      <c r="R513" t="s">
        <v>3816</v>
      </c>
      <c r="S513" t="s">
        <v>3804</v>
      </c>
      <c r="T513" t="s">
        <v>78</v>
      </c>
      <c r="U513" t="s">
        <v>3817</v>
      </c>
      <c r="V513" t="s">
        <v>80</v>
      </c>
      <c r="W513" s="1">
        <v>44519</v>
      </c>
      <c r="X513" t="s">
        <v>3818</v>
      </c>
      <c r="Y513" t="s">
        <v>3927</v>
      </c>
      <c r="Z513" t="s">
        <v>83</v>
      </c>
      <c r="AA513">
        <v>1</v>
      </c>
      <c r="AB513" t="s">
        <v>3928</v>
      </c>
      <c r="AC513">
        <v>1</v>
      </c>
      <c r="AD513" s="6" t="s">
        <v>85</v>
      </c>
      <c r="AE513" s="6" t="s">
        <v>86</v>
      </c>
      <c r="AF513" s="6" t="s">
        <v>146</v>
      </c>
      <c r="AG513" s="6" t="s">
        <v>3929</v>
      </c>
      <c r="AH513" s="6" t="s">
        <v>3930</v>
      </c>
      <c r="AI513" s="6" t="s">
        <v>90</v>
      </c>
      <c r="AJ513" s="6">
        <v>32.516367000000002</v>
      </c>
      <c r="AK513" s="6">
        <v>-110.68760399999999</v>
      </c>
      <c r="AL513" s="6">
        <v>3</v>
      </c>
      <c r="AM513" s="6"/>
      <c r="AN513" s="6">
        <v>1343</v>
      </c>
      <c r="AO513" s="6"/>
      <c r="AP513" s="6">
        <v>1343</v>
      </c>
      <c r="AQ513" s="6">
        <v>1364.783201</v>
      </c>
      <c r="AR513" s="6"/>
      <c r="AS513" s="6"/>
      <c r="AT513" s="6">
        <v>19</v>
      </c>
      <c r="AU513" s="6">
        <v>11</v>
      </c>
      <c r="AV513" s="6">
        <v>2021</v>
      </c>
      <c r="AW513" s="6">
        <v>2437981</v>
      </c>
      <c r="AX513" s="6">
        <v>2437981</v>
      </c>
      <c r="AY513" s="6" t="s">
        <v>91</v>
      </c>
      <c r="AZ513" t="s">
        <v>92</v>
      </c>
      <c r="BA513" t="s">
        <v>93</v>
      </c>
      <c r="BB513" t="s">
        <v>3931</v>
      </c>
      <c r="BC513" t="s">
        <v>95</v>
      </c>
      <c r="BD513" s="1">
        <v>44722</v>
      </c>
      <c r="BE513" t="s">
        <v>96</v>
      </c>
      <c r="BG513" t="s">
        <v>97</v>
      </c>
      <c r="BI513" t="s">
        <v>98</v>
      </c>
      <c r="BJ513" t="s">
        <v>3932</v>
      </c>
      <c r="BL513" t="s">
        <v>100</v>
      </c>
    </row>
    <row r="514" spans="1:64" hidden="1" x14ac:dyDescent="0.2">
      <c r="A514">
        <v>1123</v>
      </c>
      <c r="B514">
        <v>4027015307</v>
      </c>
      <c r="C514" t="s">
        <v>101</v>
      </c>
      <c r="D514" t="s">
        <v>2198</v>
      </c>
      <c r="E514" t="s">
        <v>65</v>
      </c>
      <c r="F514" t="s">
        <v>66</v>
      </c>
      <c r="G514" t="s">
        <v>67</v>
      </c>
      <c r="H514" t="s">
        <v>68</v>
      </c>
      <c r="I514" t="s">
        <v>350</v>
      </c>
      <c r="J514" t="s">
        <v>351</v>
      </c>
      <c r="K514" t="s">
        <v>352</v>
      </c>
      <c r="M514" t="s">
        <v>72</v>
      </c>
      <c r="N514" t="s">
        <v>353</v>
      </c>
      <c r="O514" t="s">
        <v>352</v>
      </c>
      <c r="P514" t="s">
        <v>180</v>
      </c>
      <c r="Q514" t="s">
        <v>75</v>
      </c>
      <c r="R514" t="s">
        <v>2168</v>
      </c>
      <c r="S514" t="s">
        <v>2177</v>
      </c>
      <c r="T514" t="s">
        <v>78</v>
      </c>
      <c r="U514" t="s">
        <v>1822</v>
      </c>
      <c r="V514" t="s">
        <v>80</v>
      </c>
      <c r="W514" s="1">
        <v>44696</v>
      </c>
      <c r="X514" t="s">
        <v>1859</v>
      </c>
      <c r="Y514" t="s">
        <v>2178</v>
      </c>
      <c r="Z514" t="s">
        <v>83</v>
      </c>
      <c r="AA514">
        <v>1</v>
      </c>
      <c r="AB514" t="s">
        <v>657</v>
      </c>
      <c r="AD514" t="s">
        <v>112</v>
      </c>
      <c r="AE514" t="s">
        <v>145</v>
      </c>
      <c r="AF514" t="s">
        <v>146</v>
      </c>
      <c r="AG514" t="s">
        <v>2184</v>
      </c>
      <c r="AH514" t="s">
        <v>2185</v>
      </c>
      <c r="AI514" t="s">
        <v>90</v>
      </c>
      <c r="AJ514">
        <v>32.422614000000003</v>
      </c>
      <c r="AK514">
        <v>-110.73336399999999</v>
      </c>
      <c r="AL514">
        <v>174</v>
      </c>
      <c r="AP514">
        <v>2419.8365840000001</v>
      </c>
      <c r="AQ514">
        <v>2419.8365840000001</v>
      </c>
      <c r="AT514">
        <v>15</v>
      </c>
      <c r="AU514">
        <v>5</v>
      </c>
      <c r="AV514">
        <v>2022</v>
      </c>
      <c r="AW514">
        <v>4972385</v>
      </c>
      <c r="AX514">
        <v>2437431</v>
      </c>
      <c r="AY514" t="s">
        <v>106</v>
      </c>
      <c r="AZ514" t="s">
        <v>92</v>
      </c>
      <c r="BA514" t="s">
        <v>107</v>
      </c>
      <c r="BB514" t="s">
        <v>2199</v>
      </c>
      <c r="BC514" t="s">
        <v>97</v>
      </c>
      <c r="BE514" t="s">
        <v>96</v>
      </c>
      <c r="BG514" t="s">
        <v>1865</v>
      </c>
      <c r="BI514" t="s">
        <v>98</v>
      </c>
      <c r="BJ514" t="s">
        <v>2190</v>
      </c>
      <c r="BL514" t="s">
        <v>412</v>
      </c>
    </row>
    <row r="515" spans="1:64" hidden="1" x14ac:dyDescent="0.2">
      <c r="A515">
        <v>1117</v>
      </c>
      <c r="B515">
        <v>4027015313</v>
      </c>
      <c r="C515" t="s">
        <v>101</v>
      </c>
      <c r="D515" t="s">
        <v>2200</v>
      </c>
      <c r="E515" t="s">
        <v>65</v>
      </c>
      <c r="F515" t="s">
        <v>66</v>
      </c>
      <c r="G515" t="s">
        <v>67</v>
      </c>
      <c r="H515" t="s">
        <v>68</v>
      </c>
      <c r="I515" t="s">
        <v>350</v>
      </c>
      <c r="J515" t="s">
        <v>351</v>
      </c>
      <c r="K515" t="s">
        <v>352</v>
      </c>
      <c r="M515" t="s">
        <v>72</v>
      </c>
      <c r="N515" t="s">
        <v>353</v>
      </c>
      <c r="O515" t="s">
        <v>352</v>
      </c>
      <c r="P515" t="s">
        <v>180</v>
      </c>
      <c r="Q515" t="s">
        <v>75</v>
      </c>
      <c r="R515" t="s">
        <v>2168</v>
      </c>
      <c r="S515" t="s">
        <v>2177</v>
      </c>
      <c r="T515" t="s">
        <v>78</v>
      </c>
      <c r="U515" t="s">
        <v>1822</v>
      </c>
      <c r="V515" t="s">
        <v>80</v>
      </c>
      <c r="W515" s="1">
        <v>44696</v>
      </c>
      <c r="X515" t="s">
        <v>1859</v>
      </c>
      <c r="Y515" t="s">
        <v>2178</v>
      </c>
      <c r="Z515" t="s">
        <v>83</v>
      </c>
      <c r="AA515">
        <v>1</v>
      </c>
      <c r="AB515" t="s">
        <v>657</v>
      </c>
      <c r="AD515" t="s">
        <v>116</v>
      </c>
      <c r="AE515" t="s">
        <v>145</v>
      </c>
      <c r="AF515" t="s">
        <v>146</v>
      </c>
      <c r="AG515" t="s">
        <v>2184</v>
      </c>
      <c r="AH515" t="s">
        <v>2185</v>
      </c>
      <c r="AI515" t="s">
        <v>90</v>
      </c>
      <c r="AJ515">
        <v>32.422614000000003</v>
      </c>
      <c r="AK515">
        <v>-110.73336399999999</v>
      </c>
      <c r="AL515">
        <v>174</v>
      </c>
      <c r="AP515">
        <v>2419.8365840000001</v>
      </c>
      <c r="AQ515">
        <v>2419.8365840000001</v>
      </c>
      <c r="AT515">
        <v>15</v>
      </c>
      <c r="AU515">
        <v>5</v>
      </c>
      <c r="AV515">
        <v>2022</v>
      </c>
      <c r="AW515">
        <v>4972385</v>
      </c>
      <c r="AX515">
        <v>2437431</v>
      </c>
      <c r="AY515" t="s">
        <v>106</v>
      </c>
      <c r="AZ515" t="s">
        <v>92</v>
      </c>
      <c r="BA515" t="s">
        <v>107</v>
      </c>
      <c r="BB515" t="s">
        <v>2201</v>
      </c>
      <c r="BC515" t="s">
        <v>97</v>
      </c>
      <c r="BE515" t="s">
        <v>96</v>
      </c>
      <c r="BG515" t="s">
        <v>1865</v>
      </c>
      <c r="BI515" t="s">
        <v>98</v>
      </c>
      <c r="BJ515" t="s">
        <v>2190</v>
      </c>
      <c r="BL515" t="s">
        <v>412</v>
      </c>
    </row>
    <row r="516" spans="1:64" hidden="1" x14ac:dyDescent="0.2">
      <c r="A516">
        <v>742</v>
      </c>
      <c r="B516">
        <v>4070420495</v>
      </c>
      <c r="C516" t="s">
        <v>101</v>
      </c>
      <c r="D516" t="s">
        <v>2715</v>
      </c>
      <c r="E516" t="s">
        <v>65</v>
      </c>
      <c r="F516" t="s">
        <v>66</v>
      </c>
      <c r="G516" t="s">
        <v>67</v>
      </c>
      <c r="H516" t="s">
        <v>68</v>
      </c>
      <c r="I516" t="s">
        <v>176</v>
      </c>
      <c r="J516" t="s">
        <v>773</v>
      </c>
      <c r="K516" t="s">
        <v>774</v>
      </c>
      <c r="M516" t="s">
        <v>72</v>
      </c>
      <c r="N516" t="s">
        <v>775</v>
      </c>
      <c r="O516" t="s">
        <v>774</v>
      </c>
      <c r="P516" t="s">
        <v>776</v>
      </c>
      <c r="Q516" t="s">
        <v>75</v>
      </c>
      <c r="R516" t="s">
        <v>2238</v>
      </c>
      <c r="S516" t="s">
        <v>1110</v>
      </c>
      <c r="T516" t="s">
        <v>78</v>
      </c>
      <c r="U516" t="s">
        <v>1822</v>
      </c>
      <c r="V516" t="s">
        <v>80</v>
      </c>
      <c r="W516" s="1">
        <v>44813</v>
      </c>
      <c r="X516" t="s">
        <v>1823</v>
      </c>
      <c r="Y516" t="s">
        <v>2716</v>
      </c>
      <c r="Z516" t="s">
        <v>83</v>
      </c>
      <c r="AA516">
        <v>1</v>
      </c>
      <c r="AB516" t="s">
        <v>127</v>
      </c>
      <c r="AC516">
        <v>0</v>
      </c>
      <c r="AD516" t="s">
        <v>128</v>
      </c>
      <c r="AE516" t="s">
        <v>86</v>
      </c>
      <c r="AF516" t="s">
        <v>146</v>
      </c>
      <c r="AI516" t="s">
        <v>90</v>
      </c>
      <c r="AJ516">
        <v>32.441516999999997</v>
      </c>
      <c r="AK516">
        <v>-110.78713</v>
      </c>
      <c r="AL516">
        <v>3</v>
      </c>
      <c r="AN516">
        <v>2664</v>
      </c>
      <c r="AP516">
        <v>2664</v>
      </c>
      <c r="AQ516">
        <v>2777.210963</v>
      </c>
      <c r="AT516">
        <v>9</v>
      </c>
      <c r="AU516">
        <v>9</v>
      </c>
      <c r="AV516">
        <v>2022</v>
      </c>
      <c r="AW516">
        <v>2438447</v>
      </c>
      <c r="AX516">
        <v>2438447</v>
      </c>
      <c r="AY516" t="s">
        <v>106</v>
      </c>
      <c r="AZ516" t="s">
        <v>92</v>
      </c>
      <c r="BA516" t="s">
        <v>107</v>
      </c>
      <c r="BB516" t="s">
        <v>2717</v>
      </c>
      <c r="BC516" t="s">
        <v>2245</v>
      </c>
      <c r="BE516" t="s">
        <v>96</v>
      </c>
      <c r="BG516" t="s">
        <v>2246</v>
      </c>
      <c r="BI516" t="s">
        <v>98</v>
      </c>
      <c r="BJ516" t="s">
        <v>2718</v>
      </c>
      <c r="BL516" t="s">
        <v>412</v>
      </c>
    </row>
    <row r="517" spans="1:64" hidden="1" x14ac:dyDescent="0.2">
      <c r="A517">
        <v>1113</v>
      </c>
      <c r="B517">
        <v>4027015317</v>
      </c>
      <c r="C517" t="s">
        <v>101</v>
      </c>
      <c r="D517" t="s">
        <v>2207</v>
      </c>
      <c r="E517" t="s">
        <v>65</v>
      </c>
      <c r="F517" t="s">
        <v>66</v>
      </c>
      <c r="G517" t="s">
        <v>67</v>
      </c>
      <c r="H517" t="s">
        <v>68</v>
      </c>
      <c r="I517" t="s">
        <v>176</v>
      </c>
      <c r="J517" t="s">
        <v>177</v>
      </c>
      <c r="K517" t="s">
        <v>178</v>
      </c>
      <c r="M517" t="s">
        <v>72</v>
      </c>
      <c r="N517" t="s">
        <v>179</v>
      </c>
      <c r="O517" t="s">
        <v>178</v>
      </c>
      <c r="P517" t="s">
        <v>180</v>
      </c>
      <c r="Q517" t="s">
        <v>75</v>
      </c>
      <c r="R517" t="s">
        <v>2168</v>
      </c>
      <c r="S517" t="s">
        <v>2203</v>
      </c>
      <c r="T517" t="s">
        <v>78</v>
      </c>
      <c r="U517" t="s">
        <v>1822</v>
      </c>
      <c r="V517" t="s">
        <v>80</v>
      </c>
      <c r="W517" s="1">
        <v>44696</v>
      </c>
      <c r="X517" t="s">
        <v>1859</v>
      </c>
      <c r="Y517" t="s">
        <v>2204</v>
      </c>
      <c r="Z517" t="s">
        <v>83</v>
      </c>
      <c r="AA517">
        <v>1</v>
      </c>
      <c r="AB517" t="s">
        <v>657</v>
      </c>
      <c r="AD517" t="s">
        <v>343</v>
      </c>
      <c r="AE517" t="s">
        <v>86</v>
      </c>
      <c r="AF517" t="s">
        <v>146</v>
      </c>
      <c r="AG517" t="s">
        <v>2205</v>
      </c>
      <c r="AI517" t="s">
        <v>90</v>
      </c>
      <c r="AJ517">
        <v>32.422614000000003</v>
      </c>
      <c r="AK517">
        <v>-110.73336399999999</v>
      </c>
      <c r="AL517">
        <v>174</v>
      </c>
      <c r="AP517">
        <v>2419.8365840000001</v>
      </c>
      <c r="AQ517">
        <v>2419.8365840000001</v>
      </c>
      <c r="AT517">
        <v>15</v>
      </c>
      <c r="AU517">
        <v>5</v>
      </c>
      <c r="AV517">
        <v>2022</v>
      </c>
      <c r="AW517">
        <v>2438038</v>
      </c>
      <c r="AX517">
        <v>2438038</v>
      </c>
      <c r="AY517" t="s">
        <v>106</v>
      </c>
      <c r="AZ517" t="s">
        <v>92</v>
      </c>
      <c r="BA517" t="s">
        <v>107</v>
      </c>
      <c r="BB517" t="s">
        <v>2208</v>
      </c>
      <c r="BC517" t="s">
        <v>97</v>
      </c>
      <c r="BE517" t="s">
        <v>96</v>
      </c>
      <c r="BG517" t="s">
        <v>1865</v>
      </c>
      <c r="BI517" t="s">
        <v>98</v>
      </c>
      <c r="BJ517" t="s">
        <v>2172</v>
      </c>
      <c r="BL517" t="s">
        <v>412</v>
      </c>
    </row>
    <row r="518" spans="1:64" hidden="1" x14ac:dyDescent="0.2">
      <c r="A518">
        <v>738</v>
      </c>
      <c r="B518">
        <v>4070420499</v>
      </c>
      <c r="C518" t="s">
        <v>101</v>
      </c>
      <c r="D518" t="s">
        <v>2721</v>
      </c>
      <c r="E518" t="s">
        <v>65</v>
      </c>
      <c r="F518" t="s">
        <v>66</v>
      </c>
      <c r="G518" t="s">
        <v>67</v>
      </c>
      <c r="H518" t="s">
        <v>68</v>
      </c>
      <c r="I518" t="s">
        <v>176</v>
      </c>
      <c r="J518" t="s">
        <v>177</v>
      </c>
      <c r="K518" t="s">
        <v>1817</v>
      </c>
      <c r="M518" t="s">
        <v>72</v>
      </c>
      <c r="N518" t="s">
        <v>1818</v>
      </c>
      <c r="O518" t="s">
        <v>1817</v>
      </c>
      <c r="P518" t="s">
        <v>1819</v>
      </c>
      <c r="Q518" t="s">
        <v>75</v>
      </c>
      <c r="R518" t="s">
        <v>2238</v>
      </c>
      <c r="S518" t="s">
        <v>1125</v>
      </c>
      <c r="T518" t="s">
        <v>78</v>
      </c>
      <c r="U518" t="s">
        <v>1822</v>
      </c>
      <c r="V518" t="s">
        <v>80</v>
      </c>
      <c r="W518" s="1">
        <v>44813</v>
      </c>
      <c r="X518" t="s">
        <v>1823</v>
      </c>
      <c r="Y518" t="s">
        <v>2722</v>
      </c>
      <c r="Z518" t="s">
        <v>83</v>
      </c>
      <c r="AA518">
        <v>1</v>
      </c>
      <c r="AB518" t="s">
        <v>127</v>
      </c>
      <c r="AC518">
        <v>0</v>
      </c>
      <c r="AD518" t="s">
        <v>128</v>
      </c>
      <c r="AE518" t="s">
        <v>86</v>
      </c>
      <c r="AF518" t="s">
        <v>146</v>
      </c>
      <c r="AI518" t="s">
        <v>90</v>
      </c>
      <c r="AJ518">
        <v>32.442048999999997</v>
      </c>
      <c r="AK518">
        <v>-110.787525</v>
      </c>
      <c r="AL518">
        <v>3</v>
      </c>
      <c r="AN518">
        <v>2738</v>
      </c>
      <c r="AP518">
        <v>2738</v>
      </c>
      <c r="AQ518">
        <v>2775.0005230000002</v>
      </c>
      <c r="AT518">
        <v>9</v>
      </c>
      <c r="AU518">
        <v>9</v>
      </c>
      <c r="AV518">
        <v>2022</v>
      </c>
      <c r="AW518">
        <v>2437967</v>
      </c>
      <c r="AX518">
        <v>2437967</v>
      </c>
      <c r="AY518" t="s">
        <v>106</v>
      </c>
      <c r="AZ518" t="s">
        <v>92</v>
      </c>
      <c r="BA518" t="s">
        <v>107</v>
      </c>
      <c r="BB518" t="s">
        <v>2723</v>
      </c>
      <c r="BC518" t="s">
        <v>2245</v>
      </c>
      <c r="BE518" t="s">
        <v>96</v>
      </c>
      <c r="BG518" t="s">
        <v>2246</v>
      </c>
      <c r="BI518" t="s">
        <v>98</v>
      </c>
      <c r="BJ518" t="s">
        <v>2718</v>
      </c>
      <c r="BL518" t="s">
        <v>412</v>
      </c>
    </row>
    <row r="519" spans="1:64" hidden="1" x14ac:dyDescent="0.2">
      <c r="A519">
        <v>1052</v>
      </c>
      <c r="B519">
        <v>4027015378</v>
      </c>
      <c r="C519" t="s">
        <v>101</v>
      </c>
      <c r="D519" t="s">
        <v>2214</v>
      </c>
      <c r="E519" t="s">
        <v>65</v>
      </c>
      <c r="F519" t="s">
        <v>66</v>
      </c>
      <c r="G519" t="s">
        <v>67</v>
      </c>
      <c r="H519" t="s">
        <v>68</v>
      </c>
      <c r="I519" t="s">
        <v>350</v>
      </c>
      <c r="J519" t="s">
        <v>351</v>
      </c>
      <c r="K519" t="s">
        <v>352</v>
      </c>
      <c r="M519" t="s">
        <v>72</v>
      </c>
      <c r="N519" t="s">
        <v>353</v>
      </c>
      <c r="O519" t="s">
        <v>352</v>
      </c>
      <c r="P519" t="s">
        <v>180</v>
      </c>
      <c r="Q519" t="s">
        <v>75</v>
      </c>
      <c r="R519" t="s">
        <v>2168</v>
      </c>
      <c r="S519" t="s">
        <v>2210</v>
      </c>
      <c r="T519" t="s">
        <v>78</v>
      </c>
      <c r="U519" t="s">
        <v>1822</v>
      </c>
      <c r="V519" t="s">
        <v>80</v>
      </c>
      <c r="W519" s="1">
        <v>44696</v>
      </c>
      <c r="X519" t="s">
        <v>1859</v>
      </c>
      <c r="Y519" t="s">
        <v>2211</v>
      </c>
      <c r="Z519" t="s">
        <v>83</v>
      </c>
      <c r="AA519">
        <v>1</v>
      </c>
      <c r="AB519" t="s">
        <v>657</v>
      </c>
      <c r="AD519" t="s">
        <v>343</v>
      </c>
      <c r="AE519" t="s">
        <v>145</v>
      </c>
      <c r="AF519" t="s">
        <v>146</v>
      </c>
      <c r="AG519" t="s">
        <v>765</v>
      </c>
      <c r="AI519" t="s">
        <v>90</v>
      </c>
      <c r="AJ519">
        <v>32.422614000000003</v>
      </c>
      <c r="AK519">
        <v>-110.73336399999999</v>
      </c>
      <c r="AL519">
        <v>174</v>
      </c>
      <c r="AP519">
        <v>2419.8365840000001</v>
      </c>
      <c r="AQ519">
        <v>2419.8365840000001</v>
      </c>
      <c r="AT519">
        <v>15</v>
      </c>
      <c r="AU519">
        <v>5</v>
      </c>
      <c r="AV519">
        <v>2022</v>
      </c>
      <c r="AW519">
        <v>4972385</v>
      </c>
      <c r="AX519">
        <v>2437431</v>
      </c>
      <c r="AY519" t="s">
        <v>106</v>
      </c>
      <c r="AZ519" t="s">
        <v>92</v>
      </c>
      <c r="BA519" t="s">
        <v>107</v>
      </c>
      <c r="BB519" t="s">
        <v>2215</v>
      </c>
      <c r="BC519" t="s">
        <v>97</v>
      </c>
      <c r="BE519" t="s">
        <v>96</v>
      </c>
      <c r="BG519" t="s">
        <v>1865</v>
      </c>
      <c r="BI519" t="s">
        <v>98</v>
      </c>
      <c r="BJ519" t="s">
        <v>2055</v>
      </c>
      <c r="BL519" t="s">
        <v>412</v>
      </c>
    </row>
    <row r="520" spans="1:64" hidden="1" x14ac:dyDescent="0.2">
      <c r="A520">
        <v>771</v>
      </c>
      <c r="B520">
        <v>4070420466</v>
      </c>
      <c r="C520" t="s">
        <v>101</v>
      </c>
      <c r="D520" t="s">
        <v>2731</v>
      </c>
      <c r="E520" t="s">
        <v>65</v>
      </c>
      <c r="F520" t="s">
        <v>66</v>
      </c>
      <c r="G520" t="s">
        <v>67</v>
      </c>
      <c r="H520" t="s">
        <v>68</v>
      </c>
      <c r="I520" t="s">
        <v>176</v>
      </c>
      <c r="J520" t="s">
        <v>773</v>
      </c>
      <c r="K520" t="s">
        <v>774</v>
      </c>
      <c r="M520" t="s">
        <v>72</v>
      </c>
      <c r="N520" t="s">
        <v>775</v>
      </c>
      <c r="O520" t="s">
        <v>774</v>
      </c>
      <c r="P520" t="s">
        <v>776</v>
      </c>
      <c r="Q520" t="s">
        <v>75</v>
      </c>
      <c r="R520" t="s">
        <v>2238</v>
      </c>
      <c r="S520" t="s">
        <v>916</v>
      </c>
      <c r="T520" t="s">
        <v>78</v>
      </c>
      <c r="U520" t="s">
        <v>1822</v>
      </c>
      <c r="V520" t="s">
        <v>80</v>
      </c>
      <c r="W520" s="1">
        <v>44813</v>
      </c>
      <c r="X520" t="s">
        <v>1823</v>
      </c>
      <c r="Y520" t="s">
        <v>2729</v>
      </c>
      <c r="Z520" t="s">
        <v>83</v>
      </c>
      <c r="AA520">
        <v>1</v>
      </c>
      <c r="AB520" t="s">
        <v>127</v>
      </c>
      <c r="AC520">
        <v>0</v>
      </c>
      <c r="AD520" t="s">
        <v>128</v>
      </c>
      <c r="AE520" t="s">
        <v>86</v>
      </c>
      <c r="AF520" t="s">
        <v>87</v>
      </c>
      <c r="AI520" t="s">
        <v>90</v>
      </c>
      <c r="AJ520">
        <v>32.441465999999998</v>
      </c>
      <c r="AK520">
        <v>-110.786929</v>
      </c>
      <c r="AL520">
        <v>3</v>
      </c>
      <c r="AN520">
        <v>2725</v>
      </c>
      <c r="AP520">
        <v>2725</v>
      </c>
      <c r="AQ520">
        <v>2777.7950350000001</v>
      </c>
      <c r="AT520">
        <v>9</v>
      </c>
      <c r="AU520">
        <v>9</v>
      </c>
      <c r="AV520">
        <v>2022</v>
      </c>
      <c r="AW520">
        <v>2438447</v>
      </c>
      <c r="AX520">
        <v>2438447</v>
      </c>
      <c r="AY520" t="s">
        <v>106</v>
      </c>
      <c r="AZ520" t="s">
        <v>92</v>
      </c>
      <c r="BA520" t="s">
        <v>107</v>
      </c>
      <c r="BB520" t="s">
        <v>2732</v>
      </c>
      <c r="BC520" t="s">
        <v>2245</v>
      </c>
      <c r="BE520" t="s">
        <v>96</v>
      </c>
      <c r="BG520" t="s">
        <v>2246</v>
      </c>
      <c r="BI520" t="s">
        <v>98</v>
      </c>
      <c r="BJ520" t="s">
        <v>2733</v>
      </c>
      <c r="BL520" t="s">
        <v>412</v>
      </c>
    </row>
    <row r="521" spans="1:64" x14ac:dyDescent="0.2">
      <c r="A521">
        <v>1453</v>
      </c>
      <c r="B521">
        <v>3748770428</v>
      </c>
      <c r="C521" t="s">
        <v>63</v>
      </c>
      <c r="D521" t="s">
        <v>3954</v>
      </c>
      <c r="E521" t="s">
        <v>65</v>
      </c>
      <c r="F521" t="s">
        <v>66</v>
      </c>
      <c r="G521" t="s">
        <v>67</v>
      </c>
      <c r="H521" t="s">
        <v>68</v>
      </c>
      <c r="I521" t="s">
        <v>176</v>
      </c>
      <c r="J521" t="s">
        <v>773</v>
      </c>
      <c r="K521" t="s">
        <v>1347</v>
      </c>
      <c r="M521" t="s">
        <v>72</v>
      </c>
      <c r="N521" t="s">
        <v>1348</v>
      </c>
      <c r="O521" t="s">
        <v>1347</v>
      </c>
      <c r="P521" t="s">
        <v>1349</v>
      </c>
      <c r="Q521" t="s">
        <v>75</v>
      </c>
      <c r="R521" t="s">
        <v>3955</v>
      </c>
      <c r="S521" t="s">
        <v>3956</v>
      </c>
      <c r="T521" t="s">
        <v>78</v>
      </c>
      <c r="U521" t="s">
        <v>3817</v>
      </c>
      <c r="V521" t="s">
        <v>80</v>
      </c>
      <c r="W521" s="1">
        <v>44519</v>
      </c>
      <c r="X521" t="s">
        <v>3818</v>
      </c>
      <c r="Y521" t="s">
        <v>3957</v>
      </c>
      <c r="Z521" t="s">
        <v>83</v>
      </c>
      <c r="AA521">
        <v>1</v>
      </c>
      <c r="AB521" t="s">
        <v>3958</v>
      </c>
      <c r="AC521">
        <v>1</v>
      </c>
      <c r="AD521" s="6" t="s">
        <v>85</v>
      </c>
      <c r="AE521" s="6" t="s">
        <v>86</v>
      </c>
      <c r="AF521" s="6" t="s">
        <v>146</v>
      </c>
      <c r="AG521" s="6" t="s">
        <v>3959</v>
      </c>
      <c r="AH521" s="6" t="s">
        <v>3960</v>
      </c>
      <c r="AI521" s="6" t="s">
        <v>90</v>
      </c>
      <c r="AJ521" s="6">
        <v>32.516480000000001</v>
      </c>
      <c r="AK521" s="6">
        <v>-110.685751</v>
      </c>
      <c r="AL521" s="6">
        <v>3</v>
      </c>
      <c r="AM521" s="6"/>
      <c r="AN521" s="6">
        <v>1358</v>
      </c>
      <c r="AO521" s="6"/>
      <c r="AP521" s="6">
        <v>1358</v>
      </c>
      <c r="AQ521" s="6">
        <v>1349.1764189999999</v>
      </c>
      <c r="AR521" s="6"/>
      <c r="AS521" s="6"/>
      <c r="AT521" s="6">
        <v>19</v>
      </c>
      <c r="AU521" s="6">
        <v>11</v>
      </c>
      <c r="AV521" s="6">
        <v>2021</v>
      </c>
      <c r="AW521" s="6">
        <v>2438454</v>
      </c>
      <c r="AX521" s="6">
        <v>2438454</v>
      </c>
      <c r="AY521" s="6" t="s">
        <v>91</v>
      </c>
      <c r="AZ521" t="s">
        <v>92</v>
      </c>
      <c r="BA521" t="s">
        <v>93</v>
      </c>
      <c r="BB521" t="s">
        <v>3961</v>
      </c>
      <c r="BC521" t="s">
        <v>97</v>
      </c>
      <c r="BE521" t="s">
        <v>96</v>
      </c>
      <c r="BG521" t="s">
        <v>97</v>
      </c>
      <c r="BI521" t="s">
        <v>98</v>
      </c>
      <c r="BJ521" t="s">
        <v>3853</v>
      </c>
      <c r="BL521" t="s">
        <v>100</v>
      </c>
    </row>
    <row r="522" spans="1:64" hidden="1" x14ac:dyDescent="0.2">
      <c r="A522">
        <v>1049</v>
      </c>
      <c r="B522">
        <v>4027015381</v>
      </c>
      <c r="C522" t="s">
        <v>101</v>
      </c>
      <c r="D522" t="s">
        <v>2223</v>
      </c>
      <c r="E522" t="s">
        <v>65</v>
      </c>
      <c r="F522" t="s">
        <v>66</v>
      </c>
      <c r="G522" t="s">
        <v>67</v>
      </c>
      <c r="H522" t="s">
        <v>68</v>
      </c>
      <c r="I522" t="s">
        <v>176</v>
      </c>
      <c r="J522" t="s">
        <v>177</v>
      </c>
      <c r="K522" t="s">
        <v>178</v>
      </c>
      <c r="M522" t="s">
        <v>72</v>
      </c>
      <c r="N522" t="s">
        <v>179</v>
      </c>
      <c r="O522" t="s">
        <v>178</v>
      </c>
      <c r="P522" t="s">
        <v>180</v>
      </c>
      <c r="Q522" t="s">
        <v>75</v>
      </c>
      <c r="R522" t="s">
        <v>2168</v>
      </c>
      <c r="S522" t="s">
        <v>978</v>
      </c>
      <c r="T522" t="s">
        <v>78</v>
      </c>
      <c r="U522" t="s">
        <v>1822</v>
      </c>
      <c r="V522" t="s">
        <v>80</v>
      </c>
      <c r="W522" s="1">
        <v>44696</v>
      </c>
      <c r="X522" t="s">
        <v>1859</v>
      </c>
      <c r="Y522" t="s">
        <v>2217</v>
      </c>
      <c r="Z522" t="s">
        <v>83</v>
      </c>
      <c r="AA522">
        <v>1</v>
      </c>
      <c r="AB522" t="s">
        <v>657</v>
      </c>
      <c r="AD522" t="s">
        <v>343</v>
      </c>
      <c r="AE522" t="s">
        <v>86</v>
      </c>
      <c r="AF522" t="s">
        <v>146</v>
      </c>
      <c r="AG522" t="s">
        <v>2218</v>
      </c>
      <c r="AI522" t="s">
        <v>90</v>
      </c>
      <c r="AJ522">
        <v>32.42268</v>
      </c>
      <c r="AK522">
        <v>-110.733845</v>
      </c>
      <c r="AN522">
        <v>2423</v>
      </c>
      <c r="AP522">
        <v>2423</v>
      </c>
      <c r="AQ522">
        <v>2422.149152</v>
      </c>
      <c r="AT522">
        <v>15</v>
      </c>
      <c r="AU522">
        <v>5</v>
      </c>
      <c r="AV522">
        <v>2022</v>
      </c>
      <c r="AW522">
        <v>2438038</v>
      </c>
      <c r="AX522">
        <v>2438038</v>
      </c>
      <c r="AY522" t="s">
        <v>106</v>
      </c>
      <c r="AZ522" t="s">
        <v>92</v>
      </c>
      <c r="BA522" t="s">
        <v>107</v>
      </c>
      <c r="BB522" t="s">
        <v>2224</v>
      </c>
      <c r="BC522" t="s">
        <v>97</v>
      </c>
      <c r="BE522" t="s">
        <v>96</v>
      </c>
      <c r="BG522" t="s">
        <v>1865</v>
      </c>
      <c r="BI522" t="s">
        <v>98</v>
      </c>
      <c r="BJ522" t="s">
        <v>2225</v>
      </c>
      <c r="BL522" t="s">
        <v>412</v>
      </c>
    </row>
    <row r="523" spans="1:64" hidden="1" x14ac:dyDescent="0.2">
      <c r="A523">
        <v>769</v>
      </c>
      <c r="B523">
        <v>4070420468</v>
      </c>
      <c r="C523" t="s">
        <v>101</v>
      </c>
      <c r="D523" t="s">
        <v>2734</v>
      </c>
      <c r="E523" t="s">
        <v>65</v>
      </c>
      <c r="F523" t="s">
        <v>66</v>
      </c>
      <c r="G523" t="s">
        <v>67</v>
      </c>
      <c r="H523" t="s">
        <v>68</v>
      </c>
      <c r="I523" t="s">
        <v>176</v>
      </c>
      <c r="J523" t="s">
        <v>177</v>
      </c>
      <c r="K523" t="s">
        <v>1817</v>
      </c>
      <c r="M523" t="s">
        <v>72</v>
      </c>
      <c r="N523" t="s">
        <v>1818</v>
      </c>
      <c r="O523" t="s">
        <v>1817</v>
      </c>
      <c r="P523" t="s">
        <v>1819</v>
      </c>
      <c r="Q523" t="s">
        <v>75</v>
      </c>
      <c r="R523" t="s">
        <v>2238</v>
      </c>
      <c r="S523" t="s">
        <v>2735</v>
      </c>
      <c r="T523" t="s">
        <v>78</v>
      </c>
      <c r="U523" t="s">
        <v>1822</v>
      </c>
      <c r="V523" t="s">
        <v>80</v>
      </c>
      <c r="W523" s="1">
        <v>44813</v>
      </c>
      <c r="X523" t="s">
        <v>1823</v>
      </c>
      <c r="Y523" t="s">
        <v>2736</v>
      </c>
      <c r="Z523" t="s">
        <v>83</v>
      </c>
      <c r="AA523">
        <v>1</v>
      </c>
      <c r="AB523" t="s">
        <v>127</v>
      </c>
      <c r="AC523">
        <v>0</v>
      </c>
      <c r="AD523" t="s">
        <v>128</v>
      </c>
      <c r="AE523" t="s">
        <v>145</v>
      </c>
      <c r="AF523" t="s">
        <v>281</v>
      </c>
      <c r="AI523" t="s">
        <v>90</v>
      </c>
      <c r="AJ523">
        <v>32.441552999999999</v>
      </c>
      <c r="AK523">
        <v>-110.787147</v>
      </c>
      <c r="AL523">
        <v>3</v>
      </c>
      <c r="AN523">
        <v>2663</v>
      </c>
      <c r="AP523">
        <v>2663</v>
      </c>
      <c r="AQ523">
        <v>2776.0920230000002</v>
      </c>
      <c r="AT523">
        <v>9</v>
      </c>
      <c r="AU523">
        <v>9</v>
      </c>
      <c r="AV523">
        <v>2022</v>
      </c>
      <c r="AW523">
        <v>2437967</v>
      </c>
      <c r="AX523">
        <v>2437967</v>
      </c>
      <c r="AY523" t="s">
        <v>106</v>
      </c>
      <c r="AZ523" t="s">
        <v>92</v>
      </c>
      <c r="BA523" t="s">
        <v>107</v>
      </c>
      <c r="BB523" t="s">
        <v>2737</v>
      </c>
      <c r="BC523" t="s">
        <v>2245</v>
      </c>
      <c r="BE523" t="s">
        <v>96</v>
      </c>
      <c r="BG523" t="s">
        <v>2246</v>
      </c>
      <c r="BI523" t="s">
        <v>98</v>
      </c>
      <c r="BJ523" t="s">
        <v>1660</v>
      </c>
      <c r="BL523" t="s">
        <v>412</v>
      </c>
    </row>
    <row r="524" spans="1:64" hidden="1" x14ac:dyDescent="0.2">
      <c r="A524">
        <v>1047</v>
      </c>
      <c r="B524">
        <v>4027015383</v>
      </c>
      <c r="C524" t="s">
        <v>101</v>
      </c>
      <c r="D524" t="s">
        <v>2229</v>
      </c>
      <c r="E524" t="s">
        <v>65</v>
      </c>
      <c r="F524" t="s">
        <v>66</v>
      </c>
      <c r="G524" t="s">
        <v>67</v>
      </c>
      <c r="H524" t="s">
        <v>68</v>
      </c>
      <c r="I524" t="s">
        <v>350</v>
      </c>
      <c r="J524" t="s">
        <v>351</v>
      </c>
      <c r="K524" t="s">
        <v>352</v>
      </c>
      <c r="M524" t="s">
        <v>72</v>
      </c>
      <c r="N524" t="s">
        <v>353</v>
      </c>
      <c r="O524" t="s">
        <v>352</v>
      </c>
      <c r="P524" t="s">
        <v>180</v>
      </c>
      <c r="Q524" t="s">
        <v>75</v>
      </c>
      <c r="R524" t="s">
        <v>2168</v>
      </c>
      <c r="S524" t="s">
        <v>987</v>
      </c>
      <c r="T524" t="s">
        <v>78</v>
      </c>
      <c r="U524" t="s">
        <v>1822</v>
      </c>
      <c r="V524" t="s">
        <v>80</v>
      </c>
      <c r="W524" s="1">
        <v>44696</v>
      </c>
      <c r="X524" t="s">
        <v>1859</v>
      </c>
      <c r="Y524" t="s">
        <v>2227</v>
      </c>
      <c r="Z524" t="s">
        <v>83</v>
      </c>
      <c r="AA524">
        <v>1</v>
      </c>
      <c r="AB524" t="s">
        <v>657</v>
      </c>
      <c r="AD524" t="s">
        <v>343</v>
      </c>
      <c r="AE524" t="s">
        <v>86</v>
      </c>
      <c r="AF524" t="s">
        <v>146</v>
      </c>
      <c r="AG524" t="s">
        <v>1034</v>
      </c>
      <c r="AI524" t="s">
        <v>90</v>
      </c>
      <c r="AJ524">
        <v>32.423360000000002</v>
      </c>
      <c r="AK524">
        <v>-110.733923</v>
      </c>
      <c r="AN524">
        <v>2424</v>
      </c>
      <c r="AP524">
        <v>2424</v>
      </c>
      <c r="AQ524">
        <v>2409.295623</v>
      </c>
      <c r="AT524">
        <v>15</v>
      </c>
      <c r="AU524">
        <v>5</v>
      </c>
      <c r="AV524">
        <v>2022</v>
      </c>
      <c r="AW524">
        <v>4972385</v>
      </c>
      <c r="AX524">
        <v>2437431</v>
      </c>
      <c r="AY524" t="s">
        <v>106</v>
      </c>
      <c r="AZ524" t="s">
        <v>92</v>
      </c>
      <c r="BA524" t="s">
        <v>107</v>
      </c>
      <c r="BB524" t="s">
        <v>2230</v>
      </c>
      <c r="BC524" t="s">
        <v>97</v>
      </c>
      <c r="BE524" t="s">
        <v>96</v>
      </c>
      <c r="BG524" t="s">
        <v>1865</v>
      </c>
      <c r="BI524" t="s">
        <v>98</v>
      </c>
      <c r="BJ524" t="s">
        <v>2225</v>
      </c>
      <c r="BL524" t="s">
        <v>110</v>
      </c>
    </row>
    <row r="525" spans="1:64" hidden="1" x14ac:dyDescent="0.2">
      <c r="A525">
        <v>683</v>
      </c>
      <c r="B525">
        <v>4070420554</v>
      </c>
      <c r="C525" t="s">
        <v>101</v>
      </c>
      <c r="D525" t="s">
        <v>2247</v>
      </c>
      <c r="E525" t="s">
        <v>65</v>
      </c>
      <c r="F525" t="s">
        <v>66</v>
      </c>
      <c r="G525" t="s">
        <v>67</v>
      </c>
      <c r="H525" t="s">
        <v>2232</v>
      </c>
      <c r="I525" t="s">
        <v>2233</v>
      </c>
      <c r="J525" t="s">
        <v>2234</v>
      </c>
      <c r="K525" t="s">
        <v>2235</v>
      </c>
      <c r="M525" t="s">
        <v>72</v>
      </c>
      <c r="N525" t="s">
        <v>2236</v>
      </c>
      <c r="O525" t="s">
        <v>2235</v>
      </c>
      <c r="P525" t="s">
        <v>2237</v>
      </c>
      <c r="Q525" t="s">
        <v>75</v>
      </c>
      <c r="R525" t="s">
        <v>2238</v>
      </c>
      <c r="S525" t="s">
        <v>2239</v>
      </c>
      <c r="T525" t="s">
        <v>78</v>
      </c>
      <c r="U525" t="s">
        <v>1822</v>
      </c>
      <c r="V525" t="s">
        <v>80</v>
      </c>
      <c r="W525" s="1">
        <v>44813</v>
      </c>
      <c r="X525" t="s">
        <v>1823</v>
      </c>
      <c r="Y525" t="s">
        <v>2240</v>
      </c>
      <c r="Z525" t="s">
        <v>83</v>
      </c>
      <c r="AA525">
        <v>1</v>
      </c>
      <c r="AB525" t="s">
        <v>2248</v>
      </c>
      <c r="AD525" t="s">
        <v>378</v>
      </c>
      <c r="AE525" t="s">
        <v>145</v>
      </c>
      <c r="AF525" t="s">
        <v>146</v>
      </c>
      <c r="AG525" t="s">
        <v>2242</v>
      </c>
      <c r="AH525" t="s">
        <v>2249</v>
      </c>
      <c r="AI525" t="s">
        <v>90</v>
      </c>
      <c r="AJ525">
        <v>32.441406999999998</v>
      </c>
      <c r="AK525">
        <v>-110.78778200000001</v>
      </c>
      <c r="AL525">
        <v>15</v>
      </c>
      <c r="AN525">
        <v>2770</v>
      </c>
      <c r="AP525">
        <v>2770</v>
      </c>
      <c r="AQ525">
        <v>2788.9607980000001</v>
      </c>
      <c r="AT525">
        <v>9</v>
      </c>
      <c r="AU525">
        <v>9</v>
      </c>
      <c r="AV525">
        <v>2022</v>
      </c>
      <c r="AW525">
        <v>2436019</v>
      </c>
      <c r="AX525">
        <v>2436019</v>
      </c>
      <c r="AY525" t="s">
        <v>106</v>
      </c>
      <c r="AZ525" t="s">
        <v>92</v>
      </c>
      <c r="BA525" t="s">
        <v>107</v>
      </c>
      <c r="BB525" t="s">
        <v>2250</v>
      </c>
      <c r="BC525" t="s">
        <v>2245</v>
      </c>
      <c r="BE525" t="s">
        <v>96</v>
      </c>
      <c r="BG525" t="s">
        <v>2246</v>
      </c>
      <c r="BI525" t="s">
        <v>98</v>
      </c>
      <c r="BJ525" t="s">
        <v>2251</v>
      </c>
      <c r="BL525" t="s">
        <v>412</v>
      </c>
    </row>
    <row r="526" spans="1:64" hidden="1" x14ac:dyDescent="0.2">
      <c r="A526">
        <v>702</v>
      </c>
      <c r="B526">
        <v>4070420535</v>
      </c>
      <c r="C526" t="s">
        <v>101</v>
      </c>
      <c r="D526" t="s">
        <v>2252</v>
      </c>
      <c r="E526" t="s">
        <v>65</v>
      </c>
      <c r="F526" t="s">
        <v>66</v>
      </c>
      <c r="G526" t="s">
        <v>67</v>
      </c>
      <c r="H526" t="s">
        <v>2232</v>
      </c>
      <c r="I526" t="s">
        <v>2233</v>
      </c>
      <c r="J526" t="s">
        <v>2234</v>
      </c>
      <c r="K526" t="s">
        <v>2235</v>
      </c>
      <c r="M526" t="s">
        <v>72</v>
      </c>
      <c r="N526" t="s">
        <v>2236</v>
      </c>
      <c r="O526" t="s">
        <v>2235</v>
      </c>
      <c r="P526" t="s">
        <v>2237</v>
      </c>
      <c r="Q526" t="s">
        <v>75</v>
      </c>
      <c r="R526" t="s">
        <v>2238</v>
      </c>
      <c r="S526" t="s">
        <v>2239</v>
      </c>
      <c r="T526" t="s">
        <v>78</v>
      </c>
      <c r="U526" t="s">
        <v>1822</v>
      </c>
      <c r="V526" t="s">
        <v>80</v>
      </c>
      <c r="W526" s="1">
        <v>44813</v>
      </c>
      <c r="X526" t="s">
        <v>1823</v>
      </c>
      <c r="Y526" t="s">
        <v>2240</v>
      </c>
      <c r="Z526" t="s">
        <v>83</v>
      </c>
      <c r="AA526">
        <v>1</v>
      </c>
      <c r="AB526" t="s">
        <v>103</v>
      </c>
      <c r="AD526" t="s">
        <v>112</v>
      </c>
      <c r="AE526" t="s">
        <v>145</v>
      </c>
      <c r="AF526" t="s">
        <v>146</v>
      </c>
      <c r="AG526" t="s">
        <v>2242</v>
      </c>
      <c r="AH526" t="s">
        <v>2249</v>
      </c>
      <c r="AI526" t="s">
        <v>90</v>
      </c>
      <c r="AJ526">
        <v>32.441406999999998</v>
      </c>
      <c r="AK526">
        <v>-110.78778200000001</v>
      </c>
      <c r="AL526">
        <v>15</v>
      </c>
      <c r="AN526">
        <v>2770</v>
      </c>
      <c r="AP526">
        <v>2770</v>
      </c>
      <c r="AQ526">
        <v>2788.9607980000001</v>
      </c>
      <c r="AT526">
        <v>9</v>
      </c>
      <c r="AU526">
        <v>9</v>
      </c>
      <c r="AV526">
        <v>2022</v>
      </c>
      <c r="AW526">
        <v>2436019</v>
      </c>
      <c r="AX526">
        <v>2436019</v>
      </c>
      <c r="AY526" t="s">
        <v>106</v>
      </c>
      <c r="AZ526" t="s">
        <v>92</v>
      </c>
      <c r="BA526" t="s">
        <v>107</v>
      </c>
      <c r="BB526" t="s">
        <v>2253</v>
      </c>
      <c r="BC526" t="s">
        <v>2245</v>
      </c>
      <c r="BE526" t="s">
        <v>96</v>
      </c>
      <c r="BG526" t="s">
        <v>2246</v>
      </c>
      <c r="BI526" t="s">
        <v>98</v>
      </c>
      <c r="BJ526" t="s">
        <v>2254</v>
      </c>
      <c r="BL526" t="s">
        <v>412</v>
      </c>
    </row>
    <row r="527" spans="1:64" hidden="1" x14ac:dyDescent="0.2">
      <c r="A527">
        <v>701</v>
      </c>
      <c r="B527">
        <v>4070420536</v>
      </c>
      <c r="C527" t="s">
        <v>101</v>
      </c>
      <c r="D527" t="s">
        <v>2255</v>
      </c>
      <c r="E527" t="s">
        <v>65</v>
      </c>
      <c r="F527" t="s">
        <v>66</v>
      </c>
      <c r="G527" t="s">
        <v>67</v>
      </c>
      <c r="H527" t="s">
        <v>2232</v>
      </c>
      <c r="I527" t="s">
        <v>2233</v>
      </c>
      <c r="J527" t="s">
        <v>2234</v>
      </c>
      <c r="K527" t="s">
        <v>2235</v>
      </c>
      <c r="M527" t="s">
        <v>72</v>
      </c>
      <c r="N527" t="s">
        <v>2236</v>
      </c>
      <c r="O527" t="s">
        <v>2235</v>
      </c>
      <c r="P527" t="s">
        <v>2237</v>
      </c>
      <c r="Q527" t="s">
        <v>75</v>
      </c>
      <c r="R527" t="s">
        <v>2238</v>
      </c>
      <c r="S527" t="s">
        <v>2239</v>
      </c>
      <c r="T527" t="s">
        <v>78</v>
      </c>
      <c r="U527" t="s">
        <v>1822</v>
      </c>
      <c r="V527" t="s">
        <v>80</v>
      </c>
      <c r="W527" s="1">
        <v>44813</v>
      </c>
      <c r="X527" t="s">
        <v>1823</v>
      </c>
      <c r="Y527" t="s">
        <v>2240</v>
      </c>
      <c r="Z527" t="s">
        <v>83</v>
      </c>
      <c r="AA527">
        <v>1</v>
      </c>
      <c r="AB527" t="s">
        <v>103</v>
      </c>
      <c r="AD527" t="s">
        <v>116</v>
      </c>
      <c r="AE527" t="s">
        <v>145</v>
      </c>
      <c r="AF527" t="s">
        <v>146</v>
      </c>
      <c r="AG527" t="s">
        <v>2242</v>
      </c>
      <c r="AH527" t="s">
        <v>2249</v>
      </c>
      <c r="AI527" t="s">
        <v>90</v>
      </c>
      <c r="AJ527">
        <v>32.441406999999998</v>
      </c>
      <c r="AK527">
        <v>-110.78778200000001</v>
      </c>
      <c r="AL527">
        <v>15</v>
      </c>
      <c r="AN527">
        <v>2770</v>
      </c>
      <c r="AP527">
        <v>2770</v>
      </c>
      <c r="AQ527">
        <v>2788.9607980000001</v>
      </c>
      <c r="AT527">
        <v>9</v>
      </c>
      <c r="AU527">
        <v>9</v>
      </c>
      <c r="AV527">
        <v>2022</v>
      </c>
      <c r="AW527">
        <v>2436019</v>
      </c>
      <c r="AX527">
        <v>2436019</v>
      </c>
      <c r="AY527" t="s">
        <v>106</v>
      </c>
      <c r="AZ527" t="s">
        <v>92</v>
      </c>
      <c r="BA527" t="s">
        <v>107</v>
      </c>
      <c r="BB527" t="s">
        <v>2256</v>
      </c>
      <c r="BC527" t="s">
        <v>2245</v>
      </c>
      <c r="BE527" t="s">
        <v>96</v>
      </c>
      <c r="BG527" t="s">
        <v>2246</v>
      </c>
      <c r="BI527" t="s">
        <v>98</v>
      </c>
      <c r="BJ527" t="s">
        <v>2257</v>
      </c>
      <c r="BL527" t="s">
        <v>412</v>
      </c>
    </row>
    <row r="528" spans="1:64" hidden="1" x14ac:dyDescent="0.2">
      <c r="A528">
        <v>700</v>
      </c>
      <c r="B528">
        <v>4070420537</v>
      </c>
      <c r="C528" t="s">
        <v>101</v>
      </c>
      <c r="D528" t="s">
        <v>2258</v>
      </c>
      <c r="E528" t="s">
        <v>65</v>
      </c>
      <c r="F528" t="s">
        <v>66</v>
      </c>
      <c r="G528" t="s">
        <v>67</v>
      </c>
      <c r="H528" t="s">
        <v>2232</v>
      </c>
      <c r="I528" t="s">
        <v>2233</v>
      </c>
      <c r="J528" t="s">
        <v>2234</v>
      </c>
      <c r="K528" t="s">
        <v>2235</v>
      </c>
      <c r="M528" t="s">
        <v>72</v>
      </c>
      <c r="N528" t="s">
        <v>2236</v>
      </c>
      <c r="O528" t="s">
        <v>2235</v>
      </c>
      <c r="P528" t="s">
        <v>2237</v>
      </c>
      <c r="Q528" t="s">
        <v>75</v>
      </c>
      <c r="R528" t="s">
        <v>2238</v>
      </c>
      <c r="S528" t="s">
        <v>2239</v>
      </c>
      <c r="T528" t="s">
        <v>78</v>
      </c>
      <c r="U528" t="s">
        <v>1822</v>
      </c>
      <c r="V528" t="s">
        <v>80</v>
      </c>
      <c r="W528" s="1">
        <v>44813</v>
      </c>
      <c r="X528" t="s">
        <v>1823</v>
      </c>
      <c r="Y528" t="s">
        <v>2240</v>
      </c>
      <c r="Z528" t="s">
        <v>83</v>
      </c>
      <c r="AA528">
        <v>1</v>
      </c>
      <c r="AB528" t="s">
        <v>103</v>
      </c>
      <c r="AD528" t="s">
        <v>104</v>
      </c>
      <c r="AE528" t="s">
        <v>145</v>
      </c>
      <c r="AF528" t="s">
        <v>146</v>
      </c>
      <c r="AG528" t="s">
        <v>2242</v>
      </c>
      <c r="AH528" t="s">
        <v>2249</v>
      </c>
      <c r="AI528" t="s">
        <v>90</v>
      </c>
      <c r="AJ528">
        <v>32.441406999999998</v>
      </c>
      <c r="AK528">
        <v>-110.78778200000001</v>
      </c>
      <c r="AL528">
        <v>15</v>
      </c>
      <c r="AN528">
        <v>2770</v>
      </c>
      <c r="AP528">
        <v>2770</v>
      </c>
      <c r="AQ528">
        <v>2788.9607980000001</v>
      </c>
      <c r="AT528">
        <v>9</v>
      </c>
      <c r="AU528">
        <v>9</v>
      </c>
      <c r="AV528">
        <v>2022</v>
      </c>
      <c r="AW528">
        <v>2436019</v>
      </c>
      <c r="AX528">
        <v>2436019</v>
      </c>
      <c r="AY528" t="s">
        <v>106</v>
      </c>
      <c r="AZ528" t="s">
        <v>92</v>
      </c>
      <c r="BA528" t="s">
        <v>107</v>
      </c>
      <c r="BB528" t="s">
        <v>2259</v>
      </c>
      <c r="BC528" t="s">
        <v>2245</v>
      </c>
      <c r="BE528" t="s">
        <v>96</v>
      </c>
      <c r="BG528" t="s">
        <v>2246</v>
      </c>
      <c r="BI528" t="s">
        <v>98</v>
      </c>
      <c r="BJ528" t="s">
        <v>2260</v>
      </c>
      <c r="BL528" t="s">
        <v>412</v>
      </c>
    </row>
    <row r="529" spans="1:64" hidden="1" x14ac:dyDescent="0.2">
      <c r="A529">
        <v>699</v>
      </c>
      <c r="B529">
        <v>4070420538</v>
      </c>
      <c r="C529" t="s">
        <v>101</v>
      </c>
      <c r="D529" t="s">
        <v>2261</v>
      </c>
      <c r="E529" t="s">
        <v>65</v>
      </c>
      <c r="F529" t="s">
        <v>66</v>
      </c>
      <c r="G529" t="s">
        <v>67</v>
      </c>
      <c r="H529" t="s">
        <v>2232</v>
      </c>
      <c r="I529" t="s">
        <v>2233</v>
      </c>
      <c r="J529" t="s">
        <v>2234</v>
      </c>
      <c r="K529" t="s">
        <v>2235</v>
      </c>
      <c r="M529" t="s">
        <v>72</v>
      </c>
      <c r="N529" t="s">
        <v>2236</v>
      </c>
      <c r="O529" t="s">
        <v>2235</v>
      </c>
      <c r="P529" t="s">
        <v>2237</v>
      </c>
      <c r="Q529" t="s">
        <v>75</v>
      </c>
      <c r="R529" t="s">
        <v>2238</v>
      </c>
      <c r="S529" t="s">
        <v>2239</v>
      </c>
      <c r="T529" t="s">
        <v>78</v>
      </c>
      <c r="U529" t="s">
        <v>1822</v>
      </c>
      <c r="V529" t="s">
        <v>80</v>
      </c>
      <c r="W529" s="1">
        <v>44813</v>
      </c>
      <c r="X529" t="s">
        <v>1823</v>
      </c>
      <c r="Y529" t="s">
        <v>2240</v>
      </c>
      <c r="Z529" t="s">
        <v>83</v>
      </c>
      <c r="AA529">
        <v>1</v>
      </c>
      <c r="AB529" t="s">
        <v>2262</v>
      </c>
      <c r="AD529" t="s">
        <v>134</v>
      </c>
      <c r="AE529" t="s">
        <v>145</v>
      </c>
      <c r="AF529" t="s">
        <v>146</v>
      </c>
      <c r="AG529" t="s">
        <v>2242</v>
      </c>
      <c r="AH529" t="s">
        <v>2263</v>
      </c>
      <c r="AI529" t="s">
        <v>90</v>
      </c>
      <c r="AJ529">
        <v>32.441406999999998</v>
      </c>
      <c r="AK529">
        <v>-110.78778200000001</v>
      </c>
      <c r="AL529">
        <v>15</v>
      </c>
      <c r="AN529">
        <v>2770</v>
      </c>
      <c r="AP529">
        <v>2770</v>
      </c>
      <c r="AQ529">
        <v>2788.9607980000001</v>
      </c>
      <c r="AT529">
        <v>9</v>
      </c>
      <c r="AU529">
        <v>9</v>
      </c>
      <c r="AV529">
        <v>2022</v>
      </c>
      <c r="AW529">
        <v>2436019</v>
      </c>
      <c r="AX529">
        <v>2436019</v>
      </c>
      <c r="AY529" t="s">
        <v>106</v>
      </c>
      <c r="AZ529" t="s">
        <v>92</v>
      </c>
      <c r="BA529" t="s">
        <v>107</v>
      </c>
      <c r="BB529" t="s">
        <v>2264</v>
      </c>
      <c r="BC529" t="s">
        <v>2245</v>
      </c>
      <c r="BE529" t="s">
        <v>96</v>
      </c>
      <c r="BG529" t="s">
        <v>2246</v>
      </c>
      <c r="BI529" t="s">
        <v>98</v>
      </c>
      <c r="BJ529" t="s">
        <v>2257</v>
      </c>
      <c r="BL529" t="s">
        <v>412</v>
      </c>
    </row>
    <row r="530" spans="1:64" hidden="1" x14ac:dyDescent="0.2">
      <c r="A530">
        <v>797</v>
      </c>
      <c r="B530">
        <v>4070420430</v>
      </c>
      <c r="C530" t="s">
        <v>101</v>
      </c>
      <c r="D530" t="s">
        <v>2265</v>
      </c>
      <c r="E530" t="s">
        <v>65</v>
      </c>
      <c r="F530" t="s">
        <v>66</v>
      </c>
      <c r="G530" t="s">
        <v>67</v>
      </c>
      <c r="H530" t="s">
        <v>2232</v>
      </c>
      <c r="I530" t="s">
        <v>2233</v>
      </c>
      <c r="J530" t="s">
        <v>2234</v>
      </c>
      <c r="K530" t="s">
        <v>2235</v>
      </c>
      <c r="M530" t="s">
        <v>72</v>
      </c>
      <c r="N530" t="s">
        <v>2236</v>
      </c>
      <c r="O530" t="s">
        <v>2235</v>
      </c>
      <c r="P530" t="s">
        <v>2237</v>
      </c>
      <c r="Q530" t="s">
        <v>75</v>
      </c>
      <c r="R530" t="s">
        <v>2238</v>
      </c>
      <c r="S530" t="s">
        <v>2239</v>
      </c>
      <c r="T530" t="s">
        <v>78</v>
      </c>
      <c r="U530" t="s">
        <v>1822</v>
      </c>
      <c r="V530" t="s">
        <v>80</v>
      </c>
      <c r="W530" s="1">
        <v>44813</v>
      </c>
      <c r="X530" t="s">
        <v>1823</v>
      </c>
      <c r="Y530" t="s">
        <v>2240</v>
      </c>
      <c r="Z530" t="s">
        <v>83</v>
      </c>
      <c r="AA530">
        <v>1</v>
      </c>
      <c r="AB530" t="s">
        <v>127</v>
      </c>
      <c r="AD530" t="s">
        <v>139</v>
      </c>
      <c r="AE530" t="s">
        <v>145</v>
      </c>
      <c r="AF530" t="s">
        <v>146</v>
      </c>
      <c r="AG530" t="s">
        <v>2242</v>
      </c>
      <c r="AH530" t="s">
        <v>2249</v>
      </c>
      <c r="AI530" t="s">
        <v>90</v>
      </c>
      <c r="AJ530">
        <v>32.441406999999998</v>
      </c>
      <c r="AK530">
        <v>-110.78778200000001</v>
      </c>
      <c r="AL530">
        <v>15</v>
      </c>
      <c r="AN530">
        <v>2770</v>
      </c>
      <c r="AP530">
        <v>2770</v>
      </c>
      <c r="AQ530">
        <v>2788.9607980000001</v>
      </c>
      <c r="AT530">
        <v>9</v>
      </c>
      <c r="AU530">
        <v>9</v>
      </c>
      <c r="AV530">
        <v>2022</v>
      </c>
      <c r="AW530">
        <v>2436019</v>
      </c>
      <c r="AX530">
        <v>2436019</v>
      </c>
      <c r="AY530" t="s">
        <v>106</v>
      </c>
      <c r="AZ530" t="s">
        <v>92</v>
      </c>
      <c r="BA530" t="s">
        <v>107</v>
      </c>
      <c r="BB530" t="s">
        <v>2266</v>
      </c>
      <c r="BC530" t="s">
        <v>2245</v>
      </c>
      <c r="BE530" t="s">
        <v>96</v>
      </c>
      <c r="BG530" t="s">
        <v>2246</v>
      </c>
      <c r="BI530" t="s">
        <v>98</v>
      </c>
      <c r="BJ530" t="s">
        <v>2267</v>
      </c>
      <c r="BL530" t="s">
        <v>412</v>
      </c>
    </row>
    <row r="531" spans="1:64" hidden="1" x14ac:dyDescent="0.2">
      <c r="A531">
        <v>795</v>
      </c>
      <c r="B531">
        <v>4070420432</v>
      </c>
      <c r="C531" t="s">
        <v>101</v>
      </c>
      <c r="D531" t="s">
        <v>2268</v>
      </c>
      <c r="E531" t="s">
        <v>65</v>
      </c>
      <c r="F531" t="s">
        <v>66</v>
      </c>
      <c r="G531" t="s">
        <v>67</v>
      </c>
      <c r="H531" t="s">
        <v>2232</v>
      </c>
      <c r="I531" t="s">
        <v>2233</v>
      </c>
      <c r="J531" t="s">
        <v>2234</v>
      </c>
      <c r="K531" t="s">
        <v>2235</v>
      </c>
      <c r="M531" t="s">
        <v>72</v>
      </c>
      <c r="N531" t="s">
        <v>2236</v>
      </c>
      <c r="O531" t="s">
        <v>2235</v>
      </c>
      <c r="P531" t="s">
        <v>2237</v>
      </c>
      <c r="Q531" t="s">
        <v>75</v>
      </c>
      <c r="R531" t="s">
        <v>2238</v>
      </c>
      <c r="S531" t="s">
        <v>2239</v>
      </c>
      <c r="T531" t="s">
        <v>78</v>
      </c>
      <c r="U531" t="s">
        <v>1822</v>
      </c>
      <c r="V531" t="s">
        <v>80</v>
      </c>
      <c r="W531" s="1">
        <v>44813</v>
      </c>
      <c r="X531" t="s">
        <v>1823</v>
      </c>
      <c r="Y531" t="s">
        <v>2240</v>
      </c>
      <c r="Z531" t="s">
        <v>83</v>
      </c>
      <c r="AA531">
        <v>1</v>
      </c>
      <c r="AB531" t="s">
        <v>127</v>
      </c>
      <c r="AD531" t="s">
        <v>123</v>
      </c>
      <c r="AE531" t="s">
        <v>145</v>
      </c>
      <c r="AF531" t="s">
        <v>146</v>
      </c>
      <c r="AG531" t="s">
        <v>2242</v>
      </c>
      <c r="AH531" t="s">
        <v>2249</v>
      </c>
      <c r="AI531" t="s">
        <v>90</v>
      </c>
      <c r="AJ531">
        <v>32.441406999999998</v>
      </c>
      <c r="AK531">
        <v>-110.78778200000001</v>
      </c>
      <c r="AL531">
        <v>15</v>
      </c>
      <c r="AN531">
        <v>2770</v>
      </c>
      <c r="AP531">
        <v>2770</v>
      </c>
      <c r="AQ531">
        <v>2788.9607980000001</v>
      </c>
      <c r="AT531">
        <v>9</v>
      </c>
      <c r="AU531">
        <v>9</v>
      </c>
      <c r="AV531">
        <v>2022</v>
      </c>
      <c r="AW531">
        <v>2436019</v>
      </c>
      <c r="AX531">
        <v>2436019</v>
      </c>
      <c r="AY531" t="s">
        <v>106</v>
      </c>
      <c r="AZ531" t="s">
        <v>92</v>
      </c>
      <c r="BA531" t="s">
        <v>107</v>
      </c>
      <c r="BB531" t="s">
        <v>2269</v>
      </c>
      <c r="BC531" t="s">
        <v>2245</v>
      </c>
      <c r="BE531" t="s">
        <v>96</v>
      </c>
      <c r="BG531" t="s">
        <v>2246</v>
      </c>
      <c r="BI531" t="s">
        <v>98</v>
      </c>
      <c r="BJ531" t="s">
        <v>2267</v>
      </c>
      <c r="BL531" t="s">
        <v>412</v>
      </c>
    </row>
    <row r="532" spans="1:64" hidden="1" x14ac:dyDescent="0.2">
      <c r="A532">
        <v>765</v>
      </c>
      <c r="B532">
        <v>4070420472</v>
      </c>
      <c r="C532" t="s">
        <v>101</v>
      </c>
      <c r="D532" t="s">
        <v>2740</v>
      </c>
      <c r="E532" t="s">
        <v>65</v>
      </c>
      <c r="F532" t="s">
        <v>66</v>
      </c>
      <c r="G532" t="s">
        <v>67</v>
      </c>
      <c r="H532" t="s">
        <v>68</v>
      </c>
      <c r="I532" t="s">
        <v>176</v>
      </c>
      <c r="J532" t="s">
        <v>773</v>
      </c>
      <c r="K532" t="s">
        <v>774</v>
      </c>
      <c r="M532" t="s">
        <v>72</v>
      </c>
      <c r="N532" t="s">
        <v>775</v>
      </c>
      <c r="O532" t="s">
        <v>774</v>
      </c>
      <c r="P532" t="s">
        <v>776</v>
      </c>
      <c r="Q532" t="s">
        <v>75</v>
      </c>
      <c r="R532" t="s">
        <v>2238</v>
      </c>
      <c r="S532" t="s">
        <v>2741</v>
      </c>
      <c r="T532" t="s">
        <v>78</v>
      </c>
      <c r="U532" t="s">
        <v>1822</v>
      </c>
      <c r="V532" t="s">
        <v>80</v>
      </c>
      <c r="W532" s="1">
        <v>44813</v>
      </c>
      <c r="X532" t="s">
        <v>1823</v>
      </c>
      <c r="Y532" t="s">
        <v>2742</v>
      </c>
      <c r="Z532" t="s">
        <v>83</v>
      </c>
      <c r="AA532">
        <v>1</v>
      </c>
      <c r="AB532" t="s">
        <v>127</v>
      </c>
      <c r="AC532">
        <v>0</v>
      </c>
      <c r="AD532" t="s">
        <v>128</v>
      </c>
      <c r="AE532" t="s">
        <v>86</v>
      </c>
      <c r="AF532" t="s">
        <v>146</v>
      </c>
      <c r="AI532" t="s">
        <v>90</v>
      </c>
      <c r="AJ532">
        <v>32.442059999999998</v>
      </c>
      <c r="AK532">
        <v>-110.787481</v>
      </c>
      <c r="AL532">
        <v>3</v>
      </c>
      <c r="AN532">
        <v>2737</v>
      </c>
      <c r="AP532">
        <v>2737</v>
      </c>
      <c r="AQ532">
        <v>2773.8057610000001</v>
      </c>
      <c r="AT532">
        <v>9</v>
      </c>
      <c r="AU532">
        <v>9</v>
      </c>
      <c r="AV532">
        <v>2022</v>
      </c>
      <c r="AW532">
        <v>2438447</v>
      </c>
      <c r="AX532">
        <v>2438447</v>
      </c>
      <c r="AY532" t="s">
        <v>106</v>
      </c>
      <c r="AZ532" t="s">
        <v>92</v>
      </c>
      <c r="BA532" t="s">
        <v>107</v>
      </c>
      <c r="BB532" t="s">
        <v>2743</v>
      </c>
      <c r="BC532" t="s">
        <v>2245</v>
      </c>
      <c r="BE532" t="s">
        <v>96</v>
      </c>
      <c r="BG532" t="s">
        <v>2246</v>
      </c>
      <c r="BI532" t="s">
        <v>98</v>
      </c>
      <c r="BJ532" t="s">
        <v>2744</v>
      </c>
      <c r="BL532" t="s">
        <v>412</v>
      </c>
    </row>
    <row r="533" spans="1:64" x14ac:dyDescent="0.2">
      <c r="A533">
        <v>1456</v>
      </c>
      <c r="B533">
        <v>3748770425</v>
      </c>
      <c r="C533" t="s">
        <v>63</v>
      </c>
      <c r="D533" t="s">
        <v>3989</v>
      </c>
      <c r="E533" t="s">
        <v>65</v>
      </c>
      <c r="F533" t="s">
        <v>66</v>
      </c>
      <c r="G533" t="s">
        <v>67</v>
      </c>
      <c r="H533" t="s">
        <v>68</v>
      </c>
      <c r="I533" t="s">
        <v>176</v>
      </c>
      <c r="J533" t="s">
        <v>177</v>
      </c>
      <c r="K533" t="s">
        <v>3925</v>
      </c>
      <c r="M533" t="s">
        <v>72</v>
      </c>
      <c r="N533" t="s">
        <v>3926</v>
      </c>
      <c r="O533" t="s">
        <v>3925</v>
      </c>
      <c r="P533" t="s">
        <v>1176</v>
      </c>
      <c r="Q533" t="s">
        <v>75</v>
      </c>
      <c r="R533" t="s">
        <v>3955</v>
      </c>
      <c r="S533" t="s">
        <v>3990</v>
      </c>
      <c r="T533" t="s">
        <v>78</v>
      </c>
      <c r="U533" t="s">
        <v>3817</v>
      </c>
      <c r="V533" t="s">
        <v>80</v>
      </c>
      <c r="W533" s="1">
        <v>44519</v>
      </c>
      <c r="X533" t="s">
        <v>3818</v>
      </c>
      <c r="Y533" t="s">
        <v>3991</v>
      </c>
      <c r="Z533" t="s">
        <v>83</v>
      </c>
      <c r="AA533">
        <v>1</v>
      </c>
      <c r="AB533" t="s">
        <v>3992</v>
      </c>
      <c r="AC533">
        <v>1</v>
      </c>
      <c r="AD533" s="6" t="s">
        <v>85</v>
      </c>
      <c r="AE533" s="6" t="s">
        <v>86</v>
      </c>
      <c r="AF533" s="6" t="s">
        <v>146</v>
      </c>
      <c r="AG533" s="6" t="s">
        <v>996</v>
      </c>
      <c r="AH533" s="6" t="s">
        <v>3993</v>
      </c>
      <c r="AI533" s="6" t="s">
        <v>90</v>
      </c>
      <c r="AJ533" s="6">
        <v>32.516362000000001</v>
      </c>
      <c r="AK533" s="6">
        <v>-110.68627499999999</v>
      </c>
      <c r="AL533" s="6">
        <v>3</v>
      </c>
      <c r="AM533" s="6"/>
      <c r="AN533" s="6">
        <v>1353</v>
      </c>
      <c r="AO533" s="6"/>
      <c r="AP533" s="6">
        <v>1353</v>
      </c>
      <c r="AQ533" s="6">
        <v>1353.6867999999999</v>
      </c>
      <c r="AR533" s="6"/>
      <c r="AS533" s="6"/>
      <c r="AT533" s="6">
        <v>19</v>
      </c>
      <c r="AU533" s="6">
        <v>11</v>
      </c>
      <c r="AV533" s="6">
        <v>2021</v>
      </c>
      <c r="AW533" s="6">
        <v>2437981</v>
      </c>
      <c r="AX533" s="6">
        <v>2437981</v>
      </c>
      <c r="AY533" s="6" t="s">
        <v>91</v>
      </c>
      <c r="AZ533" t="s">
        <v>92</v>
      </c>
      <c r="BA533" t="s">
        <v>93</v>
      </c>
      <c r="BB533" t="s">
        <v>3994</v>
      </c>
      <c r="BC533" t="s">
        <v>95</v>
      </c>
      <c r="BD533" s="1">
        <v>44722</v>
      </c>
      <c r="BE533" t="s">
        <v>96</v>
      </c>
      <c r="BG533" t="s">
        <v>97</v>
      </c>
      <c r="BI533" t="s">
        <v>98</v>
      </c>
      <c r="BJ533" t="s">
        <v>3853</v>
      </c>
      <c r="BL533" t="s">
        <v>100</v>
      </c>
    </row>
    <row r="534" spans="1:64" x14ac:dyDescent="0.2">
      <c r="A534">
        <v>1454</v>
      </c>
      <c r="B534">
        <v>3748770427</v>
      </c>
      <c r="C534" t="s">
        <v>63</v>
      </c>
      <c r="D534" t="s">
        <v>4015</v>
      </c>
      <c r="E534" t="s">
        <v>65</v>
      </c>
      <c r="F534" t="s">
        <v>66</v>
      </c>
      <c r="G534" t="s">
        <v>67</v>
      </c>
      <c r="H534" t="s">
        <v>68</v>
      </c>
      <c r="I534" t="s">
        <v>176</v>
      </c>
      <c r="J534" t="s">
        <v>773</v>
      </c>
      <c r="K534" t="s">
        <v>1347</v>
      </c>
      <c r="M534" t="s">
        <v>72</v>
      </c>
      <c r="N534" t="s">
        <v>1348</v>
      </c>
      <c r="O534" t="s">
        <v>1347</v>
      </c>
      <c r="P534" t="s">
        <v>1349</v>
      </c>
      <c r="Q534" t="s">
        <v>75</v>
      </c>
      <c r="R534" t="s">
        <v>3955</v>
      </c>
      <c r="S534" t="s">
        <v>4016</v>
      </c>
      <c r="T534" t="s">
        <v>78</v>
      </c>
      <c r="U534" t="s">
        <v>3817</v>
      </c>
      <c r="V534" t="s">
        <v>80</v>
      </c>
      <c r="W534" s="1">
        <v>44519</v>
      </c>
      <c r="X534" t="s">
        <v>3818</v>
      </c>
      <c r="Y534" t="s">
        <v>4017</v>
      </c>
      <c r="Z534" t="s">
        <v>83</v>
      </c>
      <c r="AA534">
        <v>1</v>
      </c>
      <c r="AB534" t="s">
        <v>4018</v>
      </c>
      <c r="AC534">
        <v>1</v>
      </c>
      <c r="AD534" s="6" t="s">
        <v>85</v>
      </c>
      <c r="AE534" s="6" t="s">
        <v>86</v>
      </c>
      <c r="AF534" s="6" t="s">
        <v>146</v>
      </c>
      <c r="AG534" s="6" t="s">
        <v>4019</v>
      </c>
      <c r="AH534" s="6" t="s">
        <v>4020</v>
      </c>
      <c r="AI534" s="6" t="s">
        <v>90</v>
      </c>
      <c r="AJ534" s="6">
        <v>32.516331000000001</v>
      </c>
      <c r="AK534" s="6">
        <v>-110.686217</v>
      </c>
      <c r="AL534" s="6">
        <v>3</v>
      </c>
      <c r="AM534" s="6"/>
      <c r="AN534" s="6">
        <v>1348</v>
      </c>
      <c r="AO534" s="6"/>
      <c r="AP534" s="6">
        <v>1348</v>
      </c>
      <c r="AQ534" s="6">
        <v>1353.5896</v>
      </c>
      <c r="AR534" s="6"/>
      <c r="AS534" s="6"/>
      <c r="AT534" s="6">
        <v>19</v>
      </c>
      <c r="AU534" s="6">
        <v>11</v>
      </c>
      <c r="AV534" s="6">
        <v>2021</v>
      </c>
      <c r="AW534" s="6">
        <v>2438454</v>
      </c>
      <c r="AX534" s="6">
        <v>2438454</v>
      </c>
      <c r="AY534" s="6" t="s">
        <v>91</v>
      </c>
      <c r="AZ534" t="s">
        <v>92</v>
      </c>
      <c r="BA534" t="s">
        <v>93</v>
      </c>
      <c r="BB534" t="s">
        <v>4021</v>
      </c>
      <c r="BC534" t="s">
        <v>97</v>
      </c>
      <c r="BE534" t="s">
        <v>96</v>
      </c>
      <c r="BG534" t="s">
        <v>97</v>
      </c>
      <c r="BI534" t="s">
        <v>98</v>
      </c>
      <c r="BJ534" t="s">
        <v>3853</v>
      </c>
      <c r="BL534" t="s">
        <v>100</v>
      </c>
    </row>
    <row r="535" spans="1:64" hidden="1" x14ac:dyDescent="0.2">
      <c r="A535">
        <v>697</v>
      </c>
      <c r="B535">
        <v>4070420540</v>
      </c>
      <c r="C535" t="s">
        <v>101</v>
      </c>
      <c r="D535" t="s">
        <v>2290</v>
      </c>
      <c r="E535" t="s">
        <v>65</v>
      </c>
      <c r="F535" t="s">
        <v>66</v>
      </c>
      <c r="G535" t="s">
        <v>67</v>
      </c>
      <c r="H535" t="s">
        <v>68</v>
      </c>
      <c r="I535" t="s">
        <v>176</v>
      </c>
      <c r="J535" t="s">
        <v>773</v>
      </c>
      <c r="K535" t="s">
        <v>774</v>
      </c>
      <c r="M535" t="s">
        <v>72</v>
      </c>
      <c r="N535" t="s">
        <v>775</v>
      </c>
      <c r="O535" t="s">
        <v>774</v>
      </c>
      <c r="P535" t="s">
        <v>776</v>
      </c>
      <c r="Q535" t="s">
        <v>75</v>
      </c>
      <c r="R535" t="s">
        <v>2238</v>
      </c>
      <c r="S535" t="s">
        <v>2279</v>
      </c>
      <c r="T535" t="s">
        <v>78</v>
      </c>
      <c r="U535" t="s">
        <v>1822</v>
      </c>
      <c r="V535" t="s">
        <v>80</v>
      </c>
      <c r="W535" s="1">
        <v>44813</v>
      </c>
      <c r="X535" t="s">
        <v>1823</v>
      </c>
      <c r="Y535" t="s">
        <v>2280</v>
      </c>
      <c r="Z535" t="s">
        <v>83</v>
      </c>
      <c r="AA535">
        <v>1</v>
      </c>
      <c r="AB535" t="s">
        <v>103</v>
      </c>
      <c r="AD535" t="s">
        <v>112</v>
      </c>
      <c r="AE535" t="s">
        <v>86</v>
      </c>
      <c r="AF535" t="s">
        <v>146</v>
      </c>
      <c r="AG535" t="s">
        <v>2282</v>
      </c>
      <c r="AH535" t="s">
        <v>2291</v>
      </c>
      <c r="AI535" t="s">
        <v>90</v>
      </c>
      <c r="AJ535">
        <v>32.441125</v>
      </c>
      <c r="AK535">
        <v>-110.786114</v>
      </c>
      <c r="AL535">
        <v>15</v>
      </c>
      <c r="AN535">
        <v>2760</v>
      </c>
      <c r="AP535">
        <v>2760</v>
      </c>
      <c r="AQ535">
        <v>2778.4598810000002</v>
      </c>
      <c r="AT535">
        <v>9</v>
      </c>
      <c r="AU535">
        <v>9</v>
      </c>
      <c r="AV535">
        <v>2022</v>
      </c>
      <c r="AW535">
        <v>2438447</v>
      </c>
      <c r="AX535">
        <v>2438447</v>
      </c>
      <c r="AY535" t="s">
        <v>106</v>
      </c>
      <c r="AZ535" t="s">
        <v>92</v>
      </c>
      <c r="BA535" t="s">
        <v>107</v>
      </c>
      <c r="BB535" t="s">
        <v>2292</v>
      </c>
      <c r="BC535" t="s">
        <v>2245</v>
      </c>
      <c r="BE535" t="s">
        <v>96</v>
      </c>
      <c r="BG535" t="s">
        <v>2246</v>
      </c>
      <c r="BI535" t="s">
        <v>98</v>
      </c>
      <c r="BJ535" t="s">
        <v>2293</v>
      </c>
      <c r="BL535" t="s">
        <v>412</v>
      </c>
    </row>
    <row r="536" spans="1:64" hidden="1" x14ac:dyDescent="0.2">
      <c r="A536">
        <v>696</v>
      </c>
      <c r="B536">
        <v>4070420541</v>
      </c>
      <c r="C536" t="s">
        <v>101</v>
      </c>
      <c r="D536" t="s">
        <v>2294</v>
      </c>
      <c r="E536" t="s">
        <v>65</v>
      </c>
      <c r="F536" t="s">
        <v>66</v>
      </c>
      <c r="G536" t="s">
        <v>67</v>
      </c>
      <c r="H536" t="s">
        <v>68</v>
      </c>
      <c r="I536" t="s">
        <v>176</v>
      </c>
      <c r="J536" t="s">
        <v>773</v>
      </c>
      <c r="K536" t="s">
        <v>774</v>
      </c>
      <c r="M536" t="s">
        <v>72</v>
      </c>
      <c r="N536" t="s">
        <v>775</v>
      </c>
      <c r="O536" t="s">
        <v>774</v>
      </c>
      <c r="P536" t="s">
        <v>776</v>
      </c>
      <c r="Q536" t="s">
        <v>75</v>
      </c>
      <c r="R536" t="s">
        <v>2238</v>
      </c>
      <c r="S536" t="s">
        <v>2279</v>
      </c>
      <c r="T536" t="s">
        <v>78</v>
      </c>
      <c r="U536" t="s">
        <v>1822</v>
      </c>
      <c r="V536" t="s">
        <v>80</v>
      </c>
      <c r="W536" s="1">
        <v>44813</v>
      </c>
      <c r="X536" t="s">
        <v>1823</v>
      </c>
      <c r="Y536" t="s">
        <v>2280</v>
      </c>
      <c r="Z536" t="s">
        <v>83</v>
      </c>
      <c r="AA536">
        <v>1</v>
      </c>
      <c r="AB536" t="s">
        <v>103</v>
      </c>
      <c r="AD536" t="s">
        <v>116</v>
      </c>
      <c r="AE536" t="s">
        <v>86</v>
      </c>
      <c r="AF536" t="s">
        <v>146</v>
      </c>
      <c r="AG536" t="s">
        <v>2282</v>
      </c>
      <c r="AH536" t="s">
        <v>2291</v>
      </c>
      <c r="AI536" t="s">
        <v>90</v>
      </c>
      <c r="AJ536">
        <v>32.441125</v>
      </c>
      <c r="AK536">
        <v>-110.786114</v>
      </c>
      <c r="AL536">
        <v>15</v>
      </c>
      <c r="AN536">
        <v>2760</v>
      </c>
      <c r="AP536">
        <v>2760</v>
      </c>
      <c r="AQ536">
        <v>2778.4598810000002</v>
      </c>
      <c r="AT536">
        <v>9</v>
      </c>
      <c r="AU536">
        <v>9</v>
      </c>
      <c r="AV536">
        <v>2022</v>
      </c>
      <c r="AW536">
        <v>2438447</v>
      </c>
      <c r="AX536">
        <v>2438447</v>
      </c>
      <c r="AY536" t="s">
        <v>106</v>
      </c>
      <c r="AZ536" t="s">
        <v>92</v>
      </c>
      <c r="BA536" t="s">
        <v>107</v>
      </c>
      <c r="BB536" t="s">
        <v>2295</v>
      </c>
      <c r="BC536" t="s">
        <v>2245</v>
      </c>
      <c r="BE536" t="s">
        <v>96</v>
      </c>
      <c r="BG536" t="s">
        <v>2246</v>
      </c>
      <c r="BI536" t="s">
        <v>98</v>
      </c>
      <c r="BJ536" t="s">
        <v>2260</v>
      </c>
      <c r="BL536" t="s">
        <v>412</v>
      </c>
    </row>
    <row r="537" spans="1:64" hidden="1" x14ac:dyDescent="0.2">
      <c r="A537">
        <v>695</v>
      </c>
      <c r="B537">
        <v>4070420542</v>
      </c>
      <c r="C537" t="s">
        <v>101</v>
      </c>
      <c r="D537" t="s">
        <v>2296</v>
      </c>
      <c r="E537" t="s">
        <v>65</v>
      </c>
      <c r="F537" t="s">
        <v>66</v>
      </c>
      <c r="G537" t="s">
        <v>67</v>
      </c>
      <c r="H537" t="s">
        <v>68</v>
      </c>
      <c r="I537" t="s">
        <v>176</v>
      </c>
      <c r="J537" t="s">
        <v>773</v>
      </c>
      <c r="K537" t="s">
        <v>774</v>
      </c>
      <c r="M537" t="s">
        <v>72</v>
      </c>
      <c r="N537" t="s">
        <v>775</v>
      </c>
      <c r="O537" t="s">
        <v>774</v>
      </c>
      <c r="P537" t="s">
        <v>776</v>
      </c>
      <c r="Q537" t="s">
        <v>75</v>
      </c>
      <c r="R537" t="s">
        <v>2238</v>
      </c>
      <c r="S537" t="s">
        <v>2279</v>
      </c>
      <c r="T537" t="s">
        <v>78</v>
      </c>
      <c r="U537" t="s">
        <v>1822</v>
      </c>
      <c r="V537" t="s">
        <v>80</v>
      </c>
      <c r="W537" s="1">
        <v>44813</v>
      </c>
      <c r="X537" t="s">
        <v>1823</v>
      </c>
      <c r="Y537" t="s">
        <v>2280</v>
      </c>
      <c r="Z537" t="s">
        <v>83</v>
      </c>
      <c r="AA537">
        <v>1</v>
      </c>
      <c r="AB537" t="s">
        <v>103</v>
      </c>
      <c r="AD537" t="s">
        <v>104</v>
      </c>
      <c r="AE537" t="s">
        <v>86</v>
      </c>
      <c r="AF537" t="s">
        <v>146</v>
      </c>
      <c r="AG537" t="s">
        <v>2282</v>
      </c>
      <c r="AH537" t="s">
        <v>2291</v>
      </c>
      <c r="AI537" t="s">
        <v>90</v>
      </c>
      <c r="AJ537">
        <v>32.441125</v>
      </c>
      <c r="AK537">
        <v>-110.786114</v>
      </c>
      <c r="AL537">
        <v>15</v>
      </c>
      <c r="AN537">
        <v>2760</v>
      </c>
      <c r="AP537">
        <v>2760</v>
      </c>
      <c r="AQ537">
        <v>2778.4598810000002</v>
      </c>
      <c r="AT537">
        <v>9</v>
      </c>
      <c r="AU537">
        <v>9</v>
      </c>
      <c r="AV537">
        <v>2022</v>
      </c>
      <c r="AW537">
        <v>2438447</v>
      </c>
      <c r="AX537">
        <v>2438447</v>
      </c>
      <c r="AY537" t="s">
        <v>106</v>
      </c>
      <c r="AZ537" t="s">
        <v>92</v>
      </c>
      <c r="BA537" t="s">
        <v>107</v>
      </c>
      <c r="BB537" t="s">
        <v>2297</v>
      </c>
      <c r="BC537" t="s">
        <v>2245</v>
      </c>
      <c r="BE537" t="s">
        <v>96</v>
      </c>
      <c r="BG537" t="s">
        <v>2246</v>
      </c>
      <c r="BI537" t="s">
        <v>98</v>
      </c>
      <c r="BJ537" t="s">
        <v>2260</v>
      </c>
      <c r="BL537" t="s">
        <v>412</v>
      </c>
    </row>
    <row r="538" spans="1:64" hidden="1" x14ac:dyDescent="0.2">
      <c r="A538">
        <v>694</v>
      </c>
      <c r="B538">
        <v>4070420543</v>
      </c>
      <c r="C538" t="s">
        <v>101</v>
      </c>
      <c r="D538" t="s">
        <v>2298</v>
      </c>
      <c r="E538" t="s">
        <v>65</v>
      </c>
      <c r="F538" t="s">
        <v>66</v>
      </c>
      <c r="G538" t="s">
        <v>67</v>
      </c>
      <c r="H538" t="s">
        <v>68</v>
      </c>
      <c r="I538" t="s">
        <v>176</v>
      </c>
      <c r="J538" t="s">
        <v>773</v>
      </c>
      <c r="K538" t="s">
        <v>774</v>
      </c>
      <c r="M538" t="s">
        <v>72</v>
      </c>
      <c r="N538" t="s">
        <v>775</v>
      </c>
      <c r="O538" t="s">
        <v>774</v>
      </c>
      <c r="P538" t="s">
        <v>776</v>
      </c>
      <c r="Q538" t="s">
        <v>75</v>
      </c>
      <c r="R538" t="s">
        <v>2238</v>
      </c>
      <c r="S538" t="s">
        <v>2279</v>
      </c>
      <c r="T538" t="s">
        <v>78</v>
      </c>
      <c r="U538" t="s">
        <v>1822</v>
      </c>
      <c r="V538" t="s">
        <v>80</v>
      </c>
      <c r="W538" s="1">
        <v>44813</v>
      </c>
      <c r="X538" t="s">
        <v>1823</v>
      </c>
      <c r="Y538" t="s">
        <v>2280</v>
      </c>
      <c r="Z538" t="s">
        <v>83</v>
      </c>
      <c r="AA538">
        <v>1</v>
      </c>
      <c r="AB538" t="s">
        <v>2262</v>
      </c>
      <c r="AD538" t="s">
        <v>134</v>
      </c>
      <c r="AE538" t="s">
        <v>86</v>
      </c>
      <c r="AF538" t="s">
        <v>146</v>
      </c>
      <c r="AG538" t="s">
        <v>2282</v>
      </c>
      <c r="AH538" t="s">
        <v>2299</v>
      </c>
      <c r="AI538" t="s">
        <v>90</v>
      </c>
      <c r="AJ538">
        <v>32.441125</v>
      </c>
      <c r="AK538">
        <v>-110.786114</v>
      </c>
      <c r="AL538">
        <v>15</v>
      </c>
      <c r="AN538">
        <v>2760</v>
      </c>
      <c r="AP538">
        <v>2760</v>
      </c>
      <c r="AQ538">
        <v>2778.4598810000002</v>
      </c>
      <c r="AT538">
        <v>9</v>
      </c>
      <c r="AU538">
        <v>9</v>
      </c>
      <c r="AV538">
        <v>2022</v>
      </c>
      <c r="AW538">
        <v>2438447</v>
      </c>
      <c r="AX538">
        <v>2438447</v>
      </c>
      <c r="AY538" t="s">
        <v>106</v>
      </c>
      <c r="AZ538" t="s">
        <v>92</v>
      </c>
      <c r="BA538" t="s">
        <v>107</v>
      </c>
      <c r="BB538" t="s">
        <v>2300</v>
      </c>
      <c r="BC538" t="s">
        <v>2245</v>
      </c>
      <c r="BE538" t="s">
        <v>96</v>
      </c>
      <c r="BG538" t="s">
        <v>2246</v>
      </c>
      <c r="BI538" t="s">
        <v>98</v>
      </c>
      <c r="BJ538" t="s">
        <v>2301</v>
      </c>
      <c r="BL538" t="s">
        <v>412</v>
      </c>
    </row>
    <row r="539" spans="1:64" hidden="1" x14ac:dyDescent="0.2">
      <c r="A539">
        <v>793</v>
      </c>
      <c r="B539">
        <v>4070420434</v>
      </c>
      <c r="C539" t="s">
        <v>101</v>
      </c>
      <c r="D539" t="s">
        <v>2302</v>
      </c>
      <c r="E539" t="s">
        <v>65</v>
      </c>
      <c r="F539" t="s">
        <v>66</v>
      </c>
      <c r="G539" t="s">
        <v>67</v>
      </c>
      <c r="H539" t="s">
        <v>68</v>
      </c>
      <c r="I539" t="s">
        <v>176</v>
      </c>
      <c r="J539" t="s">
        <v>773</v>
      </c>
      <c r="K539" t="s">
        <v>774</v>
      </c>
      <c r="M539" t="s">
        <v>72</v>
      </c>
      <c r="N539" t="s">
        <v>775</v>
      </c>
      <c r="O539" t="s">
        <v>774</v>
      </c>
      <c r="P539" t="s">
        <v>776</v>
      </c>
      <c r="Q539" t="s">
        <v>75</v>
      </c>
      <c r="R539" t="s">
        <v>2238</v>
      </c>
      <c r="S539" t="s">
        <v>2279</v>
      </c>
      <c r="T539" t="s">
        <v>78</v>
      </c>
      <c r="U539" t="s">
        <v>1822</v>
      </c>
      <c r="V539" t="s">
        <v>80</v>
      </c>
      <c r="W539" s="1">
        <v>44813</v>
      </c>
      <c r="X539" t="s">
        <v>1823</v>
      </c>
      <c r="Y539" t="s">
        <v>2280</v>
      </c>
      <c r="Z539" t="s">
        <v>83</v>
      </c>
      <c r="AA539">
        <v>1</v>
      </c>
      <c r="AB539" t="s">
        <v>127</v>
      </c>
      <c r="AD539" t="s">
        <v>123</v>
      </c>
      <c r="AE539" t="s">
        <v>86</v>
      </c>
      <c r="AF539" t="s">
        <v>146</v>
      </c>
      <c r="AG539" t="s">
        <v>2282</v>
      </c>
      <c r="AH539" t="s">
        <v>2291</v>
      </c>
      <c r="AI539" t="s">
        <v>90</v>
      </c>
      <c r="AJ539">
        <v>32.441125</v>
      </c>
      <c r="AK539">
        <v>-110.786114</v>
      </c>
      <c r="AL539">
        <v>15</v>
      </c>
      <c r="AN539">
        <v>2760</v>
      </c>
      <c r="AP539">
        <v>2760</v>
      </c>
      <c r="AQ539">
        <v>2778.4598810000002</v>
      </c>
      <c r="AT539">
        <v>9</v>
      </c>
      <c r="AU539">
        <v>9</v>
      </c>
      <c r="AV539">
        <v>2022</v>
      </c>
      <c r="AW539">
        <v>2438447</v>
      </c>
      <c r="AX539">
        <v>2438447</v>
      </c>
      <c r="AY539" t="s">
        <v>106</v>
      </c>
      <c r="AZ539" t="s">
        <v>92</v>
      </c>
      <c r="BA539" t="s">
        <v>107</v>
      </c>
      <c r="BB539" t="s">
        <v>2303</v>
      </c>
      <c r="BC539" t="s">
        <v>2245</v>
      </c>
      <c r="BE539" t="s">
        <v>96</v>
      </c>
      <c r="BG539" t="s">
        <v>2246</v>
      </c>
      <c r="BI539" t="s">
        <v>98</v>
      </c>
      <c r="BJ539" t="s">
        <v>2304</v>
      </c>
      <c r="BL539" t="s">
        <v>412</v>
      </c>
    </row>
    <row r="540" spans="1:64" hidden="1" x14ac:dyDescent="0.2">
      <c r="A540">
        <v>810</v>
      </c>
      <c r="B540">
        <v>4070420413</v>
      </c>
      <c r="C540" t="s">
        <v>101</v>
      </c>
      <c r="D540" t="s">
        <v>2305</v>
      </c>
      <c r="E540" t="s">
        <v>65</v>
      </c>
      <c r="F540" t="s">
        <v>66</v>
      </c>
      <c r="G540" t="s">
        <v>67</v>
      </c>
      <c r="H540" t="s">
        <v>68</v>
      </c>
      <c r="I540" t="s">
        <v>176</v>
      </c>
      <c r="J540" t="s">
        <v>773</v>
      </c>
      <c r="K540" t="s">
        <v>774</v>
      </c>
      <c r="M540" t="s">
        <v>72</v>
      </c>
      <c r="N540" t="s">
        <v>775</v>
      </c>
      <c r="O540" t="s">
        <v>774</v>
      </c>
      <c r="P540" t="s">
        <v>776</v>
      </c>
      <c r="Q540" t="s">
        <v>75</v>
      </c>
      <c r="R540" t="s">
        <v>2238</v>
      </c>
      <c r="S540" t="s">
        <v>2279</v>
      </c>
      <c r="T540" t="s">
        <v>78</v>
      </c>
      <c r="U540" t="s">
        <v>1822</v>
      </c>
      <c r="V540" t="s">
        <v>80</v>
      </c>
      <c r="W540" s="1">
        <v>44813</v>
      </c>
      <c r="X540" t="s">
        <v>1823</v>
      </c>
      <c r="Y540" t="s">
        <v>2280</v>
      </c>
      <c r="Z540" t="s">
        <v>83</v>
      </c>
      <c r="AA540">
        <v>1</v>
      </c>
      <c r="AB540" t="s">
        <v>127</v>
      </c>
      <c r="AD540" t="s">
        <v>139</v>
      </c>
      <c r="AE540" t="s">
        <v>86</v>
      </c>
      <c r="AF540" t="s">
        <v>146</v>
      </c>
      <c r="AG540" t="s">
        <v>2282</v>
      </c>
      <c r="AH540" t="s">
        <v>2291</v>
      </c>
      <c r="AI540" t="s">
        <v>90</v>
      </c>
      <c r="AJ540">
        <v>32.441125</v>
      </c>
      <c r="AK540">
        <v>-110.786114</v>
      </c>
      <c r="AL540">
        <v>15</v>
      </c>
      <c r="AN540">
        <v>2760</v>
      </c>
      <c r="AP540">
        <v>2760</v>
      </c>
      <c r="AQ540">
        <v>2778.4598810000002</v>
      </c>
      <c r="AT540">
        <v>9</v>
      </c>
      <c r="AU540">
        <v>9</v>
      </c>
      <c r="AV540">
        <v>2022</v>
      </c>
      <c r="AW540">
        <v>2438447</v>
      </c>
      <c r="AX540">
        <v>2438447</v>
      </c>
      <c r="AY540" t="s">
        <v>106</v>
      </c>
      <c r="AZ540" t="s">
        <v>92</v>
      </c>
      <c r="BA540" t="s">
        <v>107</v>
      </c>
      <c r="BB540" t="s">
        <v>2306</v>
      </c>
      <c r="BC540" t="s">
        <v>2245</v>
      </c>
      <c r="BE540" t="s">
        <v>96</v>
      </c>
      <c r="BG540" t="s">
        <v>2246</v>
      </c>
      <c r="BI540" t="s">
        <v>98</v>
      </c>
      <c r="BJ540" t="s">
        <v>2307</v>
      </c>
      <c r="BL540" t="s">
        <v>412</v>
      </c>
    </row>
    <row r="541" spans="1:64" hidden="1" x14ac:dyDescent="0.2">
      <c r="A541">
        <v>757</v>
      </c>
      <c r="B541">
        <v>4070420480</v>
      </c>
      <c r="C541" t="s">
        <v>101</v>
      </c>
      <c r="D541" t="s">
        <v>2753</v>
      </c>
      <c r="E541" t="s">
        <v>65</v>
      </c>
      <c r="F541" t="s">
        <v>66</v>
      </c>
      <c r="G541" t="s">
        <v>67</v>
      </c>
      <c r="H541" t="s">
        <v>68</v>
      </c>
      <c r="I541" t="s">
        <v>176</v>
      </c>
      <c r="J541" t="s">
        <v>773</v>
      </c>
      <c r="K541" t="s">
        <v>774</v>
      </c>
      <c r="M541" t="s">
        <v>72</v>
      </c>
      <c r="N541" t="s">
        <v>775</v>
      </c>
      <c r="O541" t="s">
        <v>774</v>
      </c>
      <c r="P541" t="s">
        <v>776</v>
      </c>
      <c r="Q541" t="s">
        <v>75</v>
      </c>
      <c r="R541" t="s">
        <v>2238</v>
      </c>
      <c r="S541" t="s">
        <v>2750</v>
      </c>
      <c r="T541" t="s">
        <v>78</v>
      </c>
      <c r="U541" t="s">
        <v>1822</v>
      </c>
      <c r="V541" t="s">
        <v>80</v>
      </c>
      <c r="W541" s="1">
        <v>44813</v>
      </c>
      <c r="X541" t="s">
        <v>1823</v>
      </c>
      <c r="Y541" t="s">
        <v>2751</v>
      </c>
      <c r="Z541" t="s">
        <v>83</v>
      </c>
      <c r="AA541">
        <v>1</v>
      </c>
      <c r="AB541" t="s">
        <v>127</v>
      </c>
      <c r="AC541">
        <v>0</v>
      </c>
      <c r="AD541" t="s">
        <v>128</v>
      </c>
      <c r="AE541" t="s">
        <v>86</v>
      </c>
      <c r="AF541" t="s">
        <v>146</v>
      </c>
      <c r="AI541" t="s">
        <v>90</v>
      </c>
      <c r="AJ541">
        <v>32.441755000000001</v>
      </c>
      <c r="AK541">
        <v>-110.787654</v>
      </c>
      <c r="AL541">
        <v>3</v>
      </c>
      <c r="AN541">
        <v>2684</v>
      </c>
      <c r="AP541">
        <v>2684</v>
      </c>
      <c r="AQ541">
        <v>2782.432499</v>
      </c>
      <c r="AT541">
        <v>9</v>
      </c>
      <c r="AU541">
        <v>9</v>
      </c>
      <c r="AV541">
        <v>2022</v>
      </c>
      <c r="AW541">
        <v>2438447</v>
      </c>
      <c r="AX541">
        <v>2438447</v>
      </c>
      <c r="AY541" t="s">
        <v>106</v>
      </c>
      <c r="AZ541" t="s">
        <v>92</v>
      </c>
      <c r="BA541" t="s">
        <v>107</v>
      </c>
      <c r="BB541" t="s">
        <v>2754</v>
      </c>
      <c r="BC541" t="s">
        <v>2245</v>
      </c>
      <c r="BE541" t="s">
        <v>96</v>
      </c>
      <c r="BG541" t="s">
        <v>2246</v>
      </c>
      <c r="BI541" t="s">
        <v>98</v>
      </c>
      <c r="BJ541" t="s">
        <v>1023</v>
      </c>
      <c r="BL541" t="s">
        <v>412</v>
      </c>
    </row>
    <row r="542" spans="1:64" hidden="1" x14ac:dyDescent="0.2">
      <c r="A542">
        <v>912</v>
      </c>
      <c r="B542">
        <v>4070420310</v>
      </c>
      <c r="C542" t="s">
        <v>101</v>
      </c>
      <c r="D542" t="s">
        <v>2311</v>
      </c>
      <c r="E542" t="s">
        <v>65</v>
      </c>
      <c r="F542" t="s">
        <v>66</v>
      </c>
      <c r="G542" t="s">
        <v>67</v>
      </c>
      <c r="H542" t="s">
        <v>68</v>
      </c>
      <c r="I542" t="s">
        <v>176</v>
      </c>
      <c r="J542" t="s">
        <v>773</v>
      </c>
      <c r="K542" t="s">
        <v>774</v>
      </c>
      <c r="M542" t="s">
        <v>72</v>
      </c>
      <c r="N542" t="s">
        <v>775</v>
      </c>
      <c r="O542" t="s">
        <v>774</v>
      </c>
      <c r="P542" t="s">
        <v>776</v>
      </c>
      <c r="Q542" t="s">
        <v>75</v>
      </c>
      <c r="R542" t="s">
        <v>2238</v>
      </c>
      <c r="T542" t="s">
        <v>78</v>
      </c>
      <c r="U542" t="s">
        <v>1822</v>
      </c>
      <c r="V542" t="s">
        <v>80</v>
      </c>
      <c r="W542" s="1">
        <v>44813</v>
      </c>
      <c r="X542" t="s">
        <v>1823</v>
      </c>
      <c r="Y542" t="s">
        <v>2280</v>
      </c>
      <c r="Z542" t="s">
        <v>83</v>
      </c>
      <c r="AA542">
        <v>1</v>
      </c>
      <c r="AB542" t="s">
        <v>2312</v>
      </c>
      <c r="AD542" t="s">
        <v>378</v>
      </c>
      <c r="AE542" t="s">
        <v>86</v>
      </c>
      <c r="AF542" t="s">
        <v>146</v>
      </c>
      <c r="AG542" t="s">
        <v>2282</v>
      </c>
      <c r="AH542" t="s">
        <v>2313</v>
      </c>
      <c r="AI542" t="s">
        <v>90</v>
      </c>
      <c r="AJ542">
        <v>32.441125</v>
      </c>
      <c r="AK542">
        <v>-110.786114</v>
      </c>
      <c r="AL542">
        <v>15</v>
      </c>
      <c r="AN542">
        <v>2760</v>
      </c>
      <c r="AP542">
        <v>2760</v>
      </c>
      <c r="AQ542">
        <v>2778.4598810000002</v>
      </c>
      <c r="AT542">
        <v>9</v>
      </c>
      <c r="AU542">
        <v>9</v>
      </c>
      <c r="AV542">
        <v>2022</v>
      </c>
      <c r="AW542">
        <v>2438447</v>
      </c>
      <c r="AX542">
        <v>2438447</v>
      </c>
      <c r="AY542" t="s">
        <v>106</v>
      </c>
      <c r="AZ542" t="s">
        <v>92</v>
      </c>
      <c r="BA542" t="s">
        <v>107</v>
      </c>
      <c r="BB542" t="s">
        <v>2314</v>
      </c>
      <c r="BC542" t="s">
        <v>2245</v>
      </c>
      <c r="BE542" t="s">
        <v>96</v>
      </c>
      <c r="BG542" t="s">
        <v>2246</v>
      </c>
      <c r="BI542" t="s">
        <v>98</v>
      </c>
      <c r="BJ542" t="s">
        <v>2315</v>
      </c>
      <c r="BL542" t="s">
        <v>412</v>
      </c>
    </row>
    <row r="543" spans="1:64" hidden="1" x14ac:dyDescent="0.2">
      <c r="A543">
        <v>693</v>
      </c>
      <c r="B543">
        <v>4070420544</v>
      </c>
      <c r="C543" t="s">
        <v>101</v>
      </c>
      <c r="D543" t="s">
        <v>2325</v>
      </c>
      <c r="E543" t="s">
        <v>65</v>
      </c>
      <c r="F543" t="s">
        <v>66</v>
      </c>
      <c r="G543" t="s">
        <v>67</v>
      </c>
      <c r="H543" t="s">
        <v>68</v>
      </c>
      <c r="I543" t="s">
        <v>176</v>
      </c>
      <c r="J543" t="s">
        <v>773</v>
      </c>
      <c r="K543" t="s">
        <v>774</v>
      </c>
      <c r="M543" t="s">
        <v>72</v>
      </c>
      <c r="N543" t="s">
        <v>775</v>
      </c>
      <c r="O543" t="s">
        <v>774</v>
      </c>
      <c r="P543" t="s">
        <v>776</v>
      </c>
      <c r="Q543" t="s">
        <v>75</v>
      </c>
      <c r="R543" t="s">
        <v>2238</v>
      </c>
      <c r="S543" t="s">
        <v>2317</v>
      </c>
      <c r="T543" t="s">
        <v>78</v>
      </c>
      <c r="U543" t="s">
        <v>1822</v>
      </c>
      <c r="V543" t="s">
        <v>80</v>
      </c>
      <c r="W543" s="1">
        <v>44813</v>
      </c>
      <c r="X543" t="s">
        <v>1823</v>
      </c>
      <c r="Y543" t="s">
        <v>2318</v>
      </c>
      <c r="Z543" t="s">
        <v>83</v>
      </c>
      <c r="AA543">
        <v>1</v>
      </c>
      <c r="AB543" t="s">
        <v>2262</v>
      </c>
      <c r="AD543" t="s">
        <v>134</v>
      </c>
      <c r="AE543" t="s">
        <v>86</v>
      </c>
      <c r="AF543" t="s">
        <v>146</v>
      </c>
      <c r="AG543" t="s">
        <v>2321</v>
      </c>
      <c r="AH543" t="s">
        <v>2326</v>
      </c>
      <c r="AI543" t="s">
        <v>90</v>
      </c>
      <c r="AJ543">
        <v>32.441259000000002</v>
      </c>
      <c r="AK543">
        <v>-110.786177</v>
      </c>
      <c r="AL543">
        <v>15</v>
      </c>
      <c r="AN543">
        <v>2757</v>
      </c>
      <c r="AP543">
        <v>2757</v>
      </c>
      <c r="AQ543">
        <v>2773.254516</v>
      </c>
      <c r="AT543">
        <v>9</v>
      </c>
      <c r="AU543">
        <v>9</v>
      </c>
      <c r="AV543">
        <v>2022</v>
      </c>
      <c r="AW543">
        <v>2438447</v>
      </c>
      <c r="AX543">
        <v>2438447</v>
      </c>
      <c r="AY543" t="s">
        <v>106</v>
      </c>
      <c r="AZ543" t="s">
        <v>92</v>
      </c>
      <c r="BA543" t="s">
        <v>107</v>
      </c>
      <c r="BB543" t="s">
        <v>2327</v>
      </c>
      <c r="BC543" t="s">
        <v>2245</v>
      </c>
      <c r="BE543" t="s">
        <v>96</v>
      </c>
      <c r="BG543" t="s">
        <v>2246</v>
      </c>
      <c r="BI543" t="s">
        <v>98</v>
      </c>
      <c r="BJ543" t="s">
        <v>2328</v>
      </c>
      <c r="BL543" t="s">
        <v>412</v>
      </c>
    </row>
    <row r="544" spans="1:64" hidden="1" x14ac:dyDescent="0.2">
      <c r="A544">
        <v>812</v>
      </c>
      <c r="B544">
        <v>4070420411</v>
      </c>
      <c r="C544" t="s">
        <v>101</v>
      </c>
      <c r="D544" t="s">
        <v>2329</v>
      </c>
      <c r="E544" t="s">
        <v>65</v>
      </c>
      <c r="F544" t="s">
        <v>66</v>
      </c>
      <c r="G544" t="s">
        <v>67</v>
      </c>
      <c r="H544" t="s">
        <v>68</v>
      </c>
      <c r="I544" t="s">
        <v>176</v>
      </c>
      <c r="J544" t="s">
        <v>773</v>
      </c>
      <c r="K544" t="s">
        <v>774</v>
      </c>
      <c r="M544" t="s">
        <v>72</v>
      </c>
      <c r="N544" t="s">
        <v>775</v>
      </c>
      <c r="O544" t="s">
        <v>774</v>
      </c>
      <c r="P544" t="s">
        <v>776</v>
      </c>
      <c r="Q544" t="s">
        <v>75</v>
      </c>
      <c r="R544" t="s">
        <v>2238</v>
      </c>
      <c r="S544" t="s">
        <v>2317</v>
      </c>
      <c r="T544" t="s">
        <v>78</v>
      </c>
      <c r="U544" t="s">
        <v>1822</v>
      </c>
      <c r="V544" t="s">
        <v>80</v>
      </c>
      <c r="W544" s="1">
        <v>44813</v>
      </c>
      <c r="X544" t="s">
        <v>1823</v>
      </c>
      <c r="Y544" t="s">
        <v>2318</v>
      </c>
      <c r="Z544" t="s">
        <v>83</v>
      </c>
      <c r="AA544">
        <v>1</v>
      </c>
      <c r="AB544" t="s">
        <v>127</v>
      </c>
      <c r="AD544" t="s">
        <v>139</v>
      </c>
      <c r="AE544" t="s">
        <v>86</v>
      </c>
      <c r="AF544" t="s">
        <v>146</v>
      </c>
      <c r="AG544" t="s">
        <v>2321</v>
      </c>
      <c r="AH544" t="s">
        <v>2330</v>
      </c>
      <c r="AI544" t="s">
        <v>90</v>
      </c>
      <c r="AJ544">
        <v>32.441259000000002</v>
      </c>
      <c r="AK544">
        <v>-110.786177</v>
      </c>
      <c r="AL544">
        <v>15</v>
      </c>
      <c r="AN544">
        <v>2757</v>
      </c>
      <c r="AP544">
        <v>2757</v>
      </c>
      <c r="AQ544">
        <v>2773.254516</v>
      </c>
      <c r="AT544">
        <v>9</v>
      </c>
      <c r="AU544">
        <v>9</v>
      </c>
      <c r="AV544">
        <v>2022</v>
      </c>
      <c r="AW544">
        <v>2438447</v>
      </c>
      <c r="AX544">
        <v>2438447</v>
      </c>
      <c r="AY544" t="s">
        <v>106</v>
      </c>
      <c r="AZ544" t="s">
        <v>92</v>
      </c>
      <c r="BA544" t="s">
        <v>107</v>
      </c>
      <c r="BB544" t="s">
        <v>2331</v>
      </c>
      <c r="BC544" t="s">
        <v>2245</v>
      </c>
      <c r="BE544" t="s">
        <v>96</v>
      </c>
      <c r="BG544" t="s">
        <v>2246</v>
      </c>
      <c r="BI544" t="s">
        <v>98</v>
      </c>
      <c r="BJ544" t="s">
        <v>2332</v>
      </c>
      <c r="BL544" t="s">
        <v>412</v>
      </c>
    </row>
    <row r="545" spans="1:64" hidden="1" x14ac:dyDescent="0.2">
      <c r="A545">
        <v>807</v>
      </c>
      <c r="B545">
        <v>4070420416</v>
      </c>
      <c r="C545" t="s">
        <v>101</v>
      </c>
      <c r="D545" t="s">
        <v>2333</v>
      </c>
      <c r="E545" t="s">
        <v>65</v>
      </c>
      <c r="F545" t="s">
        <v>66</v>
      </c>
      <c r="G545" t="s">
        <v>67</v>
      </c>
      <c r="H545" t="s">
        <v>68</v>
      </c>
      <c r="I545" t="s">
        <v>176</v>
      </c>
      <c r="J545" t="s">
        <v>773</v>
      </c>
      <c r="K545" t="s">
        <v>774</v>
      </c>
      <c r="M545" t="s">
        <v>72</v>
      </c>
      <c r="N545" t="s">
        <v>775</v>
      </c>
      <c r="O545" t="s">
        <v>774</v>
      </c>
      <c r="P545" t="s">
        <v>776</v>
      </c>
      <c r="Q545" t="s">
        <v>75</v>
      </c>
      <c r="R545" t="s">
        <v>2238</v>
      </c>
      <c r="S545" t="s">
        <v>2317</v>
      </c>
      <c r="T545" t="s">
        <v>78</v>
      </c>
      <c r="U545" t="s">
        <v>1822</v>
      </c>
      <c r="V545" t="s">
        <v>80</v>
      </c>
      <c r="W545" s="1">
        <v>44813</v>
      </c>
      <c r="X545" t="s">
        <v>1823</v>
      </c>
      <c r="Y545" t="s">
        <v>2318</v>
      </c>
      <c r="Z545" t="s">
        <v>83</v>
      </c>
      <c r="AA545">
        <v>1</v>
      </c>
      <c r="AB545" t="s">
        <v>127</v>
      </c>
      <c r="AD545" t="s">
        <v>123</v>
      </c>
      <c r="AE545" t="s">
        <v>86</v>
      </c>
      <c r="AF545" t="s">
        <v>146</v>
      </c>
      <c r="AG545" t="s">
        <v>2321</v>
      </c>
      <c r="AH545" t="s">
        <v>2330</v>
      </c>
      <c r="AI545" t="s">
        <v>90</v>
      </c>
      <c r="AJ545">
        <v>32.441259000000002</v>
      </c>
      <c r="AK545">
        <v>-110.786177</v>
      </c>
      <c r="AL545">
        <v>15</v>
      </c>
      <c r="AN545">
        <v>2757</v>
      </c>
      <c r="AP545">
        <v>2757</v>
      </c>
      <c r="AQ545">
        <v>2773.254516</v>
      </c>
      <c r="AT545">
        <v>9</v>
      </c>
      <c r="AU545">
        <v>9</v>
      </c>
      <c r="AV545">
        <v>2022</v>
      </c>
      <c r="AW545">
        <v>2438447</v>
      </c>
      <c r="AX545">
        <v>2438447</v>
      </c>
      <c r="AY545" t="s">
        <v>106</v>
      </c>
      <c r="AZ545" t="s">
        <v>92</v>
      </c>
      <c r="BA545" t="s">
        <v>107</v>
      </c>
      <c r="BB545" t="s">
        <v>2334</v>
      </c>
      <c r="BC545" t="s">
        <v>2245</v>
      </c>
      <c r="BE545" t="s">
        <v>96</v>
      </c>
      <c r="BG545" t="s">
        <v>2246</v>
      </c>
      <c r="BI545" t="s">
        <v>98</v>
      </c>
      <c r="BJ545" t="s">
        <v>2335</v>
      </c>
      <c r="BL545" t="s">
        <v>412</v>
      </c>
    </row>
    <row r="546" spans="1:64" hidden="1" x14ac:dyDescent="0.2">
      <c r="A546">
        <v>805</v>
      </c>
      <c r="B546">
        <v>4070420419</v>
      </c>
      <c r="C546" t="s">
        <v>101</v>
      </c>
      <c r="D546" t="s">
        <v>2336</v>
      </c>
      <c r="E546" t="s">
        <v>65</v>
      </c>
      <c r="F546" t="s">
        <v>66</v>
      </c>
      <c r="G546" t="s">
        <v>67</v>
      </c>
      <c r="H546" t="s">
        <v>68</v>
      </c>
      <c r="I546" t="s">
        <v>176</v>
      </c>
      <c r="J546" t="s">
        <v>773</v>
      </c>
      <c r="K546" t="s">
        <v>774</v>
      </c>
      <c r="M546" t="s">
        <v>72</v>
      </c>
      <c r="N546" t="s">
        <v>775</v>
      </c>
      <c r="O546" t="s">
        <v>774</v>
      </c>
      <c r="P546" t="s">
        <v>776</v>
      </c>
      <c r="Q546" t="s">
        <v>75</v>
      </c>
      <c r="R546" t="s">
        <v>2238</v>
      </c>
      <c r="S546" t="s">
        <v>2317</v>
      </c>
      <c r="T546" t="s">
        <v>78</v>
      </c>
      <c r="U546" t="s">
        <v>1822</v>
      </c>
      <c r="V546" t="s">
        <v>80</v>
      </c>
      <c r="W546" s="1">
        <v>44813</v>
      </c>
      <c r="X546" t="s">
        <v>1823</v>
      </c>
      <c r="Y546" t="s">
        <v>2318</v>
      </c>
      <c r="Z546" t="s">
        <v>83</v>
      </c>
      <c r="AA546">
        <v>1</v>
      </c>
      <c r="AB546" t="s">
        <v>127</v>
      </c>
      <c r="AD546" t="s">
        <v>112</v>
      </c>
      <c r="AE546" t="s">
        <v>86</v>
      </c>
      <c r="AF546" t="s">
        <v>146</v>
      </c>
      <c r="AG546" t="s">
        <v>2321</v>
      </c>
      <c r="AH546" t="s">
        <v>2330</v>
      </c>
      <c r="AI546" t="s">
        <v>90</v>
      </c>
      <c r="AJ546">
        <v>32.441259000000002</v>
      </c>
      <c r="AK546">
        <v>-110.786177</v>
      </c>
      <c r="AL546">
        <v>15</v>
      </c>
      <c r="AN546">
        <v>2757</v>
      </c>
      <c r="AP546">
        <v>2757</v>
      </c>
      <c r="AQ546">
        <v>2773.254516</v>
      </c>
      <c r="AT546">
        <v>9</v>
      </c>
      <c r="AU546">
        <v>9</v>
      </c>
      <c r="AV546">
        <v>2022</v>
      </c>
      <c r="AW546">
        <v>2438447</v>
      </c>
      <c r="AX546">
        <v>2438447</v>
      </c>
      <c r="AY546" t="s">
        <v>106</v>
      </c>
      <c r="AZ546" t="s">
        <v>92</v>
      </c>
      <c r="BA546" t="s">
        <v>107</v>
      </c>
      <c r="BB546" t="s">
        <v>2337</v>
      </c>
      <c r="BC546" t="s">
        <v>2245</v>
      </c>
      <c r="BE546" t="s">
        <v>96</v>
      </c>
      <c r="BG546" t="s">
        <v>2246</v>
      </c>
      <c r="BI546" t="s">
        <v>98</v>
      </c>
      <c r="BJ546" t="s">
        <v>2335</v>
      </c>
      <c r="BL546" t="s">
        <v>412</v>
      </c>
    </row>
    <row r="547" spans="1:64" hidden="1" x14ac:dyDescent="0.2">
      <c r="A547">
        <v>803</v>
      </c>
      <c r="B547">
        <v>4070420422</v>
      </c>
      <c r="C547" t="s">
        <v>101</v>
      </c>
      <c r="D547" t="s">
        <v>2338</v>
      </c>
      <c r="E547" t="s">
        <v>65</v>
      </c>
      <c r="F547" t="s">
        <v>66</v>
      </c>
      <c r="G547" t="s">
        <v>67</v>
      </c>
      <c r="H547" t="s">
        <v>68</v>
      </c>
      <c r="I547" t="s">
        <v>176</v>
      </c>
      <c r="J547" t="s">
        <v>773</v>
      </c>
      <c r="K547" t="s">
        <v>774</v>
      </c>
      <c r="M547" t="s">
        <v>72</v>
      </c>
      <c r="N547" t="s">
        <v>775</v>
      </c>
      <c r="O547" t="s">
        <v>774</v>
      </c>
      <c r="P547" t="s">
        <v>776</v>
      </c>
      <c r="Q547" t="s">
        <v>75</v>
      </c>
      <c r="R547" t="s">
        <v>2238</v>
      </c>
      <c r="S547" t="s">
        <v>2317</v>
      </c>
      <c r="T547" t="s">
        <v>78</v>
      </c>
      <c r="U547" t="s">
        <v>1822</v>
      </c>
      <c r="V547" t="s">
        <v>80</v>
      </c>
      <c r="W547" s="1">
        <v>44813</v>
      </c>
      <c r="X547" t="s">
        <v>1823</v>
      </c>
      <c r="Y547" t="s">
        <v>2318</v>
      </c>
      <c r="Z547" t="s">
        <v>83</v>
      </c>
      <c r="AA547">
        <v>1</v>
      </c>
      <c r="AB547" t="s">
        <v>127</v>
      </c>
      <c r="AD547" t="s">
        <v>116</v>
      </c>
      <c r="AE547" t="s">
        <v>86</v>
      </c>
      <c r="AF547" t="s">
        <v>146</v>
      </c>
      <c r="AG547" t="s">
        <v>2321</v>
      </c>
      <c r="AH547" t="s">
        <v>2330</v>
      </c>
      <c r="AI547" t="s">
        <v>90</v>
      </c>
      <c r="AJ547">
        <v>32.441259000000002</v>
      </c>
      <c r="AK547">
        <v>-110.786177</v>
      </c>
      <c r="AL547">
        <v>15</v>
      </c>
      <c r="AN547">
        <v>2757</v>
      </c>
      <c r="AP547">
        <v>2757</v>
      </c>
      <c r="AQ547">
        <v>2773.254516</v>
      </c>
      <c r="AT547">
        <v>9</v>
      </c>
      <c r="AU547">
        <v>9</v>
      </c>
      <c r="AV547">
        <v>2022</v>
      </c>
      <c r="AW547">
        <v>2438447</v>
      </c>
      <c r="AX547">
        <v>2438447</v>
      </c>
      <c r="AY547" t="s">
        <v>106</v>
      </c>
      <c r="AZ547" t="s">
        <v>92</v>
      </c>
      <c r="BA547" t="s">
        <v>107</v>
      </c>
      <c r="BB547" t="s">
        <v>2339</v>
      </c>
      <c r="BC547" t="s">
        <v>2245</v>
      </c>
      <c r="BE547" t="s">
        <v>96</v>
      </c>
      <c r="BG547" t="s">
        <v>2246</v>
      </c>
      <c r="BI547" t="s">
        <v>98</v>
      </c>
      <c r="BJ547" t="s">
        <v>2335</v>
      </c>
      <c r="BL547" t="s">
        <v>412</v>
      </c>
    </row>
    <row r="548" spans="1:64" hidden="1" x14ac:dyDescent="0.2">
      <c r="A548">
        <v>801</v>
      </c>
      <c r="B548">
        <v>4070420425</v>
      </c>
      <c r="C548" t="s">
        <v>101</v>
      </c>
      <c r="D548" t="s">
        <v>2340</v>
      </c>
      <c r="E548" t="s">
        <v>65</v>
      </c>
      <c r="F548" t="s">
        <v>66</v>
      </c>
      <c r="G548" t="s">
        <v>67</v>
      </c>
      <c r="H548" t="s">
        <v>68</v>
      </c>
      <c r="I548" t="s">
        <v>176</v>
      </c>
      <c r="J548" t="s">
        <v>773</v>
      </c>
      <c r="K548" t="s">
        <v>774</v>
      </c>
      <c r="M548" t="s">
        <v>72</v>
      </c>
      <c r="N548" t="s">
        <v>775</v>
      </c>
      <c r="O548" t="s">
        <v>774</v>
      </c>
      <c r="P548" t="s">
        <v>776</v>
      </c>
      <c r="Q548" t="s">
        <v>75</v>
      </c>
      <c r="R548" t="s">
        <v>2238</v>
      </c>
      <c r="S548" t="s">
        <v>2317</v>
      </c>
      <c r="T548" t="s">
        <v>78</v>
      </c>
      <c r="U548" t="s">
        <v>1822</v>
      </c>
      <c r="V548" t="s">
        <v>80</v>
      </c>
      <c r="W548" s="1">
        <v>44813</v>
      </c>
      <c r="X548" t="s">
        <v>1823</v>
      </c>
      <c r="Y548" t="s">
        <v>2318</v>
      </c>
      <c r="Z548" t="s">
        <v>83</v>
      </c>
      <c r="AA548">
        <v>1</v>
      </c>
      <c r="AB548" t="s">
        <v>127</v>
      </c>
      <c r="AD548" t="s">
        <v>116</v>
      </c>
      <c r="AE548" t="s">
        <v>86</v>
      </c>
      <c r="AF548" t="s">
        <v>146</v>
      </c>
      <c r="AG548" t="s">
        <v>2321</v>
      </c>
      <c r="AH548" t="s">
        <v>2330</v>
      </c>
      <c r="AI548" t="s">
        <v>90</v>
      </c>
      <c r="AJ548">
        <v>32.441259000000002</v>
      </c>
      <c r="AK548">
        <v>-110.786177</v>
      </c>
      <c r="AL548">
        <v>15</v>
      </c>
      <c r="AN548">
        <v>2757</v>
      </c>
      <c r="AP548">
        <v>2757</v>
      </c>
      <c r="AQ548">
        <v>2773.254516</v>
      </c>
      <c r="AT548">
        <v>9</v>
      </c>
      <c r="AU548">
        <v>9</v>
      </c>
      <c r="AV548">
        <v>2022</v>
      </c>
      <c r="AW548">
        <v>2438447</v>
      </c>
      <c r="AX548">
        <v>2438447</v>
      </c>
      <c r="AY548" t="s">
        <v>106</v>
      </c>
      <c r="AZ548" t="s">
        <v>92</v>
      </c>
      <c r="BA548" t="s">
        <v>107</v>
      </c>
      <c r="BB548" t="s">
        <v>2341</v>
      </c>
      <c r="BC548" t="s">
        <v>2245</v>
      </c>
      <c r="BE548" t="s">
        <v>96</v>
      </c>
      <c r="BG548" t="s">
        <v>2246</v>
      </c>
      <c r="BI548" t="s">
        <v>98</v>
      </c>
      <c r="BJ548" t="s">
        <v>2342</v>
      </c>
      <c r="BL548" t="s">
        <v>412</v>
      </c>
    </row>
    <row r="549" spans="1:64" hidden="1" x14ac:dyDescent="0.2">
      <c r="A549">
        <v>799</v>
      </c>
      <c r="B549">
        <v>4070420428</v>
      </c>
      <c r="C549" t="s">
        <v>101</v>
      </c>
      <c r="D549" t="s">
        <v>2343</v>
      </c>
      <c r="E549" t="s">
        <v>65</v>
      </c>
      <c r="F549" t="s">
        <v>66</v>
      </c>
      <c r="G549" t="s">
        <v>67</v>
      </c>
      <c r="H549" t="s">
        <v>68</v>
      </c>
      <c r="I549" t="s">
        <v>176</v>
      </c>
      <c r="J549" t="s">
        <v>773</v>
      </c>
      <c r="K549" t="s">
        <v>774</v>
      </c>
      <c r="M549" t="s">
        <v>72</v>
      </c>
      <c r="N549" t="s">
        <v>775</v>
      </c>
      <c r="O549" t="s">
        <v>774</v>
      </c>
      <c r="P549" t="s">
        <v>776</v>
      </c>
      <c r="Q549" t="s">
        <v>75</v>
      </c>
      <c r="R549" t="s">
        <v>2238</v>
      </c>
      <c r="S549" t="s">
        <v>2317</v>
      </c>
      <c r="T549" t="s">
        <v>78</v>
      </c>
      <c r="U549" t="s">
        <v>1822</v>
      </c>
      <c r="V549" t="s">
        <v>80</v>
      </c>
      <c r="W549" s="1">
        <v>44813</v>
      </c>
      <c r="X549" t="s">
        <v>1823</v>
      </c>
      <c r="Y549" t="s">
        <v>2318</v>
      </c>
      <c r="Z549" t="s">
        <v>83</v>
      </c>
      <c r="AA549">
        <v>1</v>
      </c>
      <c r="AB549" t="s">
        <v>127</v>
      </c>
      <c r="AD549" t="s">
        <v>104</v>
      </c>
      <c r="AE549" t="s">
        <v>86</v>
      </c>
      <c r="AF549" t="s">
        <v>146</v>
      </c>
      <c r="AG549" t="s">
        <v>2321</v>
      </c>
      <c r="AH549" t="s">
        <v>2330</v>
      </c>
      <c r="AI549" t="s">
        <v>90</v>
      </c>
      <c r="AJ549">
        <v>32.441259000000002</v>
      </c>
      <c r="AK549">
        <v>-110.786177</v>
      </c>
      <c r="AL549">
        <v>15</v>
      </c>
      <c r="AN549">
        <v>2757</v>
      </c>
      <c r="AP549">
        <v>2757</v>
      </c>
      <c r="AQ549">
        <v>2773.254516</v>
      </c>
      <c r="AT549">
        <v>9</v>
      </c>
      <c r="AU549">
        <v>9</v>
      </c>
      <c r="AV549">
        <v>2022</v>
      </c>
      <c r="AW549">
        <v>2438447</v>
      </c>
      <c r="AX549">
        <v>2438447</v>
      </c>
      <c r="AY549" t="s">
        <v>106</v>
      </c>
      <c r="AZ549" t="s">
        <v>92</v>
      </c>
      <c r="BA549" t="s">
        <v>107</v>
      </c>
      <c r="BB549" t="s">
        <v>2344</v>
      </c>
      <c r="BC549" t="s">
        <v>2245</v>
      </c>
      <c r="BE549" t="s">
        <v>96</v>
      </c>
      <c r="BG549" t="s">
        <v>2246</v>
      </c>
      <c r="BI549" t="s">
        <v>98</v>
      </c>
      <c r="BJ549" t="s">
        <v>2267</v>
      </c>
      <c r="BL549" t="s">
        <v>412</v>
      </c>
    </row>
    <row r="550" spans="1:64" hidden="1" x14ac:dyDescent="0.2">
      <c r="A550">
        <v>755</v>
      </c>
      <c r="B550">
        <v>4070420482</v>
      </c>
      <c r="C550" t="s">
        <v>101</v>
      </c>
      <c r="D550" t="s">
        <v>2755</v>
      </c>
      <c r="E550" t="s">
        <v>65</v>
      </c>
      <c r="F550" t="s">
        <v>66</v>
      </c>
      <c r="G550" t="s">
        <v>67</v>
      </c>
      <c r="H550" t="s">
        <v>68</v>
      </c>
      <c r="I550" t="s">
        <v>176</v>
      </c>
      <c r="J550" t="s">
        <v>177</v>
      </c>
      <c r="K550" t="s">
        <v>1817</v>
      </c>
      <c r="M550" t="s">
        <v>72</v>
      </c>
      <c r="N550" t="s">
        <v>1818</v>
      </c>
      <c r="O550" t="s">
        <v>1817</v>
      </c>
      <c r="P550" t="s">
        <v>1819</v>
      </c>
      <c r="Q550" t="s">
        <v>75</v>
      </c>
      <c r="R550" t="s">
        <v>2238</v>
      </c>
      <c r="S550" t="s">
        <v>1131</v>
      </c>
      <c r="T550" t="s">
        <v>78</v>
      </c>
      <c r="U550" t="s">
        <v>1822</v>
      </c>
      <c r="V550" t="s">
        <v>80</v>
      </c>
      <c r="W550" s="1">
        <v>44813</v>
      </c>
      <c r="X550" t="s">
        <v>1823</v>
      </c>
      <c r="Y550" t="s">
        <v>2756</v>
      </c>
      <c r="Z550" t="s">
        <v>83</v>
      </c>
      <c r="AA550">
        <v>1</v>
      </c>
      <c r="AB550" t="s">
        <v>127</v>
      </c>
      <c r="AC550">
        <v>0</v>
      </c>
      <c r="AD550" t="s">
        <v>128</v>
      </c>
      <c r="AE550" t="s">
        <v>145</v>
      </c>
      <c r="AF550" t="s">
        <v>146</v>
      </c>
      <c r="AI550" t="s">
        <v>90</v>
      </c>
      <c r="AJ550">
        <v>32.442261999999999</v>
      </c>
      <c r="AK550">
        <v>-110.787707</v>
      </c>
      <c r="AL550">
        <v>3</v>
      </c>
      <c r="AN550">
        <v>2737</v>
      </c>
      <c r="AP550">
        <v>2737</v>
      </c>
      <c r="AQ550">
        <v>2775.4395989999998</v>
      </c>
      <c r="AT550">
        <v>9</v>
      </c>
      <c r="AU550">
        <v>9</v>
      </c>
      <c r="AV550">
        <v>2022</v>
      </c>
      <c r="AW550">
        <v>2437967</v>
      </c>
      <c r="AX550">
        <v>2437967</v>
      </c>
      <c r="AY550" t="s">
        <v>106</v>
      </c>
      <c r="AZ550" t="s">
        <v>92</v>
      </c>
      <c r="BA550" t="s">
        <v>107</v>
      </c>
      <c r="BB550" t="s">
        <v>2757</v>
      </c>
      <c r="BC550" t="s">
        <v>2245</v>
      </c>
      <c r="BE550" t="s">
        <v>96</v>
      </c>
      <c r="BG550" t="s">
        <v>2246</v>
      </c>
      <c r="BI550" t="s">
        <v>98</v>
      </c>
      <c r="BJ550" t="s">
        <v>2744</v>
      </c>
      <c r="BL550" t="s">
        <v>412</v>
      </c>
    </row>
    <row r="551" spans="1:64" hidden="1" x14ac:dyDescent="0.2">
      <c r="A551">
        <v>918</v>
      </c>
      <c r="B551">
        <v>4070420302</v>
      </c>
      <c r="C551" t="s">
        <v>101</v>
      </c>
      <c r="D551" t="s">
        <v>2349</v>
      </c>
      <c r="E551" t="s">
        <v>65</v>
      </c>
      <c r="F551" t="s">
        <v>66</v>
      </c>
      <c r="G551" t="s">
        <v>67</v>
      </c>
      <c r="H551" t="s">
        <v>68</v>
      </c>
      <c r="I551" t="s">
        <v>176</v>
      </c>
      <c r="J551" t="s">
        <v>773</v>
      </c>
      <c r="K551" t="s">
        <v>774</v>
      </c>
      <c r="M551" t="s">
        <v>72</v>
      </c>
      <c r="N551" t="s">
        <v>775</v>
      </c>
      <c r="O551" t="s">
        <v>774</v>
      </c>
      <c r="P551" t="s">
        <v>776</v>
      </c>
      <c r="Q551" t="s">
        <v>75</v>
      </c>
      <c r="R551" t="s">
        <v>2238</v>
      </c>
      <c r="T551" t="s">
        <v>78</v>
      </c>
      <c r="U551" t="s">
        <v>1822</v>
      </c>
      <c r="V551" t="s">
        <v>80</v>
      </c>
      <c r="W551" s="1">
        <v>44813</v>
      </c>
      <c r="X551" t="s">
        <v>1823</v>
      </c>
      <c r="Y551" t="s">
        <v>2318</v>
      </c>
      <c r="Z551" t="s">
        <v>83</v>
      </c>
      <c r="AA551">
        <v>1</v>
      </c>
      <c r="AB551" t="s">
        <v>2350</v>
      </c>
      <c r="AD551" t="s">
        <v>378</v>
      </c>
      <c r="AE551" t="s">
        <v>86</v>
      </c>
      <c r="AF551" t="s">
        <v>146</v>
      </c>
      <c r="AG551" t="s">
        <v>2321</v>
      </c>
      <c r="AH551" t="s">
        <v>2351</v>
      </c>
      <c r="AI551" t="s">
        <v>90</v>
      </c>
      <c r="AJ551">
        <v>32.441259000000002</v>
      </c>
      <c r="AK551">
        <v>-110.786177</v>
      </c>
      <c r="AL551">
        <v>15</v>
      </c>
      <c r="AN551">
        <v>2757</v>
      </c>
      <c r="AP551">
        <v>2757</v>
      </c>
      <c r="AQ551">
        <v>2773.254516</v>
      </c>
      <c r="AT551">
        <v>9</v>
      </c>
      <c r="AU551">
        <v>9</v>
      </c>
      <c r="AV551">
        <v>2022</v>
      </c>
      <c r="AW551">
        <v>2438447</v>
      </c>
      <c r="AX551">
        <v>2438447</v>
      </c>
      <c r="AY551" t="s">
        <v>106</v>
      </c>
      <c r="AZ551" t="s">
        <v>92</v>
      </c>
      <c r="BA551" t="s">
        <v>107</v>
      </c>
      <c r="BB551" t="s">
        <v>2352</v>
      </c>
      <c r="BC551" t="s">
        <v>2245</v>
      </c>
      <c r="BE551" t="s">
        <v>96</v>
      </c>
      <c r="BG551" t="s">
        <v>2246</v>
      </c>
      <c r="BI551" t="s">
        <v>98</v>
      </c>
      <c r="BJ551" t="s">
        <v>2353</v>
      </c>
      <c r="BL551" t="s">
        <v>412</v>
      </c>
    </row>
    <row r="552" spans="1:64" hidden="1" x14ac:dyDescent="0.2">
      <c r="A552">
        <v>712</v>
      </c>
      <c r="B552">
        <v>4070420525</v>
      </c>
      <c r="C552" t="s">
        <v>101</v>
      </c>
      <c r="D552" t="s">
        <v>2761</v>
      </c>
      <c r="E552" t="s">
        <v>65</v>
      </c>
      <c r="F552" t="s">
        <v>66</v>
      </c>
      <c r="G552" t="s">
        <v>67</v>
      </c>
      <c r="H552" t="s">
        <v>68</v>
      </c>
      <c r="I552" t="s">
        <v>176</v>
      </c>
      <c r="J552" t="s">
        <v>177</v>
      </c>
      <c r="K552" t="s">
        <v>1817</v>
      </c>
      <c r="M552" t="s">
        <v>72</v>
      </c>
      <c r="N552" t="s">
        <v>1818</v>
      </c>
      <c r="O552" t="s">
        <v>1817</v>
      </c>
      <c r="P552" t="s">
        <v>1819</v>
      </c>
      <c r="Q552" t="s">
        <v>75</v>
      </c>
      <c r="R552" t="s">
        <v>2238</v>
      </c>
      <c r="S552" t="s">
        <v>1118</v>
      </c>
      <c r="T552" t="s">
        <v>78</v>
      </c>
      <c r="U552" t="s">
        <v>1822</v>
      </c>
      <c r="V552" t="s">
        <v>80</v>
      </c>
      <c r="W552" s="1">
        <v>44813</v>
      </c>
      <c r="X552" t="s">
        <v>1823</v>
      </c>
      <c r="Y552" t="s">
        <v>2762</v>
      </c>
      <c r="Z552" t="s">
        <v>83</v>
      </c>
      <c r="AA552">
        <v>1</v>
      </c>
      <c r="AB552" t="s">
        <v>127</v>
      </c>
      <c r="AC552">
        <v>0</v>
      </c>
      <c r="AD552" t="s">
        <v>128</v>
      </c>
      <c r="AE552" t="s">
        <v>86</v>
      </c>
      <c r="AF552" t="s">
        <v>87</v>
      </c>
      <c r="AI552" t="s">
        <v>90</v>
      </c>
      <c r="AJ552">
        <v>32.441628000000001</v>
      </c>
      <c r="AK552">
        <v>-110.787389</v>
      </c>
      <c r="AL552">
        <v>3</v>
      </c>
      <c r="AN552">
        <v>2667</v>
      </c>
      <c r="AP552">
        <v>2667</v>
      </c>
      <c r="AQ552">
        <v>2778.1212959999998</v>
      </c>
      <c r="AT552">
        <v>9</v>
      </c>
      <c r="AU552">
        <v>9</v>
      </c>
      <c r="AV552">
        <v>2022</v>
      </c>
      <c r="AW552">
        <v>2437967</v>
      </c>
      <c r="AX552">
        <v>2437967</v>
      </c>
      <c r="AY552" t="s">
        <v>106</v>
      </c>
      <c r="AZ552" t="s">
        <v>92</v>
      </c>
      <c r="BA552" t="s">
        <v>107</v>
      </c>
      <c r="BB552" t="s">
        <v>2763</v>
      </c>
      <c r="BC552" t="s">
        <v>2245</v>
      </c>
      <c r="BE552" t="s">
        <v>96</v>
      </c>
      <c r="BG552" t="s">
        <v>2246</v>
      </c>
      <c r="BI552" t="s">
        <v>98</v>
      </c>
      <c r="BJ552" t="s">
        <v>2764</v>
      </c>
      <c r="BL552" t="s">
        <v>412</v>
      </c>
    </row>
    <row r="553" spans="1:64" hidden="1" x14ac:dyDescent="0.2">
      <c r="A553">
        <v>856</v>
      </c>
      <c r="B553">
        <v>4070420367</v>
      </c>
      <c r="C553" t="s">
        <v>101</v>
      </c>
      <c r="D553" t="s">
        <v>2359</v>
      </c>
      <c r="E553" t="s">
        <v>65</v>
      </c>
      <c r="F553" t="s">
        <v>66</v>
      </c>
      <c r="G553" t="s">
        <v>67</v>
      </c>
      <c r="H553" t="s">
        <v>68</v>
      </c>
      <c r="I553" t="s">
        <v>176</v>
      </c>
      <c r="J553" t="s">
        <v>177</v>
      </c>
      <c r="K553" t="s">
        <v>1817</v>
      </c>
      <c r="M553" t="s">
        <v>72</v>
      </c>
      <c r="N553" t="s">
        <v>1818</v>
      </c>
      <c r="O553" t="s">
        <v>1817</v>
      </c>
      <c r="P553" t="s">
        <v>1819</v>
      </c>
      <c r="Q553" t="s">
        <v>75</v>
      </c>
      <c r="R553" t="s">
        <v>2238</v>
      </c>
      <c r="S553" t="s">
        <v>2355</v>
      </c>
      <c r="T553" t="s">
        <v>78</v>
      </c>
      <c r="U553" t="s">
        <v>1822</v>
      </c>
      <c r="V553" t="s">
        <v>80</v>
      </c>
      <c r="W553" s="1">
        <v>44813</v>
      </c>
      <c r="X553" t="s">
        <v>1823</v>
      </c>
      <c r="Y553" t="s">
        <v>2356</v>
      </c>
      <c r="Z553" t="s">
        <v>83</v>
      </c>
      <c r="AA553">
        <v>1</v>
      </c>
      <c r="AB553" t="s">
        <v>103</v>
      </c>
      <c r="AD553" t="s">
        <v>343</v>
      </c>
      <c r="AE553" t="s">
        <v>86</v>
      </c>
      <c r="AF553" t="s">
        <v>146</v>
      </c>
      <c r="AG553" t="s">
        <v>2205</v>
      </c>
      <c r="AI553" t="s">
        <v>90</v>
      </c>
      <c r="AJ553">
        <v>32.441116999999998</v>
      </c>
      <c r="AK553">
        <v>-110.786867</v>
      </c>
      <c r="AL553">
        <v>15</v>
      </c>
      <c r="AN553">
        <v>2768</v>
      </c>
      <c r="AP553">
        <v>2768</v>
      </c>
      <c r="AQ553">
        <v>2787.9940000000001</v>
      </c>
      <c r="AT553">
        <v>9</v>
      </c>
      <c r="AU553">
        <v>9</v>
      </c>
      <c r="AV553">
        <v>2022</v>
      </c>
      <c r="AW553">
        <v>2437967</v>
      </c>
      <c r="AX553">
        <v>2437967</v>
      </c>
      <c r="AY553" t="s">
        <v>106</v>
      </c>
      <c r="AZ553" t="s">
        <v>92</v>
      </c>
      <c r="BA553" t="s">
        <v>107</v>
      </c>
      <c r="BB553" t="s">
        <v>2360</v>
      </c>
      <c r="BC553" t="s">
        <v>2245</v>
      </c>
      <c r="BE553" t="s">
        <v>96</v>
      </c>
      <c r="BG553" t="s">
        <v>2246</v>
      </c>
      <c r="BI553" t="s">
        <v>98</v>
      </c>
      <c r="BJ553" t="s">
        <v>2361</v>
      </c>
      <c r="BL553" t="s">
        <v>412</v>
      </c>
    </row>
    <row r="554" spans="1:64" hidden="1" x14ac:dyDescent="0.2">
      <c r="A554">
        <v>854</v>
      </c>
      <c r="B554">
        <v>4070420369</v>
      </c>
      <c r="C554" t="s">
        <v>101</v>
      </c>
      <c r="D554" t="s">
        <v>2370</v>
      </c>
      <c r="E554" t="s">
        <v>65</v>
      </c>
      <c r="F554" t="s">
        <v>66</v>
      </c>
      <c r="G554" t="s">
        <v>67</v>
      </c>
      <c r="H554" t="s">
        <v>68</v>
      </c>
      <c r="I554" t="s">
        <v>176</v>
      </c>
      <c r="J554" t="s">
        <v>177</v>
      </c>
      <c r="K554" t="s">
        <v>1817</v>
      </c>
      <c r="M554" t="s">
        <v>72</v>
      </c>
      <c r="N554" t="s">
        <v>1818</v>
      </c>
      <c r="O554" t="s">
        <v>1817</v>
      </c>
      <c r="P554" t="s">
        <v>1819</v>
      </c>
      <c r="Q554" t="s">
        <v>75</v>
      </c>
      <c r="R554" t="s">
        <v>2238</v>
      </c>
      <c r="S554" t="s">
        <v>2363</v>
      </c>
      <c r="T554" t="s">
        <v>78</v>
      </c>
      <c r="U554" t="s">
        <v>1822</v>
      </c>
      <c r="V554" t="s">
        <v>80</v>
      </c>
      <c r="W554" s="1">
        <v>44813</v>
      </c>
      <c r="X554" t="s">
        <v>1823</v>
      </c>
      <c r="Y554" t="s">
        <v>2364</v>
      </c>
      <c r="Z554" t="s">
        <v>83</v>
      </c>
      <c r="AA554">
        <v>1</v>
      </c>
      <c r="AB554" t="s">
        <v>103</v>
      </c>
      <c r="AD554" t="s">
        <v>116</v>
      </c>
      <c r="AE554" t="s">
        <v>145</v>
      </c>
      <c r="AF554" t="s">
        <v>87</v>
      </c>
      <c r="AG554" t="s">
        <v>2366</v>
      </c>
      <c r="AH554" t="s">
        <v>2371</v>
      </c>
      <c r="AI554" t="s">
        <v>90</v>
      </c>
      <c r="AJ554">
        <v>32.44106</v>
      </c>
      <c r="AK554">
        <v>-110.78533899999999</v>
      </c>
      <c r="AL554">
        <v>15</v>
      </c>
      <c r="AN554">
        <v>2758</v>
      </c>
      <c r="AP554">
        <v>2758</v>
      </c>
      <c r="AQ554">
        <v>2779.596708</v>
      </c>
      <c r="AT554">
        <v>9</v>
      </c>
      <c r="AU554">
        <v>9</v>
      </c>
      <c r="AV554">
        <v>2022</v>
      </c>
      <c r="AW554">
        <v>2437967</v>
      </c>
      <c r="AX554">
        <v>2437967</v>
      </c>
      <c r="AY554" t="s">
        <v>106</v>
      </c>
      <c r="AZ554" t="s">
        <v>92</v>
      </c>
      <c r="BA554" t="s">
        <v>107</v>
      </c>
      <c r="BB554" t="s">
        <v>2372</v>
      </c>
      <c r="BC554" t="s">
        <v>2245</v>
      </c>
      <c r="BE554" t="s">
        <v>96</v>
      </c>
      <c r="BG554" t="s">
        <v>2246</v>
      </c>
      <c r="BI554" t="s">
        <v>98</v>
      </c>
      <c r="BJ554" t="s">
        <v>2361</v>
      </c>
      <c r="BL554" t="s">
        <v>412</v>
      </c>
    </row>
    <row r="555" spans="1:64" hidden="1" x14ac:dyDescent="0.2">
      <c r="A555">
        <v>873</v>
      </c>
      <c r="B555">
        <v>4070420350</v>
      </c>
      <c r="C555" t="s">
        <v>101</v>
      </c>
      <c r="D555" t="s">
        <v>2373</v>
      </c>
      <c r="E555" t="s">
        <v>65</v>
      </c>
      <c r="F555" t="s">
        <v>66</v>
      </c>
      <c r="G555" t="s">
        <v>67</v>
      </c>
      <c r="H555" t="s">
        <v>68</v>
      </c>
      <c r="I555" t="s">
        <v>176</v>
      </c>
      <c r="J555" t="s">
        <v>177</v>
      </c>
      <c r="K555" t="s">
        <v>1817</v>
      </c>
      <c r="M555" t="s">
        <v>72</v>
      </c>
      <c r="N555" t="s">
        <v>1818</v>
      </c>
      <c r="O555" t="s">
        <v>1817</v>
      </c>
      <c r="P555" t="s">
        <v>1819</v>
      </c>
      <c r="Q555" t="s">
        <v>75</v>
      </c>
      <c r="R555" t="s">
        <v>2238</v>
      </c>
      <c r="S555" t="s">
        <v>2363</v>
      </c>
      <c r="T555" t="s">
        <v>78</v>
      </c>
      <c r="U555" t="s">
        <v>1822</v>
      </c>
      <c r="V555" t="s">
        <v>80</v>
      </c>
      <c r="W555" s="1">
        <v>44813</v>
      </c>
      <c r="X555" t="s">
        <v>1823</v>
      </c>
      <c r="Y555" t="s">
        <v>2364</v>
      </c>
      <c r="Z555" t="s">
        <v>83</v>
      </c>
      <c r="AA555">
        <v>1</v>
      </c>
      <c r="AB555" t="s">
        <v>127</v>
      </c>
      <c r="AD555" t="s">
        <v>123</v>
      </c>
      <c r="AE555" t="s">
        <v>145</v>
      </c>
      <c r="AF555" t="s">
        <v>87</v>
      </c>
      <c r="AG555" t="s">
        <v>2366</v>
      </c>
      <c r="AH555" t="s">
        <v>2371</v>
      </c>
      <c r="AI555" t="s">
        <v>90</v>
      </c>
      <c r="AJ555">
        <v>32.44106</v>
      </c>
      <c r="AK555">
        <v>-110.78533899999999</v>
      </c>
      <c r="AL555">
        <v>15</v>
      </c>
      <c r="AN555">
        <v>2758</v>
      </c>
      <c r="AP555">
        <v>2758</v>
      </c>
      <c r="AQ555">
        <v>2779.596708</v>
      </c>
      <c r="AT555">
        <v>9</v>
      </c>
      <c r="AU555">
        <v>9</v>
      </c>
      <c r="AV555">
        <v>2022</v>
      </c>
      <c r="AW555">
        <v>2437967</v>
      </c>
      <c r="AX555">
        <v>2437967</v>
      </c>
      <c r="AY555" t="s">
        <v>106</v>
      </c>
      <c r="AZ555" t="s">
        <v>92</v>
      </c>
      <c r="BA555" t="s">
        <v>107</v>
      </c>
      <c r="BB555" t="s">
        <v>2374</v>
      </c>
      <c r="BC555" t="s">
        <v>2245</v>
      </c>
      <c r="BE555" t="s">
        <v>96</v>
      </c>
      <c r="BG555" t="s">
        <v>2246</v>
      </c>
      <c r="BI555" t="s">
        <v>98</v>
      </c>
      <c r="BJ555" t="s">
        <v>689</v>
      </c>
      <c r="BL555" t="s">
        <v>412</v>
      </c>
    </row>
    <row r="556" spans="1:64" hidden="1" x14ac:dyDescent="0.2">
      <c r="A556">
        <v>724</v>
      </c>
      <c r="B556">
        <v>4070420513</v>
      </c>
      <c r="C556" t="s">
        <v>101</v>
      </c>
      <c r="D556" t="s">
        <v>2870</v>
      </c>
      <c r="E556" t="s">
        <v>65</v>
      </c>
      <c r="F556" t="s">
        <v>66</v>
      </c>
      <c r="G556" t="s">
        <v>67</v>
      </c>
      <c r="H556" t="s">
        <v>68</v>
      </c>
      <c r="I556" t="s">
        <v>176</v>
      </c>
      <c r="J556" t="s">
        <v>177</v>
      </c>
      <c r="K556" t="s">
        <v>178</v>
      </c>
      <c r="M556" t="s">
        <v>72</v>
      </c>
      <c r="N556" t="s">
        <v>179</v>
      </c>
      <c r="O556" t="s">
        <v>178</v>
      </c>
      <c r="P556" t="s">
        <v>180</v>
      </c>
      <c r="Q556" t="s">
        <v>75</v>
      </c>
      <c r="R556" t="s">
        <v>2806</v>
      </c>
      <c r="S556" t="s">
        <v>727</v>
      </c>
      <c r="T556" t="s">
        <v>78</v>
      </c>
      <c r="U556" t="s">
        <v>1822</v>
      </c>
      <c r="V556" t="s">
        <v>80</v>
      </c>
      <c r="W556" s="1">
        <v>44814</v>
      </c>
      <c r="X556" t="s">
        <v>2778</v>
      </c>
      <c r="Y556" t="s">
        <v>2871</v>
      </c>
      <c r="Z556" t="s">
        <v>83</v>
      </c>
      <c r="AA556">
        <v>1</v>
      </c>
      <c r="AB556" t="s">
        <v>127</v>
      </c>
      <c r="AC556">
        <v>0</v>
      </c>
      <c r="AD556" t="s">
        <v>128</v>
      </c>
      <c r="AE556" t="s">
        <v>145</v>
      </c>
      <c r="AF556" t="s">
        <v>281</v>
      </c>
      <c r="AI556" t="s">
        <v>90</v>
      </c>
      <c r="AJ556">
        <v>32.453380000000003</v>
      </c>
      <c r="AK556">
        <v>-110.74538800000001</v>
      </c>
      <c r="AL556">
        <v>3</v>
      </c>
      <c r="AN556">
        <v>2214</v>
      </c>
      <c r="AP556">
        <v>2214</v>
      </c>
      <c r="AQ556">
        <v>2220.5690599999998</v>
      </c>
      <c r="AT556">
        <v>10</v>
      </c>
      <c r="AU556">
        <v>9</v>
      </c>
      <c r="AV556">
        <v>2022</v>
      </c>
      <c r="AW556">
        <v>2438038</v>
      </c>
      <c r="AX556">
        <v>2438038</v>
      </c>
      <c r="AY556" t="s">
        <v>106</v>
      </c>
      <c r="AZ556" t="s">
        <v>92</v>
      </c>
      <c r="BA556" t="s">
        <v>107</v>
      </c>
      <c r="BB556" t="s">
        <v>2872</v>
      </c>
      <c r="BC556" t="s">
        <v>2245</v>
      </c>
      <c r="BE556" t="s">
        <v>96</v>
      </c>
      <c r="BG556" t="s">
        <v>2811</v>
      </c>
      <c r="BI556" t="s">
        <v>98</v>
      </c>
      <c r="BJ556" t="s">
        <v>1563</v>
      </c>
      <c r="BL556" t="s">
        <v>412</v>
      </c>
    </row>
    <row r="557" spans="1:64" x14ac:dyDescent="0.2">
      <c r="A557">
        <v>1458</v>
      </c>
      <c r="B557">
        <v>3748770423</v>
      </c>
      <c r="C557" t="s">
        <v>63</v>
      </c>
      <c r="D557" s="2" t="s">
        <v>4049</v>
      </c>
      <c r="E557" t="s">
        <v>65</v>
      </c>
      <c r="F557" t="s">
        <v>66</v>
      </c>
      <c r="G557" t="s">
        <v>67</v>
      </c>
      <c r="H557" t="s">
        <v>68</v>
      </c>
      <c r="I557" t="s">
        <v>350</v>
      </c>
      <c r="J557" t="s">
        <v>4050</v>
      </c>
      <c r="K557" t="s">
        <v>4051</v>
      </c>
      <c r="M557" t="s">
        <v>72</v>
      </c>
      <c r="N557" t="s">
        <v>4052</v>
      </c>
      <c r="O557" t="s">
        <v>4051</v>
      </c>
      <c r="P557" t="s">
        <v>4053</v>
      </c>
      <c r="Q557" t="s">
        <v>75</v>
      </c>
      <c r="R557" t="s">
        <v>3816</v>
      </c>
      <c r="S557" t="s">
        <v>3788</v>
      </c>
      <c r="T557" t="s">
        <v>78</v>
      </c>
      <c r="U557" t="s">
        <v>3817</v>
      </c>
      <c r="V557" t="s">
        <v>80</v>
      </c>
      <c r="W557" s="1">
        <v>44519</v>
      </c>
      <c r="X557" t="s">
        <v>3818</v>
      </c>
      <c r="Y557" t="s">
        <v>4054</v>
      </c>
      <c r="Z557" t="s">
        <v>83</v>
      </c>
      <c r="AA557">
        <v>1</v>
      </c>
      <c r="AB557" t="s">
        <v>4055</v>
      </c>
      <c r="AC557">
        <v>1</v>
      </c>
      <c r="AD557" s="6" t="s">
        <v>85</v>
      </c>
      <c r="AE557" s="6" t="s">
        <v>86</v>
      </c>
      <c r="AF557" s="6" t="s">
        <v>146</v>
      </c>
      <c r="AG557" s="6" t="s">
        <v>4056</v>
      </c>
      <c r="AH557" s="6" t="s">
        <v>4057</v>
      </c>
      <c r="AI557" s="6" t="s">
        <v>90</v>
      </c>
      <c r="AJ557" s="6">
        <v>32.516258999999998</v>
      </c>
      <c r="AK557" s="6">
        <v>-110.68764400000001</v>
      </c>
      <c r="AL557" s="6">
        <v>3</v>
      </c>
      <c r="AM557" s="6"/>
      <c r="AN557" s="6">
        <v>1347</v>
      </c>
      <c r="AO557" s="6"/>
      <c r="AP557" s="6">
        <v>1347</v>
      </c>
      <c r="AQ557" s="6">
        <v>1365.4168010000001</v>
      </c>
      <c r="AR557" s="6"/>
      <c r="AS557" s="6"/>
      <c r="AT557" s="6">
        <v>19</v>
      </c>
      <c r="AU557" s="6">
        <v>11</v>
      </c>
      <c r="AV557" s="6">
        <v>2021</v>
      </c>
      <c r="AW557" s="6">
        <v>2437568</v>
      </c>
      <c r="AX557" s="6">
        <v>2437568</v>
      </c>
      <c r="AY557" s="6" t="s">
        <v>91</v>
      </c>
      <c r="AZ557" t="s">
        <v>92</v>
      </c>
      <c r="BA557" t="s">
        <v>93</v>
      </c>
      <c r="BB557" t="s">
        <v>4058</v>
      </c>
      <c r="BC557" t="s">
        <v>97</v>
      </c>
      <c r="BE557" t="s">
        <v>96</v>
      </c>
      <c r="BG557" t="s">
        <v>97</v>
      </c>
      <c r="BI557" t="s">
        <v>98</v>
      </c>
      <c r="BJ557" t="s">
        <v>4059</v>
      </c>
      <c r="BL557" t="s">
        <v>100</v>
      </c>
    </row>
    <row r="558" spans="1:64" hidden="1" x14ac:dyDescent="0.2">
      <c r="A558">
        <v>867</v>
      </c>
      <c r="B558">
        <v>4070420356</v>
      </c>
      <c r="C558" t="s">
        <v>101</v>
      </c>
      <c r="D558" t="s">
        <v>2382</v>
      </c>
      <c r="E558" t="s">
        <v>65</v>
      </c>
      <c r="F558" t="s">
        <v>66</v>
      </c>
      <c r="G558" t="s">
        <v>67</v>
      </c>
      <c r="H558" t="s">
        <v>68</v>
      </c>
      <c r="I558" t="s">
        <v>176</v>
      </c>
      <c r="J558" t="s">
        <v>177</v>
      </c>
      <c r="K558" t="s">
        <v>1817</v>
      </c>
      <c r="M558" t="s">
        <v>72</v>
      </c>
      <c r="N558" t="s">
        <v>1818</v>
      </c>
      <c r="O558" t="s">
        <v>1817</v>
      </c>
      <c r="P558" t="s">
        <v>1819</v>
      </c>
      <c r="Q558" t="s">
        <v>75</v>
      </c>
      <c r="R558" t="s">
        <v>2238</v>
      </c>
      <c r="S558" t="s">
        <v>2363</v>
      </c>
      <c r="T558" t="s">
        <v>78</v>
      </c>
      <c r="U558" t="s">
        <v>1822</v>
      </c>
      <c r="V558" t="s">
        <v>80</v>
      </c>
      <c r="W558" s="1">
        <v>44813</v>
      </c>
      <c r="X558" t="s">
        <v>1823</v>
      </c>
      <c r="Y558" t="s">
        <v>2364</v>
      </c>
      <c r="Z558" t="s">
        <v>83</v>
      </c>
      <c r="AA558">
        <v>1</v>
      </c>
      <c r="AB558" t="s">
        <v>103</v>
      </c>
      <c r="AD558" t="s">
        <v>112</v>
      </c>
      <c r="AE558" t="s">
        <v>145</v>
      </c>
      <c r="AF558" t="s">
        <v>87</v>
      </c>
      <c r="AG558" t="s">
        <v>2366</v>
      </c>
      <c r="AH558" t="s">
        <v>2371</v>
      </c>
      <c r="AI558" t="s">
        <v>90</v>
      </c>
      <c r="AJ558">
        <v>32.44106</v>
      </c>
      <c r="AK558">
        <v>-110.78533899999999</v>
      </c>
      <c r="AL558">
        <v>15</v>
      </c>
      <c r="AN558">
        <v>2758</v>
      </c>
      <c r="AP558">
        <v>2758</v>
      </c>
      <c r="AQ558">
        <v>2779.596708</v>
      </c>
      <c r="AT558">
        <v>9</v>
      </c>
      <c r="AU558">
        <v>9</v>
      </c>
      <c r="AV558">
        <v>2022</v>
      </c>
      <c r="AW558">
        <v>2437967</v>
      </c>
      <c r="AX558">
        <v>2437967</v>
      </c>
      <c r="AY558" t="s">
        <v>106</v>
      </c>
      <c r="AZ558" t="s">
        <v>92</v>
      </c>
      <c r="BA558" t="s">
        <v>107</v>
      </c>
      <c r="BB558" t="s">
        <v>2383</v>
      </c>
      <c r="BC558" t="s">
        <v>2245</v>
      </c>
      <c r="BE558" t="s">
        <v>96</v>
      </c>
      <c r="BG558" t="s">
        <v>2246</v>
      </c>
      <c r="BI558" t="s">
        <v>98</v>
      </c>
      <c r="BJ558" t="s">
        <v>2384</v>
      </c>
      <c r="BL558" t="s">
        <v>412</v>
      </c>
    </row>
    <row r="559" spans="1:64" hidden="1" x14ac:dyDescent="0.2">
      <c r="A559">
        <v>752</v>
      </c>
      <c r="B559">
        <v>4070420485</v>
      </c>
      <c r="C559" t="s">
        <v>101</v>
      </c>
      <c r="D559" t="s">
        <v>2385</v>
      </c>
      <c r="E559" t="s">
        <v>65</v>
      </c>
      <c r="F559" t="s">
        <v>66</v>
      </c>
      <c r="G559" t="s">
        <v>67</v>
      </c>
      <c r="H559" t="s">
        <v>68</v>
      </c>
      <c r="I559" t="s">
        <v>176</v>
      </c>
      <c r="J559" t="s">
        <v>177</v>
      </c>
      <c r="K559" t="s">
        <v>1817</v>
      </c>
      <c r="M559" t="s">
        <v>72</v>
      </c>
      <c r="N559" t="s">
        <v>1818</v>
      </c>
      <c r="O559" t="s">
        <v>1817</v>
      </c>
      <c r="P559" t="s">
        <v>1819</v>
      </c>
      <c r="Q559" t="s">
        <v>75</v>
      </c>
      <c r="R559" t="s">
        <v>2238</v>
      </c>
      <c r="S559" t="s">
        <v>2363</v>
      </c>
      <c r="T559" t="s">
        <v>78</v>
      </c>
      <c r="U559" t="s">
        <v>1822</v>
      </c>
      <c r="V559" t="s">
        <v>80</v>
      </c>
      <c r="W559" s="1">
        <v>44813</v>
      </c>
      <c r="X559" t="s">
        <v>1823</v>
      </c>
      <c r="Y559" t="s">
        <v>2364</v>
      </c>
      <c r="Z559" t="s">
        <v>83</v>
      </c>
      <c r="AA559">
        <v>1</v>
      </c>
      <c r="AB559" t="s">
        <v>103</v>
      </c>
      <c r="AD559" t="s">
        <v>104</v>
      </c>
      <c r="AE559" t="s">
        <v>145</v>
      </c>
      <c r="AF559" t="s">
        <v>87</v>
      </c>
      <c r="AG559" t="s">
        <v>2366</v>
      </c>
      <c r="AH559" t="s">
        <v>2371</v>
      </c>
      <c r="AI559" t="s">
        <v>90</v>
      </c>
      <c r="AJ559">
        <v>32.44106</v>
      </c>
      <c r="AK559">
        <v>-110.78533899999999</v>
      </c>
      <c r="AL559">
        <v>15</v>
      </c>
      <c r="AN559">
        <v>2758</v>
      </c>
      <c r="AP559">
        <v>2758</v>
      </c>
      <c r="AQ559">
        <v>2779.596708</v>
      </c>
      <c r="AT559">
        <v>9</v>
      </c>
      <c r="AU559">
        <v>9</v>
      </c>
      <c r="AV559">
        <v>2022</v>
      </c>
      <c r="AW559">
        <v>2437967</v>
      </c>
      <c r="AX559">
        <v>2437967</v>
      </c>
      <c r="AY559" t="s">
        <v>106</v>
      </c>
      <c r="AZ559" t="s">
        <v>92</v>
      </c>
      <c r="BA559" t="s">
        <v>107</v>
      </c>
      <c r="BB559" t="s">
        <v>2386</v>
      </c>
      <c r="BC559" t="s">
        <v>2245</v>
      </c>
      <c r="BE559" t="s">
        <v>96</v>
      </c>
      <c r="BG559" t="s">
        <v>2246</v>
      </c>
      <c r="BI559" t="s">
        <v>98</v>
      </c>
      <c r="BJ559" t="s">
        <v>2387</v>
      </c>
      <c r="BL559" t="s">
        <v>412</v>
      </c>
    </row>
    <row r="560" spans="1:64" hidden="1" x14ac:dyDescent="0.2">
      <c r="A560">
        <v>750</v>
      </c>
      <c r="B560">
        <v>4070420487</v>
      </c>
      <c r="C560" t="s">
        <v>101</v>
      </c>
      <c r="D560" t="s">
        <v>2388</v>
      </c>
      <c r="E560" t="s">
        <v>65</v>
      </c>
      <c r="F560" t="s">
        <v>66</v>
      </c>
      <c r="G560" t="s">
        <v>67</v>
      </c>
      <c r="H560" t="s">
        <v>68</v>
      </c>
      <c r="I560" t="s">
        <v>176</v>
      </c>
      <c r="J560" t="s">
        <v>177</v>
      </c>
      <c r="K560" t="s">
        <v>1817</v>
      </c>
      <c r="M560" t="s">
        <v>72</v>
      </c>
      <c r="N560" t="s">
        <v>1818</v>
      </c>
      <c r="O560" t="s">
        <v>1817</v>
      </c>
      <c r="P560" t="s">
        <v>1819</v>
      </c>
      <c r="Q560" t="s">
        <v>75</v>
      </c>
      <c r="R560" t="s">
        <v>2238</v>
      </c>
      <c r="S560" t="s">
        <v>2363</v>
      </c>
      <c r="T560" t="s">
        <v>78</v>
      </c>
      <c r="U560" t="s">
        <v>1822</v>
      </c>
      <c r="V560" t="s">
        <v>80</v>
      </c>
      <c r="W560" s="1">
        <v>44813</v>
      </c>
      <c r="X560" t="s">
        <v>1823</v>
      </c>
      <c r="Y560" t="s">
        <v>2364</v>
      </c>
      <c r="Z560" t="s">
        <v>83</v>
      </c>
      <c r="AA560">
        <v>1</v>
      </c>
      <c r="AB560" t="s">
        <v>2262</v>
      </c>
      <c r="AD560" t="s">
        <v>134</v>
      </c>
      <c r="AE560" t="s">
        <v>145</v>
      </c>
      <c r="AF560" t="s">
        <v>87</v>
      </c>
      <c r="AG560" t="s">
        <v>2366</v>
      </c>
      <c r="AH560" t="s">
        <v>2389</v>
      </c>
      <c r="AI560" t="s">
        <v>90</v>
      </c>
      <c r="AJ560">
        <v>32.44106</v>
      </c>
      <c r="AK560">
        <v>-110.78533899999999</v>
      </c>
      <c r="AL560">
        <v>15</v>
      </c>
      <c r="AN560">
        <v>2758</v>
      </c>
      <c r="AP560">
        <v>2758</v>
      </c>
      <c r="AQ560">
        <v>2779.596708</v>
      </c>
      <c r="AT560">
        <v>9</v>
      </c>
      <c r="AU560">
        <v>9</v>
      </c>
      <c r="AV560">
        <v>2022</v>
      </c>
      <c r="AW560">
        <v>2437967</v>
      </c>
      <c r="AX560">
        <v>2437967</v>
      </c>
      <c r="AY560" t="s">
        <v>106</v>
      </c>
      <c r="AZ560" t="s">
        <v>92</v>
      </c>
      <c r="BA560" t="s">
        <v>107</v>
      </c>
      <c r="BB560" t="s">
        <v>2390</v>
      </c>
      <c r="BC560" t="s">
        <v>2245</v>
      </c>
      <c r="BE560" t="s">
        <v>96</v>
      </c>
      <c r="BG560" t="s">
        <v>2246</v>
      </c>
      <c r="BI560" t="s">
        <v>98</v>
      </c>
      <c r="BJ560" t="s">
        <v>636</v>
      </c>
      <c r="BL560" t="s">
        <v>412</v>
      </c>
    </row>
    <row r="561" spans="1:64" hidden="1" x14ac:dyDescent="0.2">
      <c r="A561">
        <v>923</v>
      </c>
      <c r="B561">
        <v>4040367323</v>
      </c>
      <c r="C561" t="s">
        <v>101</v>
      </c>
      <c r="D561" t="s">
        <v>2391</v>
      </c>
      <c r="E561" t="s">
        <v>65</v>
      </c>
      <c r="F561" t="s">
        <v>66</v>
      </c>
      <c r="G561" t="s">
        <v>67</v>
      </c>
      <c r="H561" t="s">
        <v>68</v>
      </c>
      <c r="I561" t="s">
        <v>176</v>
      </c>
      <c r="J561" t="s">
        <v>177</v>
      </c>
      <c r="K561" t="s">
        <v>1817</v>
      </c>
      <c r="M561" t="s">
        <v>72</v>
      </c>
      <c r="N561" t="s">
        <v>1818</v>
      </c>
      <c r="O561" t="s">
        <v>1817</v>
      </c>
      <c r="P561" t="s">
        <v>1819</v>
      </c>
      <c r="Q561" t="s">
        <v>75</v>
      </c>
      <c r="R561" t="s">
        <v>2238</v>
      </c>
      <c r="S561" t="s">
        <v>2363</v>
      </c>
      <c r="T561" t="s">
        <v>78</v>
      </c>
      <c r="U561" t="s">
        <v>1822</v>
      </c>
      <c r="V561" t="s">
        <v>80</v>
      </c>
      <c r="W561" s="1">
        <v>44813</v>
      </c>
      <c r="X561" t="s">
        <v>1823</v>
      </c>
      <c r="Y561" t="s">
        <v>2364</v>
      </c>
      <c r="Z561" t="s">
        <v>83</v>
      </c>
      <c r="AA561">
        <v>1</v>
      </c>
      <c r="AB561" t="s">
        <v>127</v>
      </c>
      <c r="AD561" t="s">
        <v>139</v>
      </c>
      <c r="AE561" t="s">
        <v>145</v>
      </c>
      <c r="AF561" t="s">
        <v>87</v>
      </c>
      <c r="AG561" t="s">
        <v>2366</v>
      </c>
      <c r="AH561" t="s">
        <v>2371</v>
      </c>
      <c r="AI561" t="s">
        <v>90</v>
      </c>
      <c r="AJ561">
        <v>32.44106</v>
      </c>
      <c r="AK561">
        <v>-110.78533899999999</v>
      </c>
      <c r="AL561">
        <v>15</v>
      </c>
      <c r="AN561">
        <v>2758</v>
      </c>
      <c r="AP561">
        <v>2758</v>
      </c>
      <c r="AQ561">
        <v>2779.596708</v>
      </c>
      <c r="AT561">
        <v>9</v>
      </c>
      <c r="AU561">
        <v>9</v>
      </c>
      <c r="AV561">
        <v>2022</v>
      </c>
      <c r="AW561">
        <v>2437967</v>
      </c>
      <c r="AX561">
        <v>2437967</v>
      </c>
      <c r="AY561" t="s">
        <v>106</v>
      </c>
      <c r="AZ561" t="s">
        <v>92</v>
      </c>
      <c r="BA561" t="s">
        <v>107</v>
      </c>
      <c r="BB561" t="s">
        <v>2392</v>
      </c>
      <c r="BC561" t="s">
        <v>2245</v>
      </c>
      <c r="BE561" t="s">
        <v>96</v>
      </c>
      <c r="BG561" t="s">
        <v>2246</v>
      </c>
      <c r="BI561" t="s">
        <v>98</v>
      </c>
      <c r="BJ561" t="s">
        <v>2393</v>
      </c>
      <c r="BL561" t="s">
        <v>412</v>
      </c>
    </row>
    <row r="562" spans="1:64" hidden="1" x14ac:dyDescent="0.2">
      <c r="A562">
        <v>725</v>
      </c>
      <c r="B562">
        <v>4070420512</v>
      </c>
      <c r="C562" t="s">
        <v>101</v>
      </c>
      <c r="D562" t="s">
        <v>2394</v>
      </c>
      <c r="E562" t="s">
        <v>65</v>
      </c>
      <c r="F562" t="s">
        <v>66</v>
      </c>
      <c r="G562" t="s">
        <v>67</v>
      </c>
      <c r="H562" t="s">
        <v>68</v>
      </c>
      <c r="I562" t="s">
        <v>176</v>
      </c>
      <c r="J562" t="s">
        <v>177</v>
      </c>
      <c r="K562" t="s">
        <v>1817</v>
      </c>
      <c r="M562" t="s">
        <v>72</v>
      </c>
      <c r="N562" t="s">
        <v>1818</v>
      </c>
      <c r="O562" t="s">
        <v>1817</v>
      </c>
      <c r="P562" t="s">
        <v>1819</v>
      </c>
      <c r="Q562" t="s">
        <v>75</v>
      </c>
      <c r="R562" t="s">
        <v>2238</v>
      </c>
      <c r="S562" t="s">
        <v>2363</v>
      </c>
      <c r="T562" t="s">
        <v>78</v>
      </c>
      <c r="U562" t="s">
        <v>1822</v>
      </c>
      <c r="V562" t="s">
        <v>80</v>
      </c>
      <c r="W562" s="1">
        <v>44813</v>
      </c>
      <c r="X562" t="s">
        <v>1823</v>
      </c>
      <c r="Y562" t="s">
        <v>2364</v>
      </c>
      <c r="Z562" t="s">
        <v>83</v>
      </c>
      <c r="AA562">
        <v>1</v>
      </c>
      <c r="AB562" t="s">
        <v>2248</v>
      </c>
      <c r="AD562" t="s">
        <v>378</v>
      </c>
      <c r="AE562" t="s">
        <v>145</v>
      </c>
      <c r="AF562" t="s">
        <v>87</v>
      </c>
      <c r="AG562" t="s">
        <v>2366</v>
      </c>
      <c r="AH562" t="s">
        <v>2371</v>
      </c>
      <c r="AI562" t="s">
        <v>90</v>
      </c>
      <c r="AJ562">
        <v>32.44106</v>
      </c>
      <c r="AK562">
        <v>-110.78533899999999</v>
      </c>
      <c r="AL562">
        <v>15</v>
      </c>
      <c r="AN562">
        <v>2758</v>
      </c>
      <c r="AP562">
        <v>2758</v>
      </c>
      <c r="AQ562">
        <v>2779.596708</v>
      </c>
      <c r="AT562">
        <v>9</v>
      </c>
      <c r="AU562">
        <v>9</v>
      </c>
      <c r="AV562">
        <v>2022</v>
      </c>
      <c r="AW562">
        <v>2437967</v>
      </c>
      <c r="AX562">
        <v>2437967</v>
      </c>
      <c r="AY562" t="s">
        <v>106</v>
      </c>
      <c r="AZ562" t="s">
        <v>92</v>
      </c>
      <c r="BA562" t="s">
        <v>107</v>
      </c>
      <c r="BB562" t="s">
        <v>2395</v>
      </c>
      <c r="BC562" t="s">
        <v>2245</v>
      </c>
      <c r="BE562" t="s">
        <v>96</v>
      </c>
      <c r="BG562" t="s">
        <v>2246</v>
      </c>
      <c r="BI562" t="s">
        <v>98</v>
      </c>
      <c r="BJ562" t="s">
        <v>2396</v>
      </c>
      <c r="BL562" t="s">
        <v>412</v>
      </c>
    </row>
    <row r="563" spans="1:64" hidden="1" x14ac:dyDescent="0.2">
      <c r="A563">
        <v>865</v>
      </c>
      <c r="B563">
        <v>4070420358</v>
      </c>
      <c r="C563" t="s">
        <v>101</v>
      </c>
      <c r="D563" t="s">
        <v>2397</v>
      </c>
      <c r="E563" t="s">
        <v>65</v>
      </c>
      <c r="F563" t="s">
        <v>66</v>
      </c>
      <c r="G563" t="s">
        <v>67</v>
      </c>
      <c r="H563" t="s">
        <v>68</v>
      </c>
      <c r="I563" t="s">
        <v>176</v>
      </c>
      <c r="J563" t="s">
        <v>773</v>
      </c>
      <c r="M563" t="s">
        <v>1072</v>
      </c>
      <c r="N563" t="s">
        <v>1073</v>
      </c>
      <c r="O563" t="s">
        <v>773</v>
      </c>
      <c r="P563" t="s">
        <v>1074</v>
      </c>
      <c r="Q563" t="s">
        <v>75</v>
      </c>
      <c r="R563" t="s">
        <v>2238</v>
      </c>
      <c r="S563" t="s">
        <v>2398</v>
      </c>
      <c r="T563" t="s">
        <v>78</v>
      </c>
      <c r="U563" t="s">
        <v>1822</v>
      </c>
      <c r="V563" t="s">
        <v>80</v>
      </c>
      <c r="W563" s="1">
        <v>44813</v>
      </c>
      <c r="X563" t="s">
        <v>1823</v>
      </c>
      <c r="Y563" t="s">
        <v>2399</v>
      </c>
      <c r="Z563" t="s">
        <v>83</v>
      </c>
      <c r="AA563">
        <v>1</v>
      </c>
      <c r="AB563" t="s">
        <v>103</v>
      </c>
      <c r="AD563" t="s">
        <v>1077</v>
      </c>
      <c r="AE563" t="s">
        <v>2400</v>
      </c>
      <c r="AF563" t="s">
        <v>2401</v>
      </c>
      <c r="AI563" t="s">
        <v>90</v>
      </c>
      <c r="AJ563">
        <v>32.441113000000001</v>
      </c>
      <c r="AK563">
        <v>-110.78507399999999</v>
      </c>
      <c r="AL563">
        <v>15</v>
      </c>
      <c r="AN563">
        <v>2757</v>
      </c>
      <c r="AP563">
        <v>2757</v>
      </c>
      <c r="AQ563">
        <v>2779.6878120000001</v>
      </c>
      <c r="AT563">
        <v>9</v>
      </c>
      <c r="AU563">
        <v>9</v>
      </c>
      <c r="AV563">
        <v>2022</v>
      </c>
      <c r="AW563">
        <v>2438433</v>
      </c>
      <c r="AY563" t="s">
        <v>106</v>
      </c>
      <c r="AZ563" t="s">
        <v>92</v>
      </c>
      <c r="BA563" t="s">
        <v>107</v>
      </c>
      <c r="BB563" t="s">
        <v>2402</v>
      </c>
      <c r="BC563" t="s">
        <v>2245</v>
      </c>
      <c r="BE563" t="s">
        <v>96</v>
      </c>
      <c r="BG563" t="s">
        <v>2246</v>
      </c>
      <c r="BI563" t="s">
        <v>98</v>
      </c>
      <c r="BJ563" t="s">
        <v>2378</v>
      </c>
      <c r="BL563" t="s">
        <v>412</v>
      </c>
    </row>
    <row r="564" spans="1:64" x14ac:dyDescent="0.2">
      <c r="A564">
        <v>1461</v>
      </c>
      <c r="B564">
        <v>3748770420</v>
      </c>
      <c r="C564" t="s">
        <v>63</v>
      </c>
      <c r="D564" t="s">
        <v>4078</v>
      </c>
      <c r="E564" t="s">
        <v>65</v>
      </c>
      <c r="F564" t="s">
        <v>66</v>
      </c>
      <c r="G564" t="s">
        <v>67</v>
      </c>
      <c r="H564" t="s">
        <v>68</v>
      </c>
      <c r="I564" t="s">
        <v>350</v>
      </c>
      <c r="J564" t="s">
        <v>4050</v>
      </c>
      <c r="K564" t="s">
        <v>4051</v>
      </c>
      <c r="M564" t="s">
        <v>72</v>
      </c>
      <c r="N564" t="s">
        <v>4052</v>
      </c>
      <c r="O564" t="s">
        <v>4051</v>
      </c>
      <c r="P564" t="s">
        <v>4053</v>
      </c>
      <c r="Q564" t="s">
        <v>75</v>
      </c>
      <c r="R564" t="s">
        <v>3816</v>
      </c>
      <c r="S564" t="s">
        <v>3812</v>
      </c>
      <c r="T564" t="s">
        <v>78</v>
      </c>
      <c r="U564" t="s">
        <v>3817</v>
      </c>
      <c r="V564" t="s">
        <v>80</v>
      </c>
      <c r="W564" s="1">
        <v>44519</v>
      </c>
      <c r="X564" t="s">
        <v>3818</v>
      </c>
      <c r="Y564" t="s">
        <v>4079</v>
      </c>
      <c r="Z564" t="s">
        <v>83</v>
      </c>
      <c r="AA564">
        <v>1</v>
      </c>
      <c r="AB564" t="s">
        <v>4080</v>
      </c>
      <c r="AC564">
        <v>1</v>
      </c>
      <c r="AD564" s="6" t="s">
        <v>85</v>
      </c>
      <c r="AE564" s="6" t="s">
        <v>86</v>
      </c>
      <c r="AF564" s="6" t="s">
        <v>146</v>
      </c>
      <c r="AG564" s="6" t="s">
        <v>4081</v>
      </c>
      <c r="AH564" s="6" t="s">
        <v>4082</v>
      </c>
      <c r="AI564" s="6" t="s">
        <v>90</v>
      </c>
      <c r="AJ564" s="6">
        <v>32.516331999999998</v>
      </c>
      <c r="AK564" s="6">
        <v>-110.68724</v>
      </c>
      <c r="AL564" s="6">
        <v>3</v>
      </c>
      <c r="AM564" s="6"/>
      <c r="AN564" s="6">
        <v>1346</v>
      </c>
      <c r="AO564" s="6"/>
      <c r="AP564" s="6">
        <v>1346</v>
      </c>
      <c r="AQ564" s="6">
        <v>1364.834521</v>
      </c>
      <c r="AR564" s="6"/>
      <c r="AS564" s="6"/>
      <c r="AT564" s="6">
        <v>19</v>
      </c>
      <c r="AU564" s="6">
        <v>11</v>
      </c>
      <c r="AV564" s="6">
        <v>2021</v>
      </c>
      <c r="AW564" s="6">
        <v>2437568</v>
      </c>
      <c r="AX564" s="6">
        <v>2437568</v>
      </c>
      <c r="AY564" s="6" t="s">
        <v>91</v>
      </c>
      <c r="AZ564" t="s">
        <v>92</v>
      </c>
      <c r="BA564" t="s">
        <v>93</v>
      </c>
      <c r="BB564" t="s">
        <v>4083</v>
      </c>
      <c r="BC564" t="s">
        <v>97</v>
      </c>
      <c r="BE564" t="s">
        <v>96</v>
      </c>
      <c r="BG564" t="s">
        <v>97</v>
      </c>
      <c r="BI564" t="s">
        <v>98</v>
      </c>
      <c r="BJ564" t="s">
        <v>4084</v>
      </c>
      <c r="BL564" t="s">
        <v>100</v>
      </c>
    </row>
    <row r="565" spans="1:64" hidden="1" x14ac:dyDescent="0.2">
      <c r="A565">
        <v>861</v>
      </c>
      <c r="B565">
        <v>4070420362</v>
      </c>
      <c r="C565" t="s">
        <v>101</v>
      </c>
      <c r="D565" t="s">
        <v>2414</v>
      </c>
      <c r="E565" t="s">
        <v>65</v>
      </c>
      <c r="F565" t="s">
        <v>66</v>
      </c>
      <c r="G565" t="s">
        <v>67</v>
      </c>
      <c r="H565" t="s">
        <v>68</v>
      </c>
      <c r="I565" t="s">
        <v>176</v>
      </c>
      <c r="J565" t="s">
        <v>177</v>
      </c>
      <c r="K565" t="s">
        <v>1817</v>
      </c>
      <c r="M565" t="s">
        <v>72</v>
      </c>
      <c r="N565" t="s">
        <v>1856</v>
      </c>
      <c r="O565" t="s">
        <v>1817</v>
      </c>
      <c r="P565" t="s">
        <v>1857</v>
      </c>
      <c r="Q565" t="s">
        <v>75</v>
      </c>
      <c r="R565" t="s">
        <v>2238</v>
      </c>
      <c r="S565" t="s">
        <v>2404</v>
      </c>
      <c r="T565" t="s">
        <v>78</v>
      </c>
      <c r="U565" t="s">
        <v>1822</v>
      </c>
      <c r="V565" t="s">
        <v>80</v>
      </c>
      <c r="W565" s="1">
        <v>44813</v>
      </c>
      <c r="X565" t="s">
        <v>1823</v>
      </c>
      <c r="Y565" t="s">
        <v>2405</v>
      </c>
      <c r="Z565" t="s">
        <v>83</v>
      </c>
      <c r="AA565">
        <v>1</v>
      </c>
      <c r="AB565" t="s">
        <v>103</v>
      </c>
      <c r="AD565" t="s">
        <v>112</v>
      </c>
      <c r="AE565" t="s">
        <v>86</v>
      </c>
      <c r="AF565" t="s">
        <v>146</v>
      </c>
      <c r="AG565" t="s">
        <v>2407</v>
      </c>
      <c r="AH565" t="s">
        <v>2415</v>
      </c>
      <c r="AI565" t="s">
        <v>90</v>
      </c>
      <c r="AJ565">
        <v>32.441080999999997</v>
      </c>
      <c r="AK565">
        <v>-110.785628</v>
      </c>
      <c r="AL565">
        <v>15</v>
      </c>
      <c r="AN565">
        <v>2759</v>
      </c>
      <c r="AP565">
        <v>2759</v>
      </c>
      <c r="AQ565">
        <v>2778.6786710000001</v>
      </c>
      <c r="AT565">
        <v>9</v>
      </c>
      <c r="AU565">
        <v>9</v>
      </c>
      <c r="AV565">
        <v>2022</v>
      </c>
      <c r="AW565">
        <v>2438019</v>
      </c>
      <c r="AX565">
        <v>2438019</v>
      </c>
      <c r="AY565" t="s">
        <v>106</v>
      </c>
      <c r="AZ565" t="s">
        <v>92</v>
      </c>
      <c r="BA565" t="s">
        <v>107</v>
      </c>
      <c r="BB565" t="s">
        <v>2416</v>
      </c>
      <c r="BC565" t="s">
        <v>2245</v>
      </c>
      <c r="BE565" t="s">
        <v>96</v>
      </c>
      <c r="BG565" t="s">
        <v>2246</v>
      </c>
      <c r="BI565" t="s">
        <v>98</v>
      </c>
      <c r="BJ565" t="s">
        <v>1850</v>
      </c>
      <c r="BL565" t="s">
        <v>412</v>
      </c>
    </row>
    <row r="566" spans="1:64" hidden="1" x14ac:dyDescent="0.2">
      <c r="A566">
        <v>881</v>
      </c>
      <c r="B566">
        <v>4070420342</v>
      </c>
      <c r="C566" t="s">
        <v>101</v>
      </c>
      <c r="D566" t="s">
        <v>2417</v>
      </c>
      <c r="E566" t="s">
        <v>65</v>
      </c>
      <c r="F566" t="s">
        <v>66</v>
      </c>
      <c r="G566" t="s">
        <v>67</v>
      </c>
      <c r="H566" t="s">
        <v>68</v>
      </c>
      <c r="I566" t="s">
        <v>176</v>
      </c>
      <c r="J566" t="s">
        <v>177</v>
      </c>
      <c r="K566" t="s">
        <v>1817</v>
      </c>
      <c r="M566" t="s">
        <v>72</v>
      </c>
      <c r="N566" t="s">
        <v>1856</v>
      </c>
      <c r="O566" t="s">
        <v>1817</v>
      </c>
      <c r="P566" t="s">
        <v>1857</v>
      </c>
      <c r="Q566" t="s">
        <v>75</v>
      </c>
      <c r="R566" t="s">
        <v>2238</v>
      </c>
      <c r="S566" t="s">
        <v>2404</v>
      </c>
      <c r="T566" t="s">
        <v>78</v>
      </c>
      <c r="U566" t="s">
        <v>1822</v>
      </c>
      <c r="V566" t="s">
        <v>80</v>
      </c>
      <c r="W566" s="1">
        <v>44813</v>
      </c>
      <c r="X566" t="s">
        <v>1823</v>
      </c>
      <c r="Y566" t="s">
        <v>2405</v>
      </c>
      <c r="Z566" t="s">
        <v>83</v>
      </c>
      <c r="AA566">
        <v>1</v>
      </c>
      <c r="AB566" t="s">
        <v>127</v>
      </c>
      <c r="AD566" t="s">
        <v>139</v>
      </c>
      <c r="AE566" t="s">
        <v>86</v>
      </c>
      <c r="AF566" t="s">
        <v>146</v>
      </c>
      <c r="AG566" t="s">
        <v>2407</v>
      </c>
      <c r="AH566" t="s">
        <v>2415</v>
      </c>
      <c r="AI566" t="s">
        <v>90</v>
      </c>
      <c r="AJ566">
        <v>32.441080999999997</v>
      </c>
      <c r="AK566">
        <v>-110.785628</v>
      </c>
      <c r="AL566">
        <v>15</v>
      </c>
      <c r="AN566">
        <v>2759</v>
      </c>
      <c r="AP566">
        <v>2759</v>
      </c>
      <c r="AQ566">
        <v>2778.6786710000001</v>
      </c>
      <c r="AT566">
        <v>9</v>
      </c>
      <c r="AU566">
        <v>9</v>
      </c>
      <c r="AV566">
        <v>2022</v>
      </c>
      <c r="AW566">
        <v>2438019</v>
      </c>
      <c r="AX566">
        <v>2438019</v>
      </c>
      <c r="AY566" t="s">
        <v>106</v>
      </c>
      <c r="AZ566" t="s">
        <v>92</v>
      </c>
      <c r="BA566" t="s">
        <v>107</v>
      </c>
      <c r="BB566" t="s">
        <v>2418</v>
      </c>
      <c r="BC566" t="s">
        <v>2245</v>
      </c>
      <c r="BE566" t="s">
        <v>96</v>
      </c>
      <c r="BG566" t="s">
        <v>2246</v>
      </c>
      <c r="BI566" t="s">
        <v>98</v>
      </c>
      <c r="BJ566" t="s">
        <v>2419</v>
      </c>
      <c r="BL566" t="s">
        <v>412</v>
      </c>
    </row>
    <row r="567" spans="1:64" hidden="1" x14ac:dyDescent="0.2">
      <c r="A567">
        <v>879</v>
      </c>
      <c r="B567">
        <v>4070420344</v>
      </c>
      <c r="C567" t="s">
        <v>101</v>
      </c>
      <c r="D567" t="s">
        <v>2420</v>
      </c>
      <c r="E567" t="s">
        <v>65</v>
      </c>
      <c r="F567" t="s">
        <v>66</v>
      </c>
      <c r="G567" t="s">
        <v>67</v>
      </c>
      <c r="H567" t="s">
        <v>68</v>
      </c>
      <c r="I567" t="s">
        <v>176</v>
      </c>
      <c r="J567" t="s">
        <v>177</v>
      </c>
      <c r="K567" t="s">
        <v>1817</v>
      </c>
      <c r="M567" t="s">
        <v>72</v>
      </c>
      <c r="N567" t="s">
        <v>1856</v>
      </c>
      <c r="O567" t="s">
        <v>1817</v>
      </c>
      <c r="P567" t="s">
        <v>1857</v>
      </c>
      <c r="Q567" t="s">
        <v>75</v>
      </c>
      <c r="R567" t="s">
        <v>2238</v>
      </c>
      <c r="S567" t="s">
        <v>2404</v>
      </c>
      <c r="T567" t="s">
        <v>78</v>
      </c>
      <c r="U567" t="s">
        <v>1822</v>
      </c>
      <c r="V567" t="s">
        <v>80</v>
      </c>
      <c r="W567" s="1">
        <v>44813</v>
      </c>
      <c r="X567" t="s">
        <v>1823</v>
      </c>
      <c r="Y567" t="s">
        <v>2405</v>
      </c>
      <c r="Z567" t="s">
        <v>83</v>
      </c>
      <c r="AA567">
        <v>1</v>
      </c>
      <c r="AB567" t="s">
        <v>127</v>
      </c>
      <c r="AD567" t="s">
        <v>123</v>
      </c>
      <c r="AE567" t="s">
        <v>86</v>
      </c>
      <c r="AF567" t="s">
        <v>146</v>
      </c>
      <c r="AG567" t="s">
        <v>2407</v>
      </c>
      <c r="AH567" t="s">
        <v>2415</v>
      </c>
      <c r="AI567" t="s">
        <v>90</v>
      </c>
      <c r="AJ567">
        <v>32.441080999999997</v>
      </c>
      <c r="AK567">
        <v>-110.785628</v>
      </c>
      <c r="AL567">
        <v>15</v>
      </c>
      <c r="AN567">
        <v>2759</v>
      </c>
      <c r="AP567">
        <v>2759</v>
      </c>
      <c r="AQ567">
        <v>2778.6786710000001</v>
      </c>
      <c r="AT567">
        <v>9</v>
      </c>
      <c r="AU567">
        <v>9</v>
      </c>
      <c r="AV567">
        <v>2022</v>
      </c>
      <c r="AW567">
        <v>2438019</v>
      </c>
      <c r="AX567">
        <v>2438019</v>
      </c>
      <c r="AY567" t="s">
        <v>106</v>
      </c>
      <c r="AZ567" t="s">
        <v>92</v>
      </c>
      <c r="BA567" t="s">
        <v>107</v>
      </c>
      <c r="BB567" t="s">
        <v>2421</v>
      </c>
      <c r="BC567" t="s">
        <v>2245</v>
      </c>
      <c r="BE567" t="s">
        <v>96</v>
      </c>
      <c r="BG567" t="s">
        <v>2246</v>
      </c>
      <c r="BI567" t="s">
        <v>98</v>
      </c>
      <c r="BJ567" t="s">
        <v>2422</v>
      </c>
      <c r="BL567" t="s">
        <v>412</v>
      </c>
    </row>
    <row r="568" spans="1:64" hidden="1" x14ac:dyDescent="0.2">
      <c r="A568">
        <v>902</v>
      </c>
      <c r="B568">
        <v>4070420321</v>
      </c>
      <c r="C568" t="s">
        <v>101</v>
      </c>
      <c r="D568" t="s">
        <v>2911</v>
      </c>
      <c r="E568" t="s">
        <v>65</v>
      </c>
      <c r="F568" t="s">
        <v>66</v>
      </c>
      <c r="G568" t="s">
        <v>67</v>
      </c>
      <c r="H568" t="s">
        <v>68</v>
      </c>
      <c r="I568" t="s">
        <v>176</v>
      </c>
      <c r="J568" t="s">
        <v>177</v>
      </c>
      <c r="K568" t="s">
        <v>178</v>
      </c>
      <c r="M568" t="s">
        <v>72</v>
      </c>
      <c r="N568" t="s">
        <v>179</v>
      </c>
      <c r="O568" t="s">
        <v>178</v>
      </c>
      <c r="P568" t="s">
        <v>180</v>
      </c>
      <c r="Q568" t="s">
        <v>75</v>
      </c>
      <c r="R568" t="s">
        <v>2806</v>
      </c>
      <c r="S568" t="s">
        <v>777</v>
      </c>
      <c r="T568" t="s">
        <v>78</v>
      </c>
      <c r="U568" t="s">
        <v>1822</v>
      </c>
      <c r="V568" t="s">
        <v>80</v>
      </c>
      <c r="W568" s="1">
        <v>44814</v>
      </c>
      <c r="X568" t="s">
        <v>2778</v>
      </c>
      <c r="Y568" t="s">
        <v>2905</v>
      </c>
      <c r="Z568" t="s">
        <v>83</v>
      </c>
      <c r="AA568">
        <v>1</v>
      </c>
      <c r="AB568" t="s">
        <v>127</v>
      </c>
      <c r="AC568">
        <v>0</v>
      </c>
      <c r="AD568" t="s">
        <v>128</v>
      </c>
      <c r="AE568" t="s">
        <v>86</v>
      </c>
      <c r="AF568" t="s">
        <v>146</v>
      </c>
      <c r="AI568" t="s">
        <v>90</v>
      </c>
      <c r="AJ568">
        <v>32.453581</v>
      </c>
      <c r="AK568">
        <v>-110.745073</v>
      </c>
      <c r="AL568">
        <v>3</v>
      </c>
      <c r="AN568">
        <v>2197</v>
      </c>
      <c r="AP568">
        <v>2197</v>
      </c>
      <c r="AQ568">
        <v>2208.4560849999998</v>
      </c>
      <c r="AT568">
        <v>10</v>
      </c>
      <c r="AU568">
        <v>9</v>
      </c>
      <c r="AV568">
        <v>2022</v>
      </c>
      <c r="AW568">
        <v>2438038</v>
      </c>
      <c r="AX568">
        <v>2438038</v>
      </c>
      <c r="AY568" t="s">
        <v>106</v>
      </c>
      <c r="AZ568" t="s">
        <v>92</v>
      </c>
      <c r="BA568" t="s">
        <v>107</v>
      </c>
      <c r="BB568" t="s">
        <v>2912</v>
      </c>
      <c r="BC568" t="s">
        <v>2245</v>
      </c>
      <c r="BE568" t="s">
        <v>96</v>
      </c>
      <c r="BG568" t="s">
        <v>2811</v>
      </c>
      <c r="BI568" t="s">
        <v>98</v>
      </c>
      <c r="BJ568" t="s">
        <v>2913</v>
      </c>
      <c r="BL568" t="s">
        <v>412</v>
      </c>
    </row>
    <row r="569" spans="1:64" hidden="1" x14ac:dyDescent="0.2">
      <c r="A569">
        <v>747</v>
      </c>
      <c r="B569">
        <v>4070420490</v>
      </c>
      <c r="C569" t="s">
        <v>101</v>
      </c>
      <c r="D569" t="s">
        <v>2426</v>
      </c>
      <c r="E569" t="s">
        <v>65</v>
      </c>
      <c r="F569" t="s">
        <v>66</v>
      </c>
      <c r="G569" t="s">
        <v>67</v>
      </c>
      <c r="H569" t="s">
        <v>68</v>
      </c>
      <c r="I569" t="s">
        <v>176</v>
      </c>
      <c r="J569" t="s">
        <v>177</v>
      </c>
      <c r="K569" t="s">
        <v>1817</v>
      </c>
      <c r="M569" t="s">
        <v>72</v>
      </c>
      <c r="N569" t="s">
        <v>1856</v>
      </c>
      <c r="O569" t="s">
        <v>1817</v>
      </c>
      <c r="P569" t="s">
        <v>1857</v>
      </c>
      <c r="Q569" t="s">
        <v>75</v>
      </c>
      <c r="R569" t="s">
        <v>2238</v>
      </c>
      <c r="S569" t="s">
        <v>2404</v>
      </c>
      <c r="T569" t="s">
        <v>78</v>
      </c>
      <c r="U569" t="s">
        <v>1822</v>
      </c>
      <c r="V569" t="s">
        <v>80</v>
      </c>
      <c r="W569" s="1">
        <v>44813</v>
      </c>
      <c r="X569" t="s">
        <v>1823</v>
      </c>
      <c r="Y569" t="s">
        <v>2405</v>
      </c>
      <c r="Z569" t="s">
        <v>83</v>
      </c>
      <c r="AA569">
        <v>1</v>
      </c>
      <c r="AB569" t="s">
        <v>103</v>
      </c>
      <c r="AD569" t="s">
        <v>116</v>
      </c>
      <c r="AE569" t="s">
        <v>86</v>
      </c>
      <c r="AF569" t="s">
        <v>146</v>
      </c>
      <c r="AG569" t="s">
        <v>2407</v>
      </c>
      <c r="AH569" t="s">
        <v>2415</v>
      </c>
      <c r="AI569" t="s">
        <v>90</v>
      </c>
      <c r="AJ569">
        <v>32.441080999999997</v>
      </c>
      <c r="AK569">
        <v>-110.785628</v>
      </c>
      <c r="AL569">
        <v>15</v>
      </c>
      <c r="AN569">
        <v>2759</v>
      </c>
      <c r="AP569">
        <v>2759</v>
      </c>
      <c r="AQ569">
        <v>2778.6786710000001</v>
      </c>
      <c r="AT569">
        <v>9</v>
      </c>
      <c r="AU569">
        <v>9</v>
      </c>
      <c r="AV569">
        <v>2022</v>
      </c>
      <c r="AW569">
        <v>2438019</v>
      </c>
      <c r="AX569">
        <v>2438019</v>
      </c>
      <c r="AY569" t="s">
        <v>106</v>
      </c>
      <c r="AZ569" t="s">
        <v>92</v>
      </c>
      <c r="BA569" t="s">
        <v>107</v>
      </c>
      <c r="BB569" t="s">
        <v>2427</v>
      </c>
      <c r="BC569" t="s">
        <v>2245</v>
      </c>
      <c r="BE569" t="s">
        <v>96</v>
      </c>
      <c r="BG569" t="s">
        <v>2246</v>
      </c>
      <c r="BI569" t="s">
        <v>98</v>
      </c>
      <c r="BJ569" t="s">
        <v>2428</v>
      </c>
      <c r="BL569" t="s">
        <v>412</v>
      </c>
    </row>
    <row r="570" spans="1:64" hidden="1" x14ac:dyDescent="0.2">
      <c r="A570">
        <v>745</v>
      </c>
      <c r="B570">
        <v>4070420492</v>
      </c>
      <c r="C570" t="s">
        <v>101</v>
      </c>
      <c r="D570" t="s">
        <v>2429</v>
      </c>
      <c r="E570" t="s">
        <v>65</v>
      </c>
      <c r="F570" t="s">
        <v>66</v>
      </c>
      <c r="G570" t="s">
        <v>67</v>
      </c>
      <c r="H570" t="s">
        <v>68</v>
      </c>
      <c r="I570" t="s">
        <v>176</v>
      </c>
      <c r="J570" t="s">
        <v>177</v>
      </c>
      <c r="K570" t="s">
        <v>1817</v>
      </c>
      <c r="M570" t="s">
        <v>72</v>
      </c>
      <c r="N570" t="s">
        <v>1856</v>
      </c>
      <c r="O570" t="s">
        <v>1817</v>
      </c>
      <c r="P570" t="s">
        <v>1857</v>
      </c>
      <c r="Q570" t="s">
        <v>75</v>
      </c>
      <c r="R570" t="s">
        <v>2238</v>
      </c>
      <c r="S570" t="s">
        <v>2404</v>
      </c>
      <c r="T570" t="s">
        <v>78</v>
      </c>
      <c r="U570" t="s">
        <v>1822</v>
      </c>
      <c r="V570" t="s">
        <v>80</v>
      </c>
      <c r="W570" s="1">
        <v>44813</v>
      </c>
      <c r="X570" t="s">
        <v>1823</v>
      </c>
      <c r="Y570" t="s">
        <v>2405</v>
      </c>
      <c r="Z570" t="s">
        <v>83</v>
      </c>
      <c r="AA570">
        <v>1</v>
      </c>
      <c r="AB570" t="s">
        <v>103</v>
      </c>
      <c r="AD570" t="s">
        <v>104</v>
      </c>
      <c r="AE570" t="s">
        <v>86</v>
      </c>
      <c r="AF570" t="s">
        <v>146</v>
      </c>
      <c r="AG570" t="s">
        <v>2407</v>
      </c>
      <c r="AH570" t="s">
        <v>2415</v>
      </c>
      <c r="AI570" t="s">
        <v>90</v>
      </c>
      <c r="AJ570">
        <v>32.441080999999997</v>
      </c>
      <c r="AK570">
        <v>-110.785628</v>
      </c>
      <c r="AL570">
        <v>15</v>
      </c>
      <c r="AN570">
        <v>2759</v>
      </c>
      <c r="AP570">
        <v>2759</v>
      </c>
      <c r="AQ570">
        <v>2778.6786710000001</v>
      </c>
      <c r="AT570">
        <v>9</v>
      </c>
      <c r="AU570">
        <v>9</v>
      </c>
      <c r="AV570">
        <v>2022</v>
      </c>
      <c r="AW570">
        <v>2438019</v>
      </c>
      <c r="AX570">
        <v>2438019</v>
      </c>
      <c r="AY570" t="s">
        <v>106</v>
      </c>
      <c r="AZ570" t="s">
        <v>92</v>
      </c>
      <c r="BA570" t="s">
        <v>107</v>
      </c>
      <c r="BB570" t="s">
        <v>2430</v>
      </c>
      <c r="BC570" t="s">
        <v>2245</v>
      </c>
      <c r="BE570" t="s">
        <v>96</v>
      </c>
      <c r="BG570" t="s">
        <v>2246</v>
      </c>
      <c r="BI570" t="s">
        <v>98</v>
      </c>
      <c r="BJ570" t="s">
        <v>2428</v>
      </c>
      <c r="BL570" t="s">
        <v>412</v>
      </c>
    </row>
    <row r="571" spans="1:64" hidden="1" x14ac:dyDescent="0.2">
      <c r="A571">
        <v>743</v>
      </c>
      <c r="B571">
        <v>4070420494</v>
      </c>
      <c r="C571" t="s">
        <v>101</v>
      </c>
      <c r="D571" t="s">
        <v>2431</v>
      </c>
      <c r="E571" t="s">
        <v>65</v>
      </c>
      <c r="F571" t="s">
        <v>66</v>
      </c>
      <c r="G571" t="s">
        <v>67</v>
      </c>
      <c r="H571" t="s">
        <v>68</v>
      </c>
      <c r="I571" t="s">
        <v>176</v>
      </c>
      <c r="J571" t="s">
        <v>177</v>
      </c>
      <c r="K571" t="s">
        <v>1817</v>
      </c>
      <c r="M571" t="s">
        <v>72</v>
      </c>
      <c r="N571" t="s">
        <v>1856</v>
      </c>
      <c r="O571" t="s">
        <v>1817</v>
      </c>
      <c r="P571" t="s">
        <v>1857</v>
      </c>
      <c r="Q571" t="s">
        <v>75</v>
      </c>
      <c r="R571" t="s">
        <v>2238</v>
      </c>
      <c r="S571" t="s">
        <v>2404</v>
      </c>
      <c r="T571" t="s">
        <v>78</v>
      </c>
      <c r="U571" t="s">
        <v>1822</v>
      </c>
      <c r="V571" t="s">
        <v>80</v>
      </c>
      <c r="W571" s="1">
        <v>44813</v>
      </c>
      <c r="X571" t="s">
        <v>1823</v>
      </c>
      <c r="Y571" t="s">
        <v>2405</v>
      </c>
      <c r="Z571" t="s">
        <v>83</v>
      </c>
      <c r="AA571">
        <v>1</v>
      </c>
      <c r="AB571" t="s">
        <v>2262</v>
      </c>
      <c r="AD571" t="s">
        <v>134</v>
      </c>
      <c r="AE571" t="s">
        <v>86</v>
      </c>
      <c r="AF571" t="s">
        <v>146</v>
      </c>
      <c r="AG571" t="s">
        <v>2407</v>
      </c>
      <c r="AH571" t="s">
        <v>2432</v>
      </c>
      <c r="AI571" t="s">
        <v>90</v>
      </c>
      <c r="AJ571">
        <v>32.441080999999997</v>
      </c>
      <c r="AK571">
        <v>-110.785628</v>
      </c>
      <c r="AL571">
        <v>15</v>
      </c>
      <c r="AN571">
        <v>2759</v>
      </c>
      <c r="AP571">
        <v>2759</v>
      </c>
      <c r="AQ571">
        <v>2778.6786710000001</v>
      </c>
      <c r="AT571">
        <v>9</v>
      </c>
      <c r="AU571">
        <v>9</v>
      </c>
      <c r="AV571">
        <v>2022</v>
      </c>
      <c r="AW571">
        <v>2438019</v>
      </c>
      <c r="AX571">
        <v>2438019</v>
      </c>
      <c r="AY571" t="s">
        <v>106</v>
      </c>
      <c r="AZ571" t="s">
        <v>92</v>
      </c>
      <c r="BA571" t="s">
        <v>107</v>
      </c>
      <c r="BB571" t="s">
        <v>2433</v>
      </c>
      <c r="BC571" t="s">
        <v>2245</v>
      </c>
      <c r="BE571" t="s">
        <v>96</v>
      </c>
      <c r="BG571" t="s">
        <v>2246</v>
      </c>
      <c r="BI571" t="s">
        <v>98</v>
      </c>
      <c r="BJ571" t="s">
        <v>2428</v>
      </c>
      <c r="BL571" t="s">
        <v>412</v>
      </c>
    </row>
    <row r="572" spans="1:64" hidden="1" x14ac:dyDescent="0.2">
      <c r="A572">
        <v>921</v>
      </c>
      <c r="B572">
        <v>4040367325</v>
      </c>
      <c r="C572" t="s">
        <v>101</v>
      </c>
      <c r="D572" t="s">
        <v>2434</v>
      </c>
      <c r="E572" t="s">
        <v>65</v>
      </c>
      <c r="F572" t="s">
        <v>66</v>
      </c>
      <c r="G572" t="s">
        <v>67</v>
      </c>
      <c r="H572" t="s">
        <v>68</v>
      </c>
      <c r="I572" t="s">
        <v>176</v>
      </c>
      <c r="J572" t="s">
        <v>177</v>
      </c>
      <c r="K572" t="s">
        <v>1817</v>
      </c>
      <c r="M572" t="s">
        <v>72</v>
      </c>
      <c r="N572" t="s">
        <v>1856</v>
      </c>
      <c r="O572" t="s">
        <v>1817</v>
      </c>
      <c r="P572" t="s">
        <v>1857</v>
      </c>
      <c r="Q572" t="s">
        <v>75</v>
      </c>
      <c r="R572" t="s">
        <v>2238</v>
      </c>
      <c r="S572" t="s">
        <v>2404</v>
      </c>
      <c r="T572" t="s">
        <v>78</v>
      </c>
      <c r="U572" t="s">
        <v>1822</v>
      </c>
      <c r="V572" t="s">
        <v>80</v>
      </c>
      <c r="W572" s="1">
        <v>44813</v>
      </c>
      <c r="X572" t="s">
        <v>1823</v>
      </c>
      <c r="Y572" t="s">
        <v>2405</v>
      </c>
      <c r="Z572" t="s">
        <v>83</v>
      </c>
      <c r="AA572">
        <v>1</v>
      </c>
      <c r="AB572" t="s">
        <v>127</v>
      </c>
      <c r="AD572" t="s">
        <v>2435</v>
      </c>
      <c r="AE572" t="s">
        <v>86</v>
      </c>
      <c r="AF572" t="s">
        <v>146</v>
      </c>
      <c r="AG572" t="s">
        <v>2407</v>
      </c>
      <c r="AH572" t="s">
        <v>2415</v>
      </c>
      <c r="AI572" t="s">
        <v>90</v>
      </c>
      <c r="AJ572">
        <v>32.441080999999997</v>
      </c>
      <c r="AK572">
        <v>-110.785628</v>
      </c>
      <c r="AL572">
        <v>15</v>
      </c>
      <c r="AN572">
        <v>2759</v>
      </c>
      <c r="AP572">
        <v>2759</v>
      </c>
      <c r="AQ572">
        <v>2778.6786710000001</v>
      </c>
      <c r="AT572">
        <v>9</v>
      </c>
      <c r="AU572">
        <v>9</v>
      </c>
      <c r="AV572">
        <v>2022</v>
      </c>
      <c r="AW572">
        <v>2438019</v>
      </c>
      <c r="AX572">
        <v>2438019</v>
      </c>
      <c r="AY572" t="s">
        <v>106</v>
      </c>
      <c r="AZ572" t="s">
        <v>92</v>
      </c>
      <c r="BA572" t="s">
        <v>107</v>
      </c>
      <c r="BB572" t="s">
        <v>2436</v>
      </c>
      <c r="BC572" t="s">
        <v>2245</v>
      </c>
      <c r="BE572" t="s">
        <v>96</v>
      </c>
      <c r="BG572" t="s">
        <v>2246</v>
      </c>
      <c r="BI572" t="s">
        <v>98</v>
      </c>
      <c r="BJ572" t="s">
        <v>2437</v>
      </c>
      <c r="BL572" t="s">
        <v>412</v>
      </c>
    </row>
    <row r="573" spans="1:64" hidden="1" x14ac:dyDescent="0.2">
      <c r="A573">
        <v>723</v>
      </c>
      <c r="B573">
        <v>4070420514</v>
      </c>
      <c r="C573" t="s">
        <v>101</v>
      </c>
      <c r="D573" t="s">
        <v>2438</v>
      </c>
      <c r="E573" t="s">
        <v>65</v>
      </c>
      <c r="F573" t="s">
        <v>66</v>
      </c>
      <c r="G573" t="s">
        <v>67</v>
      </c>
      <c r="H573" t="s">
        <v>68</v>
      </c>
      <c r="I573" t="s">
        <v>176</v>
      </c>
      <c r="J573" t="s">
        <v>177</v>
      </c>
      <c r="K573" t="s">
        <v>1817</v>
      </c>
      <c r="M573" t="s">
        <v>72</v>
      </c>
      <c r="N573" t="s">
        <v>1856</v>
      </c>
      <c r="O573" t="s">
        <v>1817</v>
      </c>
      <c r="P573" t="s">
        <v>1857</v>
      </c>
      <c r="Q573" t="s">
        <v>75</v>
      </c>
      <c r="R573" t="s">
        <v>2238</v>
      </c>
      <c r="S573" t="s">
        <v>2404</v>
      </c>
      <c r="T573" t="s">
        <v>78</v>
      </c>
      <c r="U573" t="s">
        <v>1822</v>
      </c>
      <c r="V573" t="s">
        <v>80</v>
      </c>
      <c r="W573" s="1">
        <v>44813</v>
      </c>
      <c r="X573" t="s">
        <v>1823</v>
      </c>
      <c r="Y573" t="s">
        <v>2405</v>
      </c>
      <c r="Z573" t="s">
        <v>83</v>
      </c>
      <c r="AA573">
        <v>1</v>
      </c>
      <c r="AB573" t="s">
        <v>2248</v>
      </c>
      <c r="AD573" t="s">
        <v>378</v>
      </c>
      <c r="AE573" t="s">
        <v>86</v>
      </c>
      <c r="AF573" t="s">
        <v>146</v>
      </c>
      <c r="AG573" t="s">
        <v>2407</v>
      </c>
      <c r="AH573" t="s">
        <v>2415</v>
      </c>
      <c r="AI573" t="s">
        <v>90</v>
      </c>
      <c r="AJ573">
        <v>32.441080999999997</v>
      </c>
      <c r="AK573">
        <v>-110.785628</v>
      </c>
      <c r="AL573">
        <v>15</v>
      </c>
      <c r="AN573">
        <v>2759</v>
      </c>
      <c r="AP573">
        <v>2759</v>
      </c>
      <c r="AQ573">
        <v>2778.6786710000001</v>
      </c>
      <c r="AT573">
        <v>9</v>
      </c>
      <c r="AU573">
        <v>9</v>
      </c>
      <c r="AV573">
        <v>2022</v>
      </c>
      <c r="AW573">
        <v>2438019</v>
      </c>
      <c r="AX573">
        <v>2438019</v>
      </c>
      <c r="AY573" t="s">
        <v>106</v>
      </c>
      <c r="AZ573" t="s">
        <v>92</v>
      </c>
      <c r="BA573" t="s">
        <v>107</v>
      </c>
      <c r="BB573" t="s">
        <v>2439</v>
      </c>
      <c r="BC573" t="s">
        <v>2245</v>
      </c>
      <c r="BE573" t="s">
        <v>96</v>
      </c>
      <c r="BG573" t="s">
        <v>2246</v>
      </c>
      <c r="BI573" t="s">
        <v>98</v>
      </c>
      <c r="BJ573" t="s">
        <v>2440</v>
      </c>
      <c r="BL573" t="s">
        <v>412</v>
      </c>
    </row>
    <row r="574" spans="1:64" hidden="1" x14ac:dyDescent="0.2">
      <c r="A574">
        <v>875</v>
      </c>
      <c r="B574">
        <v>4070420348</v>
      </c>
      <c r="C574" t="s">
        <v>101</v>
      </c>
      <c r="D574" t="s">
        <v>2449</v>
      </c>
      <c r="E574" t="s">
        <v>65</v>
      </c>
      <c r="F574" t="s">
        <v>66</v>
      </c>
      <c r="G574" t="s">
        <v>67</v>
      </c>
      <c r="H574" t="s">
        <v>68</v>
      </c>
      <c r="I574" t="s">
        <v>176</v>
      </c>
      <c r="J574" t="s">
        <v>773</v>
      </c>
      <c r="K574" t="s">
        <v>774</v>
      </c>
      <c r="M574" t="s">
        <v>72</v>
      </c>
      <c r="N574" t="s">
        <v>775</v>
      </c>
      <c r="O574" t="s">
        <v>774</v>
      </c>
      <c r="P574" t="s">
        <v>776</v>
      </c>
      <c r="Q574" t="s">
        <v>75</v>
      </c>
      <c r="R574" t="s">
        <v>2238</v>
      </c>
      <c r="S574" t="s">
        <v>2442</v>
      </c>
      <c r="T574" t="s">
        <v>78</v>
      </c>
      <c r="U574" t="s">
        <v>1822</v>
      </c>
      <c r="V574" t="s">
        <v>80</v>
      </c>
      <c r="W574" s="1">
        <v>44813</v>
      </c>
      <c r="X574" t="s">
        <v>1823</v>
      </c>
      <c r="Y574" t="s">
        <v>2443</v>
      </c>
      <c r="Z574" t="s">
        <v>83</v>
      </c>
      <c r="AA574">
        <v>1</v>
      </c>
      <c r="AB574" t="s">
        <v>2248</v>
      </c>
      <c r="AD574" t="s">
        <v>2450</v>
      </c>
      <c r="AE574" t="s">
        <v>145</v>
      </c>
      <c r="AF574" t="s">
        <v>146</v>
      </c>
      <c r="AG574" t="s">
        <v>2445</v>
      </c>
      <c r="AH574" t="s">
        <v>2451</v>
      </c>
      <c r="AI574" t="s">
        <v>90</v>
      </c>
      <c r="AJ574">
        <v>32.441257</v>
      </c>
      <c r="AK574">
        <v>-110.78762</v>
      </c>
      <c r="AL574">
        <v>15</v>
      </c>
      <c r="AN574">
        <v>2774</v>
      </c>
      <c r="AP574">
        <v>2774</v>
      </c>
      <c r="AQ574">
        <v>2788.5512319999998</v>
      </c>
      <c r="AT574">
        <v>9</v>
      </c>
      <c r="AU574">
        <v>9</v>
      </c>
      <c r="AV574">
        <v>2022</v>
      </c>
      <c r="AW574">
        <v>2438447</v>
      </c>
      <c r="AX574">
        <v>2438447</v>
      </c>
      <c r="AY574" t="s">
        <v>106</v>
      </c>
      <c r="AZ574" t="s">
        <v>92</v>
      </c>
      <c r="BA574" t="s">
        <v>107</v>
      </c>
      <c r="BB574" t="s">
        <v>2452</v>
      </c>
      <c r="BC574" t="s">
        <v>2245</v>
      </c>
      <c r="BE574" t="s">
        <v>96</v>
      </c>
      <c r="BG574" t="s">
        <v>2246</v>
      </c>
      <c r="BI574" t="s">
        <v>98</v>
      </c>
      <c r="BJ574" t="s">
        <v>2422</v>
      </c>
      <c r="BL574" t="s">
        <v>412</v>
      </c>
    </row>
    <row r="575" spans="1:64" hidden="1" x14ac:dyDescent="0.2">
      <c r="A575">
        <v>893</v>
      </c>
      <c r="B575">
        <v>4070420330</v>
      </c>
      <c r="C575" t="s">
        <v>101</v>
      </c>
      <c r="D575" t="s">
        <v>2453</v>
      </c>
      <c r="E575" t="s">
        <v>65</v>
      </c>
      <c r="F575" t="s">
        <v>66</v>
      </c>
      <c r="G575" t="s">
        <v>67</v>
      </c>
      <c r="H575" t="s">
        <v>68</v>
      </c>
      <c r="I575" t="s">
        <v>176</v>
      </c>
      <c r="J575" t="s">
        <v>773</v>
      </c>
      <c r="K575" t="s">
        <v>774</v>
      </c>
      <c r="M575" t="s">
        <v>72</v>
      </c>
      <c r="N575" t="s">
        <v>775</v>
      </c>
      <c r="O575" t="s">
        <v>774</v>
      </c>
      <c r="P575" t="s">
        <v>776</v>
      </c>
      <c r="Q575" t="s">
        <v>75</v>
      </c>
      <c r="R575" t="s">
        <v>2238</v>
      </c>
      <c r="S575" t="s">
        <v>2442</v>
      </c>
      <c r="T575" t="s">
        <v>78</v>
      </c>
      <c r="U575" t="s">
        <v>1822</v>
      </c>
      <c r="V575" t="s">
        <v>80</v>
      </c>
      <c r="W575" s="1">
        <v>44813</v>
      </c>
      <c r="X575" t="s">
        <v>1823</v>
      </c>
      <c r="Y575" t="s">
        <v>2443</v>
      </c>
      <c r="Z575" t="s">
        <v>83</v>
      </c>
      <c r="AA575">
        <v>1</v>
      </c>
      <c r="AB575" t="s">
        <v>2262</v>
      </c>
      <c r="AD575" t="s">
        <v>134</v>
      </c>
      <c r="AE575" t="s">
        <v>145</v>
      </c>
      <c r="AF575" t="s">
        <v>146</v>
      </c>
      <c r="AG575" t="s">
        <v>2445</v>
      </c>
      <c r="AH575" t="s">
        <v>2454</v>
      </c>
      <c r="AI575" t="s">
        <v>90</v>
      </c>
      <c r="AJ575">
        <v>32.441257</v>
      </c>
      <c r="AK575">
        <v>-110.78762</v>
      </c>
      <c r="AL575">
        <v>15</v>
      </c>
      <c r="AN575">
        <v>2774</v>
      </c>
      <c r="AP575">
        <v>2774</v>
      </c>
      <c r="AQ575">
        <v>2788.5512319999998</v>
      </c>
      <c r="AT575">
        <v>9</v>
      </c>
      <c r="AU575">
        <v>9</v>
      </c>
      <c r="AV575">
        <v>2022</v>
      </c>
      <c r="AW575">
        <v>2438447</v>
      </c>
      <c r="AX575">
        <v>2438447</v>
      </c>
      <c r="AY575" t="s">
        <v>106</v>
      </c>
      <c r="AZ575" t="s">
        <v>92</v>
      </c>
      <c r="BA575" t="s">
        <v>107</v>
      </c>
      <c r="BB575" t="s">
        <v>2455</v>
      </c>
      <c r="BC575" t="s">
        <v>2245</v>
      </c>
      <c r="BE575" t="s">
        <v>96</v>
      </c>
      <c r="BG575" t="s">
        <v>2246</v>
      </c>
      <c r="BI575" t="s">
        <v>98</v>
      </c>
      <c r="BJ575" t="s">
        <v>2456</v>
      </c>
      <c r="BL575" t="s">
        <v>412</v>
      </c>
    </row>
    <row r="576" spans="1:64" hidden="1" x14ac:dyDescent="0.2">
      <c r="A576">
        <v>891</v>
      </c>
      <c r="B576">
        <v>4070420332</v>
      </c>
      <c r="C576" t="s">
        <v>101</v>
      </c>
      <c r="D576" t="s">
        <v>2457</v>
      </c>
      <c r="E576" t="s">
        <v>65</v>
      </c>
      <c r="F576" t="s">
        <v>66</v>
      </c>
      <c r="G576" t="s">
        <v>67</v>
      </c>
      <c r="H576" t="s">
        <v>68</v>
      </c>
      <c r="I576" t="s">
        <v>176</v>
      </c>
      <c r="J576" t="s">
        <v>773</v>
      </c>
      <c r="K576" t="s">
        <v>774</v>
      </c>
      <c r="M576" t="s">
        <v>72</v>
      </c>
      <c r="N576" t="s">
        <v>775</v>
      </c>
      <c r="O576" t="s">
        <v>774</v>
      </c>
      <c r="P576" t="s">
        <v>776</v>
      </c>
      <c r="Q576" t="s">
        <v>75</v>
      </c>
      <c r="R576" t="s">
        <v>2238</v>
      </c>
      <c r="S576" t="s">
        <v>2442</v>
      </c>
      <c r="T576" t="s">
        <v>78</v>
      </c>
      <c r="U576" t="s">
        <v>1822</v>
      </c>
      <c r="V576" t="s">
        <v>80</v>
      </c>
      <c r="W576" s="1">
        <v>44813</v>
      </c>
      <c r="X576" t="s">
        <v>1823</v>
      </c>
      <c r="Y576" t="s">
        <v>2443</v>
      </c>
      <c r="Z576" t="s">
        <v>83</v>
      </c>
      <c r="AA576">
        <v>1</v>
      </c>
      <c r="AB576" t="s">
        <v>2262</v>
      </c>
      <c r="AD576" t="s">
        <v>134</v>
      </c>
      <c r="AE576" t="s">
        <v>145</v>
      </c>
      <c r="AF576" t="s">
        <v>146</v>
      </c>
      <c r="AG576" t="s">
        <v>2445</v>
      </c>
      <c r="AH576" t="s">
        <v>2454</v>
      </c>
      <c r="AI576" t="s">
        <v>90</v>
      </c>
      <c r="AJ576">
        <v>32.441257</v>
      </c>
      <c r="AK576">
        <v>-110.78762</v>
      </c>
      <c r="AL576">
        <v>15</v>
      </c>
      <c r="AN576">
        <v>2774</v>
      </c>
      <c r="AP576">
        <v>2774</v>
      </c>
      <c r="AQ576">
        <v>2788.5512319999998</v>
      </c>
      <c r="AT576">
        <v>9</v>
      </c>
      <c r="AU576">
        <v>9</v>
      </c>
      <c r="AV576">
        <v>2022</v>
      </c>
      <c r="AW576">
        <v>2438447</v>
      </c>
      <c r="AX576">
        <v>2438447</v>
      </c>
      <c r="AY576" t="s">
        <v>106</v>
      </c>
      <c r="AZ576" t="s">
        <v>92</v>
      </c>
      <c r="BA576" t="s">
        <v>107</v>
      </c>
      <c r="BB576" t="s">
        <v>2458</v>
      </c>
      <c r="BC576" t="s">
        <v>2245</v>
      </c>
      <c r="BE576" t="s">
        <v>96</v>
      </c>
      <c r="BG576" t="s">
        <v>2246</v>
      </c>
      <c r="BI576" t="s">
        <v>98</v>
      </c>
      <c r="BJ576" t="s">
        <v>2459</v>
      </c>
      <c r="BL576" t="s">
        <v>412</v>
      </c>
    </row>
    <row r="577" spans="1:64" hidden="1" x14ac:dyDescent="0.2">
      <c r="A577">
        <v>889</v>
      </c>
      <c r="B577">
        <v>4070420334</v>
      </c>
      <c r="C577" t="s">
        <v>101</v>
      </c>
      <c r="D577" t="s">
        <v>2460</v>
      </c>
      <c r="E577" t="s">
        <v>65</v>
      </c>
      <c r="F577" t="s">
        <v>66</v>
      </c>
      <c r="G577" t="s">
        <v>67</v>
      </c>
      <c r="H577" t="s">
        <v>68</v>
      </c>
      <c r="I577" t="s">
        <v>176</v>
      </c>
      <c r="J577" t="s">
        <v>773</v>
      </c>
      <c r="K577" t="s">
        <v>774</v>
      </c>
      <c r="M577" t="s">
        <v>72</v>
      </c>
      <c r="N577" t="s">
        <v>775</v>
      </c>
      <c r="O577" t="s">
        <v>774</v>
      </c>
      <c r="P577" t="s">
        <v>776</v>
      </c>
      <c r="Q577" t="s">
        <v>75</v>
      </c>
      <c r="R577" t="s">
        <v>2238</v>
      </c>
      <c r="S577" t="s">
        <v>2442</v>
      </c>
      <c r="T577" t="s">
        <v>78</v>
      </c>
      <c r="U577" t="s">
        <v>1822</v>
      </c>
      <c r="V577" t="s">
        <v>80</v>
      </c>
      <c r="W577" s="1">
        <v>44813</v>
      </c>
      <c r="X577" t="s">
        <v>1823</v>
      </c>
      <c r="Y577" t="s">
        <v>2443</v>
      </c>
      <c r="Z577" t="s">
        <v>83</v>
      </c>
      <c r="AA577">
        <v>1</v>
      </c>
      <c r="AB577" t="s">
        <v>2248</v>
      </c>
      <c r="AD577" t="s">
        <v>2461</v>
      </c>
      <c r="AE577" t="s">
        <v>145</v>
      </c>
      <c r="AF577" t="s">
        <v>146</v>
      </c>
      <c r="AG577" t="s">
        <v>2445</v>
      </c>
      <c r="AH577" t="s">
        <v>2451</v>
      </c>
      <c r="AI577" t="s">
        <v>90</v>
      </c>
      <c r="AJ577">
        <v>32.441257</v>
      </c>
      <c r="AK577">
        <v>-110.78762</v>
      </c>
      <c r="AL577">
        <v>15</v>
      </c>
      <c r="AN577">
        <v>2774</v>
      </c>
      <c r="AP577">
        <v>2774</v>
      </c>
      <c r="AQ577">
        <v>2788.5512319999998</v>
      </c>
      <c r="AT577">
        <v>9</v>
      </c>
      <c r="AU577">
        <v>9</v>
      </c>
      <c r="AV577">
        <v>2022</v>
      </c>
      <c r="AW577">
        <v>2438447</v>
      </c>
      <c r="AX577">
        <v>2438447</v>
      </c>
      <c r="AY577" t="s">
        <v>106</v>
      </c>
      <c r="AZ577" t="s">
        <v>92</v>
      </c>
      <c r="BA577" t="s">
        <v>107</v>
      </c>
      <c r="BB577" t="s">
        <v>2462</v>
      </c>
      <c r="BC577" t="s">
        <v>2245</v>
      </c>
      <c r="BE577" t="s">
        <v>96</v>
      </c>
      <c r="BG577" t="s">
        <v>2246</v>
      </c>
      <c r="BI577" t="s">
        <v>98</v>
      </c>
      <c r="BJ577" t="s">
        <v>2422</v>
      </c>
      <c r="BL577" t="s">
        <v>412</v>
      </c>
    </row>
    <row r="578" spans="1:64" hidden="1" x14ac:dyDescent="0.2">
      <c r="A578">
        <v>887</v>
      </c>
      <c r="B578">
        <v>4070420336</v>
      </c>
      <c r="C578" t="s">
        <v>101</v>
      </c>
      <c r="D578" t="s">
        <v>2463</v>
      </c>
      <c r="E578" t="s">
        <v>65</v>
      </c>
      <c r="F578" t="s">
        <v>66</v>
      </c>
      <c r="G578" t="s">
        <v>67</v>
      </c>
      <c r="H578" t="s">
        <v>68</v>
      </c>
      <c r="I578" t="s">
        <v>176</v>
      </c>
      <c r="J578" t="s">
        <v>773</v>
      </c>
      <c r="K578" t="s">
        <v>774</v>
      </c>
      <c r="M578" t="s">
        <v>72</v>
      </c>
      <c r="N578" t="s">
        <v>775</v>
      </c>
      <c r="O578" t="s">
        <v>774</v>
      </c>
      <c r="P578" t="s">
        <v>776</v>
      </c>
      <c r="Q578" t="s">
        <v>75</v>
      </c>
      <c r="R578" t="s">
        <v>2238</v>
      </c>
      <c r="S578" t="s">
        <v>2442</v>
      </c>
      <c r="T578" t="s">
        <v>78</v>
      </c>
      <c r="U578" t="s">
        <v>1822</v>
      </c>
      <c r="V578" t="s">
        <v>80</v>
      </c>
      <c r="W578" s="1">
        <v>44813</v>
      </c>
      <c r="X578" t="s">
        <v>1823</v>
      </c>
      <c r="Y578" t="s">
        <v>2443</v>
      </c>
      <c r="Z578" t="s">
        <v>83</v>
      </c>
      <c r="AA578">
        <v>1</v>
      </c>
      <c r="AB578" t="s">
        <v>2248</v>
      </c>
      <c r="AD578" t="s">
        <v>2464</v>
      </c>
      <c r="AE578" t="s">
        <v>145</v>
      </c>
      <c r="AF578" t="s">
        <v>146</v>
      </c>
      <c r="AG578" t="s">
        <v>2445</v>
      </c>
      <c r="AH578" t="s">
        <v>2451</v>
      </c>
      <c r="AI578" t="s">
        <v>90</v>
      </c>
      <c r="AJ578">
        <v>32.441257</v>
      </c>
      <c r="AK578">
        <v>-110.78762</v>
      </c>
      <c r="AL578">
        <v>15</v>
      </c>
      <c r="AN578">
        <v>2774</v>
      </c>
      <c r="AP578">
        <v>2774</v>
      </c>
      <c r="AQ578">
        <v>2788.5512319999998</v>
      </c>
      <c r="AT578">
        <v>9</v>
      </c>
      <c r="AU578">
        <v>9</v>
      </c>
      <c r="AV578">
        <v>2022</v>
      </c>
      <c r="AW578">
        <v>2438447</v>
      </c>
      <c r="AX578">
        <v>2438447</v>
      </c>
      <c r="AY578" t="s">
        <v>106</v>
      </c>
      <c r="AZ578" t="s">
        <v>92</v>
      </c>
      <c r="BA578" t="s">
        <v>107</v>
      </c>
      <c r="BB578" t="s">
        <v>2465</v>
      </c>
      <c r="BC578" t="s">
        <v>2245</v>
      </c>
      <c r="BE578" t="s">
        <v>96</v>
      </c>
      <c r="BG578" t="s">
        <v>2246</v>
      </c>
      <c r="BI578" t="s">
        <v>98</v>
      </c>
      <c r="BJ578" t="s">
        <v>2422</v>
      </c>
      <c r="BL578" t="s">
        <v>412</v>
      </c>
    </row>
    <row r="579" spans="1:64" hidden="1" x14ac:dyDescent="0.2">
      <c r="A579">
        <v>733</v>
      </c>
      <c r="B579">
        <v>4070420504</v>
      </c>
      <c r="C579" t="s">
        <v>101</v>
      </c>
      <c r="D579" t="s">
        <v>2466</v>
      </c>
      <c r="E579" t="s">
        <v>65</v>
      </c>
      <c r="F579" t="s">
        <v>66</v>
      </c>
      <c r="G579" t="s">
        <v>67</v>
      </c>
      <c r="H579" t="s">
        <v>68</v>
      </c>
      <c r="I579" t="s">
        <v>176</v>
      </c>
      <c r="J579" t="s">
        <v>773</v>
      </c>
      <c r="K579" t="s">
        <v>774</v>
      </c>
      <c r="M579" t="s">
        <v>72</v>
      </c>
      <c r="N579" t="s">
        <v>775</v>
      </c>
      <c r="O579" t="s">
        <v>774</v>
      </c>
      <c r="P579" t="s">
        <v>776</v>
      </c>
      <c r="Q579" t="s">
        <v>75</v>
      </c>
      <c r="R579" t="s">
        <v>2238</v>
      </c>
      <c r="S579" t="s">
        <v>2442</v>
      </c>
      <c r="T579" t="s">
        <v>78</v>
      </c>
      <c r="U579" t="s">
        <v>1822</v>
      </c>
      <c r="V579" t="s">
        <v>80</v>
      </c>
      <c r="W579" s="1">
        <v>44813</v>
      </c>
      <c r="X579" t="s">
        <v>1823</v>
      </c>
      <c r="Y579" t="s">
        <v>2443</v>
      </c>
      <c r="Z579" t="s">
        <v>83</v>
      </c>
      <c r="AA579">
        <v>1</v>
      </c>
      <c r="AB579" t="s">
        <v>2248</v>
      </c>
      <c r="AD579" t="s">
        <v>2467</v>
      </c>
      <c r="AE579" t="s">
        <v>145</v>
      </c>
      <c r="AF579" t="s">
        <v>146</v>
      </c>
      <c r="AG579" t="s">
        <v>2445</v>
      </c>
      <c r="AH579" t="s">
        <v>2451</v>
      </c>
      <c r="AI579" t="s">
        <v>90</v>
      </c>
      <c r="AJ579">
        <v>32.441257</v>
      </c>
      <c r="AK579">
        <v>-110.78762</v>
      </c>
      <c r="AL579">
        <v>15</v>
      </c>
      <c r="AN579">
        <v>2774</v>
      </c>
      <c r="AP579">
        <v>2774</v>
      </c>
      <c r="AQ579">
        <v>2788.5512319999998</v>
      </c>
      <c r="AT579">
        <v>9</v>
      </c>
      <c r="AU579">
        <v>9</v>
      </c>
      <c r="AV579">
        <v>2022</v>
      </c>
      <c r="AW579">
        <v>2438447</v>
      </c>
      <c r="AX579">
        <v>2438447</v>
      </c>
      <c r="AY579" t="s">
        <v>106</v>
      </c>
      <c r="AZ579" t="s">
        <v>92</v>
      </c>
      <c r="BA579" t="s">
        <v>107</v>
      </c>
      <c r="BB579" t="s">
        <v>2468</v>
      </c>
      <c r="BC579" t="s">
        <v>2245</v>
      </c>
      <c r="BE579" t="s">
        <v>96</v>
      </c>
      <c r="BG579" t="s">
        <v>2246</v>
      </c>
      <c r="BI579" t="s">
        <v>98</v>
      </c>
      <c r="BJ579" t="s">
        <v>2469</v>
      </c>
      <c r="BL579" t="s">
        <v>412</v>
      </c>
    </row>
    <row r="580" spans="1:64" hidden="1" x14ac:dyDescent="0.2">
      <c r="A580">
        <v>772</v>
      </c>
      <c r="B580">
        <v>4070420465</v>
      </c>
      <c r="C580" t="s">
        <v>101</v>
      </c>
      <c r="D580" t="s">
        <v>2470</v>
      </c>
      <c r="E580" t="s">
        <v>65</v>
      </c>
      <c r="F580" t="s">
        <v>66</v>
      </c>
      <c r="G580" t="s">
        <v>67</v>
      </c>
      <c r="H580" t="s">
        <v>68</v>
      </c>
      <c r="I580" t="s">
        <v>176</v>
      </c>
      <c r="J580" t="s">
        <v>773</v>
      </c>
      <c r="K580" t="s">
        <v>774</v>
      </c>
      <c r="M580" t="s">
        <v>72</v>
      </c>
      <c r="N580" t="s">
        <v>775</v>
      </c>
      <c r="O580" t="s">
        <v>774</v>
      </c>
      <c r="P580" t="s">
        <v>776</v>
      </c>
      <c r="Q580" t="s">
        <v>75</v>
      </c>
      <c r="R580" t="s">
        <v>2238</v>
      </c>
      <c r="S580" t="s">
        <v>2442</v>
      </c>
      <c r="T580" t="s">
        <v>78</v>
      </c>
      <c r="U580" t="s">
        <v>1822</v>
      </c>
      <c r="V580" t="s">
        <v>80</v>
      </c>
      <c r="W580" s="1">
        <v>44813</v>
      </c>
      <c r="X580" t="s">
        <v>1823</v>
      </c>
      <c r="Y580" t="s">
        <v>2443</v>
      </c>
      <c r="Z580" t="s">
        <v>83</v>
      </c>
      <c r="AA580">
        <v>1</v>
      </c>
      <c r="AB580" t="s">
        <v>2248</v>
      </c>
      <c r="AD580" t="s">
        <v>2471</v>
      </c>
      <c r="AE580" t="s">
        <v>145</v>
      </c>
      <c r="AF580" t="s">
        <v>146</v>
      </c>
      <c r="AG580" t="s">
        <v>2445</v>
      </c>
      <c r="AH580" t="s">
        <v>2451</v>
      </c>
      <c r="AI580" t="s">
        <v>90</v>
      </c>
      <c r="AJ580">
        <v>32.441257</v>
      </c>
      <c r="AK580">
        <v>-110.78762</v>
      </c>
      <c r="AL580">
        <v>15</v>
      </c>
      <c r="AN580">
        <v>2774</v>
      </c>
      <c r="AP580">
        <v>2774</v>
      </c>
      <c r="AQ580">
        <v>2788.5512319999998</v>
      </c>
      <c r="AT580">
        <v>9</v>
      </c>
      <c r="AU580">
        <v>9</v>
      </c>
      <c r="AV580">
        <v>2022</v>
      </c>
      <c r="AW580">
        <v>2438447</v>
      </c>
      <c r="AX580">
        <v>2438447</v>
      </c>
      <c r="AY580" t="s">
        <v>106</v>
      </c>
      <c r="AZ580" t="s">
        <v>92</v>
      </c>
      <c r="BA580" t="s">
        <v>107</v>
      </c>
      <c r="BB580" t="s">
        <v>2472</v>
      </c>
      <c r="BC580" t="s">
        <v>2245</v>
      </c>
      <c r="BE580" t="s">
        <v>96</v>
      </c>
      <c r="BG580" t="s">
        <v>2246</v>
      </c>
      <c r="BI580" t="s">
        <v>98</v>
      </c>
      <c r="BJ580" t="s">
        <v>2473</v>
      </c>
      <c r="BL580" t="s">
        <v>412</v>
      </c>
    </row>
    <row r="581" spans="1:64" hidden="1" x14ac:dyDescent="0.2">
      <c r="A581">
        <v>941</v>
      </c>
      <c r="B581">
        <v>4040367302</v>
      </c>
      <c r="C581" t="s">
        <v>101</v>
      </c>
      <c r="D581" t="s">
        <v>2474</v>
      </c>
      <c r="E581" t="s">
        <v>65</v>
      </c>
      <c r="F581" t="s">
        <v>66</v>
      </c>
      <c r="G581" t="s">
        <v>67</v>
      </c>
      <c r="H581" t="s">
        <v>68</v>
      </c>
      <c r="I581" t="s">
        <v>176</v>
      </c>
      <c r="J581" t="s">
        <v>773</v>
      </c>
      <c r="K581" t="s">
        <v>774</v>
      </c>
      <c r="M581" t="s">
        <v>72</v>
      </c>
      <c r="N581" t="s">
        <v>775</v>
      </c>
      <c r="O581" t="s">
        <v>774</v>
      </c>
      <c r="P581" t="s">
        <v>776</v>
      </c>
      <c r="Q581" t="s">
        <v>75</v>
      </c>
      <c r="R581" t="s">
        <v>2238</v>
      </c>
      <c r="S581" t="s">
        <v>2442</v>
      </c>
      <c r="T581" t="s">
        <v>78</v>
      </c>
      <c r="U581" t="s">
        <v>1822</v>
      </c>
      <c r="V581" t="s">
        <v>80</v>
      </c>
      <c r="W581" s="1">
        <v>44813</v>
      </c>
      <c r="X581" t="s">
        <v>1823</v>
      </c>
      <c r="Y581" t="s">
        <v>2443</v>
      </c>
      <c r="Z581" t="s">
        <v>83</v>
      </c>
      <c r="AA581">
        <v>1</v>
      </c>
      <c r="AB581" t="s">
        <v>127</v>
      </c>
      <c r="AD581" t="s">
        <v>139</v>
      </c>
      <c r="AE581" t="s">
        <v>145</v>
      </c>
      <c r="AF581" t="s">
        <v>146</v>
      </c>
      <c r="AG581" t="s">
        <v>2445</v>
      </c>
      <c r="AH581" t="s">
        <v>2451</v>
      </c>
      <c r="AI581" t="s">
        <v>90</v>
      </c>
      <c r="AJ581">
        <v>32.441257</v>
      </c>
      <c r="AK581">
        <v>-110.78762</v>
      </c>
      <c r="AL581">
        <v>15</v>
      </c>
      <c r="AN581">
        <v>2774</v>
      </c>
      <c r="AP581">
        <v>2774</v>
      </c>
      <c r="AQ581">
        <v>2788.5512319999998</v>
      </c>
      <c r="AT581">
        <v>9</v>
      </c>
      <c r="AU581">
        <v>9</v>
      </c>
      <c r="AV581">
        <v>2022</v>
      </c>
      <c r="AW581">
        <v>2438447</v>
      </c>
      <c r="AX581">
        <v>2438447</v>
      </c>
      <c r="AY581" t="s">
        <v>106</v>
      </c>
      <c r="AZ581" t="s">
        <v>92</v>
      </c>
      <c r="BA581" t="s">
        <v>107</v>
      </c>
      <c r="BB581" t="s">
        <v>2475</v>
      </c>
      <c r="BC581" t="s">
        <v>2245</v>
      </c>
      <c r="BE581" t="s">
        <v>96</v>
      </c>
      <c r="BG581" t="s">
        <v>2246</v>
      </c>
      <c r="BI581" t="s">
        <v>98</v>
      </c>
      <c r="BJ581" t="s">
        <v>2476</v>
      </c>
      <c r="BL581" t="s">
        <v>412</v>
      </c>
    </row>
    <row r="582" spans="1:64" hidden="1" x14ac:dyDescent="0.2">
      <c r="A582">
        <v>940</v>
      </c>
      <c r="B582">
        <v>4040367303</v>
      </c>
      <c r="C582" t="s">
        <v>101</v>
      </c>
      <c r="D582" t="s">
        <v>2477</v>
      </c>
      <c r="E582" t="s">
        <v>65</v>
      </c>
      <c r="F582" t="s">
        <v>66</v>
      </c>
      <c r="G582" t="s">
        <v>67</v>
      </c>
      <c r="H582" t="s">
        <v>68</v>
      </c>
      <c r="I582" t="s">
        <v>176</v>
      </c>
      <c r="J582" t="s">
        <v>773</v>
      </c>
      <c r="K582" t="s">
        <v>774</v>
      </c>
      <c r="M582" t="s">
        <v>72</v>
      </c>
      <c r="N582" t="s">
        <v>775</v>
      </c>
      <c r="O582" t="s">
        <v>774</v>
      </c>
      <c r="P582" t="s">
        <v>776</v>
      </c>
      <c r="Q582" t="s">
        <v>75</v>
      </c>
      <c r="R582" t="s">
        <v>2238</v>
      </c>
      <c r="S582" t="s">
        <v>2442</v>
      </c>
      <c r="T582" t="s">
        <v>78</v>
      </c>
      <c r="U582" t="s">
        <v>1822</v>
      </c>
      <c r="V582" t="s">
        <v>80</v>
      </c>
      <c r="W582" s="1">
        <v>44813</v>
      </c>
      <c r="X582" t="s">
        <v>1823</v>
      </c>
      <c r="Y582" t="s">
        <v>2443</v>
      </c>
      <c r="Z582" t="s">
        <v>83</v>
      </c>
      <c r="AA582">
        <v>1</v>
      </c>
      <c r="AB582" t="s">
        <v>127</v>
      </c>
      <c r="AD582" t="s">
        <v>123</v>
      </c>
      <c r="AE582" t="s">
        <v>145</v>
      </c>
      <c r="AF582" t="s">
        <v>146</v>
      </c>
      <c r="AG582" t="s">
        <v>2445</v>
      </c>
      <c r="AH582" t="s">
        <v>2451</v>
      </c>
      <c r="AI582" t="s">
        <v>90</v>
      </c>
      <c r="AJ582">
        <v>32.441257</v>
      </c>
      <c r="AK582">
        <v>-110.78762</v>
      </c>
      <c r="AL582">
        <v>15</v>
      </c>
      <c r="AN582">
        <v>2774</v>
      </c>
      <c r="AP582">
        <v>2774</v>
      </c>
      <c r="AQ582">
        <v>2788.5512319999998</v>
      </c>
      <c r="AT582">
        <v>9</v>
      </c>
      <c r="AU582">
        <v>9</v>
      </c>
      <c r="AV582">
        <v>2022</v>
      </c>
      <c r="AW582">
        <v>2438447</v>
      </c>
      <c r="AX582">
        <v>2438447</v>
      </c>
      <c r="AY582" t="s">
        <v>106</v>
      </c>
      <c r="AZ582" t="s">
        <v>92</v>
      </c>
      <c r="BA582" t="s">
        <v>107</v>
      </c>
      <c r="BB582" t="s">
        <v>2478</v>
      </c>
      <c r="BC582" t="s">
        <v>2245</v>
      </c>
      <c r="BE582" t="s">
        <v>96</v>
      </c>
      <c r="BG582" t="s">
        <v>2246</v>
      </c>
      <c r="BI582" t="s">
        <v>98</v>
      </c>
      <c r="BJ582" t="s">
        <v>2476</v>
      </c>
      <c r="BL582" t="s">
        <v>412</v>
      </c>
    </row>
    <row r="583" spans="1:64" hidden="1" x14ac:dyDescent="0.2">
      <c r="A583">
        <v>939</v>
      </c>
      <c r="B583">
        <v>4040367304</v>
      </c>
      <c r="C583" t="s">
        <v>101</v>
      </c>
      <c r="D583" t="s">
        <v>2479</v>
      </c>
      <c r="E583" t="s">
        <v>65</v>
      </c>
      <c r="F583" t="s">
        <v>66</v>
      </c>
      <c r="G583" t="s">
        <v>67</v>
      </c>
      <c r="H583" t="s">
        <v>68</v>
      </c>
      <c r="I583" t="s">
        <v>176</v>
      </c>
      <c r="J583" t="s">
        <v>773</v>
      </c>
      <c r="K583" t="s">
        <v>774</v>
      </c>
      <c r="M583" t="s">
        <v>72</v>
      </c>
      <c r="N583" t="s">
        <v>775</v>
      </c>
      <c r="O583" t="s">
        <v>774</v>
      </c>
      <c r="P583" t="s">
        <v>776</v>
      </c>
      <c r="Q583" t="s">
        <v>75</v>
      </c>
      <c r="R583" t="s">
        <v>2238</v>
      </c>
      <c r="S583" t="s">
        <v>2442</v>
      </c>
      <c r="T583" t="s">
        <v>78</v>
      </c>
      <c r="U583" t="s">
        <v>1822</v>
      </c>
      <c r="V583" t="s">
        <v>80</v>
      </c>
      <c r="W583" s="1">
        <v>44813</v>
      </c>
      <c r="X583" t="s">
        <v>1823</v>
      </c>
      <c r="Y583" t="s">
        <v>2443</v>
      </c>
      <c r="Z583" t="s">
        <v>83</v>
      </c>
      <c r="AA583">
        <v>1</v>
      </c>
      <c r="AB583" t="s">
        <v>103</v>
      </c>
      <c r="AD583" t="s">
        <v>112</v>
      </c>
      <c r="AE583" t="s">
        <v>145</v>
      </c>
      <c r="AF583" t="s">
        <v>146</v>
      </c>
      <c r="AG583" t="s">
        <v>2445</v>
      </c>
      <c r="AH583" t="s">
        <v>2451</v>
      </c>
      <c r="AI583" t="s">
        <v>90</v>
      </c>
      <c r="AJ583">
        <v>32.441257</v>
      </c>
      <c r="AK583">
        <v>-110.78762</v>
      </c>
      <c r="AL583">
        <v>15</v>
      </c>
      <c r="AN583">
        <v>2774</v>
      </c>
      <c r="AP583">
        <v>2774</v>
      </c>
      <c r="AQ583">
        <v>2788.5512319999998</v>
      </c>
      <c r="AT583">
        <v>9</v>
      </c>
      <c r="AU583">
        <v>9</v>
      </c>
      <c r="AV583">
        <v>2022</v>
      </c>
      <c r="AW583">
        <v>2438447</v>
      </c>
      <c r="AX583">
        <v>2438447</v>
      </c>
      <c r="AY583" t="s">
        <v>106</v>
      </c>
      <c r="AZ583" t="s">
        <v>92</v>
      </c>
      <c r="BA583" t="s">
        <v>107</v>
      </c>
      <c r="BB583" t="s">
        <v>2480</v>
      </c>
      <c r="BC583" t="s">
        <v>2245</v>
      </c>
      <c r="BE583" t="s">
        <v>96</v>
      </c>
      <c r="BG583" t="s">
        <v>2246</v>
      </c>
      <c r="BI583" t="s">
        <v>98</v>
      </c>
      <c r="BJ583" t="s">
        <v>2117</v>
      </c>
      <c r="BL583" t="s">
        <v>412</v>
      </c>
    </row>
    <row r="584" spans="1:64" hidden="1" x14ac:dyDescent="0.2">
      <c r="A584">
        <v>938</v>
      </c>
      <c r="B584">
        <v>4040367306</v>
      </c>
      <c r="C584" t="s">
        <v>101</v>
      </c>
      <c r="D584" t="s">
        <v>2481</v>
      </c>
      <c r="E584" t="s">
        <v>65</v>
      </c>
      <c r="F584" t="s">
        <v>66</v>
      </c>
      <c r="G584" t="s">
        <v>67</v>
      </c>
      <c r="H584" t="s">
        <v>68</v>
      </c>
      <c r="I584" t="s">
        <v>176</v>
      </c>
      <c r="J584" t="s">
        <v>773</v>
      </c>
      <c r="K584" t="s">
        <v>774</v>
      </c>
      <c r="M584" t="s">
        <v>72</v>
      </c>
      <c r="N584" t="s">
        <v>775</v>
      </c>
      <c r="O584" t="s">
        <v>774</v>
      </c>
      <c r="P584" t="s">
        <v>776</v>
      </c>
      <c r="Q584" t="s">
        <v>75</v>
      </c>
      <c r="R584" t="s">
        <v>2238</v>
      </c>
      <c r="S584" t="s">
        <v>2442</v>
      </c>
      <c r="T584" t="s">
        <v>78</v>
      </c>
      <c r="U584" t="s">
        <v>1822</v>
      </c>
      <c r="V584" t="s">
        <v>80</v>
      </c>
      <c r="W584" s="1">
        <v>44813</v>
      </c>
      <c r="X584" t="s">
        <v>1823</v>
      </c>
      <c r="Y584" t="s">
        <v>2443</v>
      </c>
      <c r="Z584" t="s">
        <v>83</v>
      </c>
      <c r="AA584">
        <v>1</v>
      </c>
      <c r="AB584" t="s">
        <v>103</v>
      </c>
      <c r="AD584" t="s">
        <v>116</v>
      </c>
      <c r="AE584" t="s">
        <v>145</v>
      </c>
      <c r="AF584" t="s">
        <v>146</v>
      </c>
      <c r="AG584" t="s">
        <v>2445</v>
      </c>
      <c r="AH584" t="s">
        <v>2451</v>
      </c>
      <c r="AI584" t="s">
        <v>90</v>
      </c>
      <c r="AJ584">
        <v>32.441257</v>
      </c>
      <c r="AK584">
        <v>-110.78762</v>
      </c>
      <c r="AL584">
        <v>15</v>
      </c>
      <c r="AN584">
        <v>2774</v>
      </c>
      <c r="AP584">
        <v>2774</v>
      </c>
      <c r="AQ584">
        <v>2788.5512319999998</v>
      </c>
      <c r="AT584">
        <v>9</v>
      </c>
      <c r="AU584">
        <v>9</v>
      </c>
      <c r="AV584">
        <v>2022</v>
      </c>
      <c r="AW584">
        <v>2438447</v>
      </c>
      <c r="AX584">
        <v>2438447</v>
      </c>
      <c r="AY584" t="s">
        <v>106</v>
      </c>
      <c r="AZ584" t="s">
        <v>92</v>
      </c>
      <c r="BA584" t="s">
        <v>107</v>
      </c>
      <c r="BB584" t="s">
        <v>2482</v>
      </c>
      <c r="BC584" t="s">
        <v>2245</v>
      </c>
      <c r="BE584" t="s">
        <v>96</v>
      </c>
      <c r="BG584" t="s">
        <v>2246</v>
      </c>
      <c r="BI584" t="s">
        <v>98</v>
      </c>
      <c r="BJ584" t="s">
        <v>2483</v>
      </c>
      <c r="BL584" t="s">
        <v>412</v>
      </c>
    </row>
    <row r="585" spans="1:64" hidden="1" x14ac:dyDescent="0.2">
      <c r="A585">
        <v>937</v>
      </c>
      <c r="B585">
        <v>4040367308</v>
      </c>
      <c r="C585" t="s">
        <v>101</v>
      </c>
      <c r="D585" t="s">
        <v>2484</v>
      </c>
      <c r="E585" t="s">
        <v>65</v>
      </c>
      <c r="F585" t="s">
        <v>66</v>
      </c>
      <c r="G585" t="s">
        <v>67</v>
      </c>
      <c r="H585" t="s">
        <v>68</v>
      </c>
      <c r="I585" t="s">
        <v>176</v>
      </c>
      <c r="J585" t="s">
        <v>773</v>
      </c>
      <c r="K585" t="s">
        <v>774</v>
      </c>
      <c r="M585" t="s">
        <v>72</v>
      </c>
      <c r="N585" t="s">
        <v>775</v>
      </c>
      <c r="O585" t="s">
        <v>774</v>
      </c>
      <c r="P585" t="s">
        <v>776</v>
      </c>
      <c r="Q585" t="s">
        <v>75</v>
      </c>
      <c r="R585" t="s">
        <v>2238</v>
      </c>
      <c r="S585" t="s">
        <v>2442</v>
      </c>
      <c r="T585" t="s">
        <v>78</v>
      </c>
      <c r="U585" t="s">
        <v>1822</v>
      </c>
      <c r="V585" t="s">
        <v>80</v>
      </c>
      <c r="W585" s="1">
        <v>44813</v>
      </c>
      <c r="X585" t="s">
        <v>1823</v>
      </c>
      <c r="Y585" t="s">
        <v>2443</v>
      </c>
      <c r="Z585" t="s">
        <v>83</v>
      </c>
      <c r="AA585">
        <v>1</v>
      </c>
      <c r="AB585" t="s">
        <v>103</v>
      </c>
      <c r="AD585" t="s">
        <v>104</v>
      </c>
      <c r="AE585" t="s">
        <v>145</v>
      </c>
      <c r="AF585" t="s">
        <v>146</v>
      </c>
      <c r="AG585" t="s">
        <v>2445</v>
      </c>
      <c r="AH585" t="s">
        <v>2451</v>
      </c>
      <c r="AI585" t="s">
        <v>90</v>
      </c>
      <c r="AJ585">
        <v>32.441257</v>
      </c>
      <c r="AK585">
        <v>-110.78762</v>
      </c>
      <c r="AL585">
        <v>15</v>
      </c>
      <c r="AN585">
        <v>2774</v>
      </c>
      <c r="AP585">
        <v>2774</v>
      </c>
      <c r="AQ585">
        <v>2788.5512319999998</v>
      </c>
      <c r="AT585">
        <v>9</v>
      </c>
      <c r="AU585">
        <v>9</v>
      </c>
      <c r="AV585">
        <v>2022</v>
      </c>
      <c r="AW585">
        <v>2438447</v>
      </c>
      <c r="AX585">
        <v>2438447</v>
      </c>
      <c r="AY585" t="s">
        <v>106</v>
      </c>
      <c r="AZ585" t="s">
        <v>92</v>
      </c>
      <c r="BA585" t="s">
        <v>107</v>
      </c>
      <c r="BB585" t="s">
        <v>2485</v>
      </c>
      <c r="BC585" t="s">
        <v>2245</v>
      </c>
      <c r="BE585" t="s">
        <v>96</v>
      </c>
      <c r="BG585" t="s">
        <v>2246</v>
      </c>
      <c r="BI585" t="s">
        <v>98</v>
      </c>
      <c r="BJ585" t="s">
        <v>2476</v>
      </c>
      <c r="BL585" t="s">
        <v>412</v>
      </c>
    </row>
    <row r="586" spans="1:64" hidden="1" x14ac:dyDescent="0.2">
      <c r="A586">
        <v>901</v>
      </c>
      <c r="B586">
        <v>4070420322</v>
      </c>
      <c r="C586" t="s">
        <v>101</v>
      </c>
      <c r="D586" t="s">
        <v>2914</v>
      </c>
      <c r="E586" t="s">
        <v>65</v>
      </c>
      <c r="F586" t="s">
        <v>66</v>
      </c>
      <c r="G586" t="s">
        <v>67</v>
      </c>
      <c r="H586" t="s">
        <v>68</v>
      </c>
      <c r="I586" t="s">
        <v>176</v>
      </c>
      <c r="J586" t="s">
        <v>177</v>
      </c>
      <c r="K586" t="s">
        <v>178</v>
      </c>
      <c r="M586" t="s">
        <v>72</v>
      </c>
      <c r="N586" t="s">
        <v>179</v>
      </c>
      <c r="O586" t="s">
        <v>178</v>
      </c>
      <c r="P586" t="s">
        <v>180</v>
      </c>
      <c r="Q586" t="s">
        <v>75</v>
      </c>
      <c r="R586" t="s">
        <v>2806</v>
      </c>
      <c r="S586" t="s">
        <v>1075</v>
      </c>
      <c r="T586" t="s">
        <v>78</v>
      </c>
      <c r="U586" t="s">
        <v>1822</v>
      </c>
      <c r="V586" t="s">
        <v>80</v>
      </c>
      <c r="W586" s="1">
        <v>44814</v>
      </c>
      <c r="X586" t="s">
        <v>2778</v>
      </c>
      <c r="Y586" t="s">
        <v>2915</v>
      </c>
      <c r="Z586" t="s">
        <v>83</v>
      </c>
      <c r="AA586">
        <v>1</v>
      </c>
      <c r="AB586" t="s">
        <v>127</v>
      </c>
      <c r="AC586">
        <v>0</v>
      </c>
      <c r="AD586" t="s">
        <v>128</v>
      </c>
      <c r="AE586" t="s">
        <v>1078</v>
      </c>
      <c r="AF586" t="s">
        <v>281</v>
      </c>
      <c r="AI586" t="s">
        <v>90</v>
      </c>
      <c r="AJ586">
        <v>32.453570999999997</v>
      </c>
      <c r="AK586">
        <v>-110.74509500000001</v>
      </c>
      <c r="AL586">
        <v>3</v>
      </c>
      <c r="AN586">
        <v>2197</v>
      </c>
      <c r="AP586">
        <v>2197</v>
      </c>
      <c r="AQ586">
        <v>2209.2185829999999</v>
      </c>
      <c r="AT586">
        <v>10</v>
      </c>
      <c r="AU586">
        <v>9</v>
      </c>
      <c r="AV586">
        <v>2022</v>
      </c>
      <c r="AW586">
        <v>2438038</v>
      </c>
      <c r="AX586">
        <v>2438038</v>
      </c>
      <c r="AY586" t="s">
        <v>106</v>
      </c>
      <c r="AZ586" t="s">
        <v>92</v>
      </c>
      <c r="BA586" t="s">
        <v>107</v>
      </c>
      <c r="BB586" t="s">
        <v>2916</v>
      </c>
      <c r="BC586" t="s">
        <v>2245</v>
      </c>
      <c r="BE586" t="s">
        <v>96</v>
      </c>
      <c r="BG586" t="s">
        <v>2811</v>
      </c>
      <c r="BI586" t="s">
        <v>98</v>
      </c>
      <c r="BJ586" t="s">
        <v>2885</v>
      </c>
      <c r="BL586" t="s">
        <v>412</v>
      </c>
    </row>
    <row r="587" spans="1:64" x14ac:dyDescent="0.2">
      <c r="A587">
        <v>1462</v>
      </c>
      <c r="B587">
        <v>3748770419</v>
      </c>
      <c r="C587" t="s">
        <v>63</v>
      </c>
      <c r="D587" t="s">
        <v>4105</v>
      </c>
      <c r="E587" t="s">
        <v>65</v>
      </c>
      <c r="F587" t="s">
        <v>66</v>
      </c>
      <c r="G587" t="s">
        <v>67</v>
      </c>
      <c r="H587" t="s">
        <v>68</v>
      </c>
      <c r="I587" t="s">
        <v>69</v>
      </c>
      <c r="J587" t="s">
        <v>70</v>
      </c>
      <c r="K587" t="s">
        <v>71</v>
      </c>
      <c r="M587" t="s">
        <v>72</v>
      </c>
      <c r="N587" t="s">
        <v>73</v>
      </c>
      <c r="O587" t="s">
        <v>71</v>
      </c>
      <c r="P587" t="s">
        <v>74</v>
      </c>
      <c r="Q587" t="s">
        <v>75</v>
      </c>
      <c r="R587" t="s">
        <v>4106</v>
      </c>
      <c r="S587" t="s">
        <v>4107</v>
      </c>
      <c r="T587" t="s">
        <v>78</v>
      </c>
      <c r="U587" t="s">
        <v>3817</v>
      </c>
      <c r="V587" t="s">
        <v>80</v>
      </c>
      <c r="W587" s="1">
        <v>44520</v>
      </c>
      <c r="X587" t="s">
        <v>3818</v>
      </c>
      <c r="Y587" t="s">
        <v>4108</v>
      </c>
      <c r="Z587" t="s">
        <v>83</v>
      </c>
      <c r="AA587">
        <v>1</v>
      </c>
      <c r="AB587" t="s">
        <v>4109</v>
      </c>
      <c r="AC587">
        <v>1</v>
      </c>
      <c r="AD587" s="6" t="s">
        <v>85</v>
      </c>
      <c r="AE587" s="6" t="s">
        <v>86</v>
      </c>
      <c r="AF587" s="6" t="s">
        <v>87</v>
      </c>
      <c r="AG587" s="6" t="s">
        <v>1803</v>
      </c>
      <c r="AH587" s="6" t="s">
        <v>4110</v>
      </c>
      <c r="AI587" s="6" t="s">
        <v>90</v>
      </c>
      <c r="AJ587" s="6">
        <v>32.516429000000002</v>
      </c>
      <c r="AK587" s="6">
        <v>-110.68749200000001</v>
      </c>
      <c r="AL587" s="6">
        <v>3</v>
      </c>
      <c r="AM587" s="6"/>
      <c r="AN587" s="6">
        <v>1352</v>
      </c>
      <c r="AO587" s="6"/>
      <c r="AP587" s="6">
        <v>1352</v>
      </c>
      <c r="AQ587" s="6">
        <v>1364.4223999999999</v>
      </c>
      <c r="AR587" s="6"/>
      <c r="AS587" s="6"/>
      <c r="AT587" s="6">
        <v>20</v>
      </c>
      <c r="AU587" s="6">
        <v>11</v>
      </c>
      <c r="AV587" s="6">
        <v>2021</v>
      </c>
      <c r="AW587" s="6">
        <v>2439581</v>
      </c>
      <c r="AX587" s="6">
        <v>2439581</v>
      </c>
      <c r="AY587" s="6" t="s">
        <v>91</v>
      </c>
      <c r="AZ587" t="s">
        <v>92</v>
      </c>
      <c r="BA587" t="s">
        <v>93</v>
      </c>
      <c r="BB587" t="s">
        <v>4111</v>
      </c>
      <c r="BC587" t="s">
        <v>95</v>
      </c>
      <c r="BD587" s="1">
        <v>45126</v>
      </c>
      <c r="BE587" t="s">
        <v>96</v>
      </c>
      <c r="BG587" t="s">
        <v>97</v>
      </c>
      <c r="BI587" t="s">
        <v>98</v>
      </c>
      <c r="BJ587" t="s">
        <v>4112</v>
      </c>
      <c r="BL587" t="s">
        <v>100</v>
      </c>
    </row>
    <row r="588" spans="1:64" hidden="1" x14ac:dyDescent="0.2">
      <c r="A588">
        <v>885</v>
      </c>
      <c r="B588">
        <v>4070420338</v>
      </c>
      <c r="C588" t="s">
        <v>101</v>
      </c>
      <c r="D588" s="2" t="s">
        <v>2502</v>
      </c>
      <c r="E588" t="s">
        <v>65</v>
      </c>
      <c r="F588" t="s">
        <v>66</v>
      </c>
      <c r="G588" t="s">
        <v>67</v>
      </c>
      <c r="H588" t="s">
        <v>68</v>
      </c>
      <c r="I588" t="s">
        <v>176</v>
      </c>
      <c r="J588" t="s">
        <v>177</v>
      </c>
      <c r="K588" t="s">
        <v>1817</v>
      </c>
      <c r="M588" t="s">
        <v>72</v>
      </c>
      <c r="N588" t="s">
        <v>1818</v>
      </c>
      <c r="O588" t="s">
        <v>1817</v>
      </c>
      <c r="P588" t="s">
        <v>1819</v>
      </c>
      <c r="Q588" t="s">
        <v>75</v>
      </c>
      <c r="R588" t="s">
        <v>2238</v>
      </c>
      <c r="S588" t="s">
        <v>2495</v>
      </c>
      <c r="T588" t="s">
        <v>78</v>
      </c>
      <c r="U588" t="s">
        <v>1822</v>
      </c>
      <c r="V588" t="s">
        <v>80</v>
      </c>
      <c r="W588" s="1">
        <v>44813</v>
      </c>
      <c r="X588" t="s">
        <v>1823</v>
      </c>
      <c r="Y588" t="s">
        <v>2496</v>
      </c>
      <c r="Z588" t="s">
        <v>83</v>
      </c>
      <c r="AA588">
        <v>1</v>
      </c>
      <c r="AB588" t="s">
        <v>127</v>
      </c>
      <c r="AD588" t="s">
        <v>139</v>
      </c>
      <c r="AE588" t="s">
        <v>145</v>
      </c>
      <c r="AF588" t="s">
        <v>146</v>
      </c>
      <c r="AG588" t="s">
        <v>2498</v>
      </c>
      <c r="AH588" t="s">
        <v>2503</v>
      </c>
      <c r="AI588" t="s">
        <v>90</v>
      </c>
      <c r="AJ588">
        <v>32.441178000000001</v>
      </c>
      <c r="AK588">
        <v>-110.785135</v>
      </c>
      <c r="AL588">
        <v>15</v>
      </c>
      <c r="AN588">
        <v>2755</v>
      </c>
      <c r="AP588">
        <v>2755</v>
      </c>
      <c r="AQ588">
        <v>2777.9454300000002</v>
      </c>
      <c r="AT588">
        <v>9</v>
      </c>
      <c r="AU588">
        <v>9</v>
      </c>
      <c r="AV588">
        <v>2022</v>
      </c>
      <c r="AW588">
        <v>2437967</v>
      </c>
      <c r="AX588">
        <v>2437967</v>
      </c>
      <c r="AY588" t="s">
        <v>106</v>
      </c>
      <c r="AZ588" t="s">
        <v>92</v>
      </c>
      <c r="BA588" t="s">
        <v>107</v>
      </c>
      <c r="BB588" t="s">
        <v>2504</v>
      </c>
      <c r="BC588" t="s">
        <v>2245</v>
      </c>
      <c r="BE588" t="s">
        <v>96</v>
      </c>
      <c r="BG588" t="s">
        <v>2246</v>
      </c>
      <c r="BI588" t="s">
        <v>98</v>
      </c>
      <c r="BJ588" t="s">
        <v>2505</v>
      </c>
      <c r="BL588" t="s">
        <v>412</v>
      </c>
    </row>
    <row r="589" spans="1:64" hidden="1" x14ac:dyDescent="0.2">
      <c r="A589">
        <v>883</v>
      </c>
      <c r="B589">
        <v>4070420340</v>
      </c>
      <c r="C589" t="s">
        <v>101</v>
      </c>
      <c r="D589" t="s">
        <v>2506</v>
      </c>
      <c r="E589" t="s">
        <v>65</v>
      </c>
      <c r="F589" t="s">
        <v>66</v>
      </c>
      <c r="G589" t="s">
        <v>67</v>
      </c>
      <c r="H589" t="s">
        <v>68</v>
      </c>
      <c r="I589" t="s">
        <v>176</v>
      </c>
      <c r="J589" t="s">
        <v>177</v>
      </c>
      <c r="K589" t="s">
        <v>1817</v>
      </c>
      <c r="M589" t="s">
        <v>72</v>
      </c>
      <c r="N589" t="s">
        <v>1818</v>
      </c>
      <c r="O589" t="s">
        <v>1817</v>
      </c>
      <c r="P589" t="s">
        <v>1819</v>
      </c>
      <c r="Q589" t="s">
        <v>75</v>
      </c>
      <c r="R589" t="s">
        <v>2238</v>
      </c>
      <c r="S589" t="s">
        <v>2495</v>
      </c>
      <c r="T589" t="s">
        <v>78</v>
      </c>
      <c r="U589" t="s">
        <v>1822</v>
      </c>
      <c r="V589" t="s">
        <v>80</v>
      </c>
      <c r="W589" s="1">
        <v>44813</v>
      </c>
      <c r="X589" t="s">
        <v>1823</v>
      </c>
      <c r="Y589" t="s">
        <v>2496</v>
      </c>
      <c r="Z589" t="s">
        <v>83</v>
      </c>
      <c r="AA589">
        <v>1</v>
      </c>
      <c r="AB589" t="s">
        <v>127</v>
      </c>
      <c r="AD589" t="s">
        <v>123</v>
      </c>
      <c r="AE589" t="s">
        <v>145</v>
      </c>
      <c r="AF589" t="s">
        <v>146</v>
      </c>
      <c r="AG589" t="s">
        <v>2498</v>
      </c>
      <c r="AH589" t="s">
        <v>2503</v>
      </c>
      <c r="AI589" t="s">
        <v>90</v>
      </c>
      <c r="AJ589">
        <v>32.441178000000001</v>
      </c>
      <c r="AK589">
        <v>-110.785135</v>
      </c>
      <c r="AL589">
        <v>15</v>
      </c>
      <c r="AN589">
        <v>2755</v>
      </c>
      <c r="AP589">
        <v>2755</v>
      </c>
      <c r="AQ589">
        <v>2777.9454300000002</v>
      </c>
      <c r="AT589">
        <v>9</v>
      </c>
      <c r="AU589">
        <v>9</v>
      </c>
      <c r="AV589">
        <v>2022</v>
      </c>
      <c r="AW589">
        <v>2437967</v>
      </c>
      <c r="AX589">
        <v>2437967</v>
      </c>
      <c r="AY589" t="s">
        <v>106</v>
      </c>
      <c r="AZ589" t="s">
        <v>92</v>
      </c>
      <c r="BA589" t="s">
        <v>107</v>
      </c>
      <c r="BB589" t="s">
        <v>2507</v>
      </c>
      <c r="BC589" t="s">
        <v>2245</v>
      </c>
      <c r="BE589" t="s">
        <v>96</v>
      </c>
      <c r="BG589" t="s">
        <v>2246</v>
      </c>
      <c r="BI589" t="s">
        <v>98</v>
      </c>
      <c r="BJ589" t="s">
        <v>2422</v>
      </c>
      <c r="BL589" t="s">
        <v>412</v>
      </c>
    </row>
    <row r="590" spans="1:64" hidden="1" x14ac:dyDescent="0.2">
      <c r="A590">
        <v>899</v>
      </c>
      <c r="B590">
        <v>4070420324</v>
      </c>
      <c r="C590" t="s">
        <v>101</v>
      </c>
      <c r="D590" t="s">
        <v>2920</v>
      </c>
      <c r="E590" t="s">
        <v>65</v>
      </c>
      <c r="F590" t="s">
        <v>66</v>
      </c>
      <c r="G590" t="s">
        <v>67</v>
      </c>
      <c r="H590" t="s">
        <v>68</v>
      </c>
      <c r="I590" t="s">
        <v>176</v>
      </c>
      <c r="J590" t="s">
        <v>177</v>
      </c>
      <c r="K590" t="s">
        <v>178</v>
      </c>
      <c r="M590" t="s">
        <v>72</v>
      </c>
      <c r="N590" t="s">
        <v>179</v>
      </c>
      <c r="O590" t="s">
        <v>178</v>
      </c>
      <c r="P590" t="s">
        <v>180</v>
      </c>
      <c r="Q590" t="s">
        <v>75</v>
      </c>
      <c r="R590" t="s">
        <v>2806</v>
      </c>
      <c r="S590" t="s">
        <v>2921</v>
      </c>
      <c r="T590" t="s">
        <v>78</v>
      </c>
      <c r="U590" t="s">
        <v>1822</v>
      </c>
      <c r="V590" t="s">
        <v>80</v>
      </c>
      <c r="W590" s="1">
        <v>44814</v>
      </c>
      <c r="X590" t="s">
        <v>2778</v>
      </c>
      <c r="Y590" t="s">
        <v>2922</v>
      </c>
      <c r="Z590" t="s">
        <v>83</v>
      </c>
      <c r="AA590">
        <v>1</v>
      </c>
      <c r="AB590" t="s">
        <v>127</v>
      </c>
      <c r="AC590">
        <v>0</v>
      </c>
      <c r="AD590" t="s">
        <v>128</v>
      </c>
      <c r="AE590" t="s">
        <v>145</v>
      </c>
      <c r="AF590" t="s">
        <v>146</v>
      </c>
      <c r="AI590" t="s">
        <v>90</v>
      </c>
      <c r="AJ590">
        <v>32.453726000000003</v>
      </c>
      <c r="AK590">
        <v>-110.745212</v>
      </c>
      <c r="AL590">
        <v>3</v>
      </c>
      <c r="AN590">
        <v>2195</v>
      </c>
      <c r="AP590">
        <v>2195</v>
      </c>
      <c r="AQ590">
        <v>2211.713835</v>
      </c>
      <c r="AT590">
        <v>10</v>
      </c>
      <c r="AU590">
        <v>9</v>
      </c>
      <c r="AV590">
        <v>2022</v>
      </c>
      <c r="AW590">
        <v>2438038</v>
      </c>
      <c r="AX590">
        <v>2438038</v>
      </c>
      <c r="AY590" t="s">
        <v>106</v>
      </c>
      <c r="AZ590" t="s">
        <v>92</v>
      </c>
      <c r="BA590" t="s">
        <v>107</v>
      </c>
      <c r="BB590" t="s">
        <v>2923</v>
      </c>
      <c r="BC590" t="s">
        <v>2245</v>
      </c>
      <c r="BE590" t="s">
        <v>96</v>
      </c>
      <c r="BG590" t="s">
        <v>2811</v>
      </c>
      <c r="BI590" t="s">
        <v>98</v>
      </c>
      <c r="BJ590" t="s">
        <v>2924</v>
      </c>
      <c r="BL590" t="s">
        <v>412</v>
      </c>
    </row>
    <row r="591" spans="1:64" x14ac:dyDescent="0.2">
      <c r="A591">
        <v>1460</v>
      </c>
      <c r="B591">
        <v>3748770421</v>
      </c>
      <c r="C591" t="s">
        <v>63</v>
      </c>
      <c r="D591" t="s">
        <v>4136</v>
      </c>
      <c r="E591" t="s">
        <v>65</v>
      </c>
      <c r="F591" t="s">
        <v>66</v>
      </c>
      <c r="G591" t="s">
        <v>67</v>
      </c>
      <c r="H591" t="s">
        <v>68</v>
      </c>
      <c r="I591" t="s">
        <v>69</v>
      </c>
      <c r="J591" t="s">
        <v>70</v>
      </c>
      <c r="K591" t="s">
        <v>71</v>
      </c>
      <c r="M591" t="s">
        <v>72</v>
      </c>
      <c r="N591" t="s">
        <v>73</v>
      </c>
      <c r="O591" t="s">
        <v>71</v>
      </c>
      <c r="P591" t="s">
        <v>74</v>
      </c>
      <c r="Q591" t="s">
        <v>75</v>
      </c>
      <c r="R591" t="s">
        <v>3816</v>
      </c>
      <c r="S591" t="s">
        <v>4137</v>
      </c>
      <c r="T591" t="s">
        <v>78</v>
      </c>
      <c r="U591" t="s">
        <v>3817</v>
      </c>
      <c r="V591" t="s">
        <v>80</v>
      </c>
      <c r="W591" s="1">
        <v>44520</v>
      </c>
      <c r="X591" t="s">
        <v>3818</v>
      </c>
      <c r="Y591" t="s">
        <v>4138</v>
      </c>
      <c r="Z591" t="s">
        <v>83</v>
      </c>
      <c r="AA591">
        <v>1</v>
      </c>
      <c r="AB591" t="s">
        <v>4139</v>
      </c>
      <c r="AC591">
        <v>1</v>
      </c>
      <c r="AD591" s="6" t="s">
        <v>85</v>
      </c>
      <c r="AE591" s="6" t="s">
        <v>86</v>
      </c>
      <c r="AF591" s="6" t="s">
        <v>146</v>
      </c>
      <c r="AG591" s="6" t="s">
        <v>4140</v>
      </c>
      <c r="AH591" s="6" t="s">
        <v>4141</v>
      </c>
      <c r="AI591" s="6" t="s">
        <v>90</v>
      </c>
      <c r="AJ591" s="6">
        <v>32.516061999999998</v>
      </c>
      <c r="AK591" s="6">
        <v>-110.688182</v>
      </c>
      <c r="AL591" s="6">
        <v>3</v>
      </c>
      <c r="AM591" s="6"/>
      <c r="AN591" s="6">
        <v>1357</v>
      </c>
      <c r="AO591" s="6"/>
      <c r="AP591" s="6">
        <v>1357</v>
      </c>
      <c r="AQ591" s="6">
        <v>1364.453763</v>
      </c>
      <c r="AR591" s="6"/>
      <c r="AS591" s="6"/>
      <c r="AT591" s="6">
        <v>20</v>
      </c>
      <c r="AU591" s="6">
        <v>11</v>
      </c>
      <c r="AV591" s="6">
        <v>2021</v>
      </c>
      <c r="AW591" s="6">
        <v>2439581</v>
      </c>
      <c r="AX591" s="6">
        <v>2439581</v>
      </c>
      <c r="AY591" s="6" t="s">
        <v>91</v>
      </c>
      <c r="AZ591" t="s">
        <v>92</v>
      </c>
      <c r="BA591" t="s">
        <v>93</v>
      </c>
      <c r="BB591" t="s">
        <v>4142</v>
      </c>
      <c r="BC591" t="s">
        <v>97</v>
      </c>
      <c r="BE591" t="s">
        <v>96</v>
      </c>
      <c r="BG591" t="s">
        <v>97</v>
      </c>
      <c r="BI591" t="s">
        <v>98</v>
      </c>
      <c r="BJ591" t="s">
        <v>3900</v>
      </c>
      <c r="BL591" t="s">
        <v>100</v>
      </c>
    </row>
    <row r="592" spans="1:64" hidden="1" x14ac:dyDescent="0.2">
      <c r="A592">
        <v>818</v>
      </c>
      <c r="B592">
        <v>4070420405</v>
      </c>
      <c r="C592" t="s">
        <v>101</v>
      </c>
      <c r="D592" t="s">
        <v>2515</v>
      </c>
      <c r="E592" t="s">
        <v>65</v>
      </c>
      <c r="F592" t="s">
        <v>66</v>
      </c>
      <c r="G592" t="s">
        <v>67</v>
      </c>
      <c r="H592" t="s">
        <v>68</v>
      </c>
      <c r="I592" t="s">
        <v>176</v>
      </c>
      <c r="J592" t="s">
        <v>177</v>
      </c>
      <c r="K592" t="s">
        <v>1817</v>
      </c>
      <c r="M592" t="s">
        <v>72</v>
      </c>
      <c r="N592" t="s">
        <v>1818</v>
      </c>
      <c r="O592" t="s">
        <v>1817</v>
      </c>
      <c r="P592" t="s">
        <v>1819</v>
      </c>
      <c r="Q592" t="s">
        <v>75</v>
      </c>
      <c r="R592" t="s">
        <v>2238</v>
      </c>
      <c r="S592" t="s">
        <v>2495</v>
      </c>
      <c r="T592" t="s">
        <v>78</v>
      </c>
      <c r="U592" t="s">
        <v>1822</v>
      </c>
      <c r="V592" t="s">
        <v>80</v>
      </c>
      <c r="W592" s="1">
        <v>44813</v>
      </c>
      <c r="X592" t="s">
        <v>1823</v>
      </c>
      <c r="Y592" t="s">
        <v>2496</v>
      </c>
      <c r="Z592" t="s">
        <v>83</v>
      </c>
      <c r="AA592">
        <v>1</v>
      </c>
      <c r="AB592" t="s">
        <v>103</v>
      </c>
      <c r="AD592" t="s">
        <v>112</v>
      </c>
      <c r="AE592" t="s">
        <v>145</v>
      </c>
      <c r="AF592" t="s">
        <v>146</v>
      </c>
      <c r="AG592" t="s">
        <v>2498</v>
      </c>
      <c r="AH592" t="s">
        <v>2503</v>
      </c>
      <c r="AI592" t="s">
        <v>90</v>
      </c>
      <c r="AJ592">
        <v>32.441178000000001</v>
      </c>
      <c r="AK592">
        <v>-110.785135</v>
      </c>
      <c r="AL592">
        <v>15</v>
      </c>
      <c r="AN592">
        <v>2755</v>
      </c>
      <c r="AP592">
        <v>2755</v>
      </c>
      <c r="AQ592">
        <v>2777.9454300000002</v>
      </c>
      <c r="AT592">
        <v>9</v>
      </c>
      <c r="AU592">
        <v>9</v>
      </c>
      <c r="AV592">
        <v>2022</v>
      </c>
      <c r="AW592">
        <v>2437967</v>
      </c>
      <c r="AX592">
        <v>2437967</v>
      </c>
      <c r="AY592" t="s">
        <v>106</v>
      </c>
      <c r="AZ592" t="s">
        <v>92</v>
      </c>
      <c r="BA592" t="s">
        <v>107</v>
      </c>
      <c r="BB592" t="s">
        <v>2516</v>
      </c>
      <c r="BC592" t="s">
        <v>2245</v>
      </c>
      <c r="BE592" t="s">
        <v>96</v>
      </c>
      <c r="BG592" t="s">
        <v>2246</v>
      </c>
      <c r="BI592" t="s">
        <v>98</v>
      </c>
      <c r="BJ592" t="s">
        <v>2511</v>
      </c>
      <c r="BL592" t="s">
        <v>412</v>
      </c>
    </row>
    <row r="593" spans="1:64" hidden="1" x14ac:dyDescent="0.2">
      <c r="A593">
        <v>754</v>
      </c>
      <c r="B593">
        <v>4070420483</v>
      </c>
      <c r="C593" t="s">
        <v>101</v>
      </c>
      <c r="D593" t="s">
        <v>2517</v>
      </c>
      <c r="E593" t="s">
        <v>65</v>
      </c>
      <c r="F593" t="s">
        <v>66</v>
      </c>
      <c r="G593" t="s">
        <v>67</v>
      </c>
      <c r="H593" t="s">
        <v>68</v>
      </c>
      <c r="I593" t="s">
        <v>176</v>
      </c>
      <c r="J593" t="s">
        <v>177</v>
      </c>
      <c r="K593" t="s">
        <v>1817</v>
      </c>
      <c r="M593" t="s">
        <v>72</v>
      </c>
      <c r="N593" t="s">
        <v>1818</v>
      </c>
      <c r="O593" t="s">
        <v>1817</v>
      </c>
      <c r="P593" t="s">
        <v>1819</v>
      </c>
      <c r="Q593" t="s">
        <v>75</v>
      </c>
      <c r="R593" t="s">
        <v>2238</v>
      </c>
      <c r="S593" t="s">
        <v>2495</v>
      </c>
      <c r="T593" t="s">
        <v>78</v>
      </c>
      <c r="U593" t="s">
        <v>1822</v>
      </c>
      <c r="V593" t="s">
        <v>80</v>
      </c>
      <c r="W593" s="1">
        <v>44813</v>
      </c>
      <c r="X593" t="s">
        <v>1823</v>
      </c>
      <c r="Y593" t="s">
        <v>2496</v>
      </c>
      <c r="Z593" t="s">
        <v>83</v>
      </c>
      <c r="AA593">
        <v>1</v>
      </c>
      <c r="AB593" t="s">
        <v>103</v>
      </c>
      <c r="AD593" t="s">
        <v>116</v>
      </c>
      <c r="AE593" t="s">
        <v>145</v>
      </c>
      <c r="AF593" t="s">
        <v>146</v>
      </c>
      <c r="AG593" t="s">
        <v>2498</v>
      </c>
      <c r="AH593" t="s">
        <v>2503</v>
      </c>
      <c r="AI593" t="s">
        <v>90</v>
      </c>
      <c r="AJ593">
        <v>32.441178000000001</v>
      </c>
      <c r="AK593">
        <v>-110.785135</v>
      </c>
      <c r="AL593">
        <v>15</v>
      </c>
      <c r="AN593">
        <v>2755</v>
      </c>
      <c r="AP593">
        <v>2755</v>
      </c>
      <c r="AQ593">
        <v>2777.9454300000002</v>
      </c>
      <c r="AT593">
        <v>9</v>
      </c>
      <c r="AU593">
        <v>9</v>
      </c>
      <c r="AV593">
        <v>2022</v>
      </c>
      <c r="AW593">
        <v>2437967</v>
      </c>
      <c r="AX593">
        <v>2437967</v>
      </c>
      <c r="AY593" t="s">
        <v>106</v>
      </c>
      <c r="AZ593" t="s">
        <v>92</v>
      </c>
      <c r="BA593" t="s">
        <v>107</v>
      </c>
      <c r="BB593" t="s">
        <v>2518</v>
      </c>
      <c r="BC593" t="s">
        <v>2245</v>
      </c>
      <c r="BE593" t="s">
        <v>96</v>
      </c>
      <c r="BG593" t="s">
        <v>2246</v>
      </c>
      <c r="BI593" t="s">
        <v>98</v>
      </c>
      <c r="BJ593" t="s">
        <v>2387</v>
      </c>
      <c r="BL593" t="s">
        <v>412</v>
      </c>
    </row>
    <row r="594" spans="1:64" hidden="1" x14ac:dyDescent="0.2">
      <c r="A594">
        <v>670</v>
      </c>
      <c r="B594">
        <v>4070420567</v>
      </c>
      <c r="C594" t="s">
        <v>101</v>
      </c>
      <c r="D594" t="s">
        <v>2519</v>
      </c>
      <c r="E594" t="s">
        <v>65</v>
      </c>
      <c r="F594" t="s">
        <v>66</v>
      </c>
      <c r="G594" t="s">
        <v>67</v>
      </c>
      <c r="H594" t="s">
        <v>68</v>
      </c>
      <c r="I594" t="s">
        <v>176</v>
      </c>
      <c r="J594" t="s">
        <v>177</v>
      </c>
      <c r="K594" t="s">
        <v>1817</v>
      </c>
      <c r="M594" t="s">
        <v>72</v>
      </c>
      <c r="N594" t="s">
        <v>1818</v>
      </c>
      <c r="O594" t="s">
        <v>1817</v>
      </c>
      <c r="P594" t="s">
        <v>1819</v>
      </c>
      <c r="Q594" t="s">
        <v>75</v>
      </c>
      <c r="R594" t="s">
        <v>2238</v>
      </c>
      <c r="S594" t="s">
        <v>2495</v>
      </c>
      <c r="T594" t="s">
        <v>78</v>
      </c>
      <c r="U594" t="s">
        <v>1822</v>
      </c>
      <c r="V594" t="s">
        <v>80</v>
      </c>
      <c r="W594" s="1">
        <v>44813</v>
      </c>
      <c r="X594" t="s">
        <v>1823</v>
      </c>
      <c r="Y594" t="s">
        <v>2496</v>
      </c>
      <c r="Z594" t="s">
        <v>83</v>
      </c>
      <c r="AA594">
        <v>1</v>
      </c>
      <c r="AB594" t="s">
        <v>2262</v>
      </c>
      <c r="AD594" t="s">
        <v>134</v>
      </c>
      <c r="AE594" t="s">
        <v>145</v>
      </c>
      <c r="AF594" t="s">
        <v>146</v>
      </c>
      <c r="AG594" t="s">
        <v>2498</v>
      </c>
      <c r="AH594" t="s">
        <v>2520</v>
      </c>
      <c r="AI594" t="s">
        <v>90</v>
      </c>
      <c r="AJ594">
        <v>32.441178000000001</v>
      </c>
      <c r="AK594">
        <v>-110.785135</v>
      </c>
      <c r="AL594">
        <v>15</v>
      </c>
      <c r="AN594">
        <v>2755</v>
      </c>
      <c r="AP594">
        <v>2755</v>
      </c>
      <c r="AQ594">
        <v>2777.9454300000002</v>
      </c>
      <c r="AT594">
        <v>9</v>
      </c>
      <c r="AU594">
        <v>9</v>
      </c>
      <c r="AV594">
        <v>2022</v>
      </c>
      <c r="AW594">
        <v>2437967</v>
      </c>
      <c r="AX594">
        <v>2437967</v>
      </c>
      <c r="AY594" t="s">
        <v>106</v>
      </c>
      <c r="AZ594" t="s">
        <v>92</v>
      </c>
      <c r="BA594" t="s">
        <v>107</v>
      </c>
      <c r="BB594" t="s">
        <v>2521</v>
      </c>
      <c r="BC594" t="s">
        <v>2245</v>
      </c>
      <c r="BE594" t="s">
        <v>96</v>
      </c>
      <c r="BG594" t="s">
        <v>2246</v>
      </c>
      <c r="BI594" t="s">
        <v>98</v>
      </c>
      <c r="BJ594" t="s">
        <v>2522</v>
      </c>
      <c r="BL594" t="s">
        <v>412</v>
      </c>
    </row>
    <row r="595" spans="1:64" hidden="1" x14ac:dyDescent="0.2">
      <c r="A595">
        <v>717</v>
      </c>
      <c r="B595">
        <v>4070420520</v>
      </c>
      <c r="C595" t="s">
        <v>101</v>
      </c>
      <c r="D595" t="s">
        <v>2523</v>
      </c>
      <c r="E595" t="s">
        <v>65</v>
      </c>
      <c r="F595" t="s">
        <v>66</v>
      </c>
      <c r="G595" t="s">
        <v>67</v>
      </c>
      <c r="H595" t="s">
        <v>68</v>
      </c>
      <c r="I595" t="s">
        <v>176</v>
      </c>
      <c r="J595" t="s">
        <v>177</v>
      </c>
      <c r="K595" t="s">
        <v>1817</v>
      </c>
      <c r="M595" t="s">
        <v>72</v>
      </c>
      <c r="N595" t="s">
        <v>1818</v>
      </c>
      <c r="O595" t="s">
        <v>1817</v>
      </c>
      <c r="P595" t="s">
        <v>1819</v>
      </c>
      <c r="Q595" t="s">
        <v>75</v>
      </c>
      <c r="R595" t="s">
        <v>2238</v>
      </c>
      <c r="S595" t="s">
        <v>2495</v>
      </c>
      <c r="T595" t="s">
        <v>78</v>
      </c>
      <c r="U595" t="s">
        <v>1822</v>
      </c>
      <c r="V595" t="s">
        <v>80</v>
      </c>
      <c r="W595" s="1">
        <v>44813</v>
      </c>
      <c r="X595" t="s">
        <v>1823</v>
      </c>
      <c r="Y595" t="s">
        <v>2496</v>
      </c>
      <c r="Z595" t="s">
        <v>83</v>
      </c>
      <c r="AA595">
        <v>1</v>
      </c>
      <c r="AB595" t="s">
        <v>103</v>
      </c>
      <c r="AD595" t="s">
        <v>104</v>
      </c>
      <c r="AE595" t="s">
        <v>145</v>
      </c>
      <c r="AF595" t="s">
        <v>146</v>
      </c>
      <c r="AG595" t="s">
        <v>2498</v>
      </c>
      <c r="AH595" t="s">
        <v>2503</v>
      </c>
      <c r="AI595" t="s">
        <v>90</v>
      </c>
      <c r="AJ595">
        <v>32.441178000000001</v>
      </c>
      <c r="AK595">
        <v>-110.785135</v>
      </c>
      <c r="AL595">
        <v>15</v>
      </c>
      <c r="AN595">
        <v>2755</v>
      </c>
      <c r="AP595">
        <v>2755</v>
      </c>
      <c r="AQ595">
        <v>2777.9454300000002</v>
      </c>
      <c r="AT595">
        <v>9</v>
      </c>
      <c r="AU595">
        <v>9</v>
      </c>
      <c r="AV595">
        <v>2022</v>
      </c>
      <c r="AW595">
        <v>2437967</v>
      </c>
      <c r="AX595">
        <v>2437967</v>
      </c>
      <c r="AY595" t="s">
        <v>106</v>
      </c>
      <c r="AZ595" t="s">
        <v>92</v>
      </c>
      <c r="BA595" t="s">
        <v>107</v>
      </c>
      <c r="BB595" t="s">
        <v>2524</v>
      </c>
      <c r="BC595" t="s">
        <v>2245</v>
      </c>
      <c r="BE595" t="s">
        <v>96</v>
      </c>
      <c r="BG595" t="s">
        <v>2246</v>
      </c>
      <c r="BI595" t="s">
        <v>98</v>
      </c>
      <c r="BJ595" t="s">
        <v>2493</v>
      </c>
      <c r="BL595" t="s">
        <v>412</v>
      </c>
    </row>
    <row r="596" spans="1:64" hidden="1" x14ac:dyDescent="0.2">
      <c r="A596">
        <v>908</v>
      </c>
      <c r="B596">
        <v>4070420314</v>
      </c>
      <c r="C596" t="s">
        <v>101</v>
      </c>
      <c r="D596" t="s">
        <v>2935</v>
      </c>
      <c r="E596" t="s">
        <v>65</v>
      </c>
      <c r="F596" t="s">
        <v>66</v>
      </c>
      <c r="G596" t="s">
        <v>67</v>
      </c>
      <c r="H596" t="s">
        <v>68</v>
      </c>
      <c r="I596" t="s">
        <v>176</v>
      </c>
      <c r="J596" t="s">
        <v>177</v>
      </c>
      <c r="K596" t="s">
        <v>178</v>
      </c>
      <c r="M596" t="s">
        <v>72</v>
      </c>
      <c r="N596" t="s">
        <v>179</v>
      </c>
      <c r="O596" t="s">
        <v>178</v>
      </c>
      <c r="P596" t="s">
        <v>180</v>
      </c>
      <c r="Q596" t="s">
        <v>75</v>
      </c>
      <c r="R596" t="s">
        <v>2806</v>
      </c>
      <c r="S596" t="s">
        <v>2929</v>
      </c>
      <c r="T596" t="s">
        <v>78</v>
      </c>
      <c r="U596" t="s">
        <v>1822</v>
      </c>
      <c r="V596" t="s">
        <v>80</v>
      </c>
      <c r="W596" s="1">
        <v>44814</v>
      </c>
      <c r="X596" t="s">
        <v>2778</v>
      </c>
      <c r="Y596" t="s">
        <v>2930</v>
      </c>
      <c r="Z596" t="s">
        <v>83</v>
      </c>
      <c r="AA596">
        <v>1</v>
      </c>
      <c r="AB596" t="s">
        <v>127</v>
      </c>
      <c r="AC596">
        <v>0</v>
      </c>
      <c r="AD596" t="s">
        <v>128</v>
      </c>
      <c r="AE596" t="s">
        <v>86</v>
      </c>
      <c r="AF596" t="s">
        <v>281</v>
      </c>
      <c r="AI596" t="s">
        <v>90</v>
      </c>
      <c r="AJ596">
        <v>32.453733999999997</v>
      </c>
      <c r="AK596">
        <v>-110.745186</v>
      </c>
      <c r="AL596">
        <v>3</v>
      </c>
      <c r="AN596">
        <v>2195</v>
      </c>
      <c r="AP596">
        <v>2195</v>
      </c>
      <c r="AQ596">
        <v>2210.772121</v>
      </c>
      <c r="AT596">
        <v>10</v>
      </c>
      <c r="AU596">
        <v>9</v>
      </c>
      <c r="AV596">
        <v>2022</v>
      </c>
      <c r="AW596">
        <v>2438038</v>
      </c>
      <c r="AX596">
        <v>2438038</v>
      </c>
      <c r="AY596" t="s">
        <v>106</v>
      </c>
      <c r="AZ596" t="s">
        <v>92</v>
      </c>
      <c r="BA596" t="s">
        <v>107</v>
      </c>
      <c r="BB596" t="s">
        <v>2936</v>
      </c>
      <c r="BC596" t="s">
        <v>2245</v>
      </c>
      <c r="BE596" t="s">
        <v>96</v>
      </c>
      <c r="BG596" t="s">
        <v>2811</v>
      </c>
      <c r="BI596" t="s">
        <v>98</v>
      </c>
      <c r="BJ596" t="s">
        <v>2885</v>
      </c>
      <c r="BL596" t="s">
        <v>412</v>
      </c>
    </row>
    <row r="597" spans="1:64" hidden="1" x14ac:dyDescent="0.2">
      <c r="A597">
        <v>814</v>
      </c>
      <c r="B597">
        <v>4070420409</v>
      </c>
      <c r="C597" t="s">
        <v>101</v>
      </c>
      <c r="D597" t="s">
        <v>2529</v>
      </c>
      <c r="E597" t="s">
        <v>65</v>
      </c>
      <c r="F597" t="s">
        <v>66</v>
      </c>
      <c r="G597" t="s">
        <v>67</v>
      </c>
      <c r="H597" t="s">
        <v>68</v>
      </c>
      <c r="I597" t="s">
        <v>350</v>
      </c>
      <c r="J597" t="s">
        <v>351</v>
      </c>
      <c r="K597" t="s">
        <v>352</v>
      </c>
      <c r="M597" t="s">
        <v>72</v>
      </c>
      <c r="N597" t="s">
        <v>353</v>
      </c>
      <c r="O597" t="s">
        <v>352</v>
      </c>
      <c r="P597" t="s">
        <v>180</v>
      </c>
      <c r="Q597" t="s">
        <v>75</v>
      </c>
      <c r="R597" t="s">
        <v>2238</v>
      </c>
      <c r="S597" t="s">
        <v>2526</v>
      </c>
      <c r="T597" t="s">
        <v>78</v>
      </c>
      <c r="U597" t="s">
        <v>1822</v>
      </c>
      <c r="V597" t="s">
        <v>80</v>
      </c>
      <c r="W597" s="1">
        <v>44813</v>
      </c>
      <c r="X597" t="s">
        <v>1823</v>
      </c>
      <c r="Y597" t="s">
        <v>2527</v>
      </c>
      <c r="Z597" t="s">
        <v>83</v>
      </c>
      <c r="AA597">
        <v>1</v>
      </c>
      <c r="AB597" t="s">
        <v>103</v>
      </c>
      <c r="AD597" t="s">
        <v>343</v>
      </c>
      <c r="AE597" t="s">
        <v>86</v>
      </c>
      <c r="AF597" t="s">
        <v>146</v>
      </c>
      <c r="AI597" t="s">
        <v>90</v>
      </c>
      <c r="AJ597">
        <v>32.441271999999998</v>
      </c>
      <c r="AK597">
        <v>-110.78746</v>
      </c>
      <c r="AL597">
        <v>15</v>
      </c>
      <c r="AN597">
        <v>2773</v>
      </c>
      <c r="AP597">
        <v>2773</v>
      </c>
      <c r="AQ597">
        <v>2787.2139900000002</v>
      </c>
      <c r="AT597">
        <v>9</v>
      </c>
      <c r="AU597">
        <v>9</v>
      </c>
      <c r="AV597">
        <v>2022</v>
      </c>
      <c r="AW597">
        <v>4972385</v>
      </c>
      <c r="AX597">
        <v>2437431</v>
      </c>
      <c r="AY597" t="s">
        <v>106</v>
      </c>
      <c r="AZ597" t="s">
        <v>92</v>
      </c>
      <c r="BA597" t="s">
        <v>107</v>
      </c>
      <c r="BB597" t="s">
        <v>2530</v>
      </c>
      <c r="BC597" t="s">
        <v>2245</v>
      </c>
      <c r="BE597" t="s">
        <v>96</v>
      </c>
      <c r="BG597" t="s">
        <v>2246</v>
      </c>
      <c r="BI597" t="s">
        <v>98</v>
      </c>
      <c r="BJ597" t="s">
        <v>2511</v>
      </c>
      <c r="BL597" t="s">
        <v>412</v>
      </c>
    </row>
    <row r="598" spans="1:64" hidden="1" x14ac:dyDescent="0.2">
      <c r="A598">
        <v>832</v>
      </c>
      <c r="B598">
        <v>4070420391</v>
      </c>
      <c r="C598" t="s">
        <v>101</v>
      </c>
      <c r="D598" t="s">
        <v>2538</v>
      </c>
      <c r="E598" t="s">
        <v>65</v>
      </c>
      <c r="F598" t="s">
        <v>66</v>
      </c>
      <c r="G598" t="s">
        <v>67</v>
      </c>
      <c r="H598" t="s">
        <v>68</v>
      </c>
      <c r="I598" t="s">
        <v>176</v>
      </c>
      <c r="J598" t="s">
        <v>177</v>
      </c>
      <c r="K598" t="s">
        <v>1817</v>
      </c>
      <c r="M598" t="s">
        <v>72</v>
      </c>
      <c r="N598" t="s">
        <v>1818</v>
      </c>
      <c r="O598" t="s">
        <v>1817</v>
      </c>
      <c r="P598" t="s">
        <v>1819</v>
      </c>
      <c r="Q598" t="s">
        <v>75</v>
      </c>
      <c r="R598" t="s">
        <v>2238</v>
      </c>
      <c r="S598" t="s">
        <v>2532</v>
      </c>
      <c r="T598" t="s">
        <v>78</v>
      </c>
      <c r="U598" t="s">
        <v>1822</v>
      </c>
      <c r="V598" t="s">
        <v>80</v>
      </c>
      <c r="W598" s="1">
        <v>44813</v>
      </c>
      <c r="X598" t="s">
        <v>1823</v>
      </c>
      <c r="Y598" t="s">
        <v>2533</v>
      </c>
      <c r="Z598" t="s">
        <v>83</v>
      </c>
      <c r="AA598">
        <v>1</v>
      </c>
      <c r="AB598" t="s">
        <v>127</v>
      </c>
      <c r="AD598" t="s">
        <v>139</v>
      </c>
      <c r="AE598" t="s">
        <v>145</v>
      </c>
      <c r="AF598" t="s">
        <v>146</v>
      </c>
      <c r="AG598" t="s">
        <v>344</v>
      </c>
      <c r="AH598" t="s">
        <v>2539</v>
      </c>
      <c r="AI598" t="s">
        <v>90</v>
      </c>
      <c r="AJ598">
        <v>32.441161000000001</v>
      </c>
      <c r="AK598">
        <v>-110.78694400000001</v>
      </c>
      <c r="AL598">
        <v>15</v>
      </c>
      <c r="AN598">
        <v>2766</v>
      </c>
      <c r="AP598">
        <v>2766</v>
      </c>
      <c r="AQ598">
        <v>2787.5583999999999</v>
      </c>
      <c r="AT598">
        <v>9</v>
      </c>
      <c r="AU598">
        <v>9</v>
      </c>
      <c r="AV598">
        <v>2022</v>
      </c>
      <c r="AW598">
        <v>2437967</v>
      </c>
      <c r="AX598">
        <v>2437967</v>
      </c>
      <c r="AY598" t="s">
        <v>106</v>
      </c>
      <c r="AZ598" t="s">
        <v>92</v>
      </c>
      <c r="BA598" t="s">
        <v>107</v>
      </c>
      <c r="BB598" t="s">
        <v>2540</v>
      </c>
      <c r="BC598" t="s">
        <v>2245</v>
      </c>
      <c r="BE598" t="s">
        <v>96</v>
      </c>
      <c r="BG598" t="s">
        <v>2246</v>
      </c>
      <c r="BI598" t="s">
        <v>98</v>
      </c>
      <c r="BJ598" t="s">
        <v>2541</v>
      </c>
      <c r="BL598" t="s">
        <v>412</v>
      </c>
    </row>
    <row r="599" spans="1:64" hidden="1" x14ac:dyDescent="0.2">
      <c r="A599">
        <v>830</v>
      </c>
      <c r="B599">
        <v>4070420393</v>
      </c>
      <c r="C599" t="s">
        <v>101</v>
      </c>
      <c r="D599" t="s">
        <v>2542</v>
      </c>
      <c r="E599" t="s">
        <v>65</v>
      </c>
      <c r="F599" t="s">
        <v>66</v>
      </c>
      <c r="G599" t="s">
        <v>67</v>
      </c>
      <c r="H599" t="s">
        <v>68</v>
      </c>
      <c r="I599" t="s">
        <v>176</v>
      </c>
      <c r="J599" t="s">
        <v>177</v>
      </c>
      <c r="K599" t="s">
        <v>1817</v>
      </c>
      <c r="M599" t="s">
        <v>72</v>
      </c>
      <c r="N599" t="s">
        <v>1818</v>
      </c>
      <c r="O599" t="s">
        <v>1817</v>
      </c>
      <c r="P599" t="s">
        <v>1819</v>
      </c>
      <c r="Q599" t="s">
        <v>75</v>
      </c>
      <c r="R599" t="s">
        <v>2238</v>
      </c>
      <c r="S599" t="s">
        <v>2532</v>
      </c>
      <c r="T599" t="s">
        <v>78</v>
      </c>
      <c r="U599" t="s">
        <v>1822</v>
      </c>
      <c r="V599" t="s">
        <v>80</v>
      </c>
      <c r="W599" s="1">
        <v>44813</v>
      </c>
      <c r="X599" t="s">
        <v>1823</v>
      </c>
      <c r="Y599" t="s">
        <v>2533</v>
      </c>
      <c r="Z599" t="s">
        <v>83</v>
      </c>
      <c r="AA599">
        <v>1</v>
      </c>
      <c r="AB599" t="s">
        <v>127</v>
      </c>
      <c r="AD599" t="s">
        <v>123</v>
      </c>
      <c r="AE599" t="s">
        <v>145</v>
      </c>
      <c r="AF599" t="s">
        <v>146</v>
      </c>
      <c r="AG599" t="s">
        <v>344</v>
      </c>
      <c r="AH599" t="s">
        <v>2539</v>
      </c>
      <c r="AI599" t="s">
        <v>90</v>
      </c>
      <c r="AJ599">
        <v>32.441161000000001</v>
      </c>
      <c r="AK599">
        <v>-110.78694400000001</v>
      </c>
      <c r="AL599">
        <v>15</v>
      </c>
      <c r="AN599">
        <v>2766</v>
      </c>
      <c r="AP599">
        <v>2766</v>
      </c>
      <c r="AQ599">
        <v>2787.5583999999999</v>
      </c>
      <c r="AT599">
        <v>9</v>
      </c>
      <c r="AU599">
        <v>9</v>
      </c>
      <c r="AV599">
        <v>2022</v>
      </c>
      <c r="AW599">
        <v>2437967</v>
      </c>
      <c r="AX599">
        <v>2437967</v>
      </c>
      <c r="AY599" t="s">
        <v>106</v>
      </c>
      <c r="AZ599" t="s">
        <v>92</v>
      </c>
      <c r="BA599" t="s">
        <v>107</v>
      </c>
      <c r="BB599" t="s">
        <v>2543</v>
      </c>
      <c r="BC599" t="s">
        <v>2245</v>
      </c>
      <c r="BE599" t="s">
        <v>96</v>
      </c>
      <c r="BG599" t="s">
        <v>2246</v>
      </c>
      <c r="BI599" t="s">
        <v>98</v>
      </c>
      <c r="BJ599" t="s">
        <v>2541</v>
      </c>
      <c r="BL599" t="s">
        <v>412</v>
      </c>
    </row>
    <row r="600" spans="1:64" hidden="1" x14ac:dyDescent="0.2">
      <c r="A600">
        <v>906</v>
      </c>
      <c r="B600">
        <v>4070420316</v>
      </c>
      <c r="C600" t="s">
        <v>101</v>
      </c>
      <c r="D600" t="s">
        <v>2937</v>
      </c>
      <c r="E600" t="s">
        <v>65</v>
      </c>
      <c r="F600" t="s">
        <v>66</v>
      </c>
      <c r="G600" t="s">
        <v>67</v>
      </c>
      <c r="H600" t="s">
        <v>68</v>
      </c>
      <c r="I600" t="s">
        <v>176</v>
      </c>
      <c r="J600" t="s">
        <v>177</v>
      </c>
      <c r="K600" t="s">
        <v>178</v>
      </c>
      <c r="M600" t="s">
        <v>72</v>
      </c>
      <c r="N600" t="s">
        <v>179</v>
      </c>
      <c r="O600" t="s">
        <v>178</v>
      </c>
      <c r="P600" t="s">
        <v>180</v>
      </c>
      <c r="Q600" t="s">
        <v>75</v>
      </c>
      <c r="R600" t="s">
        <v>2806</v>
      </c>
      <c r="S600" t="s">
        <v>815</v>
      </c>
      <c r="T600" t="s">
        <v>78</v>
      </c>
      <c r="U600" t="s">
        <v>1822</v>
      </c>
      <c r="V600" t="s">
        <v>80</v>
      </c>
      <c r="W600" s="1">
        <v>44814</v>
      </c>
      <c r="X600" t="s">
        <v>2778</v>
      </c>
      <c r="Y600" t="s">
        <v>2938</v>
      </c>
      <c r="Z600" t="s">
        <v>83</v>
      </c>
      <c r="AA600">
        <v>1</v>
      </c>
      <c r="AB600" t="s">
        <v>127</v>
      </c>
      <c r="AC600">
        <v>0</v>
      </c>
      <c r="AD600" t="s">
        <v>128</v>
      </c>
      <c r="AE600" t="s">
        <v>145</v>
      </c>
      <c r="AF600" t="s">
        <v>146</v>
      </c>
      <c r="AI600" t="s">
        <v>90</v>
      </c>
      <c r="AJ600">
        <v>32.452944000000002</v>
      </c>
      <c r="AK600">
        <v>-110.746416</v>
      </c>
      <c r="AL600">
        <v>3</v>
      </c>
      <c r="AN600">
        <v>2219</v>
      </c>
      <c r="AP600">
        <v>2219</v>
      </c>
      <c r="AQ600">
        <v>2233.2087879999999</v>
      </c>
      <c r="AT600">
        <v>10</v>
      </c>
      <c r="AU600">
        <v>9</v>
      </c>
      <c r="AV600">
        <v>2022</v>
      </c>
      <c r="AW600">
        <v>2438038</v>
      </c>
      <c r="AX600">
        <v>2438038</v>
      </c>
      <c r="AY600" t="s">
        <v>106</v>
      </c>
      <c r="AZ600" t="s">
        <v>92</v>
      </c>
      <c r="BA600" t="s">
        <v>107</v>
      </c>
      <c r="BB600" t="s">
        <v>2939</v>
      </c>
      <c r="BC600" t="s">
        <v>2245</v>
      </c>
      <c r="BE600" t="s">
        <v>96</v>
      </c>
      <c r="BG600" t="s">
        <v>2811</v>
      </c>
      <c r="BI600" t="s">
        <v>98</v>
      </c>
      <c r="BJ600" t="s">
        <v>2940</v>
      </c>
      <c r="BL600" t="s">
        <v>412</v>
      </c>
    </row>
    <row r="601" spans="1:64" x14ac:dyDescent="0.2">
      <c r="A601">
        <v>1463</v>
      </c>
      <c r="B601">
        <v>3748770418</v>
      </c>
      <c r="C601" t="s">
        <v>63</v>
      </c>
      <c r="D601" t="s">
        <v>4194</v>
      </c>
      <c r="E601" t="s">
        <v>65</v>
      </c>
      <c r="F601" t="s">
        <v>66</v>
      </c>
      <c r="G601" t="s">
        <v>67</v>
      </c>
      <c r="H601" t="s">
        <v>68</v>
      </c>
      <c r="I601" t="s">
        <v>69</v>
      </c>
      <c r="J601" t="s">
        <v>70</v>
      </c>
      <c r="K601" t="s">
        <v>4195</v>
      </c>
      <c r="M601" t="s">
        <v>72</v>
      </c>
      <c r="N601" t="s">
        <v>4196</v>
      </c>
      <c r="O601" t="s">
        <v>4195</v>
      </c>
      <c r="P601" t="s">
        <v>4197</v>
      </c>
      <c r="Q601" t="s">
        <v>75</v>
      </c>
      <c r="R601" t="s">
        <v>3955</v>
      </c>
      <c r="S601" t="s">
        <v>4198</v>
      </c>
      <c r="T601" t="s">
        <v>78</v>
      </c>
      <c r="U601" t="s">
        <v>3817</v>
      </c>
      <c r="V601" t="s">
        <v>80</v>
      </c>
      <c r="W601" s="1">
        <v>44520</v>
      </c>
      <c r="X601" t="s">
        <v>3818</v>
      </c>
      <c r="Y601" t="s">
        <v>4199</v>
      </c>
      <c r="Z601" t="s">
        <v>83</v>
      </c>
      <c r="AA601">
        <v>1</v>
      </c>
      <c r="AB601" t="s">
        <v>4200</v>
      </c>
      <c r="AC601">
        <v>1</v>
      </c>
      <c r="AD601" s="6" t="s">
        <v>85</v>
      </c>
      <c r="AE601" s="6" t="s">
        <v>145</v>
      </c>
      <c r="AF601" s="6" t="s">
        <v>87</v>
      </c>
      <c r="AG601" s="6" t="s">
        <v>4201</v>
      </c>
      <c r="AH601" s="6" t="s">
        <v>4202</v>
      </c>
      <c r="AI601" s="6" t="s">
        <v>90</v>
      </c>
      <c r="AJ601" s="6">
        <v>32.516452000000001</v>
      </c>
      <c r="AK601" s="6">
        <v>-110.68590500000001</v>
      </c>
      <c r="AL601" s="6">
        <v>3</v>
      </c>
      <c r="AM601" s="6"/>
      <c r="AN601" s="6">
        <v>1352</v>
      </c>
      <c r="AO601" s="6"/>
      <c r="AP601" s="6">
        <v>1352</v>
      </c>
      <c r="AQ601" s="6">
        <v>1350.546799</v>
      </c>
      <c r="AR601" s="6"/>
      <c r="AS601" s="6"/>
      <c r="AT601" s="6">
        <v>20</v>
      </c>
      <c r="AU601" s="6">
        <v>11</v>
      </c>
      <c r="AV601" s="6">
        <v>2021</v>
      </c>
      <c r="AW601" s="6">
        <v>2439589</v>
      </c>
      <c r="AX601" s="6">
        <v>2439589</v>
      </c>
      <c r="AY601" s="6" t="s">
        <v>91</v>
      </c>
      <c r="AZ601" t="s">
        <v>92</v>
      </c>
      <c r="BA601" t="s">
        <v>93</v>
      </c>
      <c r="BB601" t="s">
        <v>4203</v>
      </c>
      <c r="BC601" t="s">
        <v>97</v>
      </c>
      <c r="BE601" t="s">
        <v>96</v>
      </c>
      <c r="BG601" t="s">
        <v>97</v>
      </c>
      <c r="BI601" t="s">
        <v>98</v>
      </c>
      <c r="BJ601" t="s">
        <v>187</v>
      </c>
      <c r="BL601" t="s">
        <v>100</v>
      </c>
    </row>
    <row r="602" spans="1:64" hidden="1" x14ac:dyDescent="0.2">
      <c r="A602">
        <v>824</v>
      </c>
      <c r="B602">
        <v>4070420399</v>
      </c>
      <c r="C602" t="s">
        <v>101</v>
      </c>
      <c r="D602" s="2" t="s">
        <v>2551</v>
      </c>
      <c r="E602" t="s">
        <v>65</v>
      </c>
      <c r="F602" t="s">
        <v>66</v>
      </c>
      <c r="G602" t="s">
        <v>67</v>
      </c>
      <c r="H602" t="s">
        <v>68</v>
      </c>
      <c r="I602" t="s">
        <v>176</v>
      </c>
      <c r="J602" t="s">
        <v>177</v>
      </c>
      <c r="K602" t="s">
        <v>1817</v>
      </c>
      <c r="M602" t="s">
        <v>72</v>
      </c>
      <c r="N602" t="s">
        <v>1818</v>
      </c>
      <c r="O602" t="s">
        <v>1817</v>
      </c>
      <c r="P602" t="s">
        <v>1819</v>
      </c>
      <c r="Q602" t="s">
        <v>75</v>
      </c>
      <c r="R602" t="s">
        <v>2238</v>
      </c>
      <c r="S602" t="s">
        <v>2532</v>
      </c>
      <c r="T602" t="s">
        <v>78</v>
      </c>
      <c r="U602" t="s">
        <v>1822</v>
      </c>
      <c r="V602" t="s">
        <v>80</v>
      </c>
      <c r="W602" s="1">
        <v>44813</v>
      </c>
      <c r="X602" t="s">
        <v>1823</v>
      </c>
      <c r="Y602" t="s">
        <v>2533</v>
      </c>
      <c r="Z602" t="s">
        <v>83</v>
      </c>
      <c r="AA602">
        <v>1</v>
      </c>
      <c r="AB602" t="s">
        <v>103</v>
      </c>
      <c r="AD602" t="s">
        <v>112</v>
      </c>
      <c r="AE602" t="s">
        <v>145</v>
      </c>
      <c r="AF602" t="s">
        <v>146</v>
      </c>
      <c r="AG602" t="s">
        <v>344</v>
      </c>
      <c r="AH602" t="s">
        <v>2539</v>
      </c>
      <c r="AI602" t="s">
        <v>90</v>
      </c>
      <c r="AJ602">
        <v>32.441161000000001</v>
      </c>
      <c r="AK602">
        <v>-110.78694400000001</v>
      </c>
      <c r="AL602">
        <v>15</v>
      </c>
      <c r="AN602">
        <v>2766</v>
      </c>
      <c r="AP602">
        <v>2766</v>
      </c>
      <c r="AQ602">
        <v>2787.5583999999999</v>
      </c>
      <c r="AT602">
        <v>9</v>
      </c>
      <c r="AU602">
        <v>9</v>
      </c>
      <c r="AV602">
        <v>2022</v>
      </c>
      <c r="AW602">
        <v>2437967</v>
      </c>
      <c r="AX602">
        <v>2437967</v>
      </c>
      <c r="AY602" t="s">
        <v>106</v>
      </c>
      <c r="AZ602" t="s">
        <v>92</v>
      </c>
      <c r="BA602" t="s">
        <v>107</v>
      </c>
      <c r="BB602" t="s">
        <v>2552</v>
      </c>
      <c r="BC602" t="s">
        <v>2245</v>
      </c>
      <c r="BE602" t="s">
        <v>96</v>
      </c>
      <c r="BG602" t="s">
        <v>2246</v>
      </c>
      <c r="BI602" t="s">
        <v>98</v>
      </c>
      <c r="BJ602" t="s">
        <v>2553</v>
      </c>
      <c r="BL602" t="s">
        <v>412</v>
      </c>
    </row>
    <row r="603" spans="1:64" hidden="1" x14ac:dyDescent="0.2">
      <c r="A603">
        <v>678</v>
      </c>
      <c r="B603">
        <v>4070420559</v>
      </c>
      <c r="C603" t="s">
        <v>101</v>
      </c>
      <c r="D603" t="s">
        <v>2554</v>
      </c>
      <c r="E603" t="s">
        <v>65</v>
      </c>
      <c r="F603" t="s">
        <v>66</v>
      </c>
      <c r="G603" t="s">
        <v>67</v>
      </c>
      <c r="H603" t="s">
        <v>68</v>
      </c>
      <c r="I603" t="s">
        <v>176</v>
      </c>
      <c r="J603" t="s">
        <v>177</v>
      </c>
      <c r="K603" t="s">
        <v>1817</v>
      </c>
      <c r="M603" t="s">
        <v>72</v>
      </c>
      <c r="N603" t="s">
        <v>1818</v>
      </c>
      <c r="O603" t="s">
        <v>1817</v>
      </c>
      <c r="P603" t="s">
        <v>1819</v>
      </c>
      <c r="Q603" t="s">
        <v>75</v>
      </c>
      <c r="R603" t="s">
        <v>2238</v>
      </c>
      <c r="S603" t="s">
        <v>2532</v>
      </c>
      <c r="T603" t="s">
        <v>78</v>
      </c>
      <c r="U603" t="s">
        <v>1822</v>
      </c>
      <c r="V603" t="s">
        <v>80</v>
      </c>
      <c r="W603" s="1">
        <v>44813</v>
      </c>
      <c r="X603" t="s">
        <v>1823</v>
      </c>
      <c r="Y603" t="s">
        <v>2533</v>
      </c>
      <c r="Z603" t="s">
        <v>83</v>
      </c>
      <c r="AA603">
        <v>1</v>
      </c>
      <c r="AB603" t="s">
        <v>103</v>
      </c>
      <c r="AD603" t="s">
        <v>104</v>
      </c>
      <c r="AE603" t="s">
        <v>145</v>
      </c>
      <c r="AF603" t="s">
        <v>146</v>
      </c>
      <c r="AG603" t="s">
        <v>344</v>
      </c>
      <c r="AH603" t="s">
        <v>2539</v>
      </c>
      <c r="AI603" t="s">
        <v>90</v>
      </c>
      <c r="AJ603">
        <v>32.441161000000001</v>
      </c>
      <c r="AK603">
        <v>-110.78694400000001</v>
      </c>
      <c r="AL603">
        <v>15</v>
      </c>
      <c r="AN603">
        <v>2766</v>
      </c>
      <c r="AP603">
        <v>2766</v>
      </c>
      <c r="AQ603">
        <v>2787.5583999999999</v>
      </c>
      <c r="AT603">
        <v>9</v>
      </c>
      <c r="AU603">
        <v>9</v>
      </c>
      <c r="AV603">
        <v>2022</v>
      </c>
      <c r="AW603">
        <v>2437967</v>
      </c>
      <c r="AX603">
        <v>2437967</v>
      </c>
      <c r="AY603" t="s">
        <v>106</v>
      </c>
      <c r="AZ603" t="s">
        <v>92</v>
      </c>
      <c r="BA603" t="s">
        <v>107</v>
      </c>
      <c r="BB603" t="s">
        <v>2555</v>
      </c>
      <c r="BC603" t="s">
        <v>2245</v>
      </c>
      <c r="BE603" t="s">
        <v>96</v>
      </c>
      <c r="BG603" t="s">
        <v>2246</v>
      </c>
      <c r="BI603" t="s">
        <v>98</v>
      </c>
      <c r="BJ603" t="s">
        <v>2556</v>
      </c>
      <c r="BL603" t="s">
        <v>412</v>
      </c>
    </row>
    <row r="604" spans="1:64" hidden="1" x14ac:dyDescent="0.2">
      <c r="A604">
        <v>677</v>
      </c>
      <c r="B604">
        <v>4070420560</v>
      </c>
      <c r="C604" t="s">
        <v>101</v>
      </c>
      <c r="D604" t="s">
        <v>2557</v>
      </c>
      <c r="E604" t="s">
        <v>65</v>
      </c>
      <c r="F604" t="s">
        <v>66</v>
      </c>
      <c r="G604" t="s">
        <v>67</v>
      </c>
      <c r="H604" t="s">
        <v>68</v>
      </c>
      <c r="I604" t="s">
        <v>176</v>
      </c>
      <c r="J604" t="s">
        <v>177</v>
      </c>
      <c r="K604" t="s">
        <v>1817</v>
      </c>
      <c r="M604" t="s">
        <v>72</v>
      </c>
      <c r="N604" t="s">
        <v>1818</v>
      </c>
      <c r="O604" t="s">
        <v>1817</v>
      </c>
      <c r="P604" t="s">
        <v>1819</v>
      </c>
      <c r="Q604" t="s">
        <v>75</v>
      </c>
      <c r="R604" t="s">
        <v>2238</v>
      </c>
      <c r="S604" t="s">
        <v>2532</v>
      </c>
      <c r="T604" t="s">
        <v>78</v>
      </c>
      <c r="U604" t="s">
        <v>1822</v>
      </c>
      <c r="V604" t="s">
        <v>80</v>
      </c>
      <c r="W604" s="1">
        <v>44813</v>
      </c>
      <c r="X604" t="s">
        <v>1823</v>
      </c>
      <c r="Y604" t="s">
        <v>2533</v>
      </c>
      <c r="Z604" t="s">
        <v>83</v>
      </c>
      <c r="AA604">
        <v>1</v>
      </c>
      <c r="AB604" t="s">
        <v>2262</v>
      </c>
      <c r="AD604" t="s">
        <v>134</v>
      </c>
      <c r="AE604" t="s">
        <v>145</v>
      </c>
      <c r="AF604" t="s">
        <v>146</v>
      </c>
      <c r="AG604" t="s">
        <v>344</v>
      </c>
      <c r="AH604" t="s">
        <v>2558</v>
      </c>
      <c r="AI604" t="s">
        <v>90</v>
      </c>
      <c r="AJ604">
        <v>32.441161000000001</v>
      </c>
      <c r="AK604">
        <v>-110.78694400000001</v>
      </c>
      <c r="AL604">
        <v>15</v>
      </c>
      <c r="AN604">
        <v>2766</v>
      </c>
      <c r="AP604">
        <v>2766</v>
      </c>
      <c r="AQ604">
        <v>2787.5583999999999</v>
      </c>
      <c r="AT604">
        <v>9</v>
      </c>
      <c r="AU604">
        <v>9</v>
      </c>
      <c r="AV604">
        <v>2022</v>
      </c>
      <c r="AW604">
        <v>2437967</v>
      </c>
      <c r="AX604">
        <v>2437967</v>
      </c>
      <c r="AY604" t="s">
        <v>106</v>
      </c>
      <c r="AZ604" t="s">
        <v>92</v>
      </c>
      <c r="BA604" t="s">
        <v>107</v>
      </c>
      <c r="BB604" t="s">
        <v>2559</v>
      </c>
      <c r="BC604" t="s">
        <v>2245</v>
      </c>
      <c r="BE604" t="s">
        <v>96</v>
      </c>
      <c r="BG604" t="s">
        <v>2246</v>
      </c>
      <c r="BI604" t="s">
        <v>98</v>
      </c>
      <c r="BJ604" t="s">
        <v>2560</v>
      </c>
      <c r="BL604" t="s">
        <v>412</v>
      </c>
    </row>
    <row r="605" spans="1:64" hidden="1" x14ac:dyDescent="0.2">
      <c r="A605">
        <v>715</v>
      </c>
      <c r="B605">
        <v>4070420522</v>
      </c>
      <c r="C605" t="s">
        <v>101</v>
      </c>
      <c r="D605" t="s">
        <v>2561</v>
      </c>
      <c r="E605" t="s">
        <v>65</v>
      </c>
      <c r="F605" t="s">
        <v>66</v>
      </c>
      <c r="G605" t="s">
        <v>67</v>
      </c>
      <c r="H605" t="s">
        <v>68</v>
      </c>
      <c r="I605" t="s">
        <v>176</v>
      </c>
      <c r="J605" t="s">
        <v>177</v>
      </c>
      <c r="K605" t="s">
        <v>1817</v>
      </c>
      <c r="M605" t="s">
        <v>72</v>
      </c>
      <c r="N605" t="s">
        <v>1818</v>
      </c>
      <c r="O605" t="s">
        <v>1817</v>
      </c>
      <c r="P605" t="s">
        <v>1819</v>
      </c>
      <c r="Q605" t="s">
        <v>75</v>
      </c>
      <c r="R605" t="s">
        <v>2238</v>
      </c>
      <c r="S605" t="s">
        <v>2532</v>
      </c>
      <c r="T605" t="s">
        <v>78</v>
      </c>
      <c r="U605" t="s">
        <v>1822</v>
      </c>
      <c r="V605" t="s">
        <v>80</v>
      </c>
      <c r="W605" s="1">
        <v>44813</v>
      </c>
      <c r="X605" t="s">
        <v>1823</v>
      </c>
      <c r="Y605" t="s">
        <v>2533</v>
      </c>
      <c r="Z605" t="s">
        <v>83</v>
      </c>
      <c r="AA605">
        <v>1</v>
      </c>
      <c r="AB605" t="s">
        <v>103</v>
      </c>
      <c r="AD605" t="s">
        <v>116</v>
      </c>
      <c r="AE605" t="s">
        <v>145</v>
      </c>
      <c r="AF605" t="s">
        <v>146</v>
      </c>
      <c r="AG605" t="s">
        <v>344</v>
      </c>
      <c r="AH605" t="s">
        <v>2539</v>
      </c>
      <c r="AI605" t="s">
        <v>90</v>
      </c>
      <c r="AJ605">
        <v>32.441161000000001</v>
      </c>
      <c r="AK605">
        <v>-110.78694400000001</v>
      </c>
      <c r="AL605">
        <v>15</v>
      </c>
      <c r="AN605">
        <v>2766</v>
      </c>
      <c r="AP605">
        <v>2766</v>
      </c>
      <c r="AQ605">
        <v>2787.5583999999999</v>
      </c>
      <c r="AT605">
        <v>9</v>
      </c>
      <c r="AU605">
        <v>9</v>
      </c>
      <c r="AV605">
        <v>2022</v>
      </c>
      <c r="AW605">
        <v>2437967</v>
      </c>
      <c r="AX605">
        <v>2437967</v>
      </c>
      <c r="AY605" t="s">
        <v>106</v>
      </c>
      <c r="AZ605" t="s">
        <v>92</v>
      </c>
      <c r="BA605" t="s">
        <v>107</v>
      </c>
      <c r="BB605" t="s">
        <v>2562</v>
      </c>
      <c r="BC605" t="s">
        <v>2245</v>
      </c>
      <c r="BE605" t="s">
        <v>96</v>
      </c>
      <c r="BG605" t="s">
        <v>2246</v>
      </c>
      <c r="BI605" t="s">
        <v>98</v>
      </c>
      <c r="BJ605" t="s">
        <v>2493</v>
      </c>
      <c r="BL605" t="s">
        <v>412</v>
      </c>
    </row>
    <row r="606" spans="1:64" hidden="1" x14ac:dyDescent="0.2">
      <c r="A606">
        <v>844</v>
      </c>
      <c r="B606">
        <v>4070420379</v>
      </c>
      <c r="C606" t="s">
        <v>101</v>
      </c>
      <c r="D606" t="s">
        <v>2571</v>
      </c>
      <c r="E606" t="s">
        <v>65</v>
      </c>
      <c r="F606" t="s">
        <v>66</v>
      </c>
      <c r="G606" t="s">
        <v>67</v>
      </c>
      <c r="H606" t="s">
        <v>68</v>
      </c>
      <c r="I606" t="s">
        <v>176</v>
      </c>
      <c r="J606" t="s">
        <v>773</v>
      </c>
      <c r="K606" t="s">
        <v>774</v>
      </c>
      <c r="M606" t="s">
        <v>72</v>
      </c>
      <c r="N606" t="s">
        <v>775</v>
      </c>
      <c r="O606" t="s">
        <v>774</v>
      </c>
      <c r="P606" t="s">
        <v>776</v>
      </c>
      <c r="Q606" t="s">
        <v>75</v>
      </c>
      <c r="R606" t="s">
        <v>2238</v>
      </c>
      <c r="S606" t="s">
        <v>2564</v>
      </c>
      <c r="T606" t="s">
        <v>78</v>
      </c>
      <c r="U606" t="s">
        <v>1822</v>
      </c>
      <c r="V606" t="s">
        <v>80</v>
      </c>
      <c r="W606" s="1">
        <v>44813</v>
      </c>
      <c r="X606" t="s">
        <v>1823</v>
      </c>
      <c r="Y606" t="s">
        <v>2565</v>
      </c>
      <c r="Z606" t="s">
        <v>83</v>
      </c>
      <c r="AA606">
        <v>1</v>
      </c>
      <c r="AB606" t="s">
        <v>103</v>
      </c>
      <c r="AD606" t="s">
        <v>116</v>
      </c>
      <c r="AE606" t="s">
        <v>145</v>
      </c>
      <c r="AF606" t="s">
        <v>146</v>
      </c>
      <c r="AG606" t="s">
        <v>2567</v>
      </c>
      <c r="AH606" t="s">
        <v>2572</v>
      </c>
      <c r="AI606" t="s">
        <v>90</v>
      </c>
      <c r="AJ606">
        <v>32.441026000000001</v>
      </c>
      <c r="AK606">
        <v>-110.785635</v>
      </c>
      <c r="AL606">
        <v>15</v>
      </c>
      <c r="AN606">
        <v>2759</v>
      </c>
      <c r="AP606">
        <v>2759</v>
      </c>
      <c r="AQ606">
        <v>2779.926031</v>
      </c>
      <c r="AT606">
        <v>9</v>
      </c>
      <c r="AU606">
        <v>9</v>
      </c>
      <c r="AV606">
        <v>2022</v>
      </c>
      <c r="AW606">
        <v>2438447</v>
      </c>
      <c r="AX606">
        <v>2438447</v>
      </c>
      <c r="AY606" t="s">
        <v>106</v>
      </c>
      <c r="AZ606" t="s">
        <v>92</v>
      </c>
      <c r="BA606" t="s">
        <v>107</v>
      </c>
      <c r="BB606" t="s">
        <v>2573</v>
      </c>
      <c r="BC606" t="s">
        <v>2245</v>
      </c>
      <c r="BE606" t="s">
        <v>96</v>
      </c>
      <c r="BG606" t="s">
        <v>2246</v>
      </c>
      <c r="BI606" t="s">
        <v>98</v>
      </c>
      <c r="BJ606" t="s">
        <v>1837</v>
      </c>
      <c r="BL606" t="s">
        <v>412</v>
      </c>
    </row>
    <row r="607" spans="1:64" hidden="1" x14ac:dyDescent="0.2">
      <c r="A607">
        <v>842</v>
      </c>
      <c r="B607">
        <v>4070420381</v>
      </c>
      <c r="C607" t="s">
        <v>101</v>
      </c>
      <c r="D607" t="s">
        <v>2574</v>
      </c>
      <c r="E607" t="s">
        <v>65</v>
      </c>
      <c r="F607" t="s">
        <v>66</v>
      </c>
      <c r="G607" t="s">
        <v>67</v>
      </c>
      <c r="H607" t="s">
        <v>68</v>
      </c>
      <c r="I607" t="s">
        <v>176</v>
      </c>
      <c r="J607" t="s">
        <v>773</v>
      </c>
      <c r="K607" t="s">
        <v>774</v>
      </c>
      <c r="M607" t="s">
        <v>72</v>
      </c>
      <c r="N607" t="s">
        <v>775</v>
      </c>
      <c r="O607" t="s">
        <v>774</v>
      </c>
      <c r="P607" t="s">
        <v>776</v>
      </c>
      <c r="Q607" t="s">
        <v>75</v>
      </c>
      <c r="R607" t="s">
        <v>2238</v>
      </c>
      <c r="S607" t="s">
        <v>2564</v>
      </c>
      <c r="T607" t="s">
        <v>78</v>
      </c>
      <c r="U607" t="s">
        <v>1822</v>
      </c>
      <c r="V607" t="s">
        <v>80</v>
      </c>
      <c r="W607" s="1">
        <v>44813</v>
      </c>
      <c r="X607" t="s">
        <v>1823</v>
      </c>
      <c r="Y607" t="s">
        <v>2565</v>
      </c>
      <c r="Z607" t="s">
        <v>83</v>
      </c>
      <c r="AA607">
        <v>1</v>
      </c>
      <c r="AB607" t="s">
        <v>103</v>
      </c>
      <c r="AD607" t="s">
        <v>104</v>
      </c>
      <c r="AE607" t="s">
        <v>145</v>
      </c>
      <c r="AF607" t="s">
        <v>146</v>
      </c>
      <c r="AG607" t="s">
        <v>2567</v>
      </c>
      <c r="AH607" t="s">
        <v>2572</v>
      </c>
      <c r="AI607" t="s">
        <v>90</v>
      </c>
      <c r="AJ607">
        <v>32.441026000000001</v>
      </c>
      <c r="AK607">
        <v>-110.785635</v>
      </c>
      <c r="AL607">
        <v>15</v>
      </c>
      <c r="AN607">
        <v>2759</v>
      </c>
      <c r="AP607">
        <v>2759</v>
      </c>
      <c r="AQ607">
        <v>2779.926031</v>
      </c>
      <c r="AT607">
        <v>9</v>
      </c>
      <c r="AU607">
        <v>9</v>
      </c>
      <c r="AV607">
        <v>2022</v>
      </c>
      <c r="AW607">
        <v>2438447</v>
      </c>
      <c r="AX607">
        <v>2438447</v>
      </c>
      <c r="AY607" t="s">
        <v>106</v>
      </c>
      <c r="AZ607" t="s">
        <v>92</v>
      </c>
      <c r="BA607" t="s">
        <v>107</v>
      </c>
      <c r="BB607" t="s">
        <v>2575</v>
      </c>
      <c r="BC607" t="s">
        <v>2245</v>
      </c>
      <c r="BE607" t="s">
        <v>96</v>
      </c>
      <c r="BG607" t="s">
        <v>2246</v>
      </c>
      <c r="BI607" t="s">
        <v>98</v>
      </c>
      <c r="BJ607" t="s">
        <v>2576</v>
      </c>
      <c r="BL607" t="s">
        <v>412</v>
      </c>
    </row>
    <row r="608" spans="1:64" hidden="1" x14ac:dyDescent="0.2">
      <c r="A608">
        <v>840</v>
      </c>
      <c r="B608">
        <v>4070420383</v>
      </c>
      <c r="C608" t="s">
        <v>101</v>
      </c>
      <c r="D608" t="s">
        <v>2577</v>
      </c>
      <c r="E608" t="s">
        <v>65</v>
      </c>
      <c r="F608" t="s">
        <v>66</v>
      </c>
      <c r="G608" t="s">
        <v>67</v>
      </c>
      <c r="H608" t="s">
        <v>68</v>
      </c>
      <c r="I608" t="s">
        <v>176</v>
      </c>
      <c r="J608" t="s">
        <v>773</v>
      </c>
      <c r="K608" t="s">
        <v>774</v>
      </c>
      <c r="M608" t="s">
        <v>72</v>
      </c>
      <c r="N608" t="s">
        <v>775</v>
      </c>
      <c r="O608" t="s">
        <v>774</v>
      </c>
      <c r="P608" t="s">
        <v>776</v>
      </c>
      <c r="Q608" t="s">
        <v>75</v>
      </c>
      <c r="R608" t="s">
        <v>2238</v>
      </c>
      <c r="S608" t="s">
        <v>2564</v>
      </c>
      <c r="T608" t="s">
        <v>78</v>
      </c>
      <c r="U608" t="s">
        <v>1822</v>
      </c>
      <c r="V608" t="s">
        <v>80</v>
      </c>
      <c r="W608" s="1">
        <v>44813</v>
      </c>
      <c r="X608" t="s">
        <v>1823</v>
      </c>
      <c r="Y608" t="s">
        <v>2565</v>
      </c>
      <c r="Z608" t="s">
        <v>83</v>
      </c>
      <c r="AA608">
        <v>1</v>
      </c>
      <c r="AB608" t="s">
        <v>2262</v>
      </c>
      <c r="AD608" t="s">
        <v>134</v>
      </c>
      <c r="AE608" t="s">
        <v>145</v>
      </c>
      <c r="AF608" t="s">
        <v>146</v>
      </c>
      <c r="AG608" t="s">
        <v>2567</v>
      </c>
      <c r="AH608" t="s">
        <v>2578</v>
      </c>
      <c r="AI608" t="s">
        <v>90</v>
      </c>
      <c r="AJ608">
        <v>32.441026000000001</v>
      </c>
      <c r="AK608">
        <v>-110.785635</v>
      </c>
      <c r="AL608">
        <v>15</v>
      </c>
      <c r="AN608">
        <v>2759</v>
      </c>
      <c r="AP608">
        <v>2759</v>
      </c>
      <c r="AQ608">
        <v>2779.926031</v>
      </c>
      <c r="AT608">
        <v>9</v>
      </c>
      <c r="AU608">
        <v>9</v>
      </c>
      <c r="AV608">
        <v>2022</v>
      </c>
      <c r="AW608">
        <v>2438447</v>
      </c>
      <c r="AX608">
        <v>2438447</v>
      </c>
      <c r="AY608" t="s">
        <v>106</v>
      </c>
      <c r="AZ608" t="s">
        <v>92</v>
      </c>
      <c r="BA608" t="s">
        <v>107</v>
      </c>
      <c r="BB608" t="s">
        <v>2579</v>
      </c>
      <c r="BC608" t="s">
        <v>2245</v>
      </c>
      <c r="BE608" t="s">
        <v>96</v>
      </c>
      <c r="BG608" t="s">
        <v>2246</v>
      </c>
      <c r="BI608" t="s">
        <v>98</v>
      </c>
      <c r="BJ608" t="s">
        <v>1837</v>
      </c>
      <c r="BL608" t="s">
        <v>412</v>
      </c>
    </row>
    <row r="609" spans="1:64" hidden="1" x14ac:dyDescent="0.2">
      <c r="A609">
        <v>838</v>
      </c>
      <c r="B609">
        <v>4070420385</v>
      </c>
      <c r="C609" t="s">
        <v>101</v>
      </c>
      <c r="D609" t="s">
        <v>2580</v>
      </c>
      <c r="E609" t="s">
        <v>65</v>
      </c>
      <c r="F609" t="s">
        <v>66</v>
      </c>
      <c r="G609" t="s">
        <v>67</v>
      </c>
      <c r="H609" t="s">
        <v>68</v>
      </c>
      <c r="I609" t="s">
        <v>176</v>
      </c>
      <c r="J609" t="s">
        <v>773</v>
      </c>
      <c r="K609" t="s">
        <v>774</v>
      </c>
      <c r="M609" t="s">
        <v>72</v>
      </c>
      <c r="N609" t="s">
        <v>775</v>
      </c>
      <c r="O609" t="s">
        <v>774</v>
      </c>
      <c r="P609" t="s">
        <v>776</v>
      </c>
      <c r="Q609" t="s">
        <v>75</v>
      </c>
      <c r="R609" t="s">
        <v>2238</v>
      </c>
      <c r="S609" t="s">
        <v>2564</v>
      </c>
      <c r="T609" t="s">
        <v>78</v>
      </c>
      <c r="U609" t="s">
        <v>1822</v>
      </c>
      <c r="V609" t="s">
        <v>80</v>
      </c>
      <c r="W609" s="1">
        <v>44813</v>
      </c>
      <c r="X609" t="s">
        <v>1823</v>
      </c>
      <c r="Y609" t="s">
        <v>2565</v>
      </c>
      <c r="Z609" t="s">
        <v>83</v>
      </c>
      <c r="AA609">
        <v>1</v>
      </c>
      <c r="AB609" t="s">
        <v>2262</v>
      </c>
      <c r="AD609" t="s">
        <v>134</v>
      </c>
      <c r="AE609" t="s">
        <v>145</v>
      </c>
      <c r="AF609" t="s">
        <v>146</v>
      </c>
      <c r="AG609" t="s">
        <v>2567</v>
      </c>
      <c r="AH609" t="s">
        <v>2578</v>
      </c>
      <c r="AI609" t="s">
        <v>90</v>
      </c>
      <c r="AJ609">
        <v>32.441026000000001</v>
      </c>
      <c r="AK609">
        <v>-110.785635</v>
      </c>
      <c r="AL609">
        <v>15</v>
      </c>
      <c r="AN609">
        <v>2759</v>
      </c>
      <c r="AP609">
        <v>2759</v>
      </c>
      <c r="AQ609">
        <v>2779.926031</v>
      </c>
      <c r="AT609">
        <v>9</v>
      </c>
      <c r="AU609">
        <v>9</v>
      </c>
      <c r="AV609">
        <v>2022</v>
      </c>
      <c r="AW609">
        <v>2438447</v>
      </c>
      <c r="AX609">
        <v>2438447</v>
      </c>
      <c r="AY609" t="s">
        <v>106</v>
      </c>
      <c r="AZ609" t="s">
        <v>92</v>
      </c>
      <c r="BA609" t="s">
        <v>107</v>
      </c>
      <c r="BB609" t="s">
        <v>2581</v>
      </c>
      <c r="BC609" t="s">
        <v>2245</v>
      </c>
      <c r="BE609" t="s">
        <v>96</v>
      </c>
      <c r="BG609" t="s">
        <v>2246</v>
      </c>
      <c r="BI609" t="s">
        <v>98</v>
      </c>
      <c r="BJ609" t="s">
        <v>2582</v>
      </c>
      <c r="BL609" t="s">
        <v>412</v>
      </c>
    </row>
    <row r="610" spans="1:64" hidden="1" x14ac:dyDescent="0.2">
      <c r="A610">
        <v>836</v>
      </c>
      <c r="B610">
        <v>4070420387</v>
      </c>
      <c r="C610" t="s">
        <v>101</v>
      </c>
      <c r="D610" t="s">
        <v>2583</v>
      </c>
      <c r="E610" t="s">
        <v>65</v>
      </c>
      <c r="F610" t="s">
        <v>66</v>
      </c>
      <c r="G610" t="s">
        <v>67</v>
      </c>
      <c r="H610" t="s">
        <v>68</v>
      </c>
      <c r="I610" t="s">
        <v>176</v>
      </c>
      <c r="J610" t="s">
        <v>773</v>
      </c>
      <c r="K610" t="s">
        <v>774</v>
      </c>
      <c r="M610" t="s">
        <v>72</v>
      </c>
      <c r="N610" t="s">
        <v>775</v>
      </c>
      <c r="O610" t="s">
        <v>774</v>
      </c>
      <c r="P610" t="s">
        <v>776</v>
      </c>
      <c r="Q610" t="s">
        <v>75</v>
      </c>
      <c r="R610" t="s">
        <v>2238</v>
      </c>
      <c r="S610" t="s">
        <v>2564</v>
      </c>
      <c r="T610" t="s">
        <v>78</v>
      </c>
      <c r="U610" t="s">
        <v>1822</v>
      </c>
      <c r="V610" t="s">
        <v>80</v>
      </c>
      <c r="W610" s="1">
        <v>44813</v>
      </c>
      <c r="X610" t="s">
        <v>1823</v>
      </c>
      <c r="Y610" t="s">
        <v>2565</v>
      </c>
      <c r="Z610" t="s">
        <v>83</v>
      </c>
      <c r="AA610">
        <v>1</v>
      </c>
      <c r="AB610" t="s">
        <v>2248</v>
      </c>
      <c r="AD610" t="s">
        <v>2461</v>
      </c>
      <c r="AE610" t="s">
        <v>145</v>
      </c>
      <c r="AF610" t="s">
        <v>146</v>
      </c>
      <c r="AG610" t="s">
        <v>2567</v>
      </c>
      <c r="AH610" t="s">
        <v>2572</v>
      </c>
      <c r="AI610" t="s">
        <v>90</v>
      </c>
      <c r="AJ610">
        <v>32.441026000000001</v>
      </c>
      <c r="AK610">
        <v>-110.785635</v>
      </c>
      <c r="AL610">
        <v>15</v>
      </c>
      <c r="AN610">
        <v>2759</v>
      </c>
      <c r="AP610">
        <v>2759</v>
      </c>
      <c r="AQ610">
        <v>2779.926031</v>
      </c>
      <c r="AT610">
        <v>9</v>
      </c>
      <c r="AU610">
        <v>9</v>
      </c>
      <c r="AV610">
        <v>2022</v>
      </c>
      <c r="AW610">
        <v>2438447</v>
      </c>
      <c r="AX610">
        <v>2438447</v>
      </c>
      <c r="AY610" t="s">
        <v>106</v>
      </c>
      <c r="AZ610" t="s">
        <v>92</v>
      </c>
      <c r="BA610" t="s">
        <v>107</v>
      </c>
      <c r="BB610" t="s">
        <v>2584</v>
      </c>
      <c r="BC610" t="s">
        <v>2245</v>
      </c>
      <c r="BE610" t="s">
        <v>96</v>
      </c>
      <c r="BG610" t="s">
        <v>2246</v>
      </c>
      <c r="BI610" t="s">
        <v>98</v>
      </c>
      <c r="BJ610" t="s">
        <v>2576</v>
      </c>
      <c r="BL610" t="s">
        <v>412</v>
      </c>
    </row>
    <row r="611" spans="1:64" hidden="1" x14ac:dyDescent="0.2">
      <c r="A611">
        <v>737</v>
      </c>
      <c r="B611">
        <v>4070420500</v>
      </c>
      <c r="C611" t="s">
        <v>101</v>
      </c>
      <c r="D611" t="s">
        <v>2585</v>
      </c>
      <c r="E611" t="s">
        <v>65</v>
      </c>
      <c r="F611" t="s">
        <v>66</v>
      </c>
      <c r="G611" t="s">
        <v>67</v>
      </c>
      <c r="H611" t="s">
        <v>68</v>
      </c>
      <c r="I611" t="s">
        <v>176</v>
      </c>
      <c r="J611" t="s">
        <v>773</v>
      </c>
      <c r="K611" t="s">
        <v>774</v>
      </c>
      <c r="M611" t="s">
        <v>72</v>
      </c>
      <c r="N611" t="s">
        <v>775</v>
      </c>
      <c r="O611" t="s">
        <v>774</v>
      </c>
      <c r="P611" t="s">
        <v>776</v>
      </c>
      <c r="Q611" t="s">
        <v>75</v>
      </c>
      <c r="R611" t="s">
        <v>2238</v>
      </c>
      <c r="S611" t="s">
        <v>2564</v>
      </c>
      <c r="T611" t="s">
        <v>78</v>
      </c>
      <c r="U611" t="s">
        <v>1822</v>
      </c>
      <c r="V611" t="s">
        <v>80</v>
      </c>
      <c r="W611" s="1">
        <v>44813</v>
      </c>
      <c r="X611" t="s">
        <v>1823</v>
      </c>
      <c r="Y611" t="s">
        <v>2565</v>
      </c>
      <c r="Z611" t="s">
        <v>83</v>
      </c>
      <c r="AA611">
        <v>1</v>
      </c>
      <c r="AB611" t="s">
        <v>2248</v>
      </c>
      <c r="AD611" t="s">
        <v>2464</v>
      </c>
      <c r="AE611" t="s">
        <v>145</v>
      </c>
      <c r="AF611" t="s">
        <v>146</v>
      </c>
      <c r="AG611" t="s">
        <v>2567</v>
      </c>
      <c r="AH611" t="s">
        <v>2572</v>
      </c>
      <c r="AI611" t="s">
        <v>90</v>
      </c>
      <c r="AJ611">
        <v>32.441026000000001</v>
      </c>
      <c r="AK611">
        <v>-110.785635</v>
      </c>
      <c r="AL611">
        <v>15</v>
      </c>
      <c r="AN611">
        <v>2759</v>
      </c>
      <c r="AP611">
        <v>2759</v>
      </c>
      <c r="AQ611">
        <v>2779.926031</v>
      </c>
      <c r="AT611">
        <v>9</v>
      </c>
      <c r="AU611">
        <v>9</v>
      </c>
      <c r="AV611">
        <v>2022</v>
      </c>
      <c r="AW611">
        <v>2438447</v>
      </c>
      <c r="AX611">
        <v>2438447</v>
      </c>
      <c r="AY611" t="s">
        <v>106</v>
      </c>
      <c r="AZ611" t="s">
        <v>92</v>
      </c>
      <c r="BA611" t="s">
        <v>107</v>
      </c>
      <c r="BB611" t="s">
        <v>2586</v>
      </c>
      <c r="BC611" t="s">
        <v>2245</v>
      </c>
      <c r="BE611" t="s">
        <v>96</v>
      </c>
      <c r="BG611" t="s">
        <v>2246</v>
      </c>
      <c r="BI611" t="s">
        <v>98</v>
      </c>
      <c r="BJ611" t="s">
        <v>2587</v>
      </c>
      <c r="BL611" t="s">
        <v>412</v>
      </c>
    </row>
    <row r="612" spans="1:64" hidden="1" x14ac:dyDescent="0.2">
      <c r="A612">
        <v>735</v>
      </c>
      <c r="B612">
        <v>4070420502</v>
      </c>
      <c r="C612" t="s">
        <v>101</v>
      </c>
      <c r="D612" t="s">
        <v>2588</v>
      </c>
      <c r="E612" t="s">
        <v>65</v>
      </c>
      <c r="F612" t="s">
        <v>66</v>
      </c>
      <c r="G612" t="s">
        <v>67</v>
      </c>
      <c r="H612" t="s">
        <v>68</v>
      </c>
      <c r="I612" t="s">
        <v>176</v>
      </c>
      <c r="J612" t="s">
        <v>773</v>
      </c>
      <c r="K612" t="s">
        <v>774</v>
      </c>
      <c r="M612" t="s">
        <v>72</v>
      </c>
      <c r="N612" t="s">
        <v>775</v>
      </c>
      <c r="O612" t="s">
        <v>774</v>
      </c>
      <c r="P612" t="s">
        <v>776</v>
      </c>
      <c r="Q612" t="s">
        <v>75</v>
      </c>
      <c r="R612" t="s">
        <v>2238</v>
      </c>
      <c r="S612" t="s">
        <v>2564</v>
      </c>
      <c r="T612" t="s">
        <v>78</v>
      </c>
      <c r="U612" t="s">
        <v>1822</v>
      </c>
      <c r="V612" t="s">
        <v>80</v>
      </c>
      <c r="W612" s="1">
        <v>44813</v>
      </c>
      <c r="X612" t="s">
        <v>1823</v>
      </c>
      <c r="Y612" t="s">
        <v>2565</v>
      </c>
      <c r="Z612" t="s">
        <v>83</v>
      </c>
      <c r="AA612">
        <v>1</v>
      </c>
      <c r="AB612" t="s">
        <v>2248</v>
      </c>
      <c r="AD612" t="s">
        <v>2450</v>
      </c>
      <c r="AE612" t="s">
        <v>145</v>
      </c>
      <c r="AF612" t="s">
        <v>146</v>
      </c>
      <c r="AG612" t="s">
        <v>2567</v>
      </c>
      <c r="AH612" t="s">
        <v>2572</v>
      </c>
      <c r="AI612" t="s">
        <v>90</v>
      </c>
      <c r="AJ612">
        <v>32.441026000000001</v>
      </c>
      <c r="AK612">
        <v>-110.785635</v>
      </c>
      <c r="AL612">
        <v>15</v>
      </c>
      <c r="AN612">
        <v>2759</v>
      </c>
      <c r="AP612">
        <v>2759</v>
      </c>
      <c r="AQ612">
        <v>2779.926031</v>
      </c>
      <c r="AT612">
        <v>9</v>
      </c>
      <c r="AU612">
        <v>9</v>
      </c>
      <c r="AV612">
        <v>2022</v>
      </c>
      <c r="AW612">
        <v>2438447</v>
      </c>
      <c r="AX612">
        <v>2438447</v>
      </c>
      <c r="AY612" t="s">
        <v>106</v>
      </c>
      <c r="AZ612" t="s">
        <v>92</v>
      </c>
      <c r="BA612" t="s">
        <v>107</v>
      </c>
      <c r="BB612" t="s">
        <v>2589</v>
      </c>
      <c r="BC612" t="s">
        <v>2245</v>
      </c>
      <c r="BE612" t="s">
        <v>96</v>
      </c>
      <c r="BG612" t="s">
        <v>2246</v>
      </c>
      <c r="BI612" t="s">
        <v>98</v>
      </c>
      <c r="BJ612" t="s">
        <v>2469</v>
      </c>
      <c r="BL612" t="s">
        <v>412</v>
      </c>
    </row>
    <row r="613" spans="1:64" hidden="1" x14ac:dyDescent="0.2">
      <c r="A613">
        <v>936</v>
      </c>
      <c r="B613">
        <v>4040367309</v>
      </c>
      <c r="C613" t="s">
        <v>101</v>
      </c>
      <c r="D613" t="s">
        <v>2590</v>
      </c>
      <c r="E613" t="s">
        <v>65</v>
      </c>
      <c r="F613" t="s">
        <v>66</v>
      </c>
      <c r="G613" t="s">
        <v>67</v>
      </c>
      <c r="H613" t="s">
        <v>68</v>
      </c>
      <c r="I613" t="s">
        <v>176</v>
      </c>
      <c r="J613" t="s">
        <v>773</v>
      </c>
      <c r="K613" t="s">
        <v>774</v>
      </c>
      <c r="M613" t="s">
        <v>72</v>
      </c>
      <c r="N613" t="s">
        <v>775</v>
      </c>
      <c r="O613" t="s">
        <v>774</v>
      </c>
      <c r="P613" t="s">
        <v>776</v>
      </c>
      <c r="Q613" t="s">
        <v>75</v>
      </c>
      <c r="R613" t="s">
        <v>2238</v>
      </c>
      <c r="S613" t="s">
        <v>2564</v>
      </c>
      <c r="T613" t="s">
        <v>78</v>
      </c>
      <c r="U613" t="s">
        <v>1822</v>
      </c>
      <c r="V613" t="s">
        <v>80</v>
      </c>
      <c r="W613" s="1">
        <v>44813</v>
      </c>
      <c r="X613" t="s">
        <v>1823</v>
      </c>
      <c r="Y613" t="s">
        <v>2565</v>
      </c>
      <c r="Z613" t="s">
        <v>83</v>
      </c>
      <c r="AA613">
        <v>1</v>
      </c>
      <c r="AB613" t="s">
        <v>127</v>
      </c>
      <c r="AD613" t="s">
        <v>139</v>
      </c>
      <c r="AE613" t="s">
        <v>145</v>
      </c>
      <c r="AF613" t="s">
        <v>146</v>
      </c>
      <c r="AG613" t="s">
        <v>2567</v>
      </c>
      <c r="AH613" t="s">
        <v>2572</v>
      </c>
      <c r="AI613" t="s">
        <v>90</v>
      </c>
      <c r="AJ613">
        <v>32.441026000000001</v>
      </c>
      <c r="AK613">
        <v>-110.785635</v>
      </c>
      <c r="AL613">
        <v>15</v>
      </c>
      <c r="AN613">
        <v>2759</v>
      </c>
      <c r="AP613">
        <v>2759</v>
      </c>
      <c r="AQ613">
        <v>2779.926031</v>
      </c>
      <c r="AT613">
        <v>9</v>
      </c>
      <c r="AU613">
        <v>9</v>
      </c>
      <c r="AV613">
        <v>2022</v>
      </c>
      <c r="AW613">
        <v>2438447</v>
      </c>
      <c r="AX613">
        <v>2438447</v>
      </c>
      <c r="AY613" t="s">
        <v>106</v>
      </c>
      <c r="AZ613" t="s">
        <v>92</v>
      </c>
      <c r="BA613" t="s">
        <v>107</v>
      </c>
      <c r="BB613" t="s">
        <v>2591</v>
      </c>
      <c r="BC613" t="s">
        <v>2245</v>
      </c>
      <c r="BE613" t="s">
        <v>96</v>
      </c>
      <c r="BG613" t="s">
        <v>2246</v>
      </c>
      <c r="BI613" t="s">
        <v>98</v>
      </c>
      <c r="BJ613" t="s">
        <v>2592</v>
      </c>
      <c r="BL613" t="s">
        <v>412</v>
      </c>
    </row>
    <row r="614" spans="1:64" hidden="1" x14ac:dyDescent="0.2">
      <c r="A614">
        <v>935</v>
      </c>
      <c r="B614">
        <v>4040367310</v>
      </c>
      <c r="C614" t="s">
        <v>101</v>
      </c>
      <c r="D614" t="s">
        <v>2593</v>
      </c>
      <c r="E614" t="s">
        <v>65</v>
      </c>
      <c r="F614" t="s">
        <v>66</v>
      </c>
      <c r="G614" t="s">
        <v>67</v>
      </c>
      <c r="H614" t="s">
        <v>68</v>
      </c>
      <c r="I614" t="s">
        <v>176</v>
      </c>
      <c r="J614" t="s">
        <v>773</v>
      </c>
      <c r="K614" t="s">
        <v>774</v>
      </c>
      <c r="M614" t="s">
        <v>72</v>
      </c>
      <c r="N614" t="s">
        <v>775</v>
      </c>
      <c r="O614" t="s">
        <v>774</v>
      </c>
      <c r="P614" t="s">
        <v>776</v>
      </c>
      <c r="Q614" t="s">
        <v>75</v>
      </c>
      <c r="R614" t="s">
        <v>2238</v>
      </c>
      <c r="S614" t="s">
        <v>2564</v>
      </c>
      <c r="T614" t="s">
        <v>78</v>
      </c>
      <c r="U614" t="s">
        <v>1822</v>
      </c>
      <c r="V614" t="s">
        <v>80</v>
      </c>
      <c r="W614" s="1">
        <v>44813</v>
      </c>
      <c r="X614" t="s">
        <v>1823</v>
      </c>
      <c r="Y614" t="s">
        <v>2565</v>
      </c>
      <c r="Z614" t="s">
        <v>83</v>
      </c>
      <c r="AA614">
        <v>1</v>
      </c>
      <c r="AB614" t="s">
        <v>127</v>
      </c>
      <c r="AD614" t="s">
        <v>123</v>
      </c>
      <c r="AE614" t="s">
        <v>145</v>
      </c>
      <c r="AF614" t="s">
        <v>146</v>
      </c>
      <c r="AG614" t="s">
        <v>2567</v>
      </c>
      <c r="AH614" t="s">
        <v>2572</v>
      </c>
      <c r="AI614" t="s">
        <v>90</v>
      </c>
      <c r="AJ614">
        <v>32.441026000000001</v>
      </c>
      <c r="AK614">
        <v>-110.785635</v>
      </c>
      <c r="AL614">
        <v>15</v>
      </c>
      <c r="AN614">
        <v>2759</v>
      </c>
      <c r="AP614">
        <v>2759</v>
      </c>
      <c r="AQ614">
        <v>2779.926031</v>
      </c>
      <c r="AT614">
        <v>9</v>
      </c>
      <c r="AU614">
        <v>9</v>
      </c>
      <c r="AV614">
        <v>2022</v>
      </c>
      <c r="AW614">
        <v>2438447</v>
      </c>
      <c r="AX614">
        <v>2438447</v>
      </c>
      <c r="AY614" t="s">
        <v>106</v>
      </c>
      <c r="AZ614" t="s">
        <v>92</v>
      </c>
      <c r="BA614" t="s">
        <v>107</v>
      </c>
      <c r="BB614" t="s">
        <v>2594</v>
      </c>
      <c r="BC614" t="s">
        <v>2245</v>
      </c>
      <c r="BE614" t="s">
        <v>96</v>
      </c>
      <c r="BG614" t="s">
        <v>2246</v>
      </c>
      <c r="BI614" t="s">
        <v>98</v>
      </c>
      <c r="BJ614" t="s">
        <v>2273</v>
      </c>
      <c r="BL614" t="s">
        <v>412</v>
      </c>
    </row>
    <row r="615" spans="1:64" hidden="1" x14ac:dyDescent="0.2">
      <c r="A615">
        <v>919</v>
      </c>
      <c r="B615">
        <v>4070420301</v>
      </c>
      <c r="C615" t="s">
        <v>101</v>
      </c>
      <c r="D615" t="s">
        <v>2943</v>
      </c>
      <c r="E615" t="s">
        <v>65</v>
      </c>
      <c r="F615" t="s">
        <v>66</v>
      </c>
      <c r="G615" t="s">
        <v>67</v>
      </c>
      <c r="H615" t="s">
        <v>68</v>
      </c>
      <c r="I615" t="s">
        <v>176</v>
      </c>
      <c r="J615" t="s">
        <v>177</v>
      </c>
      <c r="K615" t="s">
        <v>178</v>
      </c>
      <c r="M615" t="s">
        <v>72</v>
      </c>
      <c r="N615" t="s">
        <v>179</v>
      </c>
      <c r="O615" t="s">
        <v>178</v>
      </c>
      <c r="P615" t="s">
        <v>180</v>
      </c>
      <c r="Q615" t="s">
        <v>75</v>
      </c>
      <c r="R615" t="s">
        <v>2806</v>
      </c>
      <c r="S615" t="s">
        <v>2944</v>
      </c>
      <c r="T615" t="s">
        <v>78</v>
      </c>
      <c r="U615" t="s">
        <v>1822</v>
      </c>
      <c r="V615" t="s">
        <v>80</v>
      </c>
      <c r="W615" s="1">
        <v>44814</v>
      </c>
      <c r="X615" t="s">
        <v>2778</v>
      </c>
      <c r="Y615" t="s">
        <v>2945</v>
      </c>
      <c r="Z615" t="s">
        <v>83</v>
      </c>
      <c r="AA615">
        <v>1</v>
      </c>
      <c r="AB615" t="s">
        <v>127</v>
      </c>
      <c r="AC615">
        <v>0</v>
      </c>
      <c r="AD615" t="s">
        <v>128</v>
      </c>
      <c r="AE615" t="s">
        <v>86</v>
      </c>
      <c r="AF615" t="s">
        <v>146</v>
      </c>
      <c r="AI615" t="s">
        <v>90</v>
      </c>
      <c r="AJ615">
        <v>32.453822000000002</v>
      </c>
      <c r="AK615">
        <v>-110.745199</v>
      </c>
      <c r="AL615">
        <v>3</v>
      </c>
      <c r="AN615">
        <v>2191</v>
      </c>
      <c r="AP615">
        <v>2191</v>
      </c>
      <c r="AQ615">
        <v>2210.86996</v>
      </c>
      <c r="AT615">
        <v>10</v>
      </c>
      <c r="AU615">
        <v>9</v>
      </c>
      <c r="AV615">
        <v>2022</v>
      </c>
      <c r="AW615">
        <v>2438038</v>
      </c>
      <c r="AX615">
        <v>2438038</v>
      </c>
      <c r="AY615" t="s">
        <v>106</v>
      </c>
      <c r="AZ615" t="s">
        <v>92</v>
      </c>
      <c r="BA615" t="s">
        <v>107</v>
      </c>
      <c r="BB615" t="s">
        <v>2946</v>
      </c>
      <c r="BC615" t="s">
        <v>2245</v>
      </c>
      <c r="BE615" t="s">
        <v>96</v>
      </c>
      <c r="BG615" t="s">
        <v>2811</v>
      </c>
      <c r="BI615" t="s">
        <v>98</v>
      </c>
      <c r="BJ615" t="s">
        <v>2947</v>
      </c>
      <c r="BL615" t="s">
        <v>412</v>
      </c>
    </row>
    <row r="616" spans="1:64" x14ac:dyDescent="0.2">
      <c r="A616">
        <v>1465</v>
      </c>
      <c r="B616">
        <v>3748770416</v>
      </c>
      <c r="C616" t="s">
        <v>63</v>
      </c>
      <c r="D616" t="s">
        <v>4220</v>
      </c>
      <c r="E616" t="s">
        <v>65</v>
      </c>
      <c r="F616" t="s">
        <v>66</v>
      </c>
      <c r="G616" t="s">
        <v>67</v>
      </c>
      <c r="H616" t="s">
        <v>68</v>
      </c>
      <c r="I616" t="s">
        <v>69</v>
      </c>
      <c r="J616" t="s">
        <v>70</v>
      </c>
      <c r="K616" t="s">
        <v>4130</v>
      </c>
      <c r="M616" t="s">
        <v>72</v>
      </c>
      <c r="N616" t="s">
        <v>4131</v>
      </c>
      <c r="O616" t="s">
        <v>4130</v>
      </c>
      <c r="P616" t="s">
        <v>4132</v>
      </c>
      <c r="Q616" t="s">
        <v>75</v>
      </c>
      <c r="R616" t="s">
        <v>3955</v>
      </c>
      <c r="S616" t="s">
        <v>4221</v>
      </c>
      <c r="T616" t="s">
        <v>78</v>
      </c>
      <c r="U616" t="s">
        <v>3817</v>
      </c>
      <c r="V616" t="s">
        <v>80</v>
      </c>
      <c r="W616" s="1">
        <v>44520</v>
      </c>
      <c r="X616" t="s">
        <v>3818</v>
      </c>
      <c r="Y616" t="s">
        <v>4222</v>
      </c>
      <c r="Z616" t="s">
        <v>83</v>
      </c>
      <c r="AA616">
        <v>1</v>
      </c>
      <c r="AB616" t="s">
        <v>4223</v>
      </c>
      <c r="AC616">
        <v>1</v>
      </c>
      <c r="AD616" s="6" t="s">
        <v>85</v>
      </c>
      <c r="AE616" s="6" t="s">
        <v>86</v>
      </c>
      <c r="AF616" s="6" t="s">
        <v>146</v>
      </c>
      <c r="AG616" s="6" t="s">
        <v>4224</v>
      </c>
      <c r="AH616" s="6" t="s">
        <v>4225</v>
      </c>
      <c r="AI616" s="6" t="s">
        <v>90</v>
      </c>
      <c r="AJ616" s="6">
        <v>32.516320999999998</v>
      </c>
      <c r="AK616" s="6">
        <v>-110.686105</v>
      </c>
      <c r="AL616" s="6">
        <v>3</v>
      </c>
      <c r="AM616" s="6"/>
      <c r="AN616" s="6">
        <v>1351</v>
      </c>
      <c r="AO616" s="6"/>
      <c r="AP616" s="6">
        <v>1351</v>
      </c>
      <c r="AQ616" s="6">
        <v>1353.19453</v>
      </c>
      <c r="AR616" s="6"/>
      <c r="AS616" s="6"/>
      <c r="AT616" s="6">
        <v>20</v>
      </c>
      <c r="AU616" s="6">
        <v>11</v>
      </c>
      <c r="AV616" s="6">
        <v>2021</v>
      </c>
      <c r="AW616" s="6">
        <v>2439591</v>
      </c>
      <c r="AX616" s="6">
        <v>2439591</v>
      </c>
      <c r="AY616" s="6" t="s">
        <v>91</v>
      </c>
      <c r="AZ616" t="s">
        <v>92</v>
      </c>
      <c r="BA616" t="s">
        <v>93</v>
      </c>
      <c r="BB616" t="s">
        <v>4226</v>
      </c>
      <c r="BC616" t="s">
        <v>97</v>
      </c>
      <c r="BE616" t="s">
        <v>96</v>
      </c>
      <c r="BG616" t="s">
        <v>97</v>
      </c>
      <c r="BI616" t="s">
        <v>98</v>
      </c>
      <c r="BJ616" t="s">
        <v>99</v>
      </c>
      <c r="BL616" t="s">
        <v>100</v>
      </c>
    </row>
    <row r="617" spans="1:64" hidden="1" x14ac:dyDescent="0.2">
      <c r="A617">
        <v>932</v>
      </c>
      <c r="B617">
        <v>4040367313</v>
      </c>
      <c r="C617" t="s">
        <v>101</v>
      </c>
      <c r="D617" t="s">
        <v>2601</v>
      </c>
      <c r="E617" t="s">
        <v>65</v>
      </c>
      <c r="F617" t="s">
        <v>66</v>
      </c>
      <c r="G617" t="s">
        <v>67</v>
      </c>
      <c r="H617" t="s">
        <v>68</v>
      </c>
      <c r="I617" t="s">
        <v>176</v>
      </c>
      <c r="J617" t="s">
        <v>773</v>
      </c>
      <c r="K617" t="s">
        <v>774</v>
      </c>
      <c r="M617" t="s">
        <v>72</v>
      </c>
      <c r="N617" t="s">
        <v>775</v>
      </c>
      <c r="O617" t="s">
        <v>774</v>
      </c>
      <c r="P617" t="s">
        <v>776</v>
      </c>
      <c r="Q617" t="s">
        <v>75</v>
      </c>
      <c r="R617" t="s">
        <v>2238</v>
      </c>
      <c r="S617" t="s">
        <v>2564</v>
      </c>
      <c r="T617" t="s">
        <v>78</v>
      </c>
      <c r="U617" t="s">
        <v>1822</v>
      </c>
      <c r="V617" t="s">
        <v>80</v>
      </c>
      <c r="W617" s="1">
        <v>44813</v>
      </c>
      <c r="X617" t="s">
        <v>1823</v>
      </c>
      <c r="Y617" t="s">
        <v>2565</v>
      </c>
      <c r="Z617" t="s">
        <v>83</v>
      </c>
      <c r="AA617">
        <v>1</v>
      </c>
      <c r="AB617" t="s">
        <v>103</v>
      </c>
      <c r="AD617" t="s">
        <v>112</v>
      </c>
      <c r="AE617" t="s">
        <v>145</v>
      </c>
      <c r="AF617" t="s">
        <v>146</v>
      </c>
      <c r="AG617" t="s">
        <v>2567</v>
      </c>
      <c r="AH617" t="s">
        <v>2572</v>
      </c>
      <c r="AI617" t="s">
        <v>90</v>
      </c>
      <c r="AJ617">
        <v>32.441026000000001</v>
      </c>
      <c r="AK617">
        <v>-110.785635</v>
      </c>
      <c r="AL617">
        <v>15</v>
      </c>
      <c r="AN617">
        <v>2759</v>
      </c>
      <c r="AP617">
        <v>2759</v>
      </c>
      <c r="AQ617">
        <v>2779.926031</v>
      </c>
      <c r="AT617">
        <v>9</v>
      </c>
      <c r="AU617">
        <v>9</v>
      </c>
      <c r="AV617">
        <v>2022</v>
      </c>
      <c r="AW617">
        <v>2438447</v>
      </c>
      <c r="AX617">
        <v>2438447</v>
      </c>
      <c r="AY617" t="s">
        <v>106</v>
      </c>
      <c r="AZ617" t="s">
        <v>92</v>
      </c>
      <c r="BA617" t="s">
        <v>107</v>
      </c>
      <c r="BB617" t="s">
        <v>2602</v>
      </c>
      <c r="BC617" t="s">
        <v>2245</v>
      </c>
      <c r="BE617" t="s">
        <v>96</v>
      </c>
      <c r="BG617" t="s">
        <v>2246</v>
      </c>
      <c r="BI617" t="s">
        <v>98</v>
      </c>
      <c r="BJ617" t="s">
        <v>2603</v>
      </c>
      <c r="BL617" t="s">
        <v>412</v>
      </c>
    </row>
    <row r="618" spans="1:64" hidden="1" x14ac:dyDescent="0.2">
      <c r="A618">
        <v>713</v>
      </c>
      <c r="B618">
        <v>4070420524</v>
      </c>
      <c r="C618" t="s">
        <v>101</v>
      </c>
      <c r="D618" t="s">
        <v>2604</v>
      </c>
      <c r="E618" t="s">
        <v>65</v>
      </c>
      <c r="F618" t="s">
        <v>66</v>
      </c>
      <c r="G618" t="s">
        <v>67</v>
      </c>
      <c r="H618" t="s">
        <v>68</v>
      </c>
      <c r="I618" t="s">
        <v>176</v>
      </c>
      <c r="J618" t="s">
        <v>773</v>
      </c>
      <c r="K618" t="s">
        <v>774</v>
      </c>
      <c r="M618" t="s">
        <v>72</v>
      </c>
      <c r="N618" t="s">
        <v>775</v>
      </c>
      <c r="O618" t="s">
        <v>774</v>
      </c>
      <c r="P618" t="s">
        <v>776</v>
      </c>
      <c r="Q618" t="s">
        <v>75</v>
      </c>
      <c r="R618" t="s">
        <v>2238</v>
      </c>
      <c r="S618" t="s">
        <v>2564</v>
      </c>
      <c r="T618" t="s">
        <v>78</v>
      </c>
      <c r="U618" t="s">
        <v>1822</v>
      </c>
      <c r="V618" t="s">
        <v>80</v>
      </c>
      <c r="W618" s="1">
        <v>44813</v>
      </c>
      <c r="X618" t="s">
        <v>1823</v>
      </c>
      <c r="Y618" t="s">
        <v>2565</v>
      </c>
      <c r="Z618" t="s">
        <v>83</v>
      </c>
      <c r="AA618">
        <v>1</v>
      </c>
      <c r="AB618" t="s">
        <v>2248</v>
      </c>
      <c r="AD618" t="s">
        <v>2471</v>
      </c>
      <c r="AE618" t="s">
        <v>145</v>
      </c>
      <c r="AF618" t="s">
        <v>146</v>
      </c>
      <c r="AG618" t="s">
        <v>2567</v>
      </c>
      <c r="AH618" t="s">
        <v>2572</v>
      </c>
      <c r="AI618" t="s">
        <v>90</v>
      </c>
      <c r="AJ618">
        <v>32.441026000000001</v>
      </c>
      <c r="AK618">
        <v>-110.785635</v>
      </c>
      <c r="AL618">
        <v>15</v>
      </c>
      <c r="AN618">
        <v>2759</v>
      </c>
      <c r="AP618">
        <v>2759</v>
      </c>
      <c r="AQ618">
        <v>2779.926031</v>
      </c>
      <c r="AT618">
        <v>9</v>
      </c>
      <c r="AU618">
        <v>9</v>
      </c>
      <c r="AV618">
        <v>2022</v>
      </c>
      <c r="AW618">
        <v>2438447</v>
      </c>
      <c r="AX618">
        <v>2438447</v>
      </c>
      <c r="AY618" t="s">
        <v>106</v>
      </c>
      <c r="AZ618" t="s">
        <v>92</v>
      </c>
      <c r="BA618" t="s">
        <v>107</v>
      </c>
      <c r="BB618" t="s">
        <v>2605</v>
      </c>
      <c r="BC618" t="s">
        <v>2245</v>
      </c>
      <c r="BE618" t="s">
        <v>96</v>
      </c>
      <c r="BG618" t="s">
        <v>2246</v>
      </c>
      <c r="BI618" t="s">
        <v>98</v>
      </c>
      <c r="BJ618" t="s">
        <v>2606</v>
      </c>
      <c r="BL618" t="s">
        <v>412</v>
      </c>
    </row>
    <row r="619" spans="1:64" hidden="1" x14ac:dyDescent="0.2">
      <c r="A619">
        <v>692</v>
      </c>
      <c r="B619">
        <v>4070420545</v>
      </c>
      <c r="C619" t="s">
        <v>101</v>
      </c>
      <c r="D619" t="s">
        <v>2607</v>
      </c>
      <c r="E619" t="s">
        <v>65</v>
      </c>
      <c r="F619" t="s">
        <v>66</v>
      </c>
      <c r="G619" t="s">
        <v>67</v>
      </c>
      <c r="H619" t="s">
        <v>68</v>
      </c>
      <c r="I619" t="s">
        <v>176</v>
      </c>
      <c r="J619" t="s">
        <v>773</v>
      </c>
      <c r="K619" t="s">
        <v>774</v>
      </c>
      <c r="M619" t="s">
        <v>72</v>
      </c>
      <c r="N619" t="s">
        <v>775</v>
      </c>
      <c r="O619" t="s">
        <v>774</v>
      </c>
      <c r="P619" t="s">
        <v>776</v>
      </c>
      <c r="Q619" t="s">
        <v>75</v>
      </c>
      <c r="R619" t="s">
        <v>2238</v>
      </c>
      <c r="S619" t="s">
        <v>2564</v>
      </c>
      <c r="T619" t="s">
        <v>78</v>
      </c>
      <c r="U619" t="s">
        <v>1822</v>
      </c>
      <c r="V619" t="s">
        <v>80</v>
      </c>
      <c r="W619" s="1">
        <v>44813</v>
      </c>
      <c r="X619" t="s">
        <v>1823</v>
      </c>
      <c r="Y619" t="s">
        <v>2565</v>
      </c>
      <c r="Z619" t="s">
        <v>83</v>
      </c>
      <c r="AA619">
        <v>1</v>
      </c>
      <c r="AB619" t="s">
        <v>2248</v>
      </c>
      <c r="AD619" t="s">
        <v>2467</v>
      </c>
      <c r="AE619" t="s">
        <v>145</v>
      </c>
      <c r="AF619" t="s">
        <v>146</v>
      </c>
      <c r="AG619" t="s">
        <v>2567</v>
      </c>
      <c r="AH619" t="s">
        <v>2572</v>
      </c>
      <c r="AI619" t="s">
        <v>90</v>
      </c>
      <c r="AJ619">
        <v>32.441026000000001</v>
      </c>
      <c r="AK619">
        <v>-110.785635</v>
      </c>
      <c r="AL619">
        <v>15</v>
      </c>
      <c r="AN619">
        <v>2759</v>
      </c>
      <c r="AP619">
        <v>2759</v>
      </c>
      <c r="AQ619">
        <v>2779.926031</v>
      </c>
      <c r="AT619">
        <v>9</v>
      </c>
      <c r="AU619">
        <v>9</v>
      </c>
      <c r="AV619">
        <v>2022</v>
      </c>
      <c r="AW619">
        <v>2438447</v>
      </c>
      <c r="AX619">
        <v>2438447</v>
      </c>
      <c r="AY619" t="s">
        <v>106</v>
      </c>
      <c r="AZ619" t="s">
        <v>92</v>
      </c>
      <c r="BA619" t="s">
        <v>107</v>
      </c>
      <c r="BB619" t="s">
        <v>2608</v>
      </c>
      <c r="BC619" t="s">
        <v>2245</v>
      </c>
      <c r="BE619" t="s">
        <v>96</v>
      </c>
      <c r="BG619" t="s">
        <v>2246</v>
      </c>
      <c r="BI619" t="s">
        <v>98</v>
      </c>
      <c r="BJ619" t="s">
        <v>2609</v>
      </c>
      <c r="BL619" t="s">
        <v>412</v>
      </c>
    </row>
    <row r="620" spans="1:64" hidden="1" x14ac:dyDescent="0.2">
      <c r="A620">
        <v>834</v>
      </c>
      <c r="B620">
        <v>4070420389</v>
      </c>
      <c r="C620" t="s">
        <v>101</v>
      </c>
      <c r="D620" t="s">
        <v>2610</v>
      </c>
      <c r="E620" t="s">
        <v>65</v>
      </c>
      <c r="F620" t="s">
        <v>66</v>
      </c>
      <c r="G620" t="s">
        <v>67</v>
      </c>
      <c r="H620" t="s">
        <v>68</v>
      </c>
      <c r="I620" t="s">
        <v>176</v>
      </c>
      <c r="J620" t="s">
        <v>773</v>
      </c>
      <c r="K620" t="s">
        <v>774</v>
      </c>
      <c r="M620" t="s">
        <v>72</v>
      </c>
      <c r="N620" t="s">
        <v>775</v>
      </c>
      <c r="O620" t="s">
        <v>774</v>
      </c>
      <c r="P620" t="s">
        <v>776</v>
      </c>
      <c r="Q620" t="s">
        <v>75</v>
      </c>
      <c r="R620" t="s">
        <v>2238</v>
      </c>
      <c r="S620" t="s">
        <v>2611</v>
      </c>
      <c r="T620" t="s">
        <v>78</v>
      </c>
      <c r="U620" t="s">
        <v>1822</v>
      </c>
      <c r="V620" t="s">
        <v>80</v>
      </c>
      <c r="W620" s="1">
        <v>44813</v>
      </c>
      <c r="X620" t="s">
        <v>1823</v>
      </c>
      <c r="Y620" t="s">
        <v>2612</v>
      </c>
      <c r="Z620" t="s">
        <v>83</v>
      </c>
      <c r="AA620">
        <v>1</v>
      </c>
      <c r="AB620" t="s">
        <v>103</v>
      </c>
      <c r="AD620" t="s">
        <v>343</v>
      </c>
      <c r="AE620" t="s">
        <v>145</v>
      </c>
      <c r="AF620" t="s">
        <v>281</v>
      </c>
      <c r="AI620" t="s">
        <v>90</v>
      </c>
      <c r="AJ620">
        <v>32.441353999999997</v>
      </c>
      <c r="AK620">
        <v>-110.787865</v>
      </c>
      <c r="AL620">
        <v>15</v>
      </c>
      <c r="AN620">
        <v>2777</v>
      </c>
      <c r="AP620">
        <v>2777</v>
      </c>
      <c r="AQ620">
        <v>2790.812406</v>
      </c>
      <c r="AT620">
        <v>9</v>
      </c>
      <c r="AU620">
        <v>9</v>
      </c>
      <c r="AV620">
        <v>2022</v>
      </c>
      <c r="AW620">
        <v>2438447</v>
      </c>
      <c r="AX620">
        <v>2438447</v>
      </c>
      <c r="AY620" t="s">
        <v>106</v>
      </c>
      <c r="AZ620" t="s">
        <v>92</v>
      </c>
      <c r="BA620" t="s">
        <v>107</v>
      </c>
      <c r="BB620" t="s">
        <v>2613</v>
      </c>
      <c r="BC620" t="s">
        <v>2245</v>
      </c>
      <c r="BE620" t="s">
        <v>96</v>
      </c>
      <c r="BG620" t="s">
        <v>2246</v>
      </c>
      <c r="BI620" t="s">
        <v>98</v>
      </c>
      <c r="BJ620" t="s">
        <v>2576</v>
      </c>
      <c r="BL620" t="s">
        <v>412</v>
      </c>
    </row>
    <row r="621" spans="1:64" hidden="1" x14ac:dyDescent="0.2">
      <c r="A621">
        <v>914</v>
      </c>
      <c r="B621">
        <v>4070420307</v>
      </c>
      <c r="C621" t="s">
        <v>101</v>
      </c>
      <c r="D621" t="s">
        <v>2952</v>
      </c>
      <c r="E621" t="s">
        <v>65</v>
      </c>
      <c r="F621" t="s">
        <v>66</v>
      </c>
      <c r="G621" t="s">
        <v>67</v>
      </c>
      <c r="H621" t="s">
        <v>68</v>
      </c>
      <c r="I621" t="s">
        <v>176</v>
      </c>
      <c r="J621" t="s">
        <v>177</v>
      </c>
      <c r="K621" t="s">
        <v>178</v>
      </c>
      <c r="M621" t="s">
        <v>72</v>
      </c>
      <c r="N621" t="s">
        <v>179</v>
      </c>
      <c r="O621" t="s">
        <v>178</v>
      </c>
      <c r="P621" t="s">
        <v>180</v>
      </c>
      <c r="Q621" t="s">
        <v>75</v>
      </c>
      <c r="R621" t="s">
        <v>2806</v>
      </c>
      <c r="S621" t="s">
        <v>823</v>
      </c>
      <c r="T621" t="s">
        <v>78</v>
      </c>
      <c r="U621" t="s">
        <v>1822</v>
      </c>
      <c r="V621" t="s">
        <v>80</v>
      </c>
      <c r="W621" s="1">
        <v>44814</v>
      </c>
      <c r="X621" t="s">
        <v>2778</v>
      </c>
      <c r="Y621" t="s">
        <v>2953</v>
      </c>
      <c r="Z621" t="s">
        <v>83</v>
      </c>
      <c r="AA621">
        <v>1</v>
      </c>
      <c r="AB621" t="s">
        <v>127</v>
      </c>
      <c r="AC621">
        <v>0</v>
      </c>
      <c r="AD621" t="s">
        <v>128</v>
      </c>
      <c r="AE621" t="s">
        <v>86</v>
      </c>
      <c r="AF621" t="s">
        <v>146</v>
      </c>
      <c r="AI621" t="s">
        <v>90</v>
      </c>
      <c r="AJ621">
        <v>32.452317000000001</v>
      </c>
      <c r="AK621">
        <v>-110.746362</v>
      </c>
      <c r="AL621">
        <v>3</v>
      </c>
      <c r="AN621">
        <v>2208</v>
      </c>
      <c r="AP621">
        <v>2208</v>
      </c>
      <c r="AQ621">
        <v>2209.284455</v>
      </c>
      <c r="AT621">
        <v>10</v>
      </c>
      <c r="AU621">
        <v>9</v>
      </c>
      <c r="AV621">
        <v>2022</v>
      </c>
      <c r="AW621">
        <v>2438038</v>
      </c>
      <c r="AX621">
        <v>2438038</v>
      </c>
      <c r="AY621" t="s">
        <v>106</v>
      </c>
      <c r="AZ621" t="s">
        <v>92</v>
      </c>
      <c r="BA621" t="s">
        <v>107</v>
      </c>
      <c r="BB621" t="s">
        <v>2954</v>
      </c>
      <c r="BC621" t="s">
        <v>2245</v>
      </c>
      <c r="BE621" t="s">
        <v>96</v>
      </c>
      <c r="BG621" t="s">
        <v>2811</v>
      </c>
      <c r="BI621" t="s">
        <v>98</v>
      </c>
      <c r="BJ621" t="s">
        <v>2940</v>
      </c>
      <c r="BL621" t="s">
        <v>412</v>
      </c>
    </row>
    <row r="622" spans="1:64" hidden="1" x14ac:dyDescent="0.2">
      <c r="A622">
        <v>911</v>
      </c>
      <c r="B622">
        <v>4070420311</v>
      </c>
      <c r="C622" t="s">
        <v>101</v>
      </c>
      <c r="D622" t="s">
        <v>2957</v>
      </c>
      <c r="E622" t="s">
        <v>65</v>
      </c>
      <c r="F622" t="s">
        <v>66</v>
      </c>
      <c r="G622" t="s">
        <v>67</v>
      </c>
      <c r="H622" t="s">
        <v>68</v>
      </c>
      <c r="I622" t="s">
        <v>176</v>
      </c>
      <c r="J622" t="s">
        <v>177</v>
      </c>
      <c r="K622" t="s">
        <v>178</v>
      </c>
      <c r="M622" t="s">
        <v>72</v>
      </c>
      <c r="N622" t="s">
        <v>179</v>
      </c>
      <c r="O622" t="s">
        <v>178</v>
      </c>
      <c r="P622" t="s">
        <v>180</v>
      </c>
      <c r="Q622" t="s">
        <v>75</v>
      </c>
      <c r="R622" t="s">
        <v>2806</v>
      </c>
      <c r="S622" t="s">
        <v>830</v>
      </c>
      <c r="T622" t="s">
        <v>78</v>
      </c>
      <c r="U622" t="s">
        <v>1822</v>
      </c>
      <c r="V622" t="s">
        <v>80</v>
      </c>
      <c r="W622" s="1">
        <v>44814</v>
      </c>
      <c r="X622" t="s">
        <v>2778</v>
      </c>
      <c r="Y622" t="s">
        <v>2958</v>
      </c>
      <c r="Z622" t="s">
        <v>83</v>
      </c>
      <c r="AA622">
        <v>1</v>
      </c>
      <c r="AB622" t="s">
        <v>127</v>
      </c>
      <c r="AC622">
        <v>0</v>
      </c>
      <c r="AD622" t="s">
        <v>128</v>
      </c>
      <c r="AE622" t="s">
        <v>145</v>
      </c>
      <c r="AF622" t="s">
        <v>146</v>
      </c>
      <c r="AI622" t="s">
        <v>90</v>
      </c>
      <c r="AJ622">
        <v>32.452244999999998</v>
      </c>
      <c r="AK622">
        <v>-110.746408</v>
      </c>
      <c r="AL622">
        <v>3</v>
      </c>
      <c r="AN622">
        <v>2205</v>
      </c>
      <c r="AP622">
        <v>2205</v>
      </c>
      <c r="AQ622">
        <v>2207.1639970000001</v>
      </c>
      <c r="AT622">
        <v>10</v>
      </c>
      <c r="AU622">
        <v>9</v>
      </c>
      <c r="AV622">
        <v>2022</v>
      </c>
      <c r="AW622">
        <v>2438038</v>
      </c>
      <c r="AX622">
        <v>2438038</v>
      </c>
      <c r="AY622" t="s">
        <v>106</v>
      </c>
      <c r="AZ622" t="s">
        <v>92</v>
      </c>
      <c r="BA622" t="s">
        <v>107</v>
      </c>
      <c r="BB622" t="s">
        <v>2959</v>
      </c>
      <c r="BC622" t="s">
        <v>2245</v>
      </c>
      <c r="BE622" t="s">
        <v>96</v>
      </c>
      <c r="BG622" t="s">
        <v>2811</v>
      </c>
      <c r="BI622" t="s">
        <v>98</v>
      </c>
      <c r="BJ622" t="s">
        <v>1724</v>
      </c>
      <c r="BL622" t="s">
        <v>412</v>
      </c>
    </row>
    <row r="623" spans="1:64" hidden="1" x14ac:dyDescent="0.2">
      <c r="A623">
        <v>848</v>
      </c>
      <c r="B623">
        <v>4070420375</v>
      </c>
      <c r="C623" t="s">
        <v>101</v>
      </c>
      <c r="D623" s="2" t="s">
        <v>2620</v>
      </c>
      <c r="E623" t="s">
        <v>65</v>
      </c>
      <c r="F623" t="s">
        <v>66</v>
      </c>
      <c r="G623" t="s">
        <v>67</v>
      </c>
      <c r="H623" t="s">
        <v>68</v>
      </c>
      <c r="I623" t="s">
        <v>176</v>
      </c>
      <c r="J623" t="s">
        <v>773</v>
      </c>
      <c r="K623" t="s">
        <v>774</v>
      </c>
      <c r="M623" t="s">
        <v>72</v>
      </c>
      <c r="N623" t="s">
        <v>775</v>
      </c>
      <c r="O623" t="s">
        <v>774</v>
      </c>
      <c r="P623" t="s">
        <v>776</v>
      </c>
      <c r="Q623" t="s">
        <v>75</v>
      </c>
      <c r="R623" t="s">
        <v>2238</v>
      </c>
      <c r="S623" t="s">
        <v>2617</v>
      </c>
      <c r="T623" t="s">
        <v>78</v>
      </c>
      <c r="U623" t="s">
        <v>1822</v>
      </c>
      <c r="V623" t="s">
        <v>80</v>
      </c>
      <c r="W623" s="1">
        <v>44813</v>
      </c>
      <c r="X623" t="s">
        <v>1823</v>
      </c>
      <c r="Y623" t="s">
        <v>2618</v>
      </c>
      <c r="Z623" t="s">
        <v>83</v>
      </c>
      <c r="AA623">
        <v>1</v>
      </c>
      <c r="AB623" t="s">
        <v>103</v>
      </c>
      <c r="AD623" t="s">
        <v>343</v>
      </c>
      <c r="AE623" t="s">
        <v>145</v>
      </c>
      <c r="AF623" t="s">
        <v>146</v>
      </c>
      <c r="AI623" t="s">
        <v>90</v>
      </c>
      <c r="AJ623">
        <v>32.441271999999998</v>
      </c>
      <c r="AK623">
        <v>-110.78746</v>
      </c>
      <c r="AL623">
        <v>15</v>
      </c>
      <c r="AN623">
        <v>2773</v>
      </c>
      <c r="AP623">
        <v>2773</v>
      </c>
      <c r="AQ623">
        <v>2787.2139900000002</v>
      </c>
      <c r="AT623">
        <v>9</v>
      </c>
      <c r="AU623">
        <v>9</v>
      </c>
      <c r="AV623">
        <v>2022</v>
      </c>
      <c r="AW623">
        <v>2438447</v>
      </c>
      <c r="AX623">
        <v>2438447</v>
      </c>
      <c r="AY623" t="s">
        <v>106</v>
      </c>
      <c r="AZ623" t="s">
        <v>92</v>
      </c>
      <c r="BA623" t="s">
        <v>107</v>
      </c>
      <c r="BB623" t="s">
        <v>2621</v>
      </c>
      <c r="BC623" t="s">
        <v>2245</v>
      </c>
      <c r="BE623" t="s">
        <v>96</v>
      </c>
      <c r="BG623" t="s">
        <v>2246</v>
      </c>
      <c r="BI623" t="s">
        <v>98</v>
      </c>
      <c r="BJ623" t="s">
        <v>1850</v>
      </c>
      <c r="BL623" t="s">
        <v>412</v>
      </c>
    </row>
    <row r="624" spans="1:64" hidden="1" x14ac:dyDescent="0.2">
      <c r="A624">
        <v>859</v>
      </c>
      <c r="B624">
        <v>4070420364</v>
      </c>
      <c r="C624" t="s">
        <v>101</v>
      </c>
      <c r="D624" t="s">
        <v>2962</v>
      </c>
      <c r="E624" t="s">
        <v>65</v>
      </c>
      <c r="F624" t="s">
        <v>66</v>
      </c>
      <c r="G624" t="s">
        <v>67</v>
      </c>
      <c r="H624" t="s">
        <v>68</v>
      </c>
      <c r="I624" t="s">
        <v>176</v>
      </c>
      <c r="J624" t="s">
        <v>177</v>
      </c>
      <c r="K624" t="s">
        <v>178</v>
      </c>
      <c r="M624" t="s">
        <v>72</v>
      </c>
      <c r="N624" t="s">
        <v>179</v>
      </c>
      <c r="O624" t="s">
        <v>178</v>
      </c>
      <c r="P624" t="s">
        <v>180</v>
      </c>
      <c r="Q624" t="s">
        <v>75</v>
      </c>
      <c r="R624" t="s">
        <v>2806</v>
      </c>
      <c r="S624" t="s">
        <v>2963</v>
      </c>
      <c r="T624" t="s">
        <v>78</v>
      </c>
      <c r="U624" t="s">
        <v>1822</v>
      </c>
      <c r="V624" t="s">
        <v>80</v>
      </c>
      <c r="W624" s="1">
        <v>44814</v>
      </c>
      <c r="X624" t="s">
        <v>2778</v>
      </c>
      <c r="Y624" t="s">
        <v>2964</v>
      </c>
      <c r="Z624" t="s">
        <v>83</v>
      </c>
      <c r="AA624">
        <v>1</v>
      </c>
      <c r="AB624" t="s">
        <v>127</v>
      </c>
      <c r="AC624">
        <v>0</v>
      </c>
      <c r="AD624" t="s">
        <v>128</v>
      </c>
      <c r="AE624" t="s">
        <v>86</v>
      </c>
      <c r="AF624" t="s">
        <v>146</v>
      </c>
      <c r="AI624" t="s">
        <v>90</v>
      </c>
      <c r="AJ624">
        <v>32.453946000000002</v>
      </c>
      <c r="AK624">
        <v>-110.74514000000001</v>
      </c>
      <c r="AL624">
        <v>3</v>
      </c>
      <c r="AN624">
        <v>2193</v>
      </c>
      <c r="AP624">
        <v>2193</v>
      </c>
      <c r="AQ624">
        <v>2207.946019</v>
      </c>
      <c r="AT624">
        <v>10</v>
      </c>
      <c r="AU624">
        <v>9</v>
      </c>
      <c r="AV624">
        <v>2022</v>
      </c>
      <c r="AW624">
        <v>2438038</v>
      </c>
      <c r="AX624">
        <v>2438038</v>
      </c>
      <c r="AY624" t="s">
        <v>106</v>
      </c>
      <c r="AZ624" t="s">
        <v>92</v>
      </c>
      <c r="BA624" t="s">
        <v>107</v>
      </c>
      <c r="BB624" t="s">
        <v>2965</v>
      </c>
      <c r="BC624" t="s">
        <v>2245</v>
      </c>
      <c r="BE624" t="s">
        <v>96</v>
      </c>
      <c r="BG624" t="s">
        <v>2811</v>
      </c>
      <c r="BI624" t="s">
        <v>98</v>
      </c>
      <c r="BJ624" t="s">
        <v>2966</v>
      </c>
      <c r="BL624" t="s">
        <v>412</v>
      </c>
    </row>
    <row r="625" spans="1:64" hidden="1" x14ac:dyDescent="0.2">
      <c r="A625">
        <v>786</v>
      </c>
      <c r="B625">
        <v>4070420445</v>
      </c>
      <c r="C625" t="s">
        <v>101</v>
      </c>
      <c r="D625" t="s">
        <v>2626</v>
      </c>
      <c r="E625" t="s">
        <v>65</v>
      </c>
      <c r="F625" t="s">
        <v>66</v>
      </c>
      <c r="G625" t="s">
        <v>67</v>
      </c>
      <c r="H625" t="s">
        <v>68</v>
      </c>
      <c r="I625" t="s">
        <v>176</v>
      </c>
      <c r="J625" t="s">
        <v>177</v>
      </c>
      <c r="K625" t="s">
        <v>1817</v>
      </c>
      <c r="M625" t="s">
        <v>72</v>
      </c>
      <c r="N625" t="s">
        <v>1818</v>
      </c>
      <c r="O625" t="s">
        <v>1817</v>
      </c>
      <c r="P625" t="s">
        <v>1819</v>
      </c>
      <c r="Q625" t="s">
        <v>75</v>
      </c>
      <c r="R625" t="s">
        <v>2238</v>
      </c>
      <c r="S625" t="s">
        <v>1039</v>
      </c>
      <c r="T625" t="s">
        <v>78</v>
      </c>
      <c r="U625" t="s">
        <v>1822</v>
      </c>
      <c r="V625" t="s">
        <v>1179</v>
      </c>
      <c r="W625" s="1">
        <v>44813</v>
      </c>
      <c r="X625" t="s">
        <v>1823</v>
      </c>
      <c r="Y625" t="s">
        <v>2623</v>
      </c>
      <c r="Z625" t="s">
        <v>83</v>
      </c>
      <c r="AA625">
        <v>1</v>
      </c>
      <c r="AB625" t="s">
        <v>103</v>
      </c>
      <c r="AD625" t="s">
        <v>343</v>
      </c>
      <c r="AE625" t="s">
        <v>145</v>
      </c>
      <c r="AF625" t="s">
        <v>281</v>
      </c>
      <c r="AI625" t="s">
        <v>90</v>
      </c>
      <c r="AJ625">
        <v>32.439850999999997</v>
      </c>
      <c r="AK625">
        <v>-110.78871700000001</v>
      </c>
      <c r="AL625">
        <v>3</v>
      </c>
      <c r="AN625">
        <v>2773</v>
      </c>
      <c r="AP625">
        <v>2773</v>
      </c>
      <c r="AQ625">
        <v>2776.1197520000001</v>
      </c>
      <c r="AT625">
        <v>9</v>
      </c>
      <c r="AU625">
        <v>9</v>
      </c>
      <c r="AV625">
        <v>2022</v>
      </c>
      <c r="AW625">
        <v>2437967</v>
      </c>
      <c r="AX625">
        <v>2437967</v>
      </c>
      <c r="AY625" t="s">
        <v>106</v>
      </c>
      <c r="AZ625" t="s">
        <v>92</v>
      </c>
      <c r="BA625" t="s">
        <v>107</v>
      </c>
      <c r="BB625" t="s">
        <v>2627</v>
      </c>
      <c r="BC625" t="s">
        <v>2245</v>
      </c>
      <c r="BE625" t="s">
        <v>96</v>
      </c>
      <c r="BG625" t="s">
        <v>2246</v>
      </c>
      <c r="BI625" t="s">
        <v>98</v>
      </c>
      <c r="BJ625" t="s">
        <v>2628</v>
      </c>
      <c r="BL625" t="s">
        <v>110</v>
      </c>
    </row>
    <row r="626" spans="1:64" hidden="1" x14ac:dyDescent="0.2">
      <c r="A626">
        <v>855</v>
      </c>
      <c r="B626">
        <v>4070420368</v>
      </c>
      <c r="C626" t="s">
        <v>101</v>
      </c>
      <c r="D626" t="s">
        <v>2969</v>
      </c>
      <c r="E626" t="s">
        <v>65</v>
      </c>
      <c r="F626" t="s">
        <v>66</v>
      </c>
      <c r="G626" t="s">
        <v>67</v>
      </c>
      <c r="H626" t="s">
        <v>68</v>
      </c>
      <c r="I626" t="s">
        <v>176</v>
      </c>
      <c r="J626" t="s">
        <v>177</v>
      </c>
      <c r="K626" t="s">
        <v>178</v>
      </c>
      <c r="M626" t="s">
        <v>72</v>
      </c>
      <c r="N626" t="s">
        <v>179</v>
      </c>
      <c r="O626" t="s">
        <v>178</v>
      </c>
      <c r="P626" t="s">
        <v>180</v>
      </c>
      <c r="Q626" t="s">
        <v>75</v>
      </c>
      <c r="R626" t="s">
        <v>2806</v>
      </c>
      <c r="S626" t="s">
        <v>2091</v>
      </c>
      <c r="T626" t="s">
        <v>78</v>
      </c>
      <c r="U626" t="s">
        <v>1822</v>
      </c>
      <c r="V626" t="s">
        <v>80</v>
      </c>
      <c r="W626" s="1">
        <v>44814</v>
      </c>
      <c r="X626" t="s">
        <v>2778</v>
      </c>
      <c r="Y626" t="s">
        <v>2970</v>
      </c>
      <c r="Z626" t="s">
        <v>83</v>
      </c>
      <c r="AA626">
        <v>1</v>
      </c>
      <c r="AB626" t="s">
        <v>127</v>
      </c>
      <c r="AC626">
        <v>0</v>
      </c>
      <c r="AD626" t="s">
        <v>128</v>
      </c>
      <c r="AE626" t="s">
        <v>86</v>
      </c>
      <c r="AF626" t="s">
        <v>146</v>
      </c>
      <c r="AI626" t="s">
        <v>90</v>
      </c>
      <c r="AJ626">
        <v>32.451875000000001</v>
      </c>
      <c r="AK626">
        <v>-110.74621999999999</v>
      </c>
      <c r="AL626">
        <v>30</v>
      </c>
      <c r="AN626">
        <v>2195</v>
      </c>
      <c r="AP626">
        <v>2195</v>
      </c>
      <c r="AQ626">
        <v>2196.0579980000002</v>
      </c>
      <c r="AT626">
        <v>10</v>
      </c>
      <c r="AU626">
        <v>9</v>
      </c>
      <c r="AV626">
        <v>2022</v>
      </c>
      <c r="AW626">
        <v>2438038</v>
      </c>
      <c r="AX626">
        <v>2438038</v>
      </c>
      <c r="AY626" t="s">
        <v>106</v>
      </c>
      <c r="AZ626" t="s">
        <v>92</v>
      </c>
      <c r="BA626" t="s">
        <v>107</v>
      </c>
      <c r="BB626" t="s">
        <v>2971</v>
      </c>
      <c r="BC626" t="s">
        <v>2245</v>
      </c>
      <c r="BE626" t="s">
        <v>96</v>
      </c>
      <c r="BG626" t="s">
        <v>2811</v>
      </c>
      <c r="BI626" t="s">
        <v>98</v>
      </c>
      <c r="BJ626" t="s">
        <v>2972</v>
      </c>
      <c r="BL626" t="s">
        <v>412</v>
      </c>
    </row>
    <row r="627" spans="1:64" hidden="1" x14ac:dyDescent="0.2">
      <c r="A627">
        <v>782</v>
      </c>
      <c r="B627">
        <v>4070420451</v>
      </c>
      <c r="C627" t="s">
        <v>101</v>
      </c>
      <c r="D627" t="s">
        <v>2633</v>
      </c>
      <c r="E627" t="s">
        <v>65</v>
      </c>
      <c r="F627" t="s">
        <v>66</v>
      </c>
      <c r="G627" t="s">
        <v>67</v>
      </c>
      <c r="H627" t="s">
        <v>68</v>
      </c>
      <c r="I627" t="s">
        <v>176</v>
      </c>
      <c r="J627" t="s">
        <v>177</v>
      </c>
      <c r="K627" t="s">
        <v>1817</v>
      </c>
      <c r="M627" t="s">
        <v>72</v>
      </c>
      <c r="N627" t="s">
        <v>1818</v>
      </c>
      <c r="O627" t="s">
        <v>1817</v>
      </c>
      <c r="P627" t="s">
        <v>1819</v>
      </c>
      <c r="Q627" t="s">
        <v>75</v>
      </c>
      <c r="R627" t="s">
        <v>2238</v>
      </c>
      <c r="S627" t="s">
        <v>1032</v>
      </c>
      <c r="T627" t="s">
        <v>78</v>
      </c>
      <c r="U627" t="s">
        <v>1822</v>
      </c>
      <c r="V627" t="s">
        <v>1179</v>
      </c>
      <c r="W627" s="1">
        <v>44813</v>
      </c>
      <c r="X627" t="s">
        <v>1823</v>
      </c>
      <c r="Y627" t="s">
        <v>2630</v>
      </c>
      <c r="Z627" t="s">
        <v>83</v>
      </c>
      <c r="AA627">
        <v>1</v>
      </c>
      <c r="AB627" t="s">
        <v>103</v>
      </c>
      <c r="AD627" t="s">
        <v>343</v>
      </c>
      <c r="AE627" t="s">
        <v>145</v>
      </c>
      <c r="AF627" t="s">
        <v>281</v>
      </c>
      <c r="AI627" t="s">
        <v>90</v>
      </c>
      <c r="AJ627">
        <v>32.439624999999999</v>
      </c>
      <c r="AK627">
        <v>-110.788471</v>
      </c>
      <c r="AL627">
        <v>3</v>
      </c>
      <c r="AN627">
        <v>2767</v>
      </c>
      <c r="AP627">
        <v>2767</v>
      </c>
      <c r="AQ627">
        <v>2770.9076180000002</v>
      </c>
      <c r="AT627">
        <v>9</v>
      </c>
      <c r="AU627">
        <v>9</v>
      </c>
      <c r="AV627">
        <v>2022</v>
      </c>
      <c r="AW627">
        <v>2437967</v>
      </c>
      <c r="AX627">
        <v>2437967</v>
      </c>
      <c r="AY627" t="s">
        <v>106</v>
      </c>
      <c r="AZ627" t="s">
        <v>92</v>
      </c>
      <c r="BA627" t="s">
        <v>107</v>
      </c>
      <c r="BB627" t="s">
        <v>2634</v>
      </c>
      <c r="BC627" t="s">
        <v>2245</v>
      </c>
      <c r="BE627" t="s">
        <v>96</v>
      </c>
      <c r="BG627" t="s">
        <v>2246</v>
      </c>
      <c r="BI627" t="s">
        <v>98</v>
      </c>
      <c r="BJ627" t="s">
        <v>2632</v>
      </c>
      <c r="BL627" t="s">
        <v>110</v>
      </c>
    </row>
    <row r="628" spans="1:64" hidden="1" x14ac:dyDescent="0.2">
      <c r="A628">
        <v>872</v>
      </c>
      <c r="B628">
        <v>4070420351</v>
      </c>
      <c r="C628" t="s">
        <v>101</v>
      </c>
      <c r="D628" t="s">
        <v>2975</v>
      </c>
      <c r="E628" t="s">
        <v>65</v>
      </c>
      <c r="F628" t="s">
        <v>66</v>
      </c>
      <c r="G628" t="s">
        <v>67</v>
      </c>
      <c r="H628" t="s">
        <v>68</v>
      </c>
      <c r="I628" t="s">
        <v>176</v>
      </c>
      <c r="J628" t="s">
        <v>177</v>
      </c>
      <c r="K628" t="s">
        <v>178</v>
      </c>
      <c r="M628" t="s">
        <v>72</v>
      </c>
      <c r="N628" t="s">
        <v>179</v>
      </c>
      <c r="O628" t="s">
        <v>178</v>
      </c>
      <c r="P628" t="s">
        <v>180</v>
      </c>
      <c r="Q628" t="s">
        <v>75</v>
      </c>
      <c r="R628" t="s">
        <v>2806</v>
      </c>
      <c r="S628" t="s">
        <v>838</v>
      </c>
      <c r="T628" t="s">
        <v>78</v>
      </c>
      <c r="U628" t="s">
        <v>1822</v>
      </c>
      <c r="V628" t="s">
        <v>80</v>
      </c>
      <c r="W628" s="1">
        <v>44814</v>
      </c>
      <c r="X628" t="s">
        <v>2778</v>
      </c>
      <c r="Y628" t="s">
        <v>2976</v>
      </c>
      <c r="Z628" t="s">
        <v>83</v>
      </c>
      <c r="AA628">
        <v>1</v>
      </c>
      <c r="AB628" t="s">
        <v>127</v>
      </c>
      <c r="AC628">
        <v>0</v>
      </c>
      <c r="AD628" t="s">
        <v>128</v>
      </c>
      <c r="AE628" t="s">
        <v>86</v>
      </c>
      <c r="AF628" t="s">
        <v>146</v>
      </c>
      <c r="AI628" t="s">
        <v>90</v>
      </c>
      <c r="AJ628">
        <v>32.451875000000001</v>
      </c>
      <c r="AK628">
        <v>-110.74621999999999</v>
      </c>
      <c r="AL628">
        <v>30</v>
      </c>
      <c r="AN628">
        <v>2195</v>
      </c>
      <c r="AP628">
        <v>2195</v>
      </c>
      <c r="AQ628">
        <v>2196.0579980000002</v>
      </c>
      <c r="AT628">
        <v>10</v>
      </c>
      <c r="AU628">
        <v>9</v>
      </c>
      <c r="AV628">
        <v>2022</v>
      </c>
      <c r="AW628">
        <v>2438038</v>
      </c>
      <c r="AX628">
        <v>2438038</v>
      </c>
      <c r="AY628" t="s">
        <v>106</v>
      </c>
      <c r="AZ628" t="s">
        <v>92</v>
      </c>
      <c r="BA628" t="s">
        <v>107</v>
      </c>
      <c r="BB628" t="s">
        <v>2977</v>
      </c>
      <c r="BC628" t="s">
        <v>2245</v>
      </c>
      <c r="BE628" t="s">
        <v>96</v>
      </c>
      <c r="BG628" t="s">
        <v>2811</v>
      </c>
      <c r="BI628" t="s">
        <v>98</v>
      </c>
      <c r="BJ628" t="s">
        <v>2932</v>
      </c>
      <c r="BL628" t="s">
        <v>412</v>
      </c>
    </row>
    <row r="629" spans="1:64" hidden="1" x14ac:dyDescent="0.2">
      <c r="A629">
        <v>778</v>
      </c>
      <c r="B629">
        <v>4070420457</v>
      </c>
      <c r="C629" t="s">
        <v>101</v>
      </c>
      <c r="D629" t="s">
        <v>2638</v>
      </c>
      <c r="E629" t="s">
        <v>65</v>
      </c>
      <c r="F629" t="s">
        <v>66</v>
      </c>
      <c r="G629" t="s">
        <v>67</v>
      </c>
      <c r="H629" t="s">
        <v>68</v>
      </c>
      <c r="I629" t="s">
        <v>176</v>
      </c>
      <c r="J629" t="s">
        <v>177</v>
      </c>
      <c r="K629" t="s">
        <v>1817</v>
      </c>
      <c r="M629" t="s">
        <v>72</v>
      </c>
      <c r="N629" t="s">
        <v>1818</v>
      </c>
      <c r="O629" t="s">
        <v>1817</v>
      </c>
      <c r="P629" t="s">
        <v>1819</v>
      </c>
      <c r="Q629" t="s">
        <v>75</v>
      </c>
      <c r="R629" t="s">
        <v>2238</v>
      </c>
      <c r="S629" t="s">
        <v>987</v>
      </c>
      <c r="T629" t="s">
        <v>78</v>
      </c>
      <c r="U629" t="s">
        <v>1822</v>
      </c>
      <c r="V629" t="s">
        <v>1179</v>
      </c>
      <c r="W629" s="1">
        <v>44813</v>
      </c>
      <c r="X629" t="s">
        <v>1823</v>
      </c>
      <c r="Y629" t="s">
        <v>2636</v>
      </c>
      <c r="Z629" t="s">
        <v>83</v>
      </c>
      <c r="AA629">
        <v>1</v>
      </c>
      <c r="AB629" t="s">
        <v>103</v>
      </c>
      <c r="AD629" t="s">
        <v>343</v>
      </c>
      <c r="AE629" t="s">
        <v>86</v>
      </c>
      <c r="AF629" t="s">
        <v>146</v>
      </c>
      <c r="AI629" t="s">
        <v>90</v>
      </c>
      <c r="AJ629">
        <v>32.439701999999997</v>
      </c>
      <c r="AK629">
        <v>-110.788293</v>
      </c>
      <c r="AL629">
        <v>3</v>
      </c>
      <c r="AN629">
        <v>2780</v>
      </c>
      <c r="AP629">
        <v>2780</v>
      </c>
      <c r="AQ629">
        <v>2769.668111</v>
      </c>
      <c r="AT629">
        <v>9</v>
      </c>
      <c r="AU629">
        <v>9</v>
      </c>
      <c r="AV629">
        <v>2022</v>
      </c>
      <c r="AW629">
        <v>2437967</v>
      </c>
      <c r="AX629">
        <v>2437967</v>
      </c>
      <c r="AY629" t="s">
        <v>106</v>
      </c>
      <c r="AZ629" t="s">
        <v>92</v>
      </c>
      <c r="BA629" t="s">
        <v>107</v>
      </c>
      <c r="BB629" t="s">
        <v>2639</v>
      </c>
      <c r="BC629" t="s">
        <v>2245</v>
      </c>
      <c r="BE629" t="s">
        <v>96</v>
      </c>
      <c r="BG629" t="s">
        <v>2246</v>
      </c>
      <c r="BI629" t="s">
        <v>98</v>
      </c>
      <c r="BJ629" t="s">
        <v>2640</v>
      </c>
      <c r="BL629" t="s">
        <v>110</v>
      </c>
    </row>
    <row r="630" spans="1:64" hidden="1" x14ac:dyDescent="0.2">
      <c r="A630">
        <v>868</v>
      </c>
      <c r="B630">
        <v>4070420355</v>
      </c>
      <c r="C630" t="s">
        <v>101</v>
      </c>
      <c r="D630" t="s">
        <v>2981</v>
      </c>
      <c r="E630" t="s">
        <v>65</v>
      </c>
      <c r="F630" t="s">
        <v>66</v>
      </c>
      <c r="G630" t="s">
        <v>67</v>
      </c>
      <c r="H630" t="s">
        <v>68</v>
      </c>
      <c r="I630" t="s">
        <v>176</v>
      </c>
      <c r="J630" t="s">
        <v>177</v>
      </c>
      <c r="K630" t="s">
        <v>178</v>
      </c>
      <c r="M630" t="s">
        <v>72</v>
      </c>
      <c r="N630" t="s">
        <v>179</v>
      </c>
      <c r="O630" t="s">
        <v>178</v>
      </c>
      <c r="P630" t="s">
        <v>180</v>
      </c>
      <c r="Q630" t="s">
        <v>75</v>
      </c>
      <c r="R630" t="s">
        <v>2806</v>
      </c>
      <c r="S630" t="s">
        <v>2982</v>
      </c>
      <c r="T630" t="s">
        <v>78</v>
      </c>
      <c r="U630" t="s">
        <v>1822</v>
      </c>
      <c r="V630" t="s">
        <v>80</v>
      </c>
      <c r="W630" s="1">
        <v>44814</v>
      </c>
      <c r="X630" t="s">
        <v>2778</v>
      </c>
      <c r="Y630" t="s">
        <v>2983</v>
      </c>
      <c r="Z630" t="s">
        <v>83</v>
      </c>
      <c r="AA630">
        <v>1</v>
      </c>
      <c r="AB630" t="s">
        <v>127</v>
      </c>
      <c r="AC630">
        <v>0</v>
      </c>
      <c r="AD630" t="s">
        <v>128</v>
      </c>
      <c r="AE630" t="s">
        <v>145</v>
      </c>
      <c r="AF630" t="s">
        <v>146</v>
      </c>
      <c r="AI630" t="s">
        <v>90</v>
      </c>
      <c r="AJ630">
        <v>32.454039000000002</v>
      </c>
      <c r="AK630">
        <v>-110.74514600000001</v>
      </c>
      <c r="AL630">
        <v>3</v>
      </c>
      <c r="AN630">
        <v>2194</v>
      </c>
      <c r="AP630">
        <v>2194</v>
      </c>
      <c r="AQ630">
        <v>2208.0508300000001</v>
      </c>
      <c r="AT630">
        <v>10</v>
      </c>
      <c r="AU630">
        <v>9</v>
      </c>
      <c r="AV630">
        <v>2022</v>
      </c>
      <c r="AW630">
        <v>2438038</v>
      </c>
      <c r="AX630">
        <v>2438038</v>
      </c>
      <c r="AY630" t="s">
        <v>106</v>
      </c>
      <c r="AZ630" t="s">
        <v>92</v>
      </c>
      <c r="BA630" t="s">
        <v>107</v>
      </c>
      <c r="BB630" t="s">
        <v>2984</v>
      </c>
      <c r="BC630" t="s">
        <v>2245</v>
      </c>
      <c r="BE630" t="s">
        <v>96</v>
      </c>
      <c r="BG630" t="s">
        <v>2811</v>
      </c>
      <c r="BI630" t="s">
        <v>98</v>
      </c>
      <c r="BJ630" t="s">
        <v>2985</v>
      </c>
      <c r="BL630" t="s">
        <v>412</v>
      </c>
    </row>
    <row r="631" spans="1:64" hidden="1" x14ac:dyDescent="0.2">
      <c r="A631">
        <v>774</v>
      </c>
      <c r="B631">
        <v>4070420463</v>
      </c>
      <c r="C631" t="s">
        <v>101</v>
      </c>
      <c r="D631" t="s">
        <v>2644</v>
      </c>
      <c r="E631" t="s">
        <v>65</v>
      </c>
      <c r="F631" t="s">
        <v>66</v>
      </c>
      <c r="G631" t="s">
        <v>67</v>
      </c>
      <c r="H631" t="s">
        <v>68</v>
      </c>
      <c r="I631" t="s">
        <v>176</v>
      </c>
      <c r="J631" t="s">
        <v>177</v>
      </c>
      <c r="K631" t="s">
        <v>1817</v>
      </c>
      <c r="M631" t="s">
        <v>72</v>
      </c>
      <c r="N631" t="s">
        <v>1818</v>
      </c>
      <c r="O631" t="s">
        <v>1817</v>
      </c>
      <c r="P631" t="s">
        <v>1819</v>
      </c>
      <c r="Q631" t="s">
        <v>75</v>
      </c>
      <c r="R631" t="s">
        <v>2238</v>
      </c>
      <c r="S631" t="s">
        <v>1066</v>
      </c>
      <c r="T631" t="s">
        <v>78</v>
      </c>
      <c r="U631" t="s">
        <v>1822</v>
      </c>
      <c r="V631" t="s">
        <v>1179</v>
      </c>
      <c r="W631" s="1">
        <v>44813</v>
      </c>
      <c r="X631" t="s">
        <v>1823</v>
      </c>
      <c r="Y631" t="s">
        <v>2642</v>
      </c>
      <c r="Z631" t="s">
        <v>83</v>
      </c>
      <c r="AA631">
        <v>1</v>
      </c>
      <c r="AB631" t="s">
        <v>103</v>
      </c>
      <c r="AD631" t="s">
        <v>343</v>
      </c>
      <c r="AE631" t="s">
        <v>145</v>
      </c>
      <c r="AF631" t="s">
        <v>281</v>
      </c>
      <c r="AI631" t="s">
        <v>90</v>
      </c>
      <c r="AJ631">
        <v>32.439883999999999</v>
      </c>
      <c r="AK631">
        <v>-110.789023</v>
      </c>
      <c r="AL631">
        <v>3</v>
      </c>
      <c r="AN631">
        <v>2766</v>
      </c>
      <c r="AP631">
        <v>2766</v>
      </c>
      <c r="AQ631">
        <v>2772.830367</v>
      </c>
      <c r="AT631">
        <v>9</v>
      </c>
      <c r="AU631">
        <v>9</v>
      </c>
      <c r="AV631">
        <v>2022</v>
      </c>
      <c r="AW631">
        <v>2437967</v>
      </c>
      <c r="AX631">
        <v>2437967</v>
      </c>
      <c r="AY631" t="s">
        <v>106</v>
      </c>
      <c r="AZ631" t="s">
        <v>92</v>
      </c>
      <c r="BA631" t="s">
        <v>107</v>
      </c>
      <c r="BB631" t="s">
        <v>2645</v>
      </c>
      <c r="BC631" t="s">
        <v>2245</v>
      </c>
      <c r="BE631" t="s">
        <v>96</v>
      </c>
      <c r="BG631" t="s">
        <v>2246</v>
      </c>
      <c r="BI631" t="s">
        <v>98</v>
      </c>
      <c r="BJ631" t="s">
        <v>2640</v>
      </c>
      <c r="BL631" t="s">
        <v>110</v>
      </c>
    </row>
    <row r="632" spans="1:64" hidden="1" x14ac:dyDescent="0.2">
      <c r="A632">
        <v>792</v>
      </c>
      <c r="B632">
        <v>4070420436</v>
      </c>
      <c r="C632" t="s">
        <v>101</v>
      </c>
      <c r="D632" t="s">
        <v>2654</v>
      </c>
      <c r="E632" t="s">
        <v>65</v>
      </c>
      <c r="F632" t="s">
        <v>66</v>
      </c>
      <c r="G632" t="s">
        <v>67</v>
      </c>
      <c r="H632" t="s">
        <v>68</v>
      </c>
      <c r="I632" t="s">
        <v>350</v>
      </c>
      <c r="J632" t="s">
        <v>351</v>
      </c>
      <c r="K632" t="s">
        <v>352</v>
      </c>
      <c r="M632" t="s">
        <v>72</v>
      </c>
      <c r="N632" t="s">
        <v>353</v>
      </c>
      <c r="O632" t="s">
        <v>352</v>
      </c>
      <c r="P632" t="s">
        <v>180</v>
      </c>
      <c r="Q632" t="s">
        <v>75</v>
      </c>
      <c r="R632" t="s">
        <v>2238</v>
      </c>
      <c r="S632" t="s">
        <v>2647</v>
      </c>
      <c r="T632" t="s">
        <v>78</v>
      </c>
      <c r="U632" t="s">
        <v>1822</v>
      </c>
      <c r="V632" t="s">
        <v>1179</v>
      </c>
      <c r="W632" s="1">
        <v>44813</v>
      </c>
      <c r="X632" t="s">
        <v>1823</v>
      </c>
      <c r="Y632" t="s">
        <v>2648</v>
      </c>
      <c r="Z632" t="s">
        <v>83</v>
      </c>
      <c r="AA632">
        <v>1</v>
      </c>
      <c r="AB632" t="s">
        <v>127</v>
      </c>
      <c r="AD632" t="s">
        <v>123</v>
      </c>
      <c r="AE632" t="s">
        <v>86</v>
      </c>
      <c r="AF632" t="s">
        <v>146</v>
      </c>
      <c r="AG632" t="s">
        <v>2650</v>
      </c>
      <c r="AH632" t="s">
        <v>2655</v>
      </c>
      <c r="AI632" t="s">
        <v>90</v>
      </c>
      <c r="AJ632">
        <v>32.439857000000003</v>
      </c>
      <c r="AK632">
        <v>-110.788887</v>
      </c>
      <c r="AL632">
        <v>3</v>
      </c>
      <c r="AN632">
        <v>2771</v>
      </c>
      <c r="AP632">
        <v>2771</v>
      </c>
      <c r="AQ632">
        <v>2774.9837990000001</v>
      </c>
      <c r="AT632">
        <v>9</v>
      </c>
      <c r="AU632">
        <v>9</v>
      </c>
      <c r="AV632">
        <v>2022</v>
      </c>
      <c r="AW632">
        <v>4972385</v>
      </c>
      <c r="AX632">
        <v>2437431</v>
      </c>
      <c r="AY632" t="s">
        <v>106</v>
      </c>
      <c r="AZ632" t="s">
        <v>92</v>
      </c>
      <c r="BA632" t="s">
        <v>107</v>
      </c>
      <c r="BB632" t="s">
        <v>2656</v>
      </c>
      <c r="BC632" t="s">
        <v>2245</v>
      </c>
      <c r="BE632" t="s">
        <v>96</v>
      </c>
      <c r="BG632" t="s">
        <v>2246</v>
      </c>
      <c r="BI632" t="s">
        <v>98</v>
      </c>
      <c r="BJ632" t="s">
        <v>2657</v>
      </c>
      <c r="BL632" t="s">
        <v>110</v>
      </c>
    </row>
    <row r="633" spans="1:64" hidden="1" x14ac:dyDescent="0.2">
      <c r="A633">
        <v>864</v>
      </c>
      <c r="B633">
        <v>4070420359</v>
      </c>
      <c r="C633" t="s">
        <v>101</v>
      </c>
      <c r="D633" t="s">
        <v>2988</v>
      </c>
      <c r="E633" t="s">
        <v>65</v>
      </c>
      <c r="F633" t="s">
        <v>66</v>
      </c>
      <c r="G633" t="s">
        <v>67</v>
      </c>
      <c r="H633" t="s">
        <v>68</v>
      </c>
      <c r="I633" t="s">
        <v>176</v>
      </c>
      <c r="J633" t="s">
        <v>177</v>
      </c>
      <c r="K633" t="s">
        <v>178</v>
      </c>
      <c r="M633" t="s">
        <v>72</v>
      </c>
      <c r="N633" t="s">
        <v>179</v>
      </c>
      <c r="O633" t="s">
        <v>178</v>
      </c>
      <c r="P633" t="s">
        <v>180</v>
      </c>
      <c r="Q633" t="s">
        <v>75</v>
      </c>
      <c r="R633" t="s">
        <v>2806</v>
      </c>
      <c r="S633" t="s">
        <v>1103</v>
      </c>
      <c r="T633" t="s">
        <v>78</v>
      </c>
      <c r="U633" t="s">
        <v>1822</v>
      </c>
      <c r="V633" t="s">
        <v>80</v>
      </c>
      <c r="W633" s="1">
        <v>44814</v>
      </c>
      <c r="X633" t="s">
        <v>2778</v>
      </c>
      <c r="Y633" t="s">
        <v>2989</v>
      </c>
      <c r="Z633" t="s">
        <v>83</v>
      </c>
      <c r="AA633">
        <v>1</v>
      </c>
      <c r="AB633" t="s">
        <v>127</v>
      </c>
      <c r="AC633">
        <v>0</v>
      </c>
      <c r="AD633" t="s">
        <v>128</v>
      </c>
      <c r="AE633" t="s">
        <v>145</v>
      </c>
      <c r="AF633" t="s">
        <v>146</v>
      </c>
      <c r="AI633" t="s">
        <v>90</v>
      </c>
      <c r="AJ633">
        <v>32.452697999999998</v>
      </c>
      <c r="AK633">
        <v>-110.746953</v>
      </c>
      <c r="AL633">
        <v>3</v>
      </c>
      <c r="AN633">
        <v>2232</v>
      </c>
      <c r="AP633">
        <v>2232</v>
      </c>
      <c r="AQ633">
        <v>2231.625599</v>
      </c>
      <c r="AT633">
        <v>10</v>
      </c>
      <c r="AU633">
        <v>9</v>
      </c>
      <c r="AV633">
        <v>2022</v>
      </c>
      <c r="AW633">
        <v>2438038</v>
      </c>
      <c r="AX633">
        <v>2438038</v>
      </c>
      <c r="AY633" t="s">
        <v>106</v>
      </c>
      <c r="AZ633" t="s">
        <v>92</v>
      </c>
      <c r="BA633" t="s">
        <v>107</v>
      </c>
      <c r="BB633" t="s">
        <v>2990</v>
      </c>
      <c r="BC633" t="s">
        <v>2245</v>
      </c>
      <c r="BE633" t="s">
        <v>96</v>
      </c>
      <c r="BG633" t="s">
        <v>2811</v>
      </c>
      <c r="BI633" t="s">
        <v>98</v>
      </c>
      <c r="BJ633" t="s">
        <v>2896</v>
      </c>
      <c r="BL633" t="s">
        <v>110</v>
      </c>
    </row>
    <row r="634" spans="1:64" hidden="1" x14ac:dyDescent="0.2">
      <c r="A634">
        <v>788</v>
      </c>
      <c r="B634">
        <v>4070420442</v>
      </c>
      <c r="C634" t="s">
        <v>101</v>
      </c>
      <c r="D634" t="s">
        <v>2661</v>
      </c>
      <c r="E634" t="s">
        <v>65</v>
      </c>
      <c r="F634" t="s">
        <v>66</v>
      </c>
      <c r="G634" t="s">
        <v>67</v>
      </c>
      <c r="H634" t="s">
        <v>68</v>
      </c>
      <c r="I634" t="s">
        <v>350</v>
      </c>
      <c r="J634" t="s">
        <v>351</v>
      </c>
      <c r="K634" t="s">
        <v>352</v>
      </c>
      <c r="M634" t="s">
        <v>72</v>
      </c>
      <c r="N634" t="s">
        <v>353</v>
      </c>
      <c r="O634" t="s">
        <v>352</v>
      </c>
      <c r="P634" t="s">
        <v>180</v>
      </c>
      <c r="Q634" t="s">
        <v>75</v>
      </c>
      <c r="R634" t="s">
        <v>2238</v>
      </c>
      <c r="S634" t="s">
        <v>2647</v>
      </c>
      <c r="T634" t="s">
        <v>78</v>
      </c>
      <c r="U634" t="s">
        <v>1822</v>
      </c>
      <c r="V634" t="s">
        <v>1179</v>
      </c>
      <c r="W634" s="1">
        <v>44813</v>
      </c>
      <c r="X634" t="s">
        <v>1823</v>
      </c>
      <c r="Y634" t="s">
        <v>2648</v>
      </c>
      <c r="Z634" t="s">
        <v>83</v>
      </c>
      <c r="AA634">
        <v>1</v>
      </c>
      <c r="AB634" t="s">
        <v>103</v>
      </c>
      <c r="AD634" t="s">
        <v>112</v>
      </c>
      <c r="AE634" t="s">
        <v>86</v>
      </c>
      <c r="AF634" t="s">
        <v>146</v>
      </c>
      <c r="AG634" t="s">
        <v>2650</v>
      </c>
      <c r="AH634" t="s">
        <v>2655</v>
      </c>
      <c r="AI634" t="s">
        <v>90</v>
      </c>
      <c r="AJ634">
        <v>32.439857000000003</v>
      </c>
      <c r="AK634">
        <v>-110.788887</v>
      </c>
      <c r="AL634">
        <v>3</v>
      </c>
      <c r="AN634">
        <v>2771</v>
      </c>
      <c r="AP634">
        <v>2771</v>
      </c>
      <c r="AQ634">
        <v>2774.9837990000001</v>
      </c>
      <c r="AT634">
        <v>9</v>
      </c>
      <c r="AU634">
        <v>9</v>
      </c>
      <c r="AV634">
        <v>2022</v>
      </c>
      <c r="AW634">
        <v>4972385</v>
      </c>
      <c r="AX634">
        <v>2437431</v>
      </c>
      <c r="AY634" t="s">
        <v>106</v>
      </c>
      <c r="AZ634" t="s">
        <v>92</v>
      </c>
      <c r="BA634" t="s">
        <v>107</v>
      </c>
      <c r="BB634" t="s">
        <v>2662</v>
      </c>
      <c r="BC634" t="s">
        <v>2245</v>
      </c>
      <c r="BE634" t="s">
        <v>96</v>
      </c>
      <c r="BG634" t="s">
        <v>2246</v>
      </c>
      <c r="BI634" t="s">
        <v>98</v>
      </c>
      <c r="BJ634" t="s">
        <v>2657</v>
      </c>
      <c r="BL634" t="s">
        <v>110</v>
      </c>
    </row>
    <row r="635" spans="1:64" hidden="1" x14ac:dyDescent="0.2">
      <c r="A635">
        <v>808</v>
      </c>
      <c r="B635">
        <v>4070420415</v>
      </c>
      <c r="C635" t="s">
        <v>101</v>
      </c>
      <c r="D635" t="s">
        <v>2663</v>
      </c>
      <c r="E635" t="s">
        <v>65</v>
      </c>
      <c r="F635" t="s">
        <v>66</v>
      </c>
      <c r="G635" t="s">
        <v>67</v>
      </c>
      <c r="H635" t="s">
        <v>68</v>
      </c>
      <c r="I635" t="s">
        <v>350</v>
      </c>
      <c r="J635" t="s">
        <v>351</v>
      </c>
      <c r="K635" t="s">
        <v>352</v>
      </c>
      <c r="M635" t="s">
        <v>72</v>
      </c>
      <c r="N635" t="s">
        <v>353</v>
      </c>
      <c r="O635" t="s">
        <v>352</v>
      </c>
      <c r="P635" t="s">
        <v>180</v>
      </c>
      <c r="Q635" t="s">
        <v>75</v>
      </c>
      <c r="R635" t="s">
        <v>2238</v>
      </c>
      <c r="S635" t="s">
        <v>2647</v>
      </c>
      <c r="T635" t="s">
        <v>78</v>
      </c>
      <c r="U635" t="s">
        <v>1822</v>
      </c>
      <c r="V635" t="s">
        <v>1179</v>
      </c>
      <c r="W635" s="1">
        <v>44813</v>
      </c>
      <c r="X635" t="s">
        <v>1823</v>
      </c>
      <c r="Y635" t="s">
        <v>2648</v>
      </c>
      <c r="Z635" t="s">
        <v>83</v>
      </c>
      <c r="AA635">
        <v>1</v>
      </c>
      <c r="AB635" t="s">
        <v>127</v>
      </c>
      <c r="AD635" t="s">
        <v>139</v>
      </c>
      <c r="AE635" t="s">
        <v>86</v>
      </c>
      <c r="AF635" t="s">
        <v>146</v>
      </c>
      <c r="AG635" t="s">
        <v>2650</v>
      </c>
      <c r="AH635" t="s">
        <v>2655</v>
      </c>
      <c r="AI635" t="s">
        <v>90</v>
      </c>
      <c r="AJ635">
        <v>32.439857000000003</v>
      </c>
      <c r="AK635">
        <v>-110.788887</v>
      </c>
      <c r="AL635">
        <v>3</v>
      </c>
      <c r="AN635">
        <v>2771</v>
      </c>
      <c r="AP635">
        <v>2771</v>
      </c>
      <c r="AQ635">
        <v>2774.9837990000001</v>
      </c>
      <c r="AT635">
        <v>9</v>
      </c>
      <c r="AU635">
        <v>9</v>
      </c>
      <c r="AV635">
        <v>2022</v>
      </c>
      <c r="AW635">
        <v>4972385</v>
      </c>
      <c r="AX635">
        <v>2437431</v>
      </c>
      <c r="AY635" t="s">
        <v>106</v>
      </c>
      <c r="AZ635" t="s">
        <v>92</v>
      </c>
      <c r="BA635" t="s">
        <v>107</v>
      </c>
      <c r="BB635" t="s">
        <v>2664</v>
      </c>
      <c r="BC635" t="s">
        <v>2245</v>
      </c>
      <c r="BE635" t="s">
        <v>96</v>
      </c>
      <c r="BG635" t="s">
        <v>2246</v>
      </c>
      <c r="BI635" t="s">
        <v>98</v>
      </c>
      <c r="BJ635" t="s">
        <v>689</v>
      </c>
      <c r="BL635" t="s">
        <v>110</v>
      </c>
    </row>
    <row r="636" spans="1:64" hidden="1" x14ac:dyDescent="0.2">
      <c r="A636">
        <v>770</v>
      </c>
      <c r="B636">
        <v>4070420467</v>
      </c>
      <c r="C636" t="s">
        <v>101</v>
      </c>
      <c r="D636" t="s">
        <v>2665</v>
      </c>
      <c r="E636" t="s">
        <v>65</v>
      </c>
      <c r="F636" t="s">
        <v>66</v>
      </c>
      <c r="G636" t="s">
        <v>67</v>
      </c>
      <c r="H636" t="s">
        <v>68</v>
      </c>
      <c r="I636" t="s">
        <v>350</v>
      </c>
      <c r="J636" t="s">
        <v>351</v>
      </c>
      <c r="K636" t="s">
        <v>352</v>
      </c>
      <c r="M636" t="s">
        <v>72</v>
      </c>
      <c r="N636" t="s">
        <v>353</v>
      </c>
      <c r="O636" t="s">
        <v>352</v>
      </c>
      <c r="P636" t="s">
        <v>180</v>
      </c>
      <c r="Q636" t="s">
        <v>75</v>
      </c>
      <c r="R636" t="s">
        <v>2238</v>
      </c>
      <c r="S636" t="s">
        <v>2647</v>
      </c>
      <c r="T636" t="s">
        <v>78</v>
      </c>
      <c r="U636" t="s">
        <v>1822</v>
      </c>
      <c r="V636" t="s">
        <v>1179</v>
      </c>
      <c r="W636" s="1">
        <v>44813</v>
      </c>
      <c r="X636" t="s">
        <v>1823</v>
      </c>
      <c r="Y636" t="s">
        <v>2648</v>
      </c>
      <c r="Z636" t="s">
        <v>83</v>
      </c>
      <c r="AA636">
        <v>1</v>
      </c>
      <c r="AB636" t="s">
        <v>103</v>
      </c>
      <c r="AD636" t="s">
        <v>116</v>
      </c>
      <c r="AE636" t="s">
        <v>86</v>
      </c>
      <c r="AF636" t="s">
        <v>146</v>
      </c>
      <c r="AG636" t="s">
        <v>2650</v>
      </c>
      <c r="AH636" t="s">
        <v>2655</v>
      </c>
      <c r="AI636" t="s">
        <v>90</v>
      </c>
      <c r="AJ636">
        <v>32.439857000000003</v>
      </c>
      <c r="AK636">
        <v>-110.788887</v>
      </c>
      <c r="AL636">
        <v>3</v>
      </c>
      <c r="AN636">
        <v>2771</v>
      </c>
      <c r="AP636">
        <v>2771</v>
      </c>
      <c r="AQ636">
        <v>2774.9837990000001</v>
      </c>
      <c r="AT636">
        <v>9</v>
      </c>
      <c r="AU636">
        <v>9</v>
      </c>
      <c r="AV636">
        <v>2022</v>
      </c>
      <c r="AW636">
        <v>4972385</v>
      </c>
      <c r="AX636">
        <v>2437431</v>
      </c>
      <c r="AY636" t="s">
        <v>106</v>
      </c>
      <c r="AZ636" t="s">
        <v>92</v>
      </c>
      <c r="BA636" t="s">
        <v>107</v>
      </c>
      <c r="BB636" t="s">
        <v>2666</v>
      </c>
      <c r="BC636" t="s">
        <v>2245</v>
      </c>
      <c r="BE636" t="s">
        <v>96</v>
      </c>
      <c r="BG636" t="s">
        <v>2246</v>
      </c>
      <c r="BI636" t="s">
        <v>98</v>
      </c>
      <c r="BJ636" t="s">
        <v>642</v>
      </c>
      <c r="BL636" t="s">
        <v>110</v>
      </c>
    </row>
    <row r="637" spans="1:64" hidden="1" x14ac:dyDescent="0.2">
      <c r="A637">
        <v>768</v>
      </c>
      <c r="B637">
        <v>4070420469</v>
      </c>
      <c r="C637" t="s">
        <v>101</v>
      </c>
      <c r="D637" t="s">
        <v>2667</v>
      </c>
      <c r="E637" t="s">
        <v>65</v>
      </c>
      <c r="F637" t="s">
        <v>66</v>
      </c>
      <c r="G637" t="s">
        <v>67</v>
      </c>
      <c r="H637" t="s">
        <v>68</v>
      </c>
      <c r="I637" t="s">
        <v>350</v>
      </c>
      <c r="J637" t="s">
        <v>351</v>
      </c>
      <c r="K637" t="s">
        <v>352</v>
      </c>
      <c r="M637" t="s">
        <v>72</v>
      </c>
      <c r="N637" t="s">
        <v>353</v>
      </c>
      <c r="O637" t="s">
        <v>352</v>
      </c>
      <c r="P637" t="s">
        <v>180</v>
      </c>
      <c r="Q637" t="s">
        <v>75</v>
      </c>
      <c r="R637" t="s">
        <v>2238</v>
      </c>
      <c r="S637" t="s">
        <v>2647</v>
      </c>
      <c r="T637" t="s">
        <v>78</v>
      </c>
      <c r="U637" t="s">
        <v>1822</v>
      </c>
      <c r="V637" t="s">
        <v>1179</v>
      </c>
      <c r="W637" s="1">
        <v>44813</v>
      </c>
      <c r="X637" t="s">
        <v>1823</v>
      </c>
      <c r="Y637" t="s">
        <v>2648</v>
      </c>
      <c r="Z637" t="s">
        <v>83</v>
      </c>
      <c r="AA637">
        <v>1</v>
      </c>
      <c r="AB637" t="s">
        <v>103</v>
      </c>
      <c r="AD637" t="s">
        <v>104</v>
      </c>
      <c r="AE637" t="s">
        <v>86</v>
      </c>
      <c r="AF637" t="s">
        <v>146</v>
      </c>
      <c r="AG637" t="s">
        <v>2650</v>
      </c>
      <c r="AH637" t="s">
        <v>2655</v>
      </c>
      <c r="AI637" t="s">
        <v>90</v>
      </c>
      <c r="AJ637">
        <v>32.439857000000003</v>
      </c>
      <c r="AK637">
        <v>-110.788887</v>
      </c>
      <c r="AL637">
        <v>3</v>
      </c>
      <c r="AN637">
        <v>2771</v>
      </c>
      <c r="AP637">
        <v>2771</v>
      </c>
      <c r="AQ637">
        <v>2774.9837990000001</v>
      </c>
      <c r="AT637">
        <v>9</v>
      </c>
      <c r="AU637">
        <v>9</v>
      </c>
      <c r="AV637">
        <v>2022</v>
      </c>
      <c r="AW637">
        <v>4972385</v>
      </c>
      <c r="AX637">
        <v>2437431</v>
      </c>
      <c r="AY637" t="s">
        <v>106</v>
      </c>
      <c r="AZ637" t="s">
        <v>92</v>
      </c>
      <c r="BA637" t="s">
        <v>107</v>
      </c>
      <c r="BB637" t="s">
        <v>2668</v>
      </c>
      <c r="BC637" t="s">
        <v>2245</v>
      </c>
      <c r="BE637" t="s">
        <v>96</v>
      </c>
      <c r="BG637" t="s">
        <v>2246</v>
      </c>
      <c r="BI637" t="s">
        <v>98</v>
      </c>
      <c r="BJ637" t="s">
        <v>2669</v>
      </c>
      <c r="BL637" t="s">
        <v>110</v>
      </c>
    </row>
    <row r="638" spans="1:64" hidden="1" x14ac:dyDescent="0.2">
      <c r="A638">
        <v>691</v>
      </c>
      <c r="B638">
        <v>4070420546</v>
      </c>
      <c r="C638" t="s">
        <v>101</v>
      </c>
      <c r="D638" t="s">
        <v>2670</v>
      </c>
      <c r="E638" t="s">
        <v>65</v>
      </c>
      <c r="F638" t="s">
        <v>66</v>
      </c>
      <c r="G638" t="s">
        <v>67</v>
      </c>
      <c r="H638" t="s">
        <v>68</v>
      </c>
      <c r="I638" t="s">
        <v>350</v>
      </c>
      <c r="J638" t="s">
        <v>351</v>
      </c>
      <c r="K638" t="s">
        <v>352</v>
      </c>
      <c r="M638" t="s">
        <v>72</v>
      </c>
      <c r="N638" t="s">
        <v>353</v>
      </c>
      <c r="O638" t="s">
        <v>352</v>
      </c>
      <c r="P638" t="s">
        <v>180</v>
      </c>
      <c r="Q638" t="s">
        <v>75</v>
      </c>
      <c r="R638" t="s">
        <v>2238</v>
      </c>
      <c r="S638" t="s">
        <v>2647</v>
      </c>
      <c r="T638" t="s">
        <v>78</v>
      </c>
      <c r="U638" t="s">
        <v>1822</v>
      </c>
      <c r="V638" t="s">
        <v>1179</v>
      </c>
      <c r="W638" s="1">
        <v>44813</v>
      </c>
      <c r="X638" t="s">
        <v>1823</v>
      </c>
      <c r="Y638" t="s">
        <v>2648</v>
      </c>
      <c r="Z638" t="s">
        <v>83</v>
      </c>
      <c r="AA638">
        <v>1</v>
      </c>
      <c r="AB638" t="s">
        <v>2262</v>
      </c>
      <c r="AD638" t="s">
        <v>134</v>
      </c>
      <c r="AE638" t="s">
        <v>86</v>
      </c>
      <c r="AF638" t="s">
        <v>146</v>
      </c>
      <c r="AG638" t="s">
        <v>2650</v>
      </c>
      <c r="AH638" t="s">
        <v>2671</v>
      </c>
      <c r="AI638" t="s">
        <v>90</v>
      </c>
      <c r="AJ638">
        <v>32.439857000000003</v>
      </c>
      <c r="AK638">
        <v>-110.788887</v>
      </c>
      <c r="AL638">
        <v>3</v>
      </c>
      <c r="AN638">
        <v>2771</v>
      </c>
      <c r="AP638">
        <v>2771</v>
      </c>
      <c r="AQ638">
        <v>2774.9837990000001</v>
      </c>
      <c r="AT638">
        <v>9</v>
      </c>
      <c r="AU638">
        <v>9</v>
      </c>
      <c r="AV638">
        <v>2022</v>
      </c>
      <c r="AW638">
        <v>4972385</v>
      </c>
      <c r="AX638">
        <v>2437431</v>
      </c>
      <c r="AY638" t="s">
        <v>106</v>
      </c>
      <c r="AZ638" t="s">
        <v>92</v>
      </c>
      <c r="BA638" t="s">
        <v>107</v>
      </c>
      <c r="BB638" t="s">
        <v>2672</v>
      </c>
      <c r="BC638" t="s">
        <v>2245</v>
      </c>
      <c r="BE638" t="s">
        <v>96</v>
      </c>
      <c r="BG638" t="s">
        <v>2246</v>
      </c>
      <c r="BI638" t="s">
        <v>98</v>
      </c>
      <c r="BJ638" t="s">
        <v>2673</v>
      </c>
      <c r="BL638" t="s">
        <v>110</v>
      </c>
    </row>
    <row r="639" spans="1:64" hidden="1" x14ac:dyDescent="0.2">
      <c r="A639">
        <v>910</v>
      </c>
      <c r="B639">
        <v>4070420312</v>
      </c>
      <c r="C639" t="s">
        <v>101</v>
      </c>
      <c r="D639" t="s">
        <v>2674</v>
      </c>
      <c r="E639" t="s">
        <v>65</v>
      </c>
      <c r="F639" t="s">
        <v>66</v>
      </c>
      <c r="G639" t="s">
        <v>67</v>
      </c>
      <c r="H639" t="s">
        <v>68</v>
      </c>
      <c r="I639" t="s">
        <v>350</v>
      </c>
      <c r="J639" t="s">
        <v>351</v>
      </c>
      <c r="K639" t="s">
        <v>352</v>
      </c>
      <c r="M639" t="s">
        <v>72</v>
      </c>
      <c r="N639" t="s">
        <v>353</v>
      </c>
      <c r="O639" t="s">
        <v>352</v>
      </c>
      <c r="P639" t="s">
        <v>180</v>
      </c>
      <c r="Q639" t="s">
        <v>75</v>
      </c>
      <c r="R639" t="s">
        <v>2238</v>
      </c>
      <c r="T639" t="s">
        <v>78</v>
      </c>
      <c r="U639" t="s">
        <v>1822</v>
      </c>
      <c r="V639" t="s">
        <v>1179</v>
      </c>
      <c r="W639" s="1">
        <v>44813</v>
      </c>
      <c r="X639" t="s">
        <v>1823</v>
      </c>
      <c r="Y639" t="s">
        <v>2648</v>
      </c>
      <c r="Z639" t="s">
        <v>83</v>
      </c>
      <c r="AA639">
        <v>1</v>
      </c>
      <c r="AB639" t="s">
        <v>2675</v>
      </c>
      <c r="AD639" t="s">
        <v>378</v>
      </c>
      <c r="AE639" t="s">
        <v>86</v>
      </c>
      <c r="AF639" t="s">
        <v>146</v>
      </c>
      <c r="AG639" t="s">
        <v>2650</v>
      </c>
      <c r="AH639" t="s">
        <v>2676</v>
      </c>
      <c r="AI639" t="s">
        <v>90</v>
      </c>
      <c r="AJ639">
        <v>32.439857000000003</v>
      </c>
      <c r="AK639">
        <v>-110.788887</v>
      </c>
      <c r="AL639">
        <v>3</v>
      </c>
      <c r="AN639">
        <v>2771</v>
      </c>
      <c r="AP639">
        <v>2771</v>
      </c>
      <c r="AQ639">
        <v>2774.9837990000001</v>
      </c>
      <c r="AT639">
        <v>9</v>
      </c>
      <c r="AU639">
        <v>9</v>
      </c>
      <c r="AV639">
        <v>2022</v>
      </c>
      <c r="AW639">
        <v>4972385</v>
      </c>
      <c r="AX639">
        <v>2437431</v>
      </c>
      <c r="AY639" t="s">
        <v>106</v>
      </c>
      <c r="AZ639" t="s">
        <v>92</v>
      </c>
      <c r="BA639" t="s">
        <v>107</v>
      </c>
      <c r="BB639" t="s">
        <v>2677</v>
      </c>
      <c r="BC639" t="s">
        <v>2245</v>
      </c>
      <c r="BE639" t="s">
        <v>96</v>
      </c>
      <c r="BG639" t="s">
        <v>2246</v>
      </c>
      <c r="BI639" t="s">
        <v>98</v>
      </c>
      <c r="BJ639" t="s">
        <v>1453</v>
      </c>
      <c r="BL639" t="s">
        <v>110</v>
      </c>
    </row>
    <row r="640" spans="1:64" hidden="1" x14ac:dyDescent="0.2">
      <c r="A640">
        <v>839</v>
      </c>
      <c r="B640">
        <v>4070420384</v>
      </c>
      <c r="C640" t="s">
        <v>101</v>
      </c>
      <c r="D640" t="s">
        <v>2994</v>
      </c>
      <c r="E640" t="s">
        <v>65</v>
      </c>
      <c r="F640" t="s">
        <v>66</v>
      </c>
      <c r="G640" t="s">
        <v>67</v>
      </c>
      <c r="H640" t="s">
        <v>68</v>
      </c>
      <c r="I640" t="s">
        <v>176</v>
      </c>
      <c r="J640" t="s">
        <v>177</v>
      </c>
      <c r="K640" t="s">
        <v>178</v>
      </c>
      <c r="M640" t="s">
        <v>72</v>
      </c>
      <c r="N640" t="s">
        <v>179</v>
      </c>
      <c r="O640" t="s">
        <v>178</v>
      </c>
      <c r="P640" t="s">
        <v>180</v>
      </c>
      <c r="Q640" t="s">
        <v>75</v>
      </c>
      <c r="R640" t="s">
        <v>2806</v>
      </c>
      <c r="S640" t="s">
        <v>1103</v>
      </c>
      <c r="T640" t="s">
        <v>78</v>
      </c>
      <c r="U640" t="s">
        <v>1822</v>
      </c>
      <c r="V640" t="s">
        <v>80</v>
      </c>
      <c r="W640" s="1">
        <v>44814</v>
      </c>
      <c r="X640" t="s">
        <v>2778</v>
      </c>
      <c r="Y640" t="s">
        <v>2989</v>
      </c>
      <c r="Z640" t="s">
        <v>83</v>
      </c>
      <c r="AA640">
        <v>1</v>
      </c>
      <c r="AB640" t="s">
        <v>127</v>
      </c>
      <c r="AC640">
        <v>0</v>
      </c>
      <c r="AD640" t="s">
        <v>128</v>
      </c>
      <c r="AE640" t="s">
        <v>145</v>
      </c>
      <c r="AF640" t="s">
        <v>146</v>
      </c>
      <c r="AI640" t="s">
        <v>90</v>
      </c>
      <c r="AJ640">
        <v>32.452697999999998</v>
      </c>
      <c r="AK640">
        <v>-110.746953</v>
      </c>
      <c r="AL640">
        <v>3</v>
      </c>
      <c r="AN640">
        <v>2232</v>
      </c>
      <c r="AP640">
        <v>2232</v>
      </c>
      <c r="AQ640">
        <v>2231.625599</v>
      </c>
      <c r="AT640">
        <v>10</v>
      </c>
      <c r="AU640">
        <v>9</v>
      </c>
      <c r="AV640">
        <v>2022</v>
      </c>
      <c r="AW640">
        <v>2438038</v>
      </c>
      <c r="AX640">
        <v>2438038</v>
      </c>
      <c r="AY640" t="s">
        <v>106</v>
      </c>
      <c r="AZ640" t="s">
        <v>92</v>
      </c>
      <c r="BA640" t="s">
        <v>107</v>
      </c>
      <c r="BB640" t="s">
        <v>2995</v>
      </c>
      <c r="BC640" t="s">
        <v>2245</v>
      </c>
      <c r="BE640" t="s">
        <v>96</v>
      </c>
      <c r="BG640" t="s">
        <v>2811</v>
      </c>
      <c r="BI640" t="s">
        <v>98</v>
      </c>
      <c r="BJ640" t="s">
        <v>2996</v>
      </c>
      <c r="BL640" t="s">
        <v>110</v>
      </c>
    </row>
    <row r="641" spans="1:64" hidden="1" x14ac:dyDescent="0.2">
      <c r="A641">
        <v>804</v>
      </c>
      <c r="B641">
        <v>4070420421</v>
      </c>
      <c r="C641" t="s">
        <v>101</v>
      </c>
      <c r="D641" t="s">
        <v>2681</v>
      </c>
      <c r="E641" t="s">
        <v>65</v>
      </c>
      <c r="F641" t="s">
        <v>66</v>
      </c>
      <c r="G641" t="s">
        <v>67</v>
      </c>
      <c r="H641" t="s">
        <v>68</v>
      </c>
      <c r="I641" t="s">
        <v>176</v>
      </c>
      <c r="J641" t="s">
        <v>177</v>
      </c>
      <c r="K641" t="s">
        <v>1817</v>
      </c>
      <c r="M641" t="s">
        <v>72</v>
      </c>
      <c r="N641" t="s">
        <v>1818</v>
      </c>
      <c r="O641" t="s">
        <v>1817</v>
      </c>
      <c r="P641" t="s">
        <v>1819</v>
      </c>
      <c r="Q641" t="s">
        <v>75</v>
      </c>
      <c r="R641" t="s">
        <v>2238</v>
      </c>
      <c r="S641" t="s">
        <v>978</v>
      </c>
      <c r="T641" t="s">
        <v>78</v>
      </c>
      <c r="U641" t="s">
        <v>1822</v>
      </c>
      <c r="V641" t="s">
        <v>1179</v>
      </c>
      <c r="W641" s="1">
        <v>44813</v>
      </c>
      <c r="X641" t="s">
        <v>1823</v>
      </c>
      <c r="Y641" t="s">
        <v>2679</v>
      </c>
      <c r="Z641" t="s">
        <v>83</v>
      </c>
      <c r="AA641">
        <v>1</v>
      </c>
      <c r="AB641" t="s">
        <v>103</v>
      </c>
      <c r="AD641" t="s">
        <v>343</v>
      </c>
      <c r="AE641" t="s">
        <v>86</v>
      </c>
      <c r="AF641" t="s">
        <v>146</v>
      </c>
      <c r="AI641" t="s">
        <v>90</v>
      </c>
      <c r="AJ641">
        <v>32.439743999999997</v>
      </c>
      <c r="AK641">
        <v>-110.788245</v>
      </c>
      <c r="AL641">
        <v>4</v>
      </c>
      <c r="AN641">
        <v>2775</v>
      </c>
      <c r="AP641">
        <v>2775</v>
      </c>
      <c r="AQ641">
        <v>2770.205868</v>
      </c>
      <c r="AT641">
        <v>9</v>
      </c>
      <c r="AU641">
        <v>9</v>
      </c>
      <c r="AV641">
        <v>2022</v>
      </c>
      <c r="AW641">
        <v>2437967</v>
      </c>
      <c r="AX641">
        <v>2437967</v>
      </c>
      <c r="AY641" t="s">
        <v>106</v>
      </c>
      <c r="AZ641" t="s">
        <v>92</v>
      </c>
      <c r="BA641" t="s">
        <v>107</v>
      </c>
      <c r="BB641" t="s">
        <v>2682</v>
      </c>
      <c r="BC641" t="s">
        <v>2245</v>
      </c>
      <c r="BE641" t="s">
        <v>96</v>
      </c>
      <c r="BG641" t="s">
        <v>2246</v>
      </c>
      <c r="BI641" t="s">
        <v>98</v>
      </c>
      <c r="BJ641" t="s">
        <v>761</v>
      </c>
      <c r="BL641" t="s">
        <v>110</v>
      </c>
    </row>
    <row r="642" spans="1:64" hidden="1" x14ac:dyDescent="0.2">
      <c r="A642">
        <v>882</v>
      </c>
      <c r="B642">
        <v>4070420341</v>
      </c>
      <c r="C642" t="s">
        <v>101</v>
      </c>
      <c r="D642" t="s">
        <v>3000</v>
      </c>
      <c r="E642" t="s">
        <v>65</v>
      </c>
      <c r="F642" t="s">
        <v>66</v>
      </c>
      <c r="G642" t="s">
        <v>67</v>
      </c>
      <c r="H642" t="s">
        <v>68</v>
      </c>
      <c r="I642" t="s">
        <v>176</v>
      </c>
      <c r="J642" t="s">
        <v>177</v>
      </c>
      <c r="K642" t="s">
        <v>178</v>
      </c>
      <c r="M642" t="s">
        <v>72</v>
      </c>
      <c r="N642" t="s">
        <v>179</v>
      </c>
      <c r="O642" t="s">
        <v>178</v>
      </c>
      <c r="P642" t="s">
        <v>180</v>
      </c>
      <c r="Q642" t="s">
        <v>75</v>
      </c>
      <c r="R642" t="s">
        <v>2806</v>
      </c>
      <c r="S642" t="s">
        <v>2129</v>
      </c>
      <c r="T642" t="s">
        <v>78</v>
      </c>
      <c r="U642" t="s">
        <v>1822</v>
      </c>
      <c r="V642" t="s">
        <v>80</v>
      </c>
      <c r="W642" s="1">
        <v>44814</v>
      </c>
      <c r="X642" t="s">
        <v>2778</v>
      </c>
      <c r="Y642" t="s">
        <v>3001</v>
      </c>
      <c r="Z642" t="s">
        <v>83</v>
      </c>
      <c r="AA642">
        <v>1</v>
      </c>
      <c r="AB642" t="s">
        <v>127</v>
      </c>
      <c r="AC642">
        <v>0</v>
      </c>
      <c r="AD642" t="s">
        <v>128</v>
      </c>
      <c r="AE642" t="s">
        <v>145</v>
      </c>
      <c r="AF642" t="s">
        <v>146</v>
      </c>
      <c r="AI642" t="s">
        <v>90</v>
      </c>
      <c r="AJ642">
        <v>32.451875000000001</v>
      </c>
      <c r="AK642">
        <v>-110.74621999999999</v>
      </c>
      <c r="AL642">
        <v>30</v>
      </c>
      <c r="AN642">
        <v>2195</v>
      </c>
      <c r="AP642">
        <v>2195</v>
      </c>
      <c r="AQ642">
        <v>2196.0579980000002</v>
      </c>
      <c r="AT642">
        <v>10</v>
      </c>
      <c r="AU642">
        <v>9</v>
      </c>
      <c r="AV642">
        <v>2022</v>
      </c>
      <c r="AW642">
        <v>2438038</v>
      </c>
      <c r="AX642">
        <v>2438038</v>
      </c>
      <c r="AY642" t="s">
        <v>106</v>
      </c>
      <c r="AZ642" t="s">
        <v>92</v>
      </c>
      <c r="BA642" t="s">
        <v>107</v>
      </c>
      <c r="BB642" t="s">
        <v>3002</v>
      </c>
      <c r="BC642" t="s">
        <v>2245</v>
      </c>
      <c r="BE642" t="s">
        <v>96</v>
      </c>
      <c r="BG642" t="s">
        <v>2811</v>
      </c>
      <c r="BI642" t="s">
        <v>98</v>
      </c>
      <c r="BJ642" t="s">
        <v>2927</v>
      </c>
      <c r="BL642" t="s">
        <v>412</v>
      </c>
    </row>
    <row r="643" spans="1:64" x14ac:dyDescent="0.2">
      <c r="A643">
        <v>1464</v>
      </c>
      <c r="B643">
        <v>3748770417</v>
      </c>
      <c r="C643" t="s">
        <v>63</v>
      </c>
      <c r="D643" t="s">
        <v>4246</v>
      </c>
      <c r="E643" t="s">
        <v>65</v>
      </c>
      <c r="F643" t="s">
        <v>66</v>
      </c>
      <c r="G643" t="s">
        <v>67</v>
      </c>
      <c r="H643" t="s">
        <v>68</v>
      </c>
      <c r="I643" t="s">
        <v>176</v>
      </c>
      <c r="J643" t="s">
        <v>177</v>
      </c>
      <c r="K643" t="s">
        <v>178</v>
      </c>
      <c r="M643" t="s">
        <v>72</v>
      </c>
      <c r="N643" t="s">
        <v>179</v>
      </c>
      <c r="O643" t="s">
        <v>178</v>
      </c>
      <c r="P643" t="s">
        <v>180</v>
      </c>
      <c r="Q643" t="s">
        <v>75</v>
      </c>
      <c r="R643" t="s">
        <v>3816</v>
      </c>
      <c r="S643" t="s">
        <v>3808</v>
      </c>
      <c r="T643" t="s">
        <v>78</v>
      </c>
      <c r="U643" t="s">
        <v>3817</v>
      </c>
      <c r="V643" t="s">
        <v>80</v>
      </c>
      <c r="W643" s="1">
        <v>44520</v>
      </c>
      <c r="X643" t="s">
        <v>3818</v>
      </c>
      <c r="Y643" t="s">
        <v>4247</v>
      </c>
      <c r="Z643" t="s">
        <v>83</v>
      </c>
      <c r="AA643">
        <v>1</v>
      </c>
      <c r="AB643" t="s">
        <v>4248</v>
      </c>
      <c r="AC643">
        <v>1</v>
      </c>
      <c r="AD643" s="6" t="s">
        <v>85</v>
      </c>
      <c r="AE643" s="6" t="s">
        <v>86</v>
      </c>
      <c r="AF643" s="6" t="s">
        <v>146</v>
      </c>
      <c r="AG643" s="6" t="s">
        <v>4249</v>
      </c>
      <c r="AH643" s="6" t="s">
        <v>4250</v>
      </c>
      <c r="AI643" s="6" t="s">
        <v>90</v>
      </c>
      <c r="AJ643" s="6">
        <v>32.515689000000002</v>
      </c>
      <c r="AK643" s="6">
        <v>-110.688412</v>
      </c>
      <c r="AL643" s="6">
        <v>3</v>
      </c>
      <c r="AM643" s="6"/>
      <c r="AN643" s="6">
        <v>1358</v>
      </c>
      <c r="AO643" s="6"/>
      <c r="AP643" s="6">
        <v>1358</v>
      </c>
      <c r="AQ643" s="6">
        <v>1367.754297</v>
      </c>
      <c r="AR643" s="6"/>
      <c r="AS643" s="6"/>
      <c r="AT643" s="6">
        <v>20</v>
      </c>
      <c r="AU643" s="6">
        <v>11</v>
      </c>
      <c r="AV643" s="6">
        <v>2021</v>
      </c>
      <c r="AW643" s="6">
        <v>2438038</v>
      </c>
      <c r="AX643" s="6">
        <v>2438038</v>
      </c>
      <c r="AY643" s="6" t="s">
        <v>91</v>
      </c>
      <c r="AZ643" t="s">
        <v>92</v>
      </c>
      <c r="BA643" t="s">
        <v>93</v>
      </c>
      <c r="BB643" t="s">
        <v>4251</v>
      </c>
      <c r="BC643" t="s">
        <v>97</v>
      </c>
      <c r="BE643" t="s">
        <v>96</v>
      </c>
      <c r="BG643" t="s">
        <v>97</v>
      </c>
      <c r="BI643" t="s">
        <v>98</v>
      </c>
      <c r="BJ643" t="s">
        <v>187</v>
      </c>
      <c r="BL643" t="s">
        <v>100</v>
      </c>
    </row>
    <row r="644" spans="1:64" hidden="1" x14ac:dyDescent="0.2">
      <c r="A644">
        <v>798</v>
      </c>
      <c r="B644">
        <v>4070420429</v>
      </c>
      <c r="C644" t="s">
        <v>101</v>
      </c>
      <c r="D644" t="s">
        <v>2688</v>
      </c>
      <c r="E644" t="s">
        <v>65</v>
      </c>
      <c r="F644" t="s">
        <v>66</v>
      </c>
      <c r="G644" t="s">
        <v>67</v>
      </c>
      <c r="H644" t="s">
        <v>68</v>
      </c>
      <c r="I644" t="s">
        <v>176</v>
      </c>
      <c r="J644" t="s">
        <v>177</v>
      </c>
      <c r="K644" t="s">
        <v>1817</v>
      </c>
      <c r="M644" t="s">
        <v>72</v>
      </c>
      <c r="N644" t="s">
        <v>1818</v>
      </c>
      <c r="O644" t="s">
        <v>1817</v>
      </c>
      <c r="P644" t="s">
        <v>1819</v>
      </c>
      <c r="Q644" t="s">
        <v>75</v>
      </c>
      <c r="R644" t="s">
        <v>2238</v>
      </c>
      <c r="S644" t="s">
        <v>1150</v>
      </c>
      <c r="T644" t="s">
        <v>78</v>
      </c>
      <c r="U644" t="s">
        <v>1822</v>
      </c>
      <c r="V644" t="s">
        <v>1179</v>
      </c>
      <c r="W644" s="1">
        <v>44813</v>
      </c>
      <c r="X644" t="s">
        <v>1823</v>
      </c>
      <c r="Y644" t="s">
        <v>2684</v>
      </c>
      <c r="Z644" t="s">
        <v>83</v>
      </c>
      <c r="AA644">
        <v>1</v>
      </c>
      <c r="AB644" t="s">
        <v>103</v>
      </c>
      <c r="AD644" t="s">
        <v>343</v>
      </c>
      <c r="AE644" t="s">
        <v>86</v>
      </c>
      <c r="AF644" t="s">
        <v>146</v>
      </c>
      <c r="AI644" t="s">
        <v>90</v>
      </c>
      <c r="AJ644">
        <v>32.439954</v>
      </c>
      <c r="AK644">
        <v>-110.78934</v>
      </c>
      <c r="AL644">
        <v>3</v>
      </c>
      <c r="AN644">
        <v>2758</v>
      </c>
      <c r="AP644">
        <v>2758</v>
      </c>
      <c r="AQ644">
        <v>2769.2549389999999</v>
      </c>
      <c r="AT644">
        <v>9</v>
      </c>
      <c r="AU644">
        <v>9</v>
      </c>
      <c r="AV644">
        <v>2022</v>
      </c>
      <c r="AW644">
        <v>2437967</v>
      </c>
      <c r="AX644">
        <v>2437967</v>
      </c>
      <c r="AY644" t="s">
        <v>106</v>
      </c>
      <c r="AZ644" t="s">
        <v>92</v>
      </c>
      <c r="BA644" t="s">
        <v>107</v>
      </c>
      <c r="BB644" t="s">
        <v>2689</v>
      </c>
      <c r="BC644" t="s">
        <v>2245</v>
      </c>
      <c r="BE644" t="s">
        <v>96</v>
      </c>
      <c r="BG644" t="s">
        <v>2246</v>
      </c>
      <c r="BI644" t="s">
        <v>98</v>
      </c>
      <c r="BJ644" t="s">
        <v>761</v>
      </c>
      <c r="BL644" t="s">
        <v>110</v>
      </c>
    </row>
    <row r="645" spans="1:64" hidden="1" x14ac:dyDescent="0.2">
      <c r="A645">
        <v>878</v>
      </c>
      <c r="B645">
        <v>4070420345</v>
      </c>
      <c r="C645" t="s">
        <v>101</v>
      </c>
      <c r="D645" t="s">
        <v>3006</v>
      </c>
      <c r="E645" t="s">
        <v>65</v>
      </c>
      <c r="F645" t="s">
        <v>66</v>
      </c>
      <c r="G645" t="s">
        <v>67</v>
      </c>
      <c r="H645" t="s">
        <v>68</v>
      </c>
      <c r="I645" t="s">
        <v>176</v>
      </c>
      <c r="J645" t="s">
        <v>177</v>
      </c>
      <c r="K645" t="s">
        <v>178</v>
      </c>
      <c r="M645" t="s">
        <v>72</v>
      </c>
      <c r="N645" t="s">
        <v>179</v>
      </c>
      <c r="O645" t="s">
        <v>178</v>
      </c>
      <c r="P645" t="s">
        <v>180</v>
      </c>
      <c r="Q645" t="s">
        <v>75</v>
      </c>
      <c r="R645" t="s">
        <v>2806</v>
      </c>
      <c r="S645" t="s">
        <v>887</v>
      </c>
      <c r="T645" t="s">
        <v>78</v>
      </c>
      <c r="U645" t="s">
        <v>1822</v>
      </c>
      <c r="V645" t="s">
        <v>80</v>
      </c>
      <c r="W645" s="1">
        <v>44814</v>
      </c>
      <c r="X645" t="s">
        <v>2778</v>
      </c>
      <c r="Y645" t="s">
        <v>3007</v>
      </c>
      <c r="Z645" t="s">
        <v>83</v>
      </c>
      <c r="AA645">
        <v>1</v>
      </c>
      <c r="AB645" t="s">
        <v>127</v>
      </c>
      <c r="AC645">
        <v>0</v>
      </c>
      <c r="AD645" t="s">
        <v>128</v>
      </c>
      <c r="AE645" t="s">
        <v>145</v>
      </c>
      <c r="AF645" t="s">
        <v>146</v>
      </c>
      <c r="AI645" t="s">
        <v>90</v>
      </c>
      <c r="AJ645">
        <v>32.451971</v>
      </c>
      <c r="AK645">
        <v>-110.746691</v>
      </c>
      <c r="AL645">
        <v>3</v>
      </c>
      <c r="AN645">
        <v>2210</v>
      </c>
      <c r="AP645">
        <v>2210</v>
      </c>
      <c r="AQ645">
        <v>2207.2831460000002</v>
      </c>
      <c r="AT645">
        <v>10</v>
      </c>
      <c r="AU645">
        <v>9</v>
      </c>
      <c r="AV645">
        <v>2022</v>
      </c>
      <c r="AW645">
        <v>2438038</v>
      </c>
      <c r="AX645">
        <v>2438038</v>
      </c>
      <c r="AY645" t="s">
        <v>106</v>
      </c>
      <c r="AZ645" t="s">
        <v>92</v>
      </c>
      <c r="BA645" t="s">
        <v>107</v>
      </c>
      <c r="BB645" t="s">
        <v>3008</v>
      </c>
      <c r="BC645" t="s">
        <v>2245</v>
      </c>
      <c r="BE645" t="s">
        <v>96</v>
      </c>
      <c r="BG645" t="s">
        <v>2811</v>
      </c>
      <c r="BI645" t="s">
        <v>98</v>
      </c>
      <c r="BJ645" t="s">
        <v>3009</v>
      </c>
      <c r="BL645" t="s">
        <v>110</v>
      </c>
    </row>
    <row r="646" spans="1:64" hidden="1" x14ac:dyDescent="0.2">
      <c r="A646">
        <v>794</v>
      </c>
      <c r="B646">
        <v>4070420433</v>
      </c>
      <c r="C646" t="s">
        <v>101</v>
      </c>
      <c r="D646" t="s">
        <v>2694</v>
      </c>
      <c r="E646" t="s">
        <v>65</v>
      </c>
      <c r="F646" t="s">
        <v>66</v>
      </c>
      <c r="G646" t="s">
        <v>67</v>
      </c>
      <c r="H646" t="s">
        <v>68</v>
      </c>
      <c r="I646" t="s">
        <v>176</v>
      </c>
      <c r="J646" t="s">
        <v>177</v>
      </c>
      <c r="K646" t="s">
        <v>1817</v>
      </c>
      <c r="M646" t="s">
        <v>72</v>
      </c>
      <c r="N646" t="s">
        <v>1818</v>
      </c>
      <c r="O646" t="s">
        <v>1817</v>
      </c>
      <c r="P646" t="s">
        <v>1819</v>
      </c>
      <c r="Q646" t="s">
        <v>75</v>
      </c>
      <c r="R646" t="s">
        <v>2238</v>
      </c>
      <c r="S646" t="s">
        <v>2691</v>
      </c>
      <c r="T646" t="s">
        <v>78</v>
      </c>
      <c r="U646" t="s">
        <v>1822</v>
      </c>
      <c r="V646" t="s">
        <v>1179</v>
      </c>
      <c r="W646" s="1">
        <v>44813</v>
      </c>
      <c r="X646" t="s">
        <v>1823</v>
      </c>
      <c r="Y646" t="s">
        <v>2692</v>
      </c>
      <c r="Z646" t="s">
        <v>83</v>
      </c>
      <c r="AA646">
        <v>1</v>
      </c>
      <c r="AB646" t="s">
        <v>103</v>
      </c>
      <c r="AD646" t="s">
        <v>343</v>
      </c>
      <c r="AE646" t="s">
        <v>86</v>
      </c>
      <c r="AF646" t="s">
        <v>146</v>
      </c>
      <c r="AI646" t="s">
        <v>90</v>
      </c>
      <c r="AJ646">
        <v>32.439920999999998</v>
      </c>
      <c r="AK646">
        <v>-110.789141</v>
      </c>
      <c r="AL646">
        <v>3</v>
      </c>
      <c r="AN646">
        <v>2770</v>
      </c>
      <c r="AP646">
        <v>2770</v>
      </c>
      <c r="AQ646">
        <v>2771.2845579999998</v>
      </c>
      <c r="AT646">
        <v>9</v>
      </c>
      <c r="AU646">
        <v>9</v>
      </c>
      <c r="AV646">
        <v>2022</v>
      </c>
      <c r="AW646">
        <v>2437967</v>
      </c>
      <c r="AX646">
        <v>2437967</v>
      </c>
      <c r="AY646" t="s">
        <v>106</v>
      </c>
      <c r="AZ646" t="s">
        <v>92</v>
      </c>
      <c r="BA646" t="s">
        <v>107</v>
      </c>
      <c r="BB646" t="s">
        <v>2695</v>
      </c>
      <c r="BC646" t="s">
        <v>2245</v>
      </c>
      <c r="BE646" t="s">
        <v>96</v>
      </c>
      <c r="BG646" t="s">
        <v>2246</v>
      </c>
      <c r="BI646" t="s">
        <v>98</v>
      </c>
      <c r="BJ646" t="s">
        <v>864</v>
      </c>
      <c r="BL646" t="s">
        <v>110</v>
      </c>
    </row>
    <row r="647" spans="1:64" hidden="1" x14ac:dyDescent="0.2">
      <c r="A647">
        <v>892</v>
      </c>
      <c r="B647">
        <v>4070420331</v>
      </c>
      <c r="C647" t="s">
        <v>101</v>
      </c>
      <c r="D647" t="s">
        <v>3015</v>
      </c>
      <c r="E647" t="s">
        <v>65</v>
      </c>
      <c r="F647" t="s">
        <v>66</v>
      </c>
      <c r="G647" t="s">
        <v>67</v>
      </c>
      <c r="H647" t="s">
        <v>68</v>
      </c>
      <c r="I647" t="s">
        <v>176</v>
      </c>
      <c r="J647" t="s">
        <v>177</v>
      </c>
      <c r="K647" t="s">
        <v>178</v>
      </c>
      <c r="M647" t="s">
        <v>72</v>
      </c>
      <c r="N647" t="s">
        <v>179</v>
      </c>
      <c r="O647" t="s">
        <v>178</v>
      </c>
      <c r="P647" t="s">
        <v>180</v>
      </c>
      <c r="Q647" t="s">
        <v>75</v>
      </c>
      <c r="R647" t="s">
        <v>2806</v>
      </c>
      <c r="S647" t="s">
        <v>2735</v>
      </c>
      <c r="T647" t="s">
        <v>78</v>
      </c>
      <c r="U647" t="s">
        <v>1822</v>
      </c>
      <c r="V647" t="s">
        <v>80</v>
      </c>
      <c r="W647" s="1">
        <v>44814</v>
      </c>
      <c r="X647" t="s">
        <v>2778</v>
      </c>
      <c r="Y647" t="s">
        <v>3013</v>
      </c>
      <c r="Z647" t="s">
        <v>83</v>
      </c>
      <c r="AA647">
        <v>1</v>
      </c>
      <c r="AB647" t="s">
        <v>127</v>
      </c>
      <c r="AC647">
        <v>0</v>
      </c>
      <c r="AD647" t="s">
        <v>128</v>
      </c>
      <c r="AE647" t="s">
        <v>145</v>
      </c>
      <c r="AF647" t="s">
        <v>281</v>
      </c>
      <c r="AI647" t="s">
        <v>90</v>
      </c>
      <c r="AJ647">
        <v>32.452505000000002</v>
      </c>
      <c r="AK647">
        <v>-110.746701</v>
      </c>
      <c r="AL647">
        <v>3</v>
      </c>
      <c r="AN647">
        <v>2242</v>
      </c>
      <c r="AP647">
        <v>2242</v>
      </c>
      <c r="AQ647">
        <v>2222.0340729999998</v>
      </c>
      <c r="AT647">
        <v>10</v>
      </c>
      <c r="AU647">
        <v>9</v>
      </c>
      <c r="AV647">
        <v>2022</v>
      </c>
      <c r="AW647">
        <v>2438038</v>
      </c>
      <c r="AX647">
        <v>2438038</v>
      </c>
      <c r="AY647" t="s">
        <v>106</v>
      </c>
      <c r="AZ647" t="s">
        <v>92</v>
      </c>
      <c r="BA647" t="s">
        <v>107</v>
      </c>
      <c r="BB647" t="s">
        <v>3016</v>
      </c>
      <c r="BC647" t="s">
        <v>2245</v>
      </c>
      <c r="BE647" t="s">
        <v>96</v>
      </c>
      <c r="BG647" t="s">
        <v>2811</v>
      </c>
      <c r="BI647" t="s">
        <v>98</v>
      </c>
      <c r="BJ647" t="s">
        <v>2985</v>
      </c>
      <c r="BL647" t="s">
        <v>110</v>
      </c>
    </row>
    <row r="648" spans="1:64" hidden="1" x14ac:dyDescent="0.2">
      <c r="A648">
        <v>809</v>
      </c>
      <c r="B648">
        <v>4070420414</v>
      </c>
      <c r="C648" t="s">
        <v>101</v>
      </c>
      <c r="D648" t="s">
        <v>2699</v>
      </c>
      <c r="E648" t="s">
        <v>65</v>
      </c>
      <c r="F648" t="s">
        <v>66</v>
      </c>
      <c r="G648" t="s">
        <v>67</v>
      </c>
      <c r="H648" t="s">
        <v>68</v>
      </c>
      <c r="I648" t="s">
        <v>176</v>
      </c>
      <c r="J648" t="s">
        <v>177</v>
      </c>
      <c r="K648" t="s">
        <v>1817</v>
      </c>
      <c r="M648" t="s">
        <v>72</v>
      </c>
      <c r="N648" t="s">
        <v>1818</v>
      </c>
      <c r="O648" t="s">
        <v>1817</v>
      </c>
      <c r="P648" t="s">
        <v>1819</v>
      </c>
      <c r="Q648" t="s">
        <v>75</v>
      </c>
      <c r="R648" t="s">
        <v>2238</v>
      </c>
      <c r="S648" t="s">
        <v>1159</v>
      </c>
      <c r="T648" t="s">
        <v>78</v>
      </c>
      <c r="U648" t="s">
        <v>1822</v>
      </c>
      <c r="V648" t="s">
        <v>1179</v>
      </c>
      <c r="W648" s="1">
        <v>44813</v>
      </c>
      <c r="X648" t="s">
        <v>1823</v>
      </c>
      <c r="Y648" t="s">
        <v>2697</v>
      </c>
      <c r="Z648" t="s">
        <v>83</v>
      </c>
      <c r="AA648">
        <v>1</v>
      </c>
      <c r="AB648" t="s">
        <v>103</v>
      </c>
      <c r="AD648" t="s">
        <v>343</v>
      </c>
      <c r="AE648" t="s">
        <v>1078</v>
      </c>
      <c r="AF648" t="s">
        <v>1079</v>
      </c>
      <c r="AI648" t="s">
        <v>90</v>
      </c>
      <c r="AJ648">
        <v>32.439867</v>
      </c>
      <c r="AK648">
        <v>-110.789509</v>
      </c>
      <c r="AL648">
        <v>3</v>
      </c>
      <c r="AN648">
        <v>2751</v>
      </c>
      <c r="AP648">
        <v>2751</v>
      </c>
      <c r="AQ648">
        <v>2768.4549459999998</v>
      </c>
      <c r="AT648">
        <v>9</v>
      </c>
      <c r="AU648">
        <v>9</v>
      </c>
      <c r="AV648">
        <v>2022</v>
      </c>
      <c r="AW648">
        <v>2437967</v>
      </c>
      <c r="AX648">
        <v>2437967</v>
      </c>
      <c r="AY648" t="s">
        <v>106</v>
      </c>
      <c r="AZ648" t="s">
        <v>92</v>
      </c>
      <c r="BA648" t="s">
        <v>107</v>
      </c>
      <c r="BB648" t="s">
        <v>2700</v>
      </c>
      <c r="BC648" t="s">
        <v>2245</v>
      </c>
      <c r="BE648" t="s">
        <v>96</v>
      </c>
      <c r="BG648" t="s">
        <v>2246</v>
      </c>
      <c r="BI648" t="s">
        <v>98</v>
      </c>
      <c r="BJ648" t="s">
        <v>914</v>
      </c>
      <c r="BL648" t="s">
        <v>110</v>
      </c>
    </row>
    <row r="649" spans="1:64" hidden="1" x14ac:dyDescent="0.2">
      <c r="A649">
        <v>890</v>
      </c>
      <c r="B649">
        <v>4070420333</v>
      </c>
      <c r="C649" t="s">
        <v>101</v>
      </c>
      <c r="D649" t="s">
        <v>3017</v>
      </c>
      <c r="E649" t="s">
        <v>65</v>
      </c>
      <c r="F649" t="s">
        <v>66</v>
      </c>
      <c r="G649" t="s">
        <v>67</v>
      </c>
      <c r="H649" t="s">
        <v>68</v>
      </c>
      <c r="I649" t="s">
        <v>176</v>
      </c>
      <c r="J649" t="s">
        <v>177</v>
      </c>
      <c r="K649" t="s">
        <v>178</v>
      </c>
      <c r="M649" t="s">
        <v>72</v>
      </c>
      <c r="N649" t="s">
        <v>179</v>
      </c>
      <c r="O649" t="s">
        <v>178</v>
      </c>
      <c r="P649" t="s">
        <v>180</v>
      </c>
      <c r="Q649" t="s">
        <v>75</v>
      </c>
      <c r="R649" t="s">
        <v>2806</v>
      </c>
      <c r="S649" t="s">
        <v>916</v>
      </c>
      <c r="T649" t="s">
        <v>78</v>
      </c>
      <c r="U649" t="s">
        <v>1822</v>
      </c>
      <c r="V649" t="s">
        <v>80</v>
      </c>
      <c r="W649" s="1">
        <v>44814</v>
      </c>
      <c r="X649" t="s">
        <v>2778</v>
      </c>
      <c r="Y649" t="s">
        <v>3018</v>
      </c>
      <c r="Z649" t="s">
        <v>83</v>
      </c>
      <c r="AA649">
        <v>1</v>
      </c>
      <c r="AB649" t="s">
        <v>127</v>
      </c>
      <c r="AC649">
        <v>0</v>
      </c>
      <c r="AD649" t="s">
        <v>128</v>
      </c>
      <c r="AE649" t="s">
        <v>145</v>
      </c>
      <c r="AF649" t="s">
        <v>146</v>
      </c>
      <c r="AI649" t="s">
        <v>90</v>
      </c>
      <c r="AJ649">
        <v>32.45158</v>
      </c>
      <c r="AK649">
        <v>-110.746437</v>
      </c>
      <c r="AL649">
        <v>3</v>
      </c>
      <c r="AN649">
        <v>2195</v>
      </c>
      <c r="AP649">
        <v>2195</v>
      </c>
      <c r="AQ649">
        <v>2198.751636</v>
      </c>
      <c r="AT649">
        <v>10</v>
      </c>
      <c r="AU649">
        <v>9</v>
      </c>
      <c r="AV649">
        <v>2022</v>
      </c>
      <c r="AW649">
        <v>2438038</v>
      </c>
      <c r="AX649">
        <v>2438038</v>
      </c>
      <c r="AY649" t="s">
        <v>106</v>
      </c>
      <c r="AZ649" t="s">
        <v>92</v>
      </c>
      <c r="BA649" t="s">
        <v>107</v>
      </c>
      <c r="BB649" t="s">
        <v>3019</v>
      </c>
      <c r="BC649" t="s">
        <v>2245</v>
      </c>
      <c r="BE649" t="s">
        <v>96</v>
      </c>
      <c r="BG649" t="s">
        <v>2811</v>
      </c>
      <c r="BI649" t="s">
        <v>98</v>
      </c>
      <c r="BJ649" t="s">
        <v>3020</v>
      </c>
      <c r="BL649" t="s">
        <v>110</v>
      </c>
    </row>
    <row r="650" spans="1:64" hidden="1" x14ac:dyDescent="0.2">
      <c r="A650">
        <v>748</v>
      </c>
      <c r="B650">
        <v>4070420489</v>
      </c>
      <c r="C650" t="s">
        <v>101</v>
      </c>
      <c r="D650" t="s">
        <v>2705</v>
      </c>
      <c r="E650" t="s">
        <v>65</v>
      </c>
      <c r="F650" t="s">
        <v>66</v>
      </c>
      <c r="G650" t="s">
        <v>67</v>
      </c>
      <c r="H650" t="s">
        <v>68</v>
      </c>
      <c r="I650" t="s">
        <v>176</v>
      </c>
      <c r="J650" t="s">
        <v>177</v>
      </c>
      <c r="K650" t="s">
        <v>1817</v>
      </c>
      <c r="M650" t="s">
        <v>72</v>
      </c>
      <c r="N650" t="s">
        <v>1818</v>
      </c>
      <c r="O650" t="s">
        <v>1817</v>
      </c>
      <c r="P650" t="s">
        <v>1819</v>
      </c>
      <c r="Q650" t="s">
        <v>75</v>
      </c>
      <c r="R650" t="s">
        <v>2238</v>
      </c>
      <c r="S650" t="s">
        <v>1166</v>
      </c>
      <c r="T650" t="s">
        <v>78</v>
      </c>
      <c r="U650" t="s">
        <v>1822</v>
      </c>
      <c r="V650" t="s">
        <v>1179</v>
      </c>
      <c r="W650" s="1">
        <v>44813</v>
      </c>
      <c r="X650" t="s">
        <v>1823</v>
      </c>
      <c r="Y650" t="s">
        <v>2702</v>
      </c>
      <c r="Z650" t="s">
        <v>83</v>
      </c>
      <c r="AA650">
        <v>1</v>
      </c>
      <c r="AB650" t="s">
        <v>103</v>
      </c>
      <c r="AD650" t="s">
        <v>343</v>
      </c>
      <c r="AE650" t="s">
        <v>1078</v>
      </c>
      <c r="AF650" t="s">
        <v>1079</v>
      </c>
      <c r="AI650" t="s">
        <v>90</v>
      </c>
      <c r="AJ650">
        <v>32.439717000000002</v>
      </c>
      <c r="AK650">
        <v>-110.789665</v>
      </c>
      <c r="AL650">
        <v>3</v>
      </c>
      <c r="AN650">
        <v>2768</v>
      </c>
      <c r="AP650">
        <v>2768</v>
      </c>
      <c r="AQ650">
        <v>2770.2614530000001</v>
      </c>
      <c r="AT650">
        <v>9</v>
      </c>
      <c r="AU650">
        <v>9</v>
      </c>
      <c r="AV650">
        <v>2022</v>
      </c>
      <c r="AW650">
        <v>2437967</v>
      </c>
      <c r="AX650">
        <v>2437967</v>
      </c>
      <c r="AY650" t="s">
        <v>106</v>
      </c>
      <c r="AZ650" t="s">
        <v>92</v>
      </c>
      <c r="BA650" t="s">
        <v>107</v>
      </c>
      <c r="BB650" t="s">
        <v>2706</v>
      </c>
      <c r="BC650" t="s">
        <v>2245</v>
      </c>
      <c r="BE650" t="s">
        <v>96</v>
      </c>
      <c r="BG650" t="s">
        <v>2246</v>
      </c>
      <c r="BI650" t="s">
        <v>98</v>
      </c>
      <c r="BJ650" t="s">
        <v>949</v>
      </c>
      <c r="BL650" t="s">
        <v>110</v>
      </c>
    </row>
    <row r="651" spans="1:64" hidden="1" x14ac:dyDescent="0.2">
      <c r="A651">
        <v>886</v>
      </c>
      <c r="B651">
        <v>4070420337</v>
      </c>
      <c r="C651" t="s">
        <v>101</v>
      </c>
      <c r="D651" t="s">
        <v>3023</v>
      </c>
      <c r="E651" t="s">
        <v>65</v>
      </c>
      <c r="F651" t="s">
        <v>66</v>
      </c>
      <c r="G651" t="s">
        <v>67</v>
      </c>
      <c r="H651" t="s">
        <v>68</v>
      </c>
      <c r="I651" t="s">
        <v>176</v>
      </c>
      <c r="J651" t="s">
        <v>177</v>
      </c>
      <c r="K651" t="s">
        <v>178</v>
      </c>
      <c r="M651" t="s">
        <v>72</v>
      </c>
      <c r="N651" t="s">
        <v>179</v>
      </c>
      <c r="O651" t="s">
        <v>178</v>
      </c>
      <c r="P651" t="s">
        <v>180</v>
      </c>
      <c r="Q651" t="s">
        <v>75</v>
      </c>
      <c r="R651" t="s">
        <v>2806</v>
      </c>
      <c r="S651" t="s">
        <v>1110</v>
      </c>
      <c r="T651" t="s">
        <v>78</v>
      </c>
      <c r="U651" t="s">
        <v>1822</v>
      </c>
      <c r="V651" t="s">
        <v>80</v>
      </c>
      <c r="W651" s="1">
        <v>44814</v>
      </c>
      <c r="X651" t="s">
        <v>2778</v>
      </c>
      <c r="Y651" t="s">
        <v>3024</v>
      </c>
      <c r="Z651" t="s">
        <v>83</v>
      </c>
      <c r="AA651">
        <v>1</v>
      </c>
      <c r="AB651" t="s">
        <v>127</v>
      </c>
      <c r="AC651">
        <v>0</v>
      </c>
      <c r="AD651" t="s">
        <v>128</v>
      </c>
      <c r="AE651" t="s">
        <v>86</v>
      </c>
      <c r="AF651" t="s">
        <v>146</v>
      </c>
      <c r="AI651" t="s">
        <v>90</v>
      </c>
      <c r="AJ651">
        <v>32.452182999999998</v>
      </c>
      <c r="AK651">
        <v>-110.746696</v>
      </c>
      <c r="AL651">
        <v>4</v>
      </c>
      <c r="AN651">
        <v>2206</v>
      </c>
      <c r="AP651">
        <v>2206</v>
      </c>
      <c r="AQ651">
        <v>2211.4257750000002</v>
      </c>
      <c r="AT651">
        <v>10</v>
      </c>
      <c r="AU651">
        <v>9</v>
      </c>
      <c r="AV651">
        <v>2022</v>
      </c>
      <c r="AW651">
        <v>2438038</v>
      </c>
      <c r="AX651">
        <v>2438038</v>
      </c>
      <c r="AY651" t="s">
        <v>106</v>
      </c>
      <c r="AZ651" t="s">
        <v>92</v>
      </c>
      <c r="BA651" t="s">
        <v>107</v>
      </c>
      <c r="BB651" t="s">
        <v>3025</v>
      </c>
      <c r="BC651" t="s">
        <v>2245</v>
      </c>
      <c r="BE651" t="s">
        <v>96</v>
      </c>
      <c r="BG651" t="s">
        <v>2811</v>
      </c>
      <c r="BI651" t="s">
        <v>98</v>
      </c>
      <c r="BJ651" t="s">
        <v>3026</v>
      </c>
      <c r="BL651" t="s">
        <v>110</v>
      </c>
    </row>
    <row r="652" spans="1:64" hidden="1" x14ac:dyDescent="0.2">
      <c r="A652">
        <v>744</v>
      </c>
      <c r="B652">
        <v>4070420493</v>
      </c>
      <c r="C652" t="s">
        <v>101</v>
      </c>
      <c r="D652" t="s">
        <v>2712</v>
      </c>
      <c r="E652" t="s">
        <v>65</v>
      </c>
      <c r="F652" t="s">
        <v>66</v>
      </c>
      <c r="G652" t="s">
        <v>67</v>
      </c>
      <c r="H652" t="s">
        <v>68</v>
      </c>
      <c r="I652" t="s">
        <v>176</v>
      </c>
      <c r="J652" t="s">
        <v>177</v>
      </c>
      <c r="K652" t="s">
        <v>1817</v>
      </c>
      <c r="M652" t="s">
        <v>72</v>
      </c>
      <c r="N652" t="s">
        <v>1818</v>
      </c>
      <c r="O652" t="s">
        <v>1817</v>
      </c>
      <c r="P652" t="s">
        <v>1819</v>
      </c>
      <c r="Q652" t="s">
        <v>75</v>
      </c>
      <c r="R652" t="s">
        <v>2238</v>
      </c>
      <c r="S652" t="s">
        <v>2708</v>
      </c>
      <c r="T652" t="s">
        <v>78</v>
      </c>
      <c r="U652" t="s">
        <v>1822</v>
      </c>
      <c r="V652" t="s">
        <v>80</v>
      </c>
      <c r="W652" s="1">
        <v>44813</v>
      </c>
      <c r="X652" t="s">
        <v>1823</v>
      </c>
      <c r="Y652" t="s">
        <v>2709</v>
      </c>
      <c r="Z652" t="s">
        <v>83</v>
      </c>
      <c r="AA652">
        <v>1</v>
      </c>
      <c r="AB652" t="s">
        <v>103</v>
      </c>
      <c r="AD652" t="s">
        <v>343</v>
      </c>
      <c r="AE652" t="s">
        <v>145</v>
      </c>
      <c r="AF652" t="s">
        <v>281</v>
      </c>
      <c r="AI652" t="s">
        <v>90</v>
      </c>
      <c r="AJ652">
        <v>32.441763999999999</v>
      </c>
      <c r="AK652">
        <v>-110.78778200000001</v>
      </c>
      <c r="AL652">
        <v>3</v>
      </c>
      <c r="AN652">
        <v>2692</v>
      </c>
      <c r="AP652">
        <v>2692</v>
      </c>
      <c r="AQ652">
        <v>2785.365828</v>
      </c>
      <c r="AT652">
        <v>9</v>
      </c>
      <c r="AU652">
        <v>9</v>
      </c>
      <c r="AV652">
        <v>2022</v>
      </c>
      <c r="AW652">
        <v>2437967</v>
      </c>
      <c r="AX652">
        <v>2437967</v>
      </c>
      <c r="AY652" t="s">
        <v>106</v>
      </c>
      <c r="AZ652" t="s">
        <v>92</v>
      </c>
      <c r="BA652" t="s">
        <v>107</v>
      </c>
      <c r="BB652" t="s">
        <v>2713</v>
      </c>
      <c r="BC652" t="s">
        <v>2245</v>
      </c>
      <c r="BE652" t="s">
        <v>96</v>
      </c>
      <c r="BG652" t="s">
        <v>2246</v>
      </c>
      <c r="BI652" t="s">
        <v>98</v>
      </c>
      <c r="BJ652" t="s">
        <v>2714</v>
      </c>
      <c r="BL652" t="s">
        <v>412</v>
      </c>
    </row>
    <row r="653" spans="1:64" hidden="1" x14ac:dyDescent="0.2">
      <c r="A653">
        <v>821</v>
      </c>
      <c r="B653">
        <v>4070420402</v>
      </c>
      <c r="C653" t="s">
        <v>101</v>
      </c>
      <c r="D653" t="s">
        <v>3036</v>
      </c>
      <c r="E653" t="s">
        <v>65</v>
      </c>
      <c r="F653" t="s">
        <v>66</v>
      </c>
      <c r="G653" t="s">
        <v>67</v>
      </c>
      <c r="H653" t="s">
        <v>68</v>
      </c>
      <c r="I653" t="s">
        <v>176</v>
      </c>
      <c r="J653" t="s">
        <v>177</v>
      </c>
      <c r="K653" t="s">
        <v>178</v>
      </c>
      <c r="M653" t="s">
        <v>72</v>
      </c>
      <c r="N653" t="s">
        <v>179</v>
      </c>
      <c r="O653" t="s">
        <v>178</v>
      </c>
      <c r="P653" t="s">
        <v>180</v>
      </c>
      <c r="Q653" t="s">
        <v>75</v>
      </c>
      <c r="R653" t="s">
        <v>2806</v>
      </c>
      <c r="S653" t="s">
        <v>953</v>
      </c>
      <c r="T653" t="s">
        <v>78</v>
      </c>
      <c r="U653" t="s">
        <v>1822</v>
      </c>
      <c r="V653" t="s">
        <v>80</v>
      </c>
      <c r="W653" s="1">
        <v>44814</v>
      </c>
      <c r="X653" t="s">
        <v>2778</v>
      </c>
      <c r="Y653" t="s">
        <v>3037</v>
      </c>
      <c r="Z653" t="s">
        <v>83</v>
      </c>
      <c r="AA653">
        <v>1</v>
      </c>
      <c r="AB653" t="s">
        <v>127</v>
      </c>
      <c r="AC653">
        <v>0</v>
      </c>
      <c r="AD653" t="s">
        <v>128</v>
      </c>
      <c r="AE653" t="s">
        <v>86</v>
      </c>
      <c r="AF653" t="s">
        <v>146</v>
      </c>
      <c r="AI653" t="s">
        <v>90</v>
      </c>
      <c r="AJ653">
        <v>32.451441000000003</v>
      </c>
      <c r="AK653">
        <v>-110.74642299999999</v>
      </c>
      <c r="AL653">
        <v>3</v>
      </c>
      <c r="AN653">
        <v>2211</v>
      </c>
      <c r="AP653">
        <v>2211</v>
      </c>
      <c r="AQ653">
        <v>2198.8945600000002</v>
      </c>
      <c r="AT653">
        <v>10</v>
      </c>
      <c r="AU653">
        <v>9</v>
      </c>
      <c r="AV653">
        <v>2022</v>
      </c>
      <c r="AW653">
        <v>2438038</v>
      </c>
      <c r="AX653">
        <v>2438038</v>
      </c>
      <c r="AY653" t="s">
        <v>106</v>
      </c>
      <c r="AZ653" t="s">
        <v>92</v>
      </c>
      <c r="BA653" t="s">
        <v>107</v>
      </c>
      <c r="BB653" t="s">
        <v>3038</v>
      </c>
      <c r="BC653" t="s">
        <v>2245</v>
      </c>
      <c r="BE653" t="s">
        <v>96</v>
      </c>
      <c r="BG653" t="s">
        <v>2811</v>
      </c>
      <c r="BI653" t="s">
        <v>98</v>
      </c>
      <c r="BJ653" t="s">
        <v>3039</v>
      </c>
      <c r="BL653" t="s">
        <v>110</v>
      </c>
    </row>
    <row r="654" spans="1:64" hidden="1" x14ac:dyDescent="0.2">
      <c r="A654">
        <v>740</v>
      </c>
      <c r="B654">
        <v>4070420497</v>
      </c>
      <c r="C654" t="s">
        <v>101</v>
      </c>
      <c r="D654" t="s">
        <v>2719</v>
      </c>
      <c r="E654" t="s">
        <v>65</v>
      </c>
      <c r="F654" t="s">
        <v>66</v>
      </c>
      <c r="G654" t="s">
        <v>67</v>
      </c>
      <c r="H654" t="s">
        <v>68</v>
      </c>
      <c r="I654" t="s">
        <v>176</v>
      </c>
      <c r="J654" t="s">
        <v>773</v>
      </c>
      <c r="K654" t="s">
        <v>774</v>
      </c>
      <c r="M654" t="s">
        <v>72</v>
      </c>
      <c r="N654" t="s">
        <v>775</v>
      </c>
      <c r="O654" t="s">
        <v>774</v>
      </c>
      <c r="P654" t="s">
        <v>776</v>
      </c>
      <c r="Q654" t="s">
        <v>75</v>
      </c>
      <c r="R654" t="s">
        <v>2238</v>
      </c>
      <c r="S654" t="s">
        <v>1110</v>
      </c>
      <c r="T654" t="s">
        <v>78</v>
      </c>
      <c r="U654" t="s">
        <v>1822</v>
      </c>
      <c r="V654" t="s">
        <v>80</v>
      </c>
      <c r="W654" s="1">
        <v>44813</v>
      </c>
      <c r="X654" t="s">
        <v>1823</v>
      </c>
      <c r="Y654" t="s">
        <v>2716</v>
      </c>
      <c r="Z654" t="s">
        <v>83</v>
      </c>
      <c r="AA654">
        <v>1</v>
      </c>
      <c r="AB654" t="s">
        <v>103</v>
      </c>
      <c r="AD654" t="s">
        <v>343</v>
      </c>
      <c r="AE654" t="s">
        <v>86</v>
      </c>
      <c r="AF654" t="s">
        <v>146</v>
      </c>
      <c r="AI654" t="s">
        <v>90</v>
      </c>
      <c r="AJ654">
        <v>32.441516999999997</v>
      </c>
      <c r="AK654">
        <v>-110.78713</v>
      </c>
      <c r="AL654">
        <v>3</v>
      </c>
      <c r="AN654">
        <v>2664</v>
      </c>
      <c r="AP654">
        <v>2664</v>
      </c>
      <c r="AQ654">
        <v>2777.210963</v>
      </c>
      <c r="AT654">
        <v>9</v>
      </c>
      <c r="AU654">
        <v>9</v>
      </c>
      <c r="AV654">
        <v>2022</v>
      </c>
      <c r="AW654">
        <v>2438447</v>
      </c>
      <c r="AX654">
        <v>2438447</v>
      </c>
      <c r="AY654" t="s">
        <v>106</v>
      </c>
      <c r="AZ654" t="s">
        <v>92</v>
      </c>
      <c r="BA654" t="s">
        <v>107</v>
      </c>
      <c r="BB654" t="s">
        <v>2720</v>
      </c>
      <c r="BC654" t="s">
        <v>2245</v>
      </c>
      <c r="BE654" t="s">
        <v>96</v>
      </c>
      <c r="BG654" t="s">
        <v>2246</v>
      </c>
      <c r="BI654" t="s">
        <v>98</v>
      </c>
      <c r="BJ654" t="s">
        <v>1633</v>
      </c>
      <c r="BL654" t="s">
        <v>412</v>
      </c>
    </row>
    <row r="655" spans="1:64" hidden="1" x14ac:dyDescent="0.2">
      <c r="A655">
        <v>817</v>
      </c>
      <c r="B655">
        <v>4070420406</v>
      </c>
      <c r="C655" t="s">
        <v>101</v>
      </c>
      <c r="D655" t="s">
        <v>3043</v>
      </c>
      <c r="E655" t="s">
        <v>65</v>
      </c>
      <c r="F655" t="s">
        <v>66</v>
      </c>
      <c r="G655" t="s">
        <v>67</v>
      </c>
      <c r="H655" t="s">
        <v>68</v>
      </c>
      <c r="I655" t="s">
        <v>176</v>
      </c>
      <c r="J655" t="s">
        <v>177</v>
      </c>
      <c r="K655" t="s">
        <v>178</v>
      </c>
      <c r="M655" t="s">
        <v>72</v>
      </c>
      <c r="N655" t="s">
        <v>179</v>
      </c>
      <c r="O655" t="s">
        <v>178</v>
      </c>
      <c r="P655" t="s">
        <v>180</v>
      </c>
      <c r="Q655" t="s">
        <v>75</v>
      </c>
      <c r="R655" t="s">
        <v>2806</v>
      </c>
      <c r="S655" t="s">
        <v>3044</v>
      </c>
      <c r="T655" t="s">
        <v>78</v>
      </c>
      <c r="U655" t="s">
        <v>1822</v>
      </c>
      <c r="V655" t="s">
        <v>80</v>
      </c>
      <c r="W655" s="1">
        <v>44814</v>
      </c>
      <c r="X655" t="s">
        <v>2778</v>
      </c>
      <c r="Y655" t="s">
        <v>3045</v>
      </c>
      <c r="Z655" t="s">
        <v>83</v>
      </c>
      <c r="AA655">
        <v>1</v>
      </c>
      <c r="AB655" t="s">
        <v>127</v>
      </c>
      <c r="AC655">
        <v>0</v>
      </c>
      <c r="AD655" t="s">
        <v>128</v>
      </c>
      <c r="AE655" t="s">
        <v>86</v>
      </c>
      <c r="AF655" t="s">
        <v>146</v>
      </c>
      <c r="AI655" t="s">
        <v>90</v>
      </c>
      <c r="AJ655">
        <v>32.452485000000003</v>
      </c>
      <c r="AK655">
        <v>-110.74709</v>
      </c>
      <c r="AL655">
        <v>15</v>
      </c>
      <c r="AN655">
        <v>2220</v>
      </c>
      <c r="AP655">
        <v>2220</v>
      </c>
      <c r="AQ655">
        <v>2228.7805910000002</v>
      </c>
      <c r="AT655">
        <v>10</v>
      </c>
      <c r="AU655">
        <v>9</v>
      </c>
      <c r="AV655">
        <v>2022</v>
      </c>
      <c r="AW655">
        <v>2438038</v>
      </c>
      <c r="AX655">
        <v>2438038</v>
      </c>
      <c r="AY655" t="s">
        <v>106</v>
      </c>
      <c r="AZ655" t="s">
        <v>92</v>
      </c>
      <c r="BA655" t="s">
        <v>107</v>
      </c>
      <c r="BB655" t="s">
        <v>3046</v>
      </c>
      <c r="BC655" t="s">
        <v>2245</v>
      </c>
      <c r="BE655" t="s">
        <v>96</v>
      </c>
      <c r="BG655" t="s">
        <v>2811</v>
      </c>
      <c r="BI655" t="s">
        <v>98</v>
      </c>
      <c r="BJ655" t="s">
        <v>3047</v>
      </c>
      <c r="BL655" t="s">
        <v>412</v>
      </c>
    </row>
    <row r="656" spans="1:64" x14ac:dyDescent="0.2">
      <c r="A656">
        <v>1468</v>
      </c>
      <c r="B656">
        <v>3748770413</v>
      </c>
      <c r="C656" t="s">
        <v>63</v>
      </c>
      <c r="D656" t="s">
        <v>4271</v>
      </c>
      <c r="E656" t="s">
        <v>65</v>
      </c>
      <c r="F656" t="s">
        <v>66</v>
      </c>
      <c r="G656" t="s">
        <v>67</v>
      </c>
      <c r="H656" t="s">
        <v>68</v>
      </c>
      <c r="I656" t="s">
        <v>176</v>
      </c>
      <c r="J656" t="s">
        <v>177</v>
      </c>
      <c r="K656" t="s">
        <v>3925</v>
      </c>
      <c r="M656" t="s">
        <v>72</v>
      </c>
      <c r="N656" t="s">
        <v>3926</v>
      </c>
      <c r="O656" t="s">
        <v>3925</v>
      </c>
      <c r="P656" t="s">
        <v>1176</v>
      </c>
      <c r="Q656" t="s">
        <v>75</v>
      </c>
      <c r="R656" t="s">
        <v>3816</v>
      </c>
      <c r="S656" t="s">
        <v>4272</v>
      </c>
      <c r="T656" t="s">
        <v>78</v>
      </c>
      <c r="U656" t="s">
        <v>3817</v>
      </c>
      <c r="V656" t="s">
        <v>80</v>
      </c>
      <c r="W656" s="1">
        <v>44520</v>
      </c>
      <c r="X656" t="s">
        <v>3818</v>
      </c>
      <c r="Y656" t="s">
        <v>4273</v>
      </c>
      <c r="Z656" t="s">
        <v>83</v>
      </c>
      <c r="AA656">
        <v>1</v>
      </c>
      <c r="AB656" t="s">
        <v>4274</v>
      </c>
      <c r="AC656">
        <v>1</v>
      </c>
      <c r="AD656" s="6" t="s">
        <v>85</v>
      </c>
      <c r="AE656" s="6" t="s">
        <v>86</v>
      </c>
      <c r="AF656" s="6" t="s">
        <v>281</v>
      </c>
      <c r="AG656" s="6" t="s">
        <v>282</v>
      </c>
      <c r="AH656" s="6" t="s">
        <v>4275</v>
      </c>
      <c r="AI656" s="6" t="s">
        <v>90</v>
      </c>
      <c r="AJ656" s="6">
        <v>32.516249999999999</v>
      </c>
      <c r="AK656" s="6">
        <v>-110.687225</v>
      </c>
      <c r="AL656" s="6">
        <v>3</v>
      </c>
      <c r="AM656" s="6"/>
      <c r="AN656" s="6">
        <v>1348</v>
      </c>
      <c r="AO656" s="6"/>
      <c r="AP656" s="6">
        <v>1348</v>
      </c>
      <c r="AQ656" s="6">
        <v>1364.514999</v>
      </c>
      <c r="AR656" s="6"/>
      <c r="AS656" s="6"/>
      <c r="AT656" s="6">
        <v>20</v>
      </c>
      <c r="AU656" s="6">
        <v>11</v>
      </c>
      <c r="AV656" s="6">
        <v>2021</v>
      </c>
      <c r="AW656" s="6">
        <v>2437981</v>
      </c>
      <c r="AX656" s="6">
        <v>2437981</v>
      </c>
      <c r="AY656" s="6" t="s">
        <v>91</v>
      </c>
      <c r="AZ656" t="s">
        <v>92</v>
      </c>
      <c r="BA656" t="s">
        <v>93</v>
      </c>
      <c r="BB656" t="s">
        <v>4276</v>
      </c>
      <c r="BC656" t="s">
        <v>97</v>
      </c>
      <c r="BE656" t="s">
        <v>96</v>
      </c>
      <c r="BG656" t="s">
        <v>97</v>
      </c>
      <c r="BI656" t="s">
        <v>98</v>
      </c>
      <c r="BJ656" t="s">
        <v>150</v>
      </c>
      <c r="BL656" t="s">
        <v>100</v>
      </c>
    </row>
    <row r="657" spans="1:64" hidden="1" x14ac:dyDescent="0.2">
      <c r="A657">
        <v>734</v>
      </c>
      <c r="B657">
        <v>4070420503</v>
      </c>
      <c r="C657" t="s">
        <v>101</v>
      </c>
      <c r="D657" t="s">
        <v>2726</v>
      </c>
      <c r="E657" t="s">
        <v>65</v>
      </c>
      <c r="F657" t="s">
        <v>66</v>
      </c>
      <c r="G657" t="s">
        <v>67</v>
      </c>
      <c r="H657" t="s">
        <v>68</v>
      </c>
      <c r="I657" t="s">
        <v>176</v>
      </c>
      <c r="J657" t="s">
        <v>177</v>
      </c>
      <c r="K657" t="s">
        <v>1817</v>
      </c>
      <c r="M657" t="s">
        <v>72</v>
      </c>
      <c r="N657" t="s">
        <v>1818</v>
      </c>
      <c r="O657" t="s">
        <v>1817</v>
      </c>
      <c r="P657" t="s">
        <v>1819</v>
      </c>
      <c r="Q657" t="s">
        <v>75</v>
      </c>
      <c r="R657" t="s">
        <v>2238</v>
      </c>
      <c r="S657" t="s">
        <v>1125</v>
      </c>
      <c r="T657" t="s">
        <v>78</v>
      </c>
      <c r="U657" t="s">
        <v>1822</v>
      </c>
      <c r="V657" t="s">
        <v>80</v>
      </c>
      <c r="W657" s="1">
        <v>44813</v>
      </c>
      <c r="X657" t="s">
        <v>1823</v>
      </c>
      <c r="Y657" t="s">
        <v>2722</v>
      </c>
      <c r="Z657" t="s">
        <v>83</v>
      </c>
      <c r="AA657">
        <v>1</v>
      </c>
      <c r="AB657" t="s">
        <v>103</v>
      </c>
      <c r="AD657" t="s">
        <v>343</v>
      </c>
      <c r="AE657" t="s">
        <v>86</v>
      </c>
      <c r="AF657" t="s">
        <v>146</v>
      </c>
      <c r="AI657" t="s">
        <v>90</v>
      </c>
      <c r="AJ657">
        <v>32.442048999999997</v>
      </c>
      <c r="AK657">
        <v>-110.787525</v>
      </c>
      <c r="AL657">
        <v>3</v>
      </c>
      <c r="AN657">
        <v>2738</v>
      </c>
      <c r="AP657">
        <v>2738</v>
      </c>
      <c r="AQ657">
        <v>2775.0005230000002</v>
      </c>
      <c r="AT657">
        <v>9</v>
      </c>
      <c r="AU657">
        <v>9</v>
      </c>
      <c r="AV657">
        <v>2022</v>
      </c>
      <c r="AW657">
        <v>2437967</v>
      </c>
      <c r="AX657">
        <v>2437967</v>
      </c>
      <c r="AY657" t="s">
        <v>106</v>
      </c>
      <c r="AZ657" t="s">
        <v>92</v>
      </c>
      <c r="BA657" t="s">
        <v>107</v>
      </c>
      <c r="BB657" t="s">
        <v>2727</v>
      </c>
      <c r="BC657" t="s">
        <v>2245</v>
      </c>
      <c r="BE657" t="s">
        <v>96</v>
      </c>
      <c r="BG657" t="s">
        <v>2246</v>
      </c>
      <c r="BI657" t="s">
        <v>98</v>
      </c>
      <c r="BJ657" t="s">
        <v>2714</v>
      </c>
      <c r="BL657" t="s">
        <v>412</v>
      </c>
    </row>
    <row r="658" spans="1:64" hidden="1" x14ac:dyDescent="0.2">
      <c r="A658">
        <v>749</v>
      </c>
      <c r="B658">
        <v>4070420488</v>
      </c>
      <c r="C658" t="s">
        <v>101</v>
      </c>
      <c r="D658" t="s">
        <v>2728</v>
      </c>
      <c r="E658" t="s">
        <v>65</v>
      </c>
      <c r="F658" t="s">
        <v>66</v>
      </c>
      <c r="G658" t="s">
        <v>67</v>
      </c>
      <c r="H658" t="s">
        <v>68</v>
      </c>
      <c r="I658" t="s">
        <v>176</v>
      </c>
      <c r="J658" t="s">
        <v>773</v>
      </c>
      <c r="K658" t="s">
        <v>774</v>
      </c>
      <c r="M658" t="s">
        <v>72</v>
      </c>
      <c r="N658" t="s">
        <v>775</v>
      </c>
      <c r="O658" t="s">
        <v>774</v>
      </c>
      <c r="P658" t="s">
        <v>776</v>
      </c>
      <c r="Q658" t="s">
        <v>75</v>
      </c>
      <c r="R658" t="s">
        <v>2238</v>
      </c>
      <c r="S658" t="s">
        <v>916</v>
      </c>
      <c r="T658" t="s">
        <v>78</v>
      </c>
      <c r="U658" t="s">
        <v>1822</v>
      </c>
      <c r="V658" t="s">
        <v>80</v>
      </c>
      <c r="W658" s="1">
        <v>44813</v>
      </c>
      <c r="X658" t="s">
        <v>1823</v>
      </c>
      <c r="Y658" t="s">
        <v>2729</v>
      </c>
      <c r="Z658" t="s">
        <v>83</v>
      </c>
      <c r="AA658">
        <v>1</v>
      </c>
      <c r="AB658" t="s">
        <v>103</v>
      </c>
      <c r="AD658" t="s">
        <v>343</v>
      </c>
      <c r="AE658" t="s">
        <v>86</v>
      </c>
      <c r="AF658" t="s">
        <v>87</v>
      </c>
      <c r="AI658" t="s">
        <v>90</v>
      </c>
      <c r="AJ658">
        <v>32.441465999999998</v>
      </c>
      <c r="AK658">
        <v>-110.786929</v>
      </c>
      <c r="AL658">
        <v>3</v>
      </c>
      <c r="AN658">
        <v>2725</v>
      </c>
      <c r="AP658">
        <v>2725</v>
      </c>
      <c r="AQ658">
        <v>2777.7950350000001</v>
      </c>
      <c r="AT658">
        <v>9</v>
      </c>
      <c r="AU658">
        <v>9</v>
      </c>
      <c r="AV658">
        <v>2022</v>
      </c>
      <c r="AW658">
        <v>2438447</v>
      </c>
      <c r="AX658">
        <v>2438447</v>
      </c>
      <c r="AY658" t="s">
        <v>106</v>
      </c>
      <c r="AZ658" t="s">
        <v>92</v>
      </c>
      <c r="BA658" t="s">
        <v>107</v>
      </c>
      <c r="BB658" t="s">
        <v>2730</v>
      </c>
      <c r="BC658" t="s">
        <v>2245</v>
      </c>
      <c r="BE658" t="s">
        <v>96</v>
      </c>
      <c r="BG658" t="s">
        <v>2246</v>
      </c>
      <c r="BI658" t="s">
        <v>98</v>
      </c>
      <c r="BJ658" t="s">
        <v>1614</v>
      </c>
      <c r="BL658" t="s">
        <v>412</v>
      </c>
    </row>
    <row r="659" spans="1:64" hidden="1" x14ac:dyDescent="0.2">
      <c r="A659">
        <v>831</v>
      </c>
      <c r="B659">
        <v>4070420392</v>
      </c>
      <c r="C659" t="s">
        <v>101</v>
      </c>
      <c r="D659" t="s">
        <v>3056</v>
      </c>
      <c r="E659" t="s">
        <v>65</v>
      </c>
      <c r="F659" t="s">
        <v>66</v>
      </c>
      <c r="G659" t="s">
        <v>67</v>
      </c>
      <c r="H659" t="s">
        <v>68</v>
      </c>
      <c r="I659" t="s">
        <v>176</v>
      </c>
      <c r="J659" t="s">
        <v>177</v>
      </c>
      <c r="K659" t="s">
        <v>178</v>
      </c>
      <c r="M659" t="s">
        <v>72</v>
      </c>
      <c r="N659" t="s">
        <v>179</v>
      </c>
      <c r="O659" t="s">
        <v>178</v>
      </c>
      <c r="P659" t="s">
        <v>180</v>
      </c>
      <c r="Q659" t="s">
        <v>75</v>
      </c>
      <c r="R659" t="s">
        <v>2806</v>
      </c>
      <c r="S659" t="s">
        <v>3052</v>
      </c>
      <c r="T659" t="s">
        <v>78</v>
      </c>
      <c r="U659" t="s">
        <v>1822</v>
      </c>
      <c r="V659" t="s">
        <v>80</v>
      </c>
      <c r="W659" s="1">
        <v>44814</v>
      </c>
      <c r="X659" t="s">
        <v>2778</v>
      </c>
      <c r="Y659" t="s">
        <v>3053</v>
      </c>
      <c r="Z659" t="s">
        <v>83</v>
      </c>
      <c r="AA659">
        <v>1</v>
      </c>
      <c r="AB659" t="s">
        <v>127</v>
      </c>
      <c r="AC659">
        <v>0</v>
      </c>
      <c r="AD659" t="s">
        <v>128</v>
      </c>
      <c r="AE659" t="s">
        <v>145</v>
      </c>
      <c r="AF659" t="s">
        <v>281</v>
      </c>
      <c r="AI659" t="s">
        <v>90</v>
      </c>
      <c r="AJ659">
        <v>32.452215000000002</v>
      </c>
      <c r="AK659">
        <v>-110.74687400000001</v>
      </c>
      <c r="AL659">
        <v>15</v>
      </c>
      <c r="AN659">
        <v>2212</v>
      </c>
      <c r="AP659">
        <v>2212</v>
      </c>
      <c r="AQ659">
        <v>2219.0415830000002</v>
      </c>
      <c r="AT659">
        <v>10</v>
      </c>
      <c r="AU659">
        <v>9</v>
      </c>
      <c r="AV659">
        <v>2022</v>
      </c>
      <c r="AW659">
        <v>2438038</v>
      </c>
      <c r="AX659">
        <v>2438038</v>
      </c>
      <c r="AY659" t="s">
        <v>106</v>
      </c>
      <c r="AZ659" t="s">
        <v>92</v>
      </c>
      <c r="BA659" t="s">
        <v>107</v>
      </c>
      <c r="BB659" t="s">
        <v>3057</v>
      </c>
      <c r="BC659" t="s">
        <v>2245</v>
      </c>
      <c r="BE659" t="s">
        <v>96</v>
      </c>
      <c r="BG659" t="s">
        <v>2811</v>
      </c>
      <c r="BI659" t="s">
        <v>98</v>
      </c>
      <c r="BJ659" t="s">
        <v>3058</v>
      </c>
      <c r="BL659" t="s">
        <v>412</v>
      </c>
    </row>
    <row r="660" spans="1:64" hidden="1" x14ac:dyDescent="0.2">
      <c r="A660">
        <v>829</v>
      </c>
      <c r="B660">
        <v>4070420394</v>
      </c>
      <c r="C660" t="s">
        <v>101</v>
      </c>
      <c r="D660" t="s">
        <v>3059</v>
      </c>
      <c r="E660" t="s">
        <v>65</v>
      </c>
      <c r="F660" t="s">
        <v>66</v>
      </c>
      <c r="G660" t="s">
        <v>67</v>
      </c>
      <c r="H660" t="s">
        <v>68</v>
      </c>
      <c r="I660" t="s">
        <v>176</v>
      </c>
      <c r="J660" t="s">
        <v>177</v>
      </c>
      <c r="K660" t="s">
        <v>178</v>
      </c>
      <c r="M660" t="s">
        <v>72</v>
      </c>
      <c r="N660" t="s">
        <v>179</v>
      </c>
      <c r="O660" t="s">
        <v>178</v>
      </c>
      <c r="P660" t="s">
        <v>180</v>
      </c>
      <c r="Q660" t="s">
        <v>75</v>
      </c>
      <c r="R660" t="s">
        <v>2806</v>
      </c>
      <c r="S660" t="s">
        <v>873</v>
      </c>
      <c r="T660" t="s">
        <v>78</v>
      </c>
      <c r="U660" t="s">
        <v>1822</v>
      </c>
      <c r="V660" t="s">
        <v>80</v>
      </c>
      <c r="W660" s="1">
        <v>44814</v>
      </c>
      <c r="X660" t="s">
        <v>2778</v>
      </c>
      <c r="Y660" t="s">
        <v>3060</v>
      </c>
      <c r="Z660" t="s">
        <v>83</v>
      </c>
      <c r="AA660">
        <v>1</v>
      </c>
      <c r="AB660" t="s">
        <v>127</v>
      </c>
      <c r="AC660">
        <v>0</v>
      </c>
      <c r="AD660" t="s">
        <v>128</v>
      </c>
      <c r="AE660" t="s">
        <v>86</v>
      </c>
      <c r="AF660" t="s">
        <v>146</v>
      </c>
      <c r="AI660" t="s">
        <v>90</v>
      </c>
      <c r="AJ660">
        <v>32.452987</v>
      </c>
      <c r="AK660">
        <v>-110.74722800000001</v>
      </c>
      <c r="AL660">
        <v>4</v>
      </c>
      <c r="AN660">
        <v>2233</v>
      </c>
      <c r="AP660">
        <v>2233</v>
      </c>
      <c r="AQ660">
        <v>2236.558532</v>
      </c>
      <c r="AT660">
        <v>10</v>
      </c>
      <c r="AU660">
        <v>9</v>
      </c>
      <c r="AV660">
        <v>2022</v>
      </c>
      <c r="AW660">
        <v>2438038</v>
      </c>
      <c r="AX660">
        <v>2438038</v>
      </c>
      <c r="AY660" t="s">
        <v>106</v>
      </c>
      <c r="AZ660" t="s">
        <v>92</v>
      </c>
      <c r="BA660" t="s">
        <v>107</v>
      </c>
      <c r="BB660" t="s">
        <v>3061</v>
      </c>
      <c r="BC660" t="s">
        <v>2245</v>
      </c>
      <c r="BE660" t="s">
        <v>96</v>
      </c>
      <c r="BG660" t="s">
        <v>2811</v>
      </c>
      <c r="BI660" t="s">
        <v>98</v>
      </c>
      <c r="BJ660" t="s">
        <v>3062</v>
      </c>
      <c r="BL660" t="s">
        <v>110</v>
      </c>
    </row>
    <row r="661" spans="1:64" hidden="1" x14ac:dyDescent="0.2">
      <c r="A661">
        <v>767</v>
      </c>
      <c r="B661">
        <v>4070420470</v>
      </c>
      <c r="C661" t="s">
        <v>101</v>
      </c>
      <c r="D661" t="s">
        <v>2738</v>
      </c>
      <c r="E661" t="s">
        <v>65</v>
      </c>
      <c r="F661" t="s">
        <v>66</v>
      </c>
      <c r="G661" t="s">
        <v>67</v>
      </c>
      <c r="H661" t="s">
        <v>68</v>
      </c>
      <c r="I661" t="s">
        <v>176</v>
      </c>
      <c r="J661" t="s">
        <v>177</v>
      </c>
      <c r="K661" t="s">
        <v>1817</v>
      </c>
      <c r="M661" t="s">
        <v>72</v>
      </c>
      <c r="N661" t="s">
        <v>1818</v>
      </c>
      <c r="O661" t="s">
        <v>1817</v>
      </c>
      <c r="P661" t="s">
        <v>1819</v>
      </c>
      <c r="Q661" t="s">
        <v>75</v>
      </c>
      <c r="R661" t="s">
        <v>2238</v>
      </c>
      <c r="S661" t="s">
        <v>2735</v>
      </c>
      <c r="T661" t="s">
        <v>78</v>
      </c>
      <c r="U661" t="s">
        <v>1822</v>
      </c>
      <c r="V661" t="s">
        <v>80</v>
      </c>
      <c r="W661" s="1">
        <v>44813</v>
      </c>
      <c r="X661" t="s">
        <v>1823</v>
      </c>
      <c r="Y661" t="s">
        <v>2736</v>
      </c>
      <c r="Z661" t="s">
        <v>83</v>
      </c>
      <c r="AA661">
        <v>1</v>
      </c>
      <c r="AB661" t="s">
        <v>103</v>
      </c>
      <c r="AD661" t="s">
        <v>343</v>
      </c>
      <c r="AE661" t="s">
        <v>145</v>
      </c>
      <c r="AF661" t="s">
        <v>281</v>
      </c>
      <c r="AI661" t="s">
        <v>90</v>
      </c>
      <c r="AJ661">
        <v>32.441552999999999</v>
      </c>
      <c r="AK661">
        <v>-110.787147</v>
      </c>
      <c r="AL661">
        <v>3</v>
      </c>
      <c r="AN661">
        <v>2663</v>
      </c>
      <c r="AP661">
        <v>2663</v>
      </c>
      <c r="AQ661">
        <v>2776.0920230000002</v>
      </c>
      <c r="AT661">
        <v>9</v>
      </c>
      <c r="AU661">
        <v>9</v>
      </c>
      <c r="AV661">
        <v>2022</v>
      </c>
      <c r="AW661">
        <v>2437967</v>
      </c>
      <c r="AX661">
        <v>2437967</v>
      </c>
      <c r="AY661" t="s">
        <v>106</v>
      </c>
      <c r="AZ661" t="s">
        <v>92</v>
      </c>
      <c r="BA661" t="s">
        <v>107</v>
      </c>
      <c r="BB661" t="s">
        <v>2739</v>
      </c>
      <c r="BC661" t="s">
        <v>2245</v>
      </c>
      <c r="BE661" t="s">
        <v>96</v>
      </c>
      <c r="BG661" t="s">
        <v>2246</v>
      </c>
      <c r="BI661" t="s">
        <v>98</v>
      </c>
      <c r="BJ661" t="s">
        <v>1020</v>
      </c>
      <c r="BL661" t="s">
        <v>412</v>
      </c>
    </row>
    <row r="662" spans="1:64" hidden="1" x14ac:dyDescent="0.2">
      <c r="A662">
        <v>845</v>
      </c>
      <c r="B662">
        <v>4070420378</v>
      </c>
      <c r="C662" t="s">
        <v>101</v>
      </c>
      <c r="D662" t="s">
        <v>3071</v>
      </c>
      <c r="E662" t="s">
        <v>65</v>
      </c>
      <c r="F662" t="s">
        <v>66</v>
      </c>
      <c r="G662" t="s">
        <v>67</v>
      </c>
      <c r="H662" t="s">
        <v>68</v>
      </c>
      <c r="I662" t="s">
        <v>176</v>
      </c>
      <c r="J662" t="s">
        <v>177</v>
      </c>
      <c r="K662" t="s">
        <v>178</v>
      </c>
      <c r="M662" t="s">
        <v>72</v>
      </c>
      <c r="N662" t="s">
        <v>179</v>
      </c>
      <c r="O662" t="s">
        <v>178</v>
      </c>
      <c r="P662" t="s">
        <v>180</v>
      </c>
      <c r="Q662" t="s">
        <v>75</v>
      </c>
      <c r="R662" t="s">
        <v>2806</v>
      </c>
      <c r="S662" t="s">
        <v>3067</v>
      </c>
      <c r="T662" t="s">
        <v>78</v>
      </c>
      <c r="U662" t="s">
        <v>1822</v>
      </c>
      <c r="V662" t="s">
        <v>80</v>
      </c>
      <c r="W662" s="1">
        <v>44814</v>
      </c>
      <c r="X662" t="s">
        <v>2778</v>
      </c>
      <c r="Y662" t="s">
        <v>3068</v>
      </c>
      <c r="Z662" t="s">
        <v>83</v>
      </c>
      <c r="AA662">
        <v>1</v>
      </c>
      <c r="AB662" t="s">
        <v>127</v>
      </c>
      <c r="AC662">
        <v>0</v>
      </c>
      <c r="AD662" t="s">
        <v>128</v>
      </c>
      <c r="AE662" t="s">
        <v>145</v>
      </c>
      <c r="AF662" t="s">
        <v>281</v>
      </c>
      <c r="AI662" t="s">
        <v>90</v>
      </c>
      <c r="AJ662">
        <v>32.452052999999999</v>
      </c>
      <c r="AK662">
        <v>-110.746858</v>
      </c>
      <c r="AL662">
        <v>15</v>
      </c>
      <c r="AN662">
        <v>2210</v>
      </c>
      <c r="AP662">
        <v>2210</v>
      </c>
      <c r="AQ662">
        <v>2214.691562</v>
      </c>
      <c r="AT662">
        <v>10</v>
      </c>
      <c r="AU662">
        <v>9</v>
      </c>
      <c r="AV662">
        <v>2022</v>
      </c>
      <c r="AW662">
        <v>2438038</v>
      </c>
      <c r="AX662">
        <v>2438038</v>
      </c>
      <c r="AY662" t="s">
        <v>106</v>
      </c>
      <c r="AZ662" t="s">
        <v>92</v>
      </c>
      <c r="BA662" t="s">
        <v>107</v>
      </c>
      <c r="BB662" t="s">
        <v>3072</v>
      </c>
      <c r="BC662" t="s">
        <v>2245</v>
      </c>
      <c r="BE662" t="s">
        <v>96</v>
      </c>
      <c r="BG662" t="s">
        <v>2811</v>
      </c>
      <c r="BI662" t="s">
        <v>98</v>
      </c>
      <c r="BJ662" t="s">
        <v>2996</v>
      </c>
      <c r="BL662" t="s">
        <v>412</v>
      </c>
    </row>
    <row r="663" spans="1:64" x14ac:dyDescent="0.2">
      <c r="A663">
        <v>1466</v>
      </c>
      <c r="B663">
        <v>3748770415</v>
      </c>
      <c r="C663" t="s">
        <v>63</v>
      </c>
      <c r="D663" t="s">
        <v>64</v>
      </c>
      <c r="E663" t="s">
        <v>65</v>
      </c>
      <c r="F663" t="s">
        <v>66</v>
      </c>
      <c r="G663" t="s">
        <v>67</v>
      </c>
      <c r="H663" t="s">
        <v>68</v>
      </c>
      <c r="I663" t="s">
        <v>69</v>
      </c>
      <c r="J663" t="s">
        <v>70</v>
      </c>
      <c r="K663" t="s">
        <v>71</v>
      </c>
      <c r="M663" t="s">
        <v>72</v>
      </c>
      <c r="N663" t="s">
        <v>73</v>
      </c>
      <c r="O663" t="s">
        <v>71</v>
      </c>
      <c r="P663" t="s">
        <v>74</v>
      </c>
      <c r="Q663" t="s">
        <v>75</v>
      </c>
      <c r="R663" t="s">
        <v>76</v>
      </c>
      <c r="S663" t="s">
        <v>77</v>
      </c>
      <c r="T663" t="s">
        <v>78</v>
      </c>
      <c r="U663" t="s">
        <v>79</v>
      </c>
      <c r="V663" t="s">
        <v>80</v>
      </c>
      <c r="W663" s="1">
        <v>44520</v>
      </c>
      <c r="X663" t="s">
        <v>81</v>
      </c>
      <c r="Y663" t="s">
        <v>82</v>
      </c>
      <c r="Z663" t="s">
        <v>83</v>
      </c>
      <c r="AA663">
        <v>1</v>
      </c>
      <c r="AB663" t="s">
        <v>84</v>
      </c>
      <c r="AC663">
        <v>1</v>
      </c>
      <c r="AD663" s="6" t="s">
        <v>85</v>
      </c>
      <c r="AE663" s="6" t="s">
        <v>86</v>
      </c>
      <c r="AF663" s="6" t="s">
        <v>87</v>
      </c>
      <c r="AG663" s="6" t="s">
        <v>88</v>
      </c>
      <c r="AH663" s="6" t="s">
        <v>89</v>
      </c>
      <c r="AI663" s="6" t="s">
        <v>90</v>
      </c>
      <c r="AJ663" s="6">
        <v>32.500143999999999</v>
      </c>
      <c r="AK663" s="6">
        <v>-110.68186300000001</v>
      </c>
      <c r="AL663" s="6">
        <v>3</v>
      </c>
      <c r="AM663" s="6"/>
      <c r="AN663" s="6">
        <v>1322</v>
      </c>
      <c r="AO663" s="6"/>
      <c r="AP663" s="6">
        <v>1322</v>
      </c>
      <c r="AQ663" s="6">
        <v>1322.4087910000001</v>
      </c>
      <c r="AR663" s="6"/>
      <c r="AS663" s="6"/>
      <c r="AT663" s="6">
        <v>20</v>
      </c>
      <c r="AU663" s="6">
        <v>11</v>
      </c>
      <c r="AV663" s="6">
        <v>2021</v>
      </c>
      <c r="AW663" s="6">
        <v>2439581</v>
      </c>
      <c r="AX663" s="6">
        <v>2439581</v>
      </c>
      <c r="AY663" s="6" t="s">
        <v>91</v>
      </c>
      <c r="AZ663" t="s">
        <v>92</v>
      </c>
      <c r="BA663" t="s">
        <v>93</v>
      </c>
      <c r="BB663" t="s">
        <v>94</v>
      </c>
      <c r="BC663" t="s">
        <v>95</v>
      </c>
      <c r="BD663" s="1">
        <v>45126</v>
      </c>
      <c r="BE663" t="s">
        <v>96</v>
      </c>
      <c r="BG663" t="s">
        <v>97</v>
      </c>
      <c r="BI663" t="s">
        <v>98</v>
      </c>
      <c r="BJ663" t="s">
        <v>99</v>
      </c>
      <c r="BL663" t="s">
        <v>100</v>
      </c>
    </row>
    <row r="664" spans="1:64" hidden="1" x14ac:dyDescent="0.2">
      <c r="A664">
        <v>761</v>
      </c>
      <c r="B664">
        <v>4070420476</v>
      </c>
      <c r="C664" t="s">
        <v>101</v>
      </c>
      <c r="D664" t="s">
        <v>2747</v>
      </c>
      <c r="E664" t="s">
        <v>65</v>
      </c>
      <c r="F664" t="s">
        <v>66</v>
      </c>
      <c r="G664" t="s">
        <v>67</v>
      </c>
      <c r="H664" t="s">
        <v>68</v>
      </c>
      <c r="I664" t="s">
        <v>176</v>
      </c>
      <c r="J664" t="s">
        <v>773</v>
      </c>
      <c r="K664" t="s">
        <v>774</v>
      </c>
      <c r="M664" t="s">
        <v>72</v>
      </c>
      <c r="N664" t="s">
        <v>775</v>
      </c>
      <c r="O664" t="s">
        <v>774</v>
      </c>
      <c r="P664" t="s">
        <v>776</v>
      </c>
      <c r="Q664" t="s">
        <v>75</v>
      </c>
      <c r="R664" t="s">
        <v>2238</v>
      </c>
      <c r="S664" t="s">
        <v>2741</v>
      </c>
      <c r="T664" t="s">
        <v>78</v>
      </c>
      <c r="U664" t="s">
        <v>1822</v>
      </c>
      <c r="V664" t="s">
        <v>80</v>
      </c>
      <c r="W664" s="1">
        <v>44813</v>
      </c>
      <c r="X664" t="s">
        <v>1823</v>
      </c>
      <c r="Y664" t="s">
        <v>2742</v>
      </c>
      <c r="Z664" t="s">
        <v>83</v>
      </c>
      <c r="AA664">
        <v>1</v>
      </c>
      <c r="AB664" t="s">
        <v>103</v>
      </c>
      <c r="AD664" t="s">
        <v>343</v>
      </c>
      <c r="AE664" t="s">
        <v>86</v>
      </c>
      <c r="AF664" t="s">
        <v>146</v>
      </c>
      <c r="AI664" t="s">
        <v>90</v>
      </c>
      <c r="AJ664">
        <v>32.442059999999998</v>
      </c>
      <c r="AK664">
        <v>-110.787481</v>
      </c>
      <c r="AL664">
        <v>3</v>
      </c>
      <c r="AN664">
        <v>2737</v>
      </c>
      <c r="AP664">
        <v>2737</v>
      </c>
      <c r="AQ664">
        <v>2773.8057610000001</v>
      </c>
      <c r="AT664">
        <v>9</v>
      </c>
      <c r="AU664">
        <v>9</v>
      </c>
      <c r="AV664">
        <v>2022</v>
      </c>
      <c r="AW664">
        <v>2438447</v>
      </c>
      <c r="AX664">
        <v>2438447</v>
      </c>
      <c r="AY664" t="s">
        <v>106</v>
      </c>
      <c r="AZ664" t="s">
        <v>92</v>
      </c>
      <c r="BA664" t="s">
        <v>107</v>
      </c>
      <c r="BB664" t="s">
        <v>2748</v>
      </c>
      <c r="BC664" t="s">
        <v>2245</v>
      </c>
      <c r="BE664" t="s">
        <v>96</v>
      </c>
      <c r="BG664" t="s">
        <v>2246</v>
      </c>
      <c r="BI664" t="s">
        <v>98</v>
      </c>
      <c r="BJ664" t="s">
        <v>1017</v>
      </c>
      <c r="BL664" t="s">
        <v>412</v>
      </c>
    </row>
    <row r="665" spans="1:64" hidden="1" x14ac:dyDescent="0.2">
      <c r="A665">
        <v>759</v>
      </c>
      <c r="B665">
        <v>4070420478</v>
      </c>
      <c r="C665" t="s">
        <v>101</v>
      </c>
      <c r="D665" t="s">
        <v>2749</v>
      </c>
      <c r="E665" t="s">
        <v>65</v>
      </c>
      <c r="F665" t="s">
        <v>66</v>
      </c>
      <c r="G665" t="s">
        <v>67</v>
      </c>
      <c r="H665" t="s">
        <v>68</v>
      </c>
      <c r="I665" t="s">
        <v>176</v>
      </c>
      <c r="J665" t="s">
        <v>773</v>
      </c>
      <c r="K665" t="s">
        <v>774</v>
      </c>
      <c r="M665" t="s">
        <v>72</v>
      </c>
      <c r="N665" t="s">
        <v>775</v>
      </c>
      <c r="O665" t="s">
        <v>774</v>
      </c>
      <c r="P665" t="s">
        <v>776</v>
      </c>
      <c r="Q665" t="s">
        <v>75</v>
      </c>
      <c r="R665" t="s">
        <v>2238</v>
      </c>
      <c r="S665" t="s">
        <v>2750</v>
      </c>
      <c r="T665" t="s">
        <v>78</v>
      </c>
      <c r="U665" t="s">
        <v>1822</v>
      </c>
      <c r="V665" t="s">
        <v>80</v>
      </c>
      <c r="W665" s="1">
        <v>44813</v>
      </c>
      <c r="X665" t="s">
        <v>1823</v>
      </c>
      <c r="Y665" t="s">
        <v>2751</v>
      </c>
      <c r="Z665" t="s">
        <v>83</v>
      </c>
      <c r="AA665">
        <v>1</v>
      </c>
      <c r="AB665" t="s">
        <v>103</v>
      </c>
      <c r="AD665" t="s">
        <v>343</v>
      </c>
      <c r="AE665" t="s">
        <v>86</v>
      </c>
      <c r="AF665" t="s">
        <v>146</v>
      </c>
      <c r="AI665" t="s">
        <v>90</v>
      </c>
      <c r="AJ665">
        <v>32.441755000000001</v>
      </c>
      <c r="AK665">
        <v>-110.787654</v>
      </c>
      <c r="AL665">
        <v>3</v>
      </c>
      <c r="AN665">
        <v>2684</v>
      </c>
      <c r="AP665">
        <v>2684</v>
      </c>
      <c r="AQ665">
        <v>2782.432499</v>
      </c>
      <c r="AT665">
        <v>9</v>
      </c>
      <c r="AU665">
        <v>9</v>
      </c>
      <c r="AV665">
        <v>2022</v>
      </c>
      <c r="AW665">
        <v>2438447</v>
      </c>
      <c r="AX665">
        <v>2438447</v>
      </c>
      <c r="AY665" t="s">
        <v>106</v>
      </c>
      <c r="AZ665" t="s">
        <v>92</v>
      </c>
      <c r="BA665" t="s">
        <v>107</v>
      </c>
      <c r="BB665" t="s">
        <v>2752</v>
      </c>
      <c r="BC665" t="s">
        <v>2245</v>
      </c>
      <c r="BE665" t="s">
        <v>96</v>
      </c>
      <c r="BG665" t="s">
        <v>2246</v>
      </c>
      <c r="BI665" t="s">
        <v>98</v>
      </c>
      <c r="BJ665" t="s">
        <v>1023</v>
      </c>
      <c r="BL665" t="s">
        <v>412</v>
      </c>
    </row>
    <row r="666" spans="1:64" hidden="1" x14ac:dyDescent="0.2">
      <c r="A666">
        <v>843</v>
      </c>
      <c r="B666">
        <v>4070420380</v>
      </c>
      <c r="C666" t="s">
        <v>101</v>
      </c>
      <c r="D666" t="s">
        <v>3073</v>
      </c>
      <c r="E666" t="s">
        <v>65</v>
      </c>
      <c r="F666" t="s">
        <v>66</v>
      </c>
      <c r="G666" t="s">
        <v>67</v>
      </c>
      <c r="H666" t="s">
        <v>68</v>
      </c>
      <c r="I666" t="s">
        <v>176</v>
      </c>
      <c r="J666" t="s">
        <v>177</v>
      </c>
      <c r="K666" t="s">
        <v>178</v>
      </c>
      <c r="M666" t="s">
        <v>72</v>
      </c>
      <c r="N666" t="s">
        <v>179</v>
      </c>
      <c r="O666" t="s">
        <v>178</v>
      </c>
      <c r="P666" t="s">
        <v>180</v>
      </c>
      <c r="Q666" t="s">
        <v>75</v>
      </c>
      <c r="R666" t="s">
        <v>2806</v>
      </c>
      <c r="S666" t="s">
        <v>880</v>
      </c>
      <c r="T666" t="s">
        <v>78</v>
      </c>
      <c r="U666" t="s">
        <v>1822</v>
      </c>
      <c r="V666" t="s">
        <v>80</v>
      </c>
      <c r="W666" s="1">
        <v>44814</v>
      </c>
      <c r="X666" t="s">
        <v>2778</v>
      </c>
      <c r="Y666" t="s">
        <v>3074</v>
      </c>
      <c r="Z666" t="s">
        <v>83</v>
      </c>
      <c r="AA666">
        <v>1</v>
      </c>
      <c r="AB666" t="s">
        <v>127</v>
      </c>
      <c r="AC666">
        <v>0</v>
      </c>
      <c r="AD666" t="s">
        <v>128</v>
      </c>
      <c r="AE666" t="s">
        <v>86</v>
      </c>
      <c r="AF666" t="s">
        <v>281</v>
      </c>
      <c r="AI666" t="s">
        <v>90</v>
      </c>
      <c r="AJ666">
        <v>32.452776</v>
      </c>
      <c r="AK666">
        <v>-110.747089</v>
      </c>
      <c r="AL666">
        <v>3</v>
      </c>
      <c r="AN666">
        <v>2217</v>
      </c>
      <c r="AP666">
        <v>2217</v>
      </c>
      <c r="AQ666">
        <v>2234.0087990000002</v>
      </c>
      <c r="AT666">
        <v>10</v>
      </c>
      <c r="AU666">
        <v>9</v>
      </c>
      <c r="AV666">
        <v>2022</v>
      </c>
      <c r="AW666">
        <v>2438038</v>
      </c>
      <c r="AX666">
        <v>2438038</v>
      </c>
      <c r="AY666" t="s">
        <v>106</v>
      </c>
      <c r="AZ666" t="s">
        <v>92</v>
      </c>
      <c r="BA666" t="s">
        <v>107</v>
      </c>
      <c r="BB666" t="s">
        <v>3075</v>
      </c>
      <c r="BC666" t="s">
        <v>2245</v>
      </c>
      <c r="BE666" t="s">
        <v>96</v>
      </c>
      <c r="BG666" t="s">
        <v>2811</v>
      </c>
      <c r="BI666" t="s">
        <v>98</v>
      </c>
      <c r="BJ666" t="s">
        <v>3076</v>
      </c>
      <c r="BL666" t="s">
        <v>110</v>
      </c>
    </row>
    <row r="667" spans="1:64" hidden="1" x14ac:dyDescent="0.2">
      <c r="A667">
        <v>316</v>
      </c>
      <c r="B667">
        <v>4403382322</v>
      </c>
      <c r="C667" t="s">
        <v>101</v>
      </c>
      <c r="D667" t="s">
        <v>1462</v>
      </c>
      <c r="E667" t="s">
        <v>65</v>
      </c>
      <c r="F667" t="s">
        <v>66</v>
      </c>
      <c r="G667" t="s">
        <v>67</v>
      </c>
      <c r="H667" t="s">
        <v>68</v>
      </c>
      <c r="I667" t="s">
        <v>176</v>
      </c>
      <c r="J667" t="s">
        <v>177</v>
      </c>
      <c r="K667" t="s">
        <v>178</v>
      </c>
      <c r="M667" t="s">
        <v>72</v>
      </c>
      <c r="N667" t="s">
        <v>179</v>
      </c>
      <c r="O667" t="s">
        <v>178</v>
      </c>
      <c r="P667" t="s">
        <v>180</v>
      </c>
      <c r="Q667" t="s">
        <v>75</v>
      </c>
      <c r="R667" t="s">
        <v>1177</v>
      </c>
      <c r="S667" t="s">
        <v>1458</v>
      </c>
      <c r="T667" t="s">
        <v>78</v>
      </c>
      <c r="U667" t="s">
        <v>646</v>
      </c>
      <c r="V667" t="s">
        <v>1179</v>
      </c>
      <c r="W667" s="1">
        <v>45108</v>
      </c>
      <c r="X667" t="s">
        <v>1180</v>
      </c>
      <c r="Y667" t="s">
        <v>1459</v>
      </c>
      <c r="Z667" t="s">
        <v>83</v>
      </c>
      <c r="AA667">
        <v>1</v>
      </c>
      <c r="AB667" t="s">
        <v>367</v>
      </c>
      <c r="AC667">
        <v>0</v>
      </c>
      <c r="AD667" t="s">
        <v>128</v>
      </c>
      <c r="AE667" t="s">
        <v>145</v>
      </c>
      <c r="AF667" t="s">
        <v>402</v>
      </c>
      <c r="AG667" t="s">
        <v>344</v>
      </c>
      <c r="AI667" t="s">
        <v>90</v>
      </c>
      <c r="AJ667">
        <v>32.449593999999998</v>
      </c>
      <c r="AK667">
        <v>-110.73868</v>
      </c>
      <c r="AL667">
        <v>3</v>
      </c>
      <c r="AN667">
        <v>2088</v>
      </c>
      <c r="AP667">
        <v>2088</v>
      </c>
      <c r="AQ667">
        <v>2088.5207999999998</v>
      </c>
      <c r="AT667">
        <v>1</v>
      </c>
      <c r="AU667">
        <v>7</v>
      </c>
      <c r="AV667">
        <v>2023</v>
      </c>
      <c r="AW667">
        <v>2438038</v>
      </c>
      <c r="AX667">
        <v>2438038</v>
      </c>
      <c r="AY667" t="s">
        <v>106</v>
      </c>
      <c r="AZ667" t="s">
        <v>92</v>
      </c>
      <c r="BA667" t="s">
        <v>107</v>
      </c>
      <c r="BB667" t="s">
        <v>1463</v>
      </c>
      <c r="BC667" t="s">
        <v>1186</v>
      </c>
      <c r="BD667" s="1">
        <v>45108</v>
      </c>
      <c r="BE667" t="s">
        <v>96</v>
      </c>
      <c r="BG667" t="s">
        <v>1187</v>
      </c>
      <c r="BI667" t="s">
        <v>98</v>
      </c>
      <c r="BJ667" t="s">
        <v>812</v>
      </c>
      <c r="BL667" t="s">
        <v>110</v>
      </c>
    </row>
    <row r="668" spans="1:64" hidden="1" x14ac:dyDescent="0.2">
      <c r="A668">
        <v>753</v>
      </c>
      <c r="B668">
        <v>4070420484</v>
      </c>
      <c r="C668" t="s">
        <v>101</v>
      </c>
      <c r="D668" t="s">
        <v>2758</v>
      </c>
      <c r="E668" t="s">
        <v>65</v>
      </c>
      <c r="F668" t="s">
        <v>66</v>
      </c>
      <c r="G668" t="s">
        <v>67</v>
      </c>
      <c r="H668" t="s">
        <v>68</v>
      </c>
      <c r="I668" t="s">
        <v>176</v>
      </c>
      <c r="J668" t="s">
        <v>177</v>
      </c>
      <c r="K668" t="s">
        <v>1817</v>
      </c>
      <c r="M668" t="s">
        <v>72</v>
      </c>
      <c r="N668" t="s">
        <v>1818</v>
      </c>
      <c r="O668" t="s">
        <v>1817</v>
      </c>
      <c r="P668" t="s">
        <v>1819</v>
      </c>
      <c r="Q668" t="s">
        <v>75</v>
      </c>
      <c r="R668" t="s">
        <v>2238</v>
      </c>
      <c r="S668" t="s">
        <v>1131</v>
      </c>
      <c r="T668" t="s">
        <v>78</v>
      </c>
      <c r="U668" t="s">
        <v>1822</v>
      </c>
      <c r="V668" t="s">
        <v>80</v>
      </c>
      <c r="W668" s="1">
        <v>44813</v>
      </c>
      <c r="X668" t="s">
        <v>1823</v>
      </c>
      <c r="Y668" t="s">
        <v>2756</v>
      </c>
      <c r="Z668" t="s">
        <v>83</v>
      </c>
      <c r="AA668">
        <v>1</v>
      </c>
      <c r="AB668" t="s">
        <v>103</v>
      </c>
      <c r="AD668" t="s">
        <v>343</v>
      </c>
      <c r="AE668" t="s">
        <v>145</v>
      </c>
      <c r="AF668" t="s">
        <v>146</v>
      </c>
      <c r="AI668" t="s">
        <v>90</v>
      </c>
      <c r="AJ668">
        <v>32.442261999999999</v>
      </c>
      <c r="AK668">
        <v>-110.787707</v>
      </c>
      <c r="AL668">
        <v>3</v>
      </c>
      <c r="AN668">
        <v>2737</v>
      </c>
      <c r="AP668">
        <v>2737</v>
      </c>
      <c r="AQ668">
        <v>2775.4395989999998</v>
      </c>
      <c r="AT668">
        <v>9</v>
      </c>
      <c r="AU668">
        <v>9</v>
      </c>
      <c r="AV668">
        <v>2022</v>
      </c>
      <c r="AW668">
        <v>2437967</v>
      </c>
      <c r="AX668">
        <v>2437967</v>
      </c>
      <c r="AY668" t="s">
        <v>106</v>
      </c>
      <c r="AZ668" t="s">
        <v>92</v>
      </c>
      <c r="BA668" t="s">
        <v>107</v>
      </c>
      <c r="BB668" t="s">
        <v>2759</v>
      </c>
      <c r="BC668" t="s">
        <v>2245</v>
      </c>
      <c r="BE668" t="s">
        <v>96</v>
      </c>
      <c r="BG668" t="s">
        <v>2246</v>
      </c>
      <c r="BI668" t="s">
        <v>98</v>
      </c>
      <c r="BJ668" t="s">
        <v>2760</v>
      </c>
      <c r="BL668" t="s">
        <v>412</v>
      </c>
    </row>
    <row r="669" spans="1:64" hidden="1" x14ac:dyDescent="0.2">
      <c r="A669">
        <v>292</v>
      </c>
      <c r="B669">
        <v>4403382346</v>
      </c>
      <c r="C669" t="s">
        <v>101</v>
      </c>
      <c r="D669" t="s">
        <v>1469</v>
      </c>
      <c r="E669" t="s">
        <v>65</v>
      </c>
      <c r="F669" t="s">
        <v>66</v>
      </c>
      <c r="G669" t="s">
        <v>67</v>
      </c>
      <c r="H669" t="s">
        <v>68</v>
      </c>
      <c r="I669" t="s">
        <v>176</v>
      </c>
      <c r="J669" t="s">
        <v>177</v>
      </c>
      <c r="K669" t="s">
        <v>178</v>
      </c>
      <c r="M669" t="s">
        <v>72</v>
      </c>
      <c r="N669" t="s">
        <v>179</v>
      </c>
      <c r="O669" t="s">
        <v>178</v>
      </c>
      <c r="P669" t="s">
        <v>180</v>
      </c>
      <c r="Q669" t="s">
        <v>75</v>
      </c>
      <c r="R669" t="s">
        <v>1177</v>
      </c>
      <c r="S669" t="s">
        <v>538</v>
      </c>
      <c r="T669" t="s">
        <v>78</v>
      </c>
      <c r="U669" t="s">
        <v>646</v>
      </c>
      <c r="V669" t="s">
        <v>1179</v>
      </c>
      <c r="W669" s="1">
        <v>45108</v>
      </c>
      <c r="X669" t="s">
        <v>1180</v>
      </c>
      <c r="Y669" t="s">
        <v>1465</v>
      </c>
      <c r="Z669" t="s">
        <v>83</v>
      </c>
      <c r="AA669">
        <v>1</v>
      </c>
      <c r="AB669" t="s">
        <v>367</v>
      </c>
      <c r="AC669">
        <v>0</v>
      </c>
      <c r="AD669" t="s">
        <v>128</v>
      </c>
      <c r="AE669" t="s">
        <v>86</v>
      </c>
      <c r="AF669" t="s">
        <v>402</v>
      </c>
      <c r="AG669" t="s">
        <v>1351</v>
      </c>
      <c r="AI669" t="s">
        <v>90</v>
      </c>
      <c r="AJ669">
        <v>32.449939000000001</v>
      </c>
      <c r="AK669">
        <v>-110.736221</v>
      </c>
      <c r="AL669">
        <v>3</v>
      </c>
      <c r="AN669">
        <v>2067</v>
      </c>
      <c r="AP669">
        <v>2067</v>
      </c>
      <c r="AQ669">
        <v>2071.206146</v>
      </c>
      <c r="AT669">
        <v>1</v>
      </c>
      <c r="AU669">
        <v>7</v>
      </c>
      <c r="AV669">
        <v>2023</v>
      </c>
      <c r="AW669">
        <v>2438038</v>
      </c>
      <c r="AX669">
        <v>2438038</v>
      </c>
      <c r="AY669" t="s">
        <v>106</v>
      </c>
      <c r="AZ669" t="s">
        <v>92</v>
      </c>
      <c r="BA669" t="s">
        <v>107</v>
      </c>
      <c r="BB669" t="s">
        <v>1470</v>
      </c>
      <c r="BC669" t="s">
        <v>1186</v>
      </c>
      <c r="BD669" s="1">
        <v>45108</v>
      </c>
      <c r="BE669" t="s">
        <v>96</v>
      </c>
      <c r="BG669" t="s">
        <v>1187</v>
      </c>
      <c r="BI669" t="s">
        <v>98</v>
      </c>
      <c r="BJ669" t="s">
        <v>1410</v>
      </c>
      <c r="BL669" t="s">
        <v>412</v>
      </c>
    </row>
    <row r="670" spans="1:64" hidden="1" x14ac:dyDescent="0.2">
      <c r="A670">
        <v>711</v>
      </c>
      <c r="B670">
        <v>4070420526</v>
      </c>
      <c r="C670" t="s">
        <v>101</v>
      </c>
      <c r="D670" t="s">
        <v>2765</v>
      </c>
      <c r="E670" t="s">
        <v>65</v>
      </c>
      <c r="F670" t="s">
        <v>66</v>
      </c>
      <c r="G670" t="s">
        <v>67</v>
      </c>
      <c r="H670" t="s">
        <v>68</v>
      </c>
      <c r="I670" t="s">
        <v>176</v>
      </c>
      <c r="J670" t="s">
        <v>177</v>
      </c>
      <c r="K670" t="s">
        <v>1817</v>
      </c>
      <c r="M670" t="s">
        <v>72</v>
      </c>
      <c r="N670" t="s">
        <v>1818</v>
      </c>
      <c r="O670" t="s">
        <v>1817</v>
      </c>
      <c r="P670" t="s">
        <v>1819</v>
      </c>
      <c r="Q670" t="s">
        <v>75</v>
      </c>
      <c r="R670" t="s">
        <v>2238</v>
      </c>
      <c r="S670" t="s">
        <v>1118</v>
      </c>
      <c r="T670" t="s">
        <v>78</v>
      </c>
      <c r="U670" t="s">
        <v>1822</v>
      </c>
      <c r="V670" t="s">
        <v>80</v>
      </c>
      <c r="W670" s="1">
        <v>44813</v>
      </c>
      <c r="X670" t="s">
        <v>1823</v>
      </c>
      <c r="Y670" t="s">
        <v>2762</v>
      </c>
      <c r="Z670" t="s">
        <v>83</v>
      </c>
      <c r="AA670">
        <v>1</v>
      </c>
      <c r="AB670" t="s">
        <v>103</v>
      </c>
      <c r="AD670" t="s">
        <v>343</v>
      </c>
      <c r="AE670" t="s">
        <v>86</v>
      </c>
      <c r="AF670" t="s">
        <v>87</v>
      </c>
      <c r="AI670" t="s">
        <v>90</v>
      </c>
      <c r="AJ670">
        <v>32.441628000000001</v>
      </c>
      <c r="AK670">
        <v>-110.787389</v>
      </c>
      <c r="AL670">
        <v>3</v>
      </c>
      <c r="AN670">
        <v>2667</v>
      </c>
      <c r="AP670">
        <v>2667</v>
      </c>
      <c r="AQ670">
        <v>2778.1212959999998</v>
      </c>
      <c r="AT670">
        <v>9</v>
      </c>
      <c r="AU670">
        <v>9</v>
      </c>
      <c r="AV670">
        <v>2022</v>
      </c>
      <c r="AW670">
        <v>2437967</v>
      </c>
      <c r="AX670">
        <v>2437967</v>
      </c>
      <c r="AY670" t="s">
        <v>106</v>
      </c>
      <c r="AZ670" t="s">
        <v>92</v>
      </c>
      <c r="BA670" t="s">
        <v>107</v>
      </c>
      <c r="BB670" t="s">
        <v>2766</v>
      </c>
      <c r="BC670" t="s">
        <v>2245</v>
      </c>
      <c r="BE670" t="s">
        <v>96</v>
      </c>
      <c r="BG670" t="s">
        <v>2246</v>
      </c>
      <c r="BI670" t="s">
        <v>98</v>
      </c>
      <c r="BJ670" t="s">
        <v>2767</v>
      </c>
      <c r="BL670" t="s">
        <v>412</v>
      </c>
    </row>
    <row r="671" spans="1:64" hidden="1" x14ac:dyDescent="0.2">
      <c r="A671">
        <v>298</v>
      </c>
      <c r="B671">
        <v>4403382340</v>
      </c>
      <c r="C671" t="s">
        <v>101</v>
      </c>
      <c r="D671" t="s">
        <v>1478</v>
      </c>
      <c r="E671" t="s">
        <v>65</v>
      </c>
      <c r="F671" t="s">
        <v>66</v>
      </c>
      <c r="G671" t="s">
        <v>67</v>
      </c>
      <c r="H671" t="s">
        <v>68</v>
      </c>
      <c r="I671" t="s">
        <v>176</v>
      </c>
      <c r="J671" t="s">
        <v>177</v>
      </c>
      <c r="K671" t="s">
        <v>178</v>
      </c>
      <c r="M671" t="s">
        <v>72</v>
      </c>
      <c r="N671" t="s">
        <v>179</v>
      </c>
      <c r="O671" t="s">
        <v>178</v>
      </c>
      <c r="P671" t="s">
        <v>180</v>
      </c>
      <c r="Q671" t="s">
        <v>75</v>
      </c>
      <c r="R671" t="s">
        <v>1177</v>
      </c>
      <c r="S671" t="s">
        <v>1472</v>
      </c>
      <c r="T671" t="s">
        <v>78</v>
      </c>
      <c r="U671" t="s">
        <v>646</v>
      </c>
      <c r="V671" t="s">
        <v>1179</v>
      </c>
      <c r="W671" s="1">
        <v>45108</v>
      </c>
      <c r="X671" t="s">
        <v>1180</v>
      </c>
      <c r="Y671" t="s">
        <v>1473</v>
      </c>
      <c r="Z671" t="s">
        <v>83</v>
      </c>
      <c r="AA671">
        <v>1</v>
      </c>
      <c r="AB671" t="s">
        <v>367</v>
      </c>
      <c r="AC671">
        <v>0</v>
      </c>
      <c r="AD671" t="s">
        <v>128</v>
      </c>
      <c r="AE671" t="s">
        <v>86</v>
      </c>
      <c r="AF671" t="s">
        <v>402</v>
      </c>
      <c r="AG671" t="s">
        <v>1475</v>
      </c>
      <c r="AI671" t="s">
        <v>90</v>
      </c>
      <c r="AJ671">
        <v>32.449615000000001</v>
      </c>
      <c r="AK671">
        <v>-110.738681</v>
      </c>
      <c r="AL671">
        <v>3</v>
      </c>
      <c r="AN671">
        <v>2088</v>
      </c>
      <c r="AP671">
        <v>2088</v>
      </c>
      <c r="AQ671">
        <v>2089.0464000000002</v>
      </c>
      <c r="AT671">
        <v>1</v>
      </c>
      <c r="AU671">
        <v>7</v>
      </c>
      <c r="AV671">
        <v>2023</v>
      </c>
      <c r="AW671">
        <v>2438038</v>
      </c>
      <c r="AX671">
        <v>2438038</v>
      </c>
      <c r="AY671" t="s">
        <v>106</v>
      </c>
      <c r="AZ671" t="s">
        <v>92</v>
      </c>
      <c r="BA671" t="s">
        <v>107</v>
      </c>
      <c r="BB671" t="s">
        <v>1479</v>
      </c>
      <c r="BC671" t="s">
        <v>1186</v>
      </c>
      <c r="BD671" s="1">
        <v>45108</v>
      </c>
      <c r="BE671" t="s">
        <v>96</v>
      </c>
      <c r="BG671" t="s">
        <v>1187</v>
      </c>
      <c r="BI671" t="s">
        <v>98</v>
      </c>
      <c r="BJ671" t="s">
        <v>812</v>
      </c>
      <c r="BL671" t="s">
        <v>110</v>
      </c>
    </row>
    <row r="672" spans="1:64" hidden="1" x14ac:dyDescent="0.2">
      <c r="A672">
        <v>709</v>
      </c>
      <c r="B672">
        <v>4070420528</v>
      </c>
      <c r="C672" t="s">
        <v>101</v>
      </c>
      <c r="D672" t="s">
        <v>2772</v>
      </c>
      <c r="E672" t="s">
        <v>65</v>
      </c>
      <c r="F672" t="s">
        <v>66</v>
      </c>
      <c r="G672" t="s">
        <v>67</v>
      </c>
      <c r="H672" t="s">
        <v>68</v>
      </c>
      <c r="I672" t="s">
        <v>176</v>
      </c>
      <c r="J672" t="s">
        <v>773</v>
      </c>
      <c r="K672" t="s">
        <v>774</v>
      </c>
      <c r="M672" t="s">
        <v>72</v>
      </c>
      <c r="N672" t="s">
        <v>775</v>
      </c>
      <c r="O672" t="s">
        <v>774</v>
      </c>
      <c r="P672" t="s">
        <v>776</v>
      </c>
      <c r="Q672" t="s">
        <v>75</v>
      </c>
      <c r="R672" t="s">
        <v>2238</v>
      </c>
      <c r="S672" t="s">
        <v>968</v>
      </c>
      <c r="T672" t="s">
        <v>78</v>
      </c>
      <c r="U672" t="s">
        <v>1822</v>
      </c>
      <c r="V672" t="s">
        <v>80</v>
      </c>
      <c r="W672" s="1">
        <v>44813</v>
      </c>
      <c r="X672" t="s">
        <v>1823</v>
      </c>
      <c r="Y672" t="s">
        <v>2769</v>
      </c>
      <c r="Z672" t="s">
        <v>83</v>
      </c>
      <c r="AA672">
        <v>1</v>
      </c>
      <c r="AB672" t="s">
        <v>103</v>
      </c>
      <c r="AD672" t="s">
        <v>343</v>
      </c>
      <c r="AE672" t="s">
        <v>86</v>
      </c>
      <c r="AF672" t="s">
        <v>146</v>
      </c>
      <c r="AI672" t="s">
        <v>90</v>
      </c>
      <c r="AJ672">
        <v>32.441659000000001</v>
      </c>
      <c r="AK672">
        <v>-110.78710100000001</v>
      </c>
      <c r="AL672">
        <v>3</v>
      </c>
      <c r="AN672">
        <v>2722</v>
      </c>
      <c r="AP672">
        <v>2722</v>
      </c>
      <c r="AQ672">
        <v>2771.9632889999998</v>
      </c>
      <c r="AT672">
        <v>9</v>
      </c>
      <c r="AU672">
        <v>9</v>
      </c>
      <c r="AV672">
        <v>2022</v>
      </c>
      <c r="AW672">
        <v>2438447</v>
      </c>
      <c r="AX672">
        <v>2438447</v>
      </c>
      <c r="AY672" t="s">
        <v>106</v>
      </c>
      <c r="AZ672" t="s">
        <v>92</v>
      </c>
      <c r="BA672" t="s">
        <v>107</v>
      </c>
      <c r="BB672" t="s">
        <v>2773</v>
      </c>
      <c r="BC672" t="s">
        <v>2245</v>
      </c>
      <c r="BE672" t="s">
        <v>96</v>
      </c>
      <c r="BG672" t="s">
        <v>2246</v>
      </c>
      <c r="BI672" t="s">
        <v>98</v>
      </c>
      <c r="BJ672" t="s">
        <v>2774</v>
      </c>
      <c r="BL672" t="s">
        <v>412</v>
      </c>
    </row>
    <row r="673" spans="1:64" hidden="1" x14ac:dyDescent="0.2">
      <c r="A673">
        <v>676</v>
      </c>
      <c r="B673">
        <v>4070420561</v>
      </c>
      <c r="C673" t="s">
        <v>101</v>
      </c>
      <c r="D673" t="s">
        <v>2784</v>
      </c>
      <c r="E673" t="s">
        <v>65</v>
      </c>
      <c r="F673" t="s">
        <v>66</v>
      </c>
      <c r="G673" t="s">
        <v>67</v>
      </c>
      <c r="H673" t="s">
        <v>68</v>
      </c>
      <c r="I673" t="s">
        <v>176</v>
      </c>
      <c r="J673" t="s">
        <v>1173</v>
      </c>
      <c r="K673" t="s">
        <v>1174</v>
      </c>
      <c r="M673" t="s">
        <v>72</v>
      </c>
      <c r="N673" t="s">
        <v>1175</v>
      </c>
      <c r="O673" t="s">
        <v>1174</v>
      </c>
      <c r="P673" t="s">
        <v>1176</v>
      </c>
      <c r="Q673" t="s">
        <v>75</v>
      </c>
      <c r="R673" t="s">
        <v>2776</v>
      </c>
      <c r="S673" t="s">
        <v>2777</v>
      </c>
      <c r="T673" t="s">
        <v>78</v>
      </c>
      <c r="U673" t="s">
        <v>1822</v>
      </c>
      <c r="V673" t="s">
        <v>80</v>
      </c>
      <c r="W673" s="1">
        <v>44813</v>
      </c>
      <c r="X673" t="s">
        <v>2778</v>
      </c>
      <c r="Y673" t="s">
        <v>2779</v>
      </c>
      <c r="Z673" t="s">
        <v>83</v>
      </c>
      <c r="AA673">
        <v>1</v>
      </c>
      <c r="AB673" t="s">
        <v>127</v>
      </c>
      <c r="AD673" t="s">
        <v>123</v>
      </c>
      <c r="AE673" t="s">
        <v>86</v>
      </c>
      <c r="AF673" t="s">
        <v>281</v>
      </c>
      <c r="AG673" t="s">
        <v>2781</v>
      </c>
      <c r="AH673" t="s">
        <v>2785</v>
      </c>
      <c r="AI673" t="s">
        <v>90</v>
      </c>
      <c r="AJ673">
        <v>32.450885</v>
      </c>
      <c r="AK673">
        <v>-110.754127</v>
      </c>
      <c r="AL673">
        <v>15</v>
      </c>
      <c r="AN673">
        <v>2383</v>
      </c>
      <c r="AP673">
        <v>2383</v>
      </c>
      <c r="AQ673">
        <v>2390.0241590000001</v>
      </c>
      <c r="AT673">
        <v>9</v>
      </c>
      <c r="AU673">
        <v>9</v>
      </c>
      <c r="AV673">
        <v>2022</v>
      </c>
      <c r="AW673">
        <v>2437874</v>
      </c>
      <c r="AX673">
        <v>2437874</v>
      </c>
      <c r="AY673" t="s">
        <v>106</v>
      </c>
      <c r="AZ673" t="s">
        <v>92</v>
      </c>
      <c r="BA673" t="s">
        <v>107</v>
      </c>
      <c r="BB673" t="s">
        <v>2786</v>
      </c>
      <c r="BC673" t="s">
        <v>2245</v>
      </c>
      <c r="BE673" t="s">
        <v>96</v>
      </c>
      <c r="BG673" t="s">
        <v>2246</v>
      </c>
      <c r="BI673" t="s">
        <v>98</v>
      </c>
      <c r="BJ673" t="s">
        <v>2787</v>
      </c>
      <c r="BL673" t="s">
        <v>412</v>
      </c>
    </row>
    <row r="674" spans="1:64" hidden="1" x14ac:dyDescent="0.2">
      <c r="A674">
        <v>675</v>
      </c>
      <c r="B674">
        <v>4070420562</v>
      </c>
      <c r="C674" t="s">
        <v>101</v>
      </c>
      <c r="D674" t="s">
        <v>2788</v>
      </c>
      <c r="E674" t="s">
        <v>65</v>
      </c>
      <c r="F674" t="s">
        <v>66</v>
      </c>
      <c r="G674" t="s">
        <v>67</v>
      </c>
      <c r="H674" t="s">
        <v>68</v>
      </c>
      <c r="I674" t="s">
        <v>176</v>
      </c>
      <c r="J674" t="s">
        <v>1173</v>
      </c>
      <c r="K674" t="s">
        <v>1174</v>
      </c>
      <c r="M674" t="s">
        <v>72</v>
      </c>
      <c r="N674" t="s">
        <v>1175</v>
      </c>
      <c r="O674" t="s">
        <v>1174</v>
      </c>
      <c r="P674" t="s">
        <v>1176</v>
      </c>
      <c r="Q674" t="s">
        <v>75</v>
      </c>
      <c r="R674" t="s">
        <v>2776</v>
      </c>
      <c r="S674" t="s">
        <v>2777</v>
      </c>
      <c r="T674" t="s">
        <v>78</v>
      </c>
      <c r="U674" t="s">
        <v>1822</v>
      </c>
      <c r="V674" t="s">
        <v>80</v>
      </c>
      <c r="W674" s="1">
        <v>44813</v>
      </c>
      <c r="X674" t="s">
        <v>2778</v>
      </c>
      <c r="Y674" t="s">
        <v>2779</v>
      </c>
      <c r="Z674" t="s">
        <v>83</v>
      </c>
      <c r="AA674">
        <v>1</v>
      </c>
      <c r="AB674" t="s">
        <v>127</v>
      </c>
      <c r="AD674" t="s">
        <v>112</v>
      </c>
      <c r="AE674" t="s">
        <v>86</v>
      </c>
      <c r="AF674" t="s">
        <v>281</v>
      </c>
      <c r="AG674" t="s">
        <v>2781</v>
      </c>
      <c r="AH674" t="s">
        <v>2785</v>
      </c>
      <c r="AI674" t="s">
        <v>90</v>
      </c>
      <c r="AJ674">
        <v>32.450885</v>
      </c>
      <c r="AK674">
        <v>-110.754127</v>
      </c>
      <c r="AL674">
        <v>15</v>
      </c>
      <c r="AN674">
        <v>2383</v>
      </c>
      <c r="AP674">
        <v>2383</v>
      </c>
      <c r="AQ674">
        <v>2390.0241590000001</v>
      </c>
      <c r="AT674">
        <v>9</v>
      </c>
      <c r="AU674">
        <v>9</v>
      </c>
      <c r="AV674">
        <v>2022</v>
      </c>
      <c r="AW674">
        <v>2437874</v>
      </c>
      <c r="AX674">
        <v>2437874</v>
      </c>
      <c r="AY674" t="s">
        <v>106</v>
      </c>
      <c r="AZ674" t="s">
        <v>92</v>
      </c>
      <c r="BA674" t="s">
        <v>107</v>
      </c>
      <c r="BB674" t="s">
        <v>2789</v>
      </c>
      <c r="BC674" t="s">
        <v>2245</v>
      </c>
      <c r="BE674" t="s">
        <v>96</v>
      </c>
      <c r="BG674" t="s">
        <v>2246</v>
      </c>
      <c r="BI674" t="s">
        <v>98</v>
      </c>
      <c r="BJ674" t="s">
        <v>2787</v>
      </c>
      <c r="BL674" t="s">
        <v>412</v>
      </c>
    </row>
    <row r="675" spans="1:64" hidden="1" x14ac:dyDescent="0.2">
      <c r="A675">
        <v>674</v>
      </c>
      <c r="B675">
        <v>4070420563</v>
      </c>
      <c r="C675" t="s">
        <v>101</v>
      </c>
      <c r="D675" t="s">
        <v>2790</v>
      </c>
      <c r="E675" t="s">
        <v>65</v>
      </c>
      <c r="F675" t="s">
        <v>66</v>
      </c>
      <c r="G675" t="s">
        <v>67</v>
      </c>
      <c r="H675" t="s">
        <v>68</v>
      </c>
      <c r="I675" t="s">
        <v>176</v>
      </c>
      <c r="J675" t="s">
        <v>1173</v>
      </c>
      <c r="K675" t="s">
        <v>1174</v>
      </c>
      <c r="M675" t="s">
        <v>72</v>
      </c>
      <c r="N675" t="s">
        <v>1175</v>
      </c>
      <c r="O675" t="s">
        <v>1174</v>
      </c>
      <c r="P675" t="s">
        <v>1176</v>
      </c>
      <c r="Q675" t="s">
        <v>75</v>
      </c>
      <c r="R675" t="s">
        <v>2776</v>
      </c>
      <c r="S675" t="s">
        <v>2777</v>
      </c>
      <c r="T675" t="s">
        <v>78</v>
      </c>
      <c r="U675" t="s">
        <v>1822</v>
      </c>
      <c r="V675" t="s">
        <v>80</v>
      </c>
      <c r="W675" s="1">
        <v>44813</v>
      </c>
      <c r="X675" t="s">
        <v>2778</v>
      </c>
      <c r="Y675" t="s">
        <v>2779</v>
      </c>
      <c r="Z675" t="s">
        <v>83</v>
      </c>
      <c r="AA675">
        <v>1</v>
      </c>
      <c r="AB675" t="s">
        <v>127</v>
      </c>
      <c r="AD675" t="s">
        <v>116</v>
      </c>
      <c r="AE675" t="s">
        <v>86</v>
      </c>
      <c r="AF675" t="s">
        <v>281</v>
      </c>
      <c r="AG675" t="s">
        <v>2781</v>
      </c>
      <c r="AH675" t="s">
        <v>2785</v>
      </c>
      <c r="AI675" t="s">
        <v>90</v>
      </c>
      <c r="AJ675">
        <v>32.450885</v>
      </c>
      <c r="AK675">
        <v>-110.754127</v>
      </c>
      <c r="AL675">
        <v>15</v>
      </c>
      <c r="AN675">
        <v>2383</v>
      </c>
      <c r="AP675">
        <v>2383</v>
      </c>
      <c r="AQ675">
        <v>2390.0241590000001</v>
      </c>
      <c r="AT675">
        <v>9</v>
      </c>
      <c r="AU675">
        <v>9</v>
      </c>
      <c r="AV675">
        <v>2022</v>
      </c>
      <c r="AW675">
        <v>2437874</v>
      </c>
      <c r="AX675">
        <v>2437874</v>
      </c>
      <c r="AY675" t="s">
        <v>106</v>
      </c>
      <c r="AZ675" t="s">
        <v>92</v>
      </c>
      <c r="BA675" t="s">
        <v>107</v>
      </c>
      <c r="BB675" t="s">
        <v>2791</v>
      </c>
      <c r="BC675" t="s">
        <v>2245</v>
      </c>
      <c r="BE675" t="s">
        <v>96</v>
      </c>
      <c r="BG675" t="s">
        <v>2246</v>
      </c>
      <c r="BI675" t="s">
        <v>98</v>
      </c>
      <c r="BJ675" t="s">
        <v>2792</v>
      </c>
      <c r="BL675" t="s">
        <v>412</v>
      </c>
    </row>
    <row r="676" spans="1:64" hidden="1" x14ac:dyDescent="0.2">
      <c r="A676">
        <v>673</v>
      </c>
      <c r="B676">
        <v>4070420564</v>
      </c>
      <c r="C676" t="s">
        <v>101</v>
      </c>
      <c r="D676" t="s">
        <v>2793</v>
      </c>
      <c r="E676" t="s">
        <v>65</v>
      </c>
      <c r="F676" t="s">
        <v>66</v>
      </c>
      <c r="G676" t="s">
        <v>67</v>
      </c>
      <c r="H676" t="s">
        <v>68</v>
      </c>
      <c r="I676" t="s">
        <v>176</v>
      </c>
      <c r="J676" t="s">
        <v>1173</v>
      </c>
      <c r="K676" t="s">
        <v>1174</v>
      </c>
      <c r="M676" t="s">
        <v>72</v>
      </c>
      <c r="N676" t="s">
        <v>1175</v>
      </c>
      <c r="O676" t="s">
        <v>1174</v>
      </c>
      <c r="P676" t="s">
        <v>1176</v>
      </c>
      <c r="Q676" t="s">
        <v>75</v>
      </c>
      <c r="R676" t="s">
        <v>2776</v>
      </c>
      <c r="S676" t="s">
        <v>2777</v>
      </c>
      <c r="T676" t="s">
        <v>78</v>
      </c>
      <c r="U676" t="s">
        <v>1822</v>
      </c>
      <c r="V676" t="s">
        <v>80</v>
      </c>
      <c r="W676" s="1">
        <v>44813</v>
      </c>
      <c r="X676" t="s">
        <v>2778</v>
      </c>
      <c r="Y676" t="s">
        <v>2779</v>
      </c>
      <c r="Z676" t="s">
        <v>83</v>
      </c>
      <c r="AA676">
        <v>1</v>
      </c>
      <c r="AB676" t="s">
        <v>127</v>
      </c>
      <c r="AD676" t="s">
        <v>2794</v>
      </c>
      <c r="AE676" t="s">
        <v>86</v>
      </c>
      <c r="AF676" t="s">
        <v>281</v>
      </c>
      <c r="AG676" t="s">
        <v>2781</v>
      </c>
      <c r="AH676" t="s">
        <v>2785</v>
      </c>
      <c r="AI676" t="s">
        <v>90</v>
      </c>
      <c r="AJ676">
        <v>32.450885</v>
      </c>
      <c r="AK676">
        <v>-110.754127</v>
      </c>
      <c r="AL676">
        <v>15</v>
      </c>
      <c r="AN676">
        <v>2383</v>
      </c>
      <c r="AP676">
        <v>2383</v>
      </c>
      <c r="AQ676">
        <v>2390.0241590000001</v>
      </c>
      <c r="AT676">
        <v>9</v>
      </c>
      <c r="AU676">
        <v>9</v>
      </c>
      <c r="AV676">
        <v>2022</v>
      </c>
      <c r="AW676">
        <v>2437874</v>
      </c>
      <c r="AX676">
        <v>2437874</v>
      </c>
      <c r="AY676" t="s">
        <v>106</v>
      </c>
      <c r="AZ676" t="s">
        <v>92</v>
      </c>
      <c r="BA676" t="s">
        <v>107</v>
      </c>
      <c r="BB676" t="s">
        <v>2795</v>
      </c>
      <c r="BC676" t="s">
        <v>2245</v>
      </c>
      <c r="BE676" t="s">
        <v>96</v>
      </c>
      <c r="BG676" t="s">
        <v>2246</v>
      </c>
      <c r="BI676" t="s">
        <v>98</v>
      </c>
      <c r="BJ676" t="s">
        <v>2796</v>
      </c>
      <c r="BL676" t="s">
        <v>412</v>
      </c>
    </row>
    <row r="677" spans="1:64" hidden="1" x14ac:dyDescent="0.2">
      <c r="A677">
        <v>672</v>
      </c>
      <c r="B677">
        <v>4070420565</v>
      </c>
      <c r="C677" t="s">
        <v>101</v>
      </c>
      <c r="D677" t="s">
        <v>2797</v>
      </c>
      <c r="E677" t="s">
        <v>65</v>
      </c>
      <c r="F677" t="s">
        <v>66</v>
      </c>
      <c r="G677" t="s">
        <v>67</v>
      </c>
      <c r="H677" t="s">
        <v>68</v>
      </c>
      <c r="I677" t="s">
        <v>176</v>
      </c>
      <c r="J677" t="s">
        <v>1173</v>
      </c>
      <c r="K677" t="s">
        <v>1174</v>
      </c>
      <c r="M677" t="s">
        <v>72</v>
      </c>
      <c r="N677" t="s">
        <v>1175</v>
      </c>
      <c r="O677" t="s">
        <v>1174</v>
      </c>
      <c r="P677" t="s">
        <v>1176</v>
      </c>
      <c r="Q677" t="s">
        <v>75</v>
      </c>
      <c r="R677" t="s">
        <v>2776</v>
      </c>
      <c r="S677" t="s">
        <v>2777</v>
      </c>
      <c r="T677" t="s">
        <v>78</v>
      </c>
      <c r="U677" t="s">
        <v>1822</v>
      </c>
      <c r="V677" t="s">
        <v>80</v>
      </c>
      <c r="W677" s="1">
        <v>44813</v>
      </c>
      <c r="X677" t="s">
        <v>2778</v>
      </c>
      <c r="Y677" t="s">
        <v>2779</v>
      </c>
      <c r="Z677" t="s">
        <v>83</v>
      </c>
      <c r="AA677">
        <v>1</v>
      </c>
      <c r="AB677" t="s">
        <v>127</v>
      </c>
      <c r="AD677" t="s">
        <v>104</v>
      </c>
      <c r="AE677" t="s">
        <v>86</v>
      </c>
      <c r="AF677" t="s">
        <v>281</v>
      </c>
      <c r="AG677" t="s">
        <v>2781</v>
      </c>
      <c r="AH677" t="s">
        <v>2785</v>
      </c>
      <c r="AI677" t="s">
        <v>90</v>
      </c>
      <c r="AJ677">
        <v>32.450885</v>
      </c>
      <c r="AK677">
        <v>-110.754127</v>
      </c>
      <c r="AL677">
        <v>15</v>
      </c>
      <c r="AN677">
        <v>2383</v>
      </c>
      <c r="AP677">
        <v>2383</v>
      </c>
      <c r="AQ677">
        <v>2390.0241590000001</v>
      </c>
      <c r="AT677">
        <v>9</v>
      </c>
      <c r="AU677">
        <v>9</v>
      </c>
      <c r="AV677">
        <v>2022</v>
      </c>
      <c r="AW677">
        <v>2437874</v>
      </c>
      <c r="AX677">
        <v>2437874</v>
      </c>
      <c r="AY677" t="s">
        <v>106</v>
      </c>
      <c r="AZ677" t="s">
        <v>92</v>
      </c>
      <c r="BA677" t="s">
        <v>107</v>
      </c>
      <c r="BB677" t="s">
        <v>2798</v>
      </c>
      <c r="BC677" t="s">
        <v>2245</v>
      </c>
      <c r="BE677" t="s">
        <v>96</v>
      </c>
      <c r="BG677" t="s">
        <v>2246</v>
      </c>
      <c r="BI677" t="s">
        <v>98</v>
      </c>
      <c r="BJ677" t="s">
        <v>2799</v>
      </c>
      <c r="BL677" t="s">
        <v>412</v>
      </c>
    </row>
    <row r="678" spans="1:64" hidden="1" x14ac:dyDescent="0.2">
      <c r="A678">
        <v>671</v>
      </c>
      <c r="B678">
        <v>4070420566</v>
      </c>
      <c r="C678" t="s">
        <v>101</v>
      </c>
      <c r="D678" t="s">
        <v>2800</v>
      </c>
      <c r="E678" t="s">
        <v>65</v>
      </c>
      <c r="F678" t="s">
        <v>66</v>
      </c>
      <c r="G678" t="s">
        <v>67</v>
      </c>
      <c r="H678" t="s">
        <v>68</v>
      </c>
      <c r="I678" t="s">
        <v>176</v>
      </c>
      <c r="J678" t="s">
        <v>1173</v>
      </c>
      <c r="K678" t="s">
        <v>1174</v>
      </c>
      <c r="M678" t="s">
        <v>72</v>
      </c>
      <c r="N678" t="s">
        <v>1175</v>
      </c>
      <c r="O678" t="s">
        <v>1174</v>
      </c>
      <c r="P678" t="s">
        <v>1176</v>
      </c>
      <c r="Q678" t="s">
        <v>75</v>
      </c>
      <c r="R678" t="s">
        <v>2776</v>
      </c>
      <c r="S678" t="s">
        <v>2777</v>
      </c>
      <c r="T678" t="s">
        <v>78</v>
      </c>
      <c r="U678" t="s">
        <v>1822</v>
      </c>
      <c r="V678" t="s">
        <v>80</v>
      </c>
      <c r="W678" s="1">
        <v>44813</v>
      </c>
      <c r="X678" t="s">
        <v>2778</v>
      </c>
      <c r="Y678" t="s">
        <v>2779</v>
      </c>
      <c r="Z678" t="s">
        <v>83</v>
      </c>
      <c r="AA678">
        <v>1</v>
      </c>
      <c r="AB678" t="s">
        <v>2262</v>
      </c>
      <c r="AD678" t="s">
        <v>134</v>
      </c>
      <c r="AE678" t="s">
        <v>86</v>
      </c>
      <c r="AF678" t="s">
        <v>281</v>
      </c>
      <c r="AG678" t="s">
        <v>2781</v>
      </c>
      <c r="AH678" t="s">
        <v>2801</v>
      </c>
      <c r="AI678" t="s">
        <v>90</v>
      </c>
      <c r="AJ678">
        <v>32.450885</v>
      </c>
      <c r="AK678">
        <v>-110.754127</v>
      </c>
      <c r="AL678">
        <v>15</v>
      </c>
      <c r="AN678">
        <v>2383</v>
      </c>
      <c r="AP678">
        <v>2383</v>
      </c>
      <c r="AQ678">
        <v>2390.0241590000001</v>
      </c>
      <c r="AT678">
        <v>9</v>
      </c>
      <c r="AU678">
        <v>9</v>
      </c>
      <c r="AV678">
        <v>2022</v>
      </c>
      <c r="AW678">
        <v>2437874</v>
      </c>
      <c r="AX678">
        <v>2437874</v>
      </c>
      <c r="AY678" t="s">
        <v>106</v>
      </c>
      <c r="AZ678" t="s">
        <v>92</v>
      </c>
      <c r="BA678" t="s">
        <v>107</v>
      </c>
      <c r="BB678" t="s">
        <v>2802</v>
      </c>
      <c r="BC678" t="s">
        <v>2245</v>
      </c>
      <c r="BE678" t="s">
        <v>96</v>
      </c>
      <c r="BG678" t="s">
        <v>2246</v>
      </c>
      <c r="BI678" t="s">
        <v>98</v>
      </c>
      <c r="BJ678" t="s">
        <v>2792</v>
      </c>
      <c r="BL678" t="s">
        <v>412</v>
      </c>
    </row>
    <row r="679" spans="1:64" hidden="1" x14ac:dyDescent="0.2">
      <c r="A679">
        <v>684</v>
      </c>
      <c r="B679">
        <v>4070420553</v>
      </c>
      <c r="C679" t="s">
        <v>101</v>
      </c>
      <c r="D679" t="s">
        <v>2803</v>
      </c>
      <c r="E679" t="s">
        <v>65</v>
      </c>
      <c r="F679" t="s">
        <v>66</v>
      </c>
      <c r="G679" t="s">
        <v>67</v>
      </c>
      <c r="H679" t="s">
        <v>68</v>
      </c>
      <c r="I679" t="s">
        <v>176</v>
      </c>
      <c r="J679" t="s">
        <v>1173</v>
      </c>
      <c r="K679" t="s">
        <v>1174</v>
      </c>
      <c r="M679" t="s">
        <v>72</v>
      </c>
      <c r="N679" t="s">
        <v>1175</v>
      </c>
      <c r="O679" t="s">
        <v>1174</v>
      </c>
      <c r="P679" t="s">
        <v>1176</v>
      </c>
      <c r="Q679" t="s">
        <v>75</v>
      </c>
      <c r="R679" t="s">
        <v>2776</v>
      </c>
      <c r="S679" t="s">
        <v>2777</v>
      </c>
      <c r="T679" t="s">
        <v>78</v>
      </c>
      <c r="U679" t="s">
        <v>1822</v>
      </c>
      <c r="V679" t="s">
        <v>80</v>
      </c>
      <c r="W679" s="1">
        <v>44813</v>
      </c>
      <c r="X679" t="s">
        <v>2778</v>
      </c>
      <c r="Y679" t="s">
        <v>2779</v>
      </c>
      <c r="Z679" t="s">
        <v>83</v>
      </c>
      <c r="AA679">
        <v>1</v>
      </c>
      <c r="AB679" t="s">
        <v>127</v>
      </c>
      <c r="AD679" t="s">
        <v>139</v>
      </c>
      <c r="AE679" t="s">
        <v>86</v>
      </c>
      <c r="AF679" t="s">
        <v>281</v>
      </c>
      <c r="AG679" t="s">
        <v>2781</v>
      </c>
      <c r="AH679" t="s">
        <v>2785</v>
      </c>
      <c r="AI679" t="s">
        <v>90</v>
      </c>
      <c r="AJ679">
        <v>32.450885</v>
      </c>
      <c r="AK679">
        <v>-110.754127</v>
      </c>
      <c r="AL679">
        <v>15</v>
      </c>
      <c r="AN679">
        <v>2383</v>
      </c>
      <c r="AP679">
        <v>2383</v>
      </c>
      <c r="AQ679">
        <v>2390.0241590000001</v>
      </c>
      <c r="AT679">
        <v>9</v>
      </c>
      <c r="AU679">
        <v>9</v>
      </c>
      <c r="AV679">
        <v>2022</v>
      </c>
      <c r="AW679">
        <v>2437874</v>
      </c>
      <c r="AX679">
        <v>2437874</v>
      </c>
      <c r="AY679" t="s">
        <v>106</v>
      </c>
      <c r="AZ679" t="s">
        <v>92</v>
      </c>
      <c r="BA679" t="s">
        <v>107</v>
      </c>
      <c r="BB679" t="s">
        <v>2804</v>
      </c>
      <c r="BC679" t="s">
        <v>2245</v>
      </c>
      <c r="BE679" t="s">
        <v>96</v>
      </c>
      <c r="BG679" t="s">
        <v>2246</v>
      </c>
      <c r="BI679" t="s">
        <v>98</v>
      </c>
      <c r="BJ679" t="s">
        <v>2301</v>
      </c>
      <c r="BL679" t="s">
        <v>412</v>
      </c>
    </row>
    <row r="680" spans="1:64" x14ac:dyDescent="0.2">
      <c r="A680">
        <v>1470</v>
      </c>
      <c r="B680">
        <v>3748770411</v>
      </c>
      <c r="C680" t="s">
        <v>63</v>
      </c>
      <c r="D680" t="s">
        <v>141</v>
      </c>
      <c r="E680" t="s">
        <v>65</v>
      </c>
      <c r="F680" t="s">
        <v>66</v>
      </c>
      <c r="G680" t="s">
        <v>67</v>
      </c>
      <c r="H680" t="s">
        <v>68</v>
      </c>
      <c r="I680" t="s">
        <v>69</v>
      </c>
      <c r="J680" t="s">
        <v>70</v>
      </c>
      <c r="K680" t="s">
        <v>71</v>
      </c>
      <c r="M680" t="s">
        <v>72</v>
      </c>
      <c r="N680" t="s">
        <v>73</v>
      </c>
      <c r="O680" t="s">
        <v>71</v>
      </c>
      <c r="P680" t="s">
        <v>74</v>
      </c>
      <c r="Q680" t="s">
        <v>75</v>
      </c>
      <c r="R680" t="s">
        <v>76</v>
      </c>
      <c r="S680" t="s">
        <v>142</v>
      </c>
      <c r="T680" t="s">
        <v>78</v>
      </c>
      <c r="U680" t="s">
        <v>79</v>
      </c>
      <c r="V680" t="s">
        <v>80</v>
      </c>
      <c r="W680" s="1">
        <v>44520</v>
      </c>
      <c r="X680" t="s">
        <v>81</v>
      </c>
      <c r="Y680" t="s">
        <v>143</v>
      </c>
      <c r="Z680" t="s">
        <v>83</v>
      </c>
      <c r="AA680">
        <v>1</v>
      </c>
      <c r="AB680" t="s">
        <v>144</v>
      </c>
      <c r="AC680">
        <v>1</v>
      </c>
      <c r="AD680" s="6" t="s">
        <v>85</v>
      </c>
      <c r="AE680" s="6" t="s">
        <v>145</v>
      </c>
      <c r="AF680" s="6" t="s">
        <v>146</v>
      </c>
      <c r="AG680" s="6" t="s">
        <v>147</v>
      </c>
      <c r="AH680" s="6" t="s">
        <v>148</v>
      </c>
      <c r="AI680" s="6" t="s">
        <v>90</v>
      </c>
      <c r="AJ680" s="6">
        <v>32.499198</v>
      </c>
      <c r="AK680" s="6">
        <v>-110.681755</v>
      </c>
      <c r="AL680" s="6">
        <v>3</v>
      </c>
      <c r="AM680" s="6"/>
      <c r="AN680" s="6">
        <v>1318</v>
      </c>
      <c r="AO680" s="6"/>
      <c r="AP680" s="6">
        <v>1318</v>
      </c>
      <c r="AQ680" s="6">
        <v>1314.712929</v>
      </c>
      <c r="AR680" s="6"/>
      <c r="AS680" s="6"/>
      <c r="AT680" s="6">
        <v>20</v>
      </c>
      <c r="AU680" s="6">
        <v>11</v>
      </c>
      <c r="AV680" s="6">
        <v>2021</v>
      </c>
      <c r="AW680" s="6">
        <v>2439581</v>
      </c>
      <c r="AX680" s="6">
        <v>2439581</v>
      </c>
      <c r="AY680" s="6" t="s">
        <v>91</v>
      </c>
      <c r="AZ680" t="s">
        <v>92</v>
      </c>
      <c r="BA680" t="s">
        <v>93</v>
      </c>
      <c r="BB680" t="s">
        <v>149</v>
      </c>
      <c r="BC680" t="s">
        <v>97</v>
      </c>
      <c r="BE680" t="s">
        <v>96</v>
      </c>
      <c r="BG680" t="s">
        <v>97</v>
      </c>
      <c r="BI680" t="s">
        <v>98</v>
      </c>
      <c r="BJ680" t="s">
        <v>150</v>
      </c>
      <c r="BL680" t="s">
        <v>100</v>
      </c>
    </row>
    <row r="681" spans="1:64" hidden="1" x14ac:dyDescent="0.2">
      <c r="A681">
        <v>707</v>
      </c>
      <c r="B681">
        <v>4070420530</v>
      </c>
      <c r="C681" t="s">
        <v>101</v>
      </c>
      <c r="D681" t="s">
        <v>2816</v>
      </c>
      <c r="E681" t="s">
        <v>65</v>
      </c>
      <c r="F681" t="s">
        <v>66</v>
      </c>
      <c r="G681" t="s">
        <v>67</v>
      </c>
      <c r="H681" t="s">
        <v>68</v>
      </c>
      <c r="I681" t="s">
        <v>176</v>
      </c>
      <c r="J681" t="s">
        <v>177</v>
      </c>
      <c r="K681" t="s">
        <v>178</v>
      </c>
      <c r="M681" t="s">
        <v>72</v>
      </c>
      <c r="N681" t="s">
        <v>179</v>
      </c>
      <c r="O681" t="s">
        <v>178</v>
      </c>
      <c r="P681" t="s">
        <v>180</v>
      </c>
      <c r="Q681" t="s">
        <v>75</v>
      </c>
      <c r="R681" t="s">
        <v>2806</v>
      </c>
      <c r="S681" t="s">
        <v>645</v>
      </c>
      <c r="T681" t="s">
        <v>78</v>
      </c>
      <c r="U681" t="s">
        <v>1822</v>
      </c>
      <c r="V681" t="s">
        <v>80</v>
      </c>
      <c r="W681" s="1">
        <v>44814</v>
      </c>
      <c r="X681" t="s">
        <v>2778</v>
      </c>
      <c r="Y681" t="s">
        <v>2807</v>
      </c>
      <c r="Z681" t="s">
        <v>83</v>
      </c>
      <c r="AA681">
        <v>1</v>
      </c>
      <c r="AB681" t="s">
        <v>103</v>
      </c>
      <c r="AD681" t="s">
        <v>112</v>
      </c>
      <c r="AE681" t="s">
        <v>145</v>
      </c>
      <c r="AF681" t="s">
        <v>146</v>
      </c>
      <c r="AG681" t="s">
        <v>1526</v>
      </c>
      <c r="AH681" t="s">
        <v>2817</v>
      </c>
      <c r="AI681" t="s">
        <v>90</v>
      </c>
      <c r="AJ681">
        <v>32.453336</v>
      </c>
      <c r="AK681">
        <v>-110.74580400000001</v>
      </c>
      <c r="AL681">
        <v>3</v>
      </c>
      <c r="AN681">
        <v>2229</v>
      </c>
      <c r="AP681">
        <v>2229</v>
      </c>
      <c r="AQ681">
        <v>2231.3719430000001</v>
      </c>
      <c r="AT681">
        <v>10</v>
      </c>
      <c r="AU681">
        <v>9</v>
      </c>
      <c r="AV681">
        <v>2022</v>
      </c>
      <c r="AW681">
        <v>2438038</v>
      </c>
      <c r="AX681">
        <v>2438038</v>
      </c>
      <c r="AY681" t="s">
        <v>106</v>
      </c>
      <c r="AZ681" t="s">
        <v>92</v>
      </c>
      <c r="BA681" t="s">
        <v>107</v>
      </c>
      <c r="BB681" t="s">
        <v>2818</v>
      </c>
      <c r="BC681" t="s">
        <v>2245</v>
      </c>
      <c r="BE681" t="s">
        <v>96</v>
      </c>
      <c r="BG681" t="s">
        <v>2811</v>
      </c>
      <c r="BI681" t="s">
        <v>98</v>
      </c>
      <c r="BJ681" t="s">
        <v>2819</v>
      </c>
      <c r="BL681" t="s">
        <v>412</v>
      </c>
    </row>
    <row r="682" spans="1:64" hidden="1" x14ac:dyDescent="0.2">
      <c r="A682">
        <v>706</v>
      </c>
      <c r="B682">
        <v>4070420531</v>
      </c>
      <c r="C682" t="s">
        <v>101</v>
      </c>
      <c r="D682" t="s">
        <v>2820</v>
      </c>
      <c r="E682" t="s">
        <v>65</v>
      </c>
      <c r="F682" t="s">
        <v>66</v>
      </c>
      <c r="G682" t="s">
        <v>67</v>
      </c>
      <c r="H682" t="s">
        <v>68</v>
      </c>
      <c r="I682" t="s">
        <v>176</v>
      </c>
      <c r="J682" t="s">
        <v>177</v>
      </c>
      <c r="K682" t="s">
        <v>178</v>
      </c>
      <c r="M682" t="s">
        <v>72</v>
      </c>
      <c r="N682" t="s">
        <v>179</v>
      </c>
      <c r="O682" t="s">
        <v>178</v>
      </c>
      <c r="P682" t="s">
        <v>180</v>
      </c>
      <c r="Q682" t="s">
        <v>75</v>
      </c>
      <c r="R682" t="s">
        <v>2806</v>
      </c>
      <c r="S682" t="s">
        <v>645</v>
      </c>
      <c r="T682" t="s">
        <v>78</v>
      </c>
      <c r="U682" t="s">
        <v>1822</v>
      </c>
      <c r="V682" t="s">
        <v>80</v>
      </c>
      <c r="W682" s="1">
        <v>44814</v>
      </c>
      <c r="X682" t="s">
        <v>2778</v>
      </c>
      <c r="Y682" t="s">
        <v>2807</v>
      </c>
      <c r="Z682" t="s">
        <v>83</v>
      </c>
      <c r="AA682">
        <v>1</v>
      </c>
      <c r="AB682" t="s">
        <v>103</v>
      </c>
      <c r="AD682" t="s">
        <v>116</v>
      </c>
      <c r="AE682" t="s">
        <v>145</v>
      </c>
      <c r="AF682" t="s">
        <v>146</v>
      </c>
      <c r="AG682" t="s">
        <v>1526</v>
      </c>
      <c r="AH682" t="s">
        <v>2817</v>
      </c>
      <c r="AI682" t="s">
        <v>90</v>
      </c>
      <c r="AJ682">
        <v>32.453336</v>
      </c>
      <c r="AK682">
        <v>-110.74580400000001</v>
      </c>
      <c r="AL682">
        <v>3</v>
      </c>
      <c r="AN682">
        <v>2229</v>
      </c>
      <c r="AP682">
        <v>2229</v>
      </c>
      <c r="AQ682">
        <v>2231.3719430000001</v>
      </c>
      <c r="AT682">
        <v>10</v>
      </c>
      <c r="AU682">
        <v>9</v>
      </c>
      <c r="AV682">
        <v>2022</v>
      </c>
      <c r="AW682">
        <v>2438038</v>
      </c>
      <c r="AX682">
        <v>2438038</v>
      </c>
      <c r="AY682" t="s">
        <v>106</v>
      </c>
      <c r="AZ682" t="s">
        <v>92</v>
      </c>
      <c r="BA682" t="s">
        <v>107</v>
      </c>
      <c r="BB682" t="s">
        <v>2821</v>
      </c>
      <c r="BC682" t="s">
        <v>2245</v>
      </c>
      <c r="BE682" t="s">
        <v>96</v>
      </c>
      <c r="BG682" t="s">
        <v>2811</v>
      </c>
      <c r="BI682" t="s">
        <v>98</v>
      </c>
      <c r="BJ682" t="s">
        <v>1798</v>
      </c>
      <c r="BL682" t="s">
        <v>412</v>
      </c>
    </row>
    <row r="683" spans="1:64" hidden="1" x14ac:dyDescent="0.2">
      <c r="A683">
        <v>705</v>
      </c>
      <c r="B683">
        <v>4070420532</v>
      </c>
      <c r="C683" t="s">
        <v>101</v>
      </c>
      <c r="D683" t="s">
        <v>2822</v>
      </c>
      <c r="E683" t="s">
        <v>65</v>
      </c>
      <c r="F683" t="s">
        <v>66</v>
      </c>
      <c r="G683" t="s">
        <v>67</v>
      </c>
      <c r="H683" t="s">
        <v>68</v>
      </c>
      <c r="I683" t="s">
        <v>176</v>
      </c>
      <c r="J683" t="s">
        <v>177</v>
      </c>
      <c r="K683" t="s">
        <v>178</v>
      </c>
      <c r="M683" t="s">
        <v>72</v>
      </c>
      <c r="N683" t="s">
        <v>179</v>
      </c>
      <c r="O683" t="s">
        <v>178</v>
      </c>
      <c r="P683" t="s">
        <v>180</v>
      </c>
      <c r="Q683" t="s">
        <v>75</v>
      </c>
      <c r="R683" t="s">
        <v>2806</v>
      </c>
      <c r="S683" t="s">
        <v>645</v>
      </c>
      <c r="T683" t="s">
        <v>78</v>
      </c>
      <c r="U683" t="s">
        <v>1822</v>
      </c>
      <c r="V683" t="s">
        <v>80</v>
      </c>
      <c r="W683" s="1">
        <v>44814</v>
      </c>
      <c r="X683" t="s">
        <v>2778</v>
      </c>
      <c r="Y683" t="s">
        <v>2807</v>
      </c>
      <c r="Z683" t="s">
        <v>83</v>
      </c>
      <c r="AA683">
        <v>1</v>
      </c>
      <c r="AB683" t="s">
        <v>103</v>
      </c>
      <c r="AD683" t="s">
        <v>104</v>
      </c>
      <c r="AE683" t="s">
        <v>145</v>
      </c>
      <c r="AF683" t="s">
        <v>146</v>
      </c>
      <c r="AG683" t="s">
        <v>1526</v>
      </c>
      <c r="AH683" t="s">
        <v>2817</v>
      </c>
      <c r="AI683" t="s">
        <v>90</v>
      </c>
      <c r="AJ683">
        <v>32.453336</v>
      </c>
      <c r="AK683">
        <v>-110.74580400000001</v>
      </c>
      <c r="AL683">
        <v>3</v>
      </c>
      <c r="AN683">
        <v>2229</v>
      </c>
      <c r="AP683">
        <v>2229</v>
      </c>
      <c r="AQ683">
        <v>2231.3719430000001</v>
      </c>
      <c r="AT683">
        <v>10</v>
      </c>
      <c r="AU683">
        <v>9</v>
      </c>
      <c r="AV683">
        <v>2022</v>
      </c>
      <c r="AW683">
        <v>2438038</v>
      </c>
      <c r="AX683">
        <v>2438038</v>
      </c>
      <c r="AY683" t="s">
        <v>106</v>
      </c>
      <c r="AZ683" t="s">
        <v>92</v>
      </c>
      <c r="BA683" t="s">
        <v>107</v>
      </c>
      <c r="BB683" t="s">
        <v>2823</v>
      </c>
      <c r="BC683" t="s">
        <v>2245</v>
      </c>
      <c r="BE683" t="s">
        <v>96</v>
      </c>
      <c r="BG683" t="s">
        <v>2811</v>
      </c>
      <c r="BI683" t="s">
        <v>98</v>
      </c>
      <c r="BJ683" t="s">
        <v>1954</v>
      </c>
      <c r="BL683" t="s">
        <v>412</v>
      </c>
    </row>
    <row r="684" spans="1:64" hidden="1" x14ac:dyDescent="0.2">
      <c r="A684">
        <v>704</v>
      </c>
      <c r="B684">
        <v>4070420533</v>
      </c>
      <c r="C684" t="s">
        <v>101</v>
      </c>
      <c r="D684" t="s">
        <v>2824</v>
      </c>
      <c r="E684" t="s">
        <v>65</v>
      </c>
      <c r="F684" t="s">
        <v>66</v>
      </c>
      <c r="G684" t="s">
        <v>67</v>
      </c>
      <c r="H684" t="s">
        <v>68</v>
      </c>
      <c r="I684" t="s">
        <v>176</v>
      </c>
      <c r="J684" t="s">
        <v>177</v>
      </c>
      <c r="K684" t="s">
        <v>178</v>
      </c>
      <c r="M684" t="s">
        <v>72</v>
      </c>
      <c r="N684" t="s">
        <v>179</v>
      </c>
      <c r="O684" t="s">
        <v>178</v>
      </c>
      <c r="P684" t="s">
        <v>180</v>
      </c>
      <c r="Q684" t="s">
        <v>75</v>
      </c>
      <c r="R684" t="s">
        <v>2806</v>
      </c>
      <c r="S684" t="s">
        <v>645</v>
      </c>
      <c r="T684" t="s">
        <v>78</v>
      </c>
      <c r="U684" t="s">
        <v>1822</v>
      </c>
      <c r="V684" t="s">
        <v>80</v>
      </c>
      <c r="W684" s="1">
        <v>44814</v>
      </c>
      <c r="X684" t="s">
        <v>2778</v>
      </c>
      <c r="Y684" t="s">
        <v>2807</v>
      </c>
      <c r="Z684" t="s">
        <v>83</v>
      </c>
      <c r="AA684">
        <v>1</v>
      </c>
      <c r="AB684" t="s">
        <v>2262</v>
      </c>
      <c r="AD684" t="s">
        <v>134</v>
      </c>
      <c r="AE684" t="s">
        <v>145</v>
      </c>
      <c r="AF684" t="s">
        <v>146</v>
      </c>
      <c r="AG684" t="s">
        <v>1526</v>
      </c>
      <c r="AH684" t="s">
        <v>2825</v>
      </c>
      <c r="AI684" t="s">
        <v>90</v>
      </c>
      <c r="AJ684">
        <v>32.453336</v>
      </c>
      <c r="AK684">
        <v>-110.74580400000001</v>
      </c>
      <c r="AL684">
        <v>3</v>
      </c>
      <c r="AN684">
        <v>2229</v>
      </c>
      <c r="AP684">
        <v>2229</v>
      </c>
      <c r="AQ684">
        <v>2231.3719430000001</v>
      </c>
      <c r="AT684">
        <v>10</v>
      </c>
      <c r="AU684">
        <v>9</v>
      </c>
      <c r="AV684">
        <v>2022</v>
      </c>
      <c r="AW684">
        <v>2438038</v>
      </c>
      <c r="AX684">
        <v>2438038</v>
      </c>
      <c r="AY684" t="s">
        <v>106</v>
      </c>
      <c r="AZ684" t="s">
        <v>92</v>
      </c>
      <c r="BA684" t="s">
        <v>107</v>
      </c>
      <c r="BB684" t="s">
        <v>2826</v>
      </c>
      <c r="BC684" t="s">
        <v>2245</v>
      </c>
      <c r="BE684" t="s">
        <v>96</v>
      </c>
      <c r="BG684" t="s">
        <v>2811</v>
      </c>
      <c r="BI684" t="s">
        <v>98</v>
      </c>
      <c r="BJ684" t="s">
        <v>1954</v>
      </c>
      <c r="BL684" t="s">
        <v>412</v>
      </c>
    </row>
    <row r="685" spans="1:64" hidden="1" x14ac:dyDescent="0.2">
      <c r="A685">
        <v>741</v>
      </c>
      <c r="B685">
        <v>4070420496</v>
      </c>
      <c r="C685" t="s">
        <v>101</v>
      </c>
      <c r="D685" s="2" t="s">
        <v>2827</v>
      </c>
      <c r="E685" t="s">
        <v>65</v>
      </c>
      <c r="F685" t="s">
        <v>66</v>
      </c>
      <c r="G685" t="s">
        <v>67</v>
      </c>
      <c r="H685" t="s">
        <v>68</v>
      </c>
      <c r="I685" t="s">
        <v>176</v>
      </c>
      <c r="J685" t="s">
        <v>177</v>
      </c>
      <c r="K685" t="s">
        <v>178</v>
      </c>
      <c r="M685" t="s">
        <v>72</v>
      </c>
      <c r="N685" t="s">
        <v>179</v>
      </c>
      <c r="O685" t="s">
        <v>178</v>
      </c>
      <c r="P685" t="s">
        <v>180</v>
      </c>
      <c r="Q685" t="s">
        <v>75</v>
      </c>
      <c r="R685" t="s">
        <v>2806</v>
      </c>
      <c r="S685" t="s">
        <v>645</v>
      </c>
      <c r="T685" t="s">
        <v>78</v>
      </c>
      <c r="U685" t="s">
        <v>1822</v>
      </c>
      <c r="V685" t="s">
        <v>80</v>
      </c>
      <c r="W685" s="1">
        <v>44814</v>
      </c>
      <c r="X685" t="s">
        <v>2778</v>
      </c>
      <c r="Y685" t="s">
        <v>2807</v>
      </c>
      <c r="Z685" t="s">
        <v>83</v>
      </c>
      <c r="AA685">
        <v>1</v>
      </c>
      <c r="AB685" t="s">
        <v>127</v>
      </c>
      <c r="AD685" t="s">
        <v>123</v>
      </c>
      <c r="AE685" t="s">
        <v>145</v>
      </c>
      <c r="AF685" t="s">
        <v>146</v>
      </c>
      <c r="AG685" t="s">
        <v>1526</v>
      </c>
      <c r="AH685" t="s">
        <v>2817</v>
      </c>
      <c r="AI685" t="s">
        <v>90</v>
      </c>
      <c r="AJ685">
        <v>32.453336</v>
      </c>
      <c r="AK685">
        <v>-110.74580400000001</v>
      </c>
      <c r="AL685">
        <v>3</v>
      </c>
      <c r="AN685">
        <v>2229</v>
      </c>
      <c r="AP685">
        <v>2229</v>
      </c>
      <c r="AQ685">
        <v>2231.3719430000001</v>
      </c>
      <c r="AT685">
        <v>10</v>
      </c>
      <c r="AU685">
        <v>9</v>
      </c>
      <c r="AV685">
        <v>2022</v>
      </c>
      <c r="AW685">
        <v>2438038</v>
      </c>
      <c r="AX685">
        <v>2438038</v>
      </c>
      <c r="AY685" t="s">
        <v>106</v>
      </c>
      <c r="AZ685" t="s">
        <v>92</v>
      </c>
      <c r="BA685" t="s">
        <v>107</v>
      </c>
      <c r="BB685" t="s">
        <v>2828</v>
      </c>
      <c r="BC685" t="s">
        <v>2245</v>
      </c>
      <c r="BE685" t="s">
        <v>96</v>
      </c>
      <c r="BG685" t="s">
        <v>2811</v>
      </c>
      <c r="BI685" t="s">
        <v>98</v>
      </c>
      <c r="BJ685" t="s">
        <v>2829</v>
      </c>
      <c r="BL685" t="s">
        <v>412</v>
      </c>
    </row>
    <row r="686" spans="1:64" hidden="1" x14ac:dyDescent="0.2">
      <c r="A686">
        <v>322</v>
      </c>
      <c r="B686">
        <v>4403382316</v>
      </c>
      <c r="C686" t="s">
        <v>101</v>
      </c>
      <c r="D686" t="s">
        <v>1512</v>
      </c>
      <c r="E686" t="s">
        <v>65</v>
      </c>
      <c r="F686" t="s">
        <v>66</v>
      </c>
      <c r="G686" t="s">
        <v>67</v>
      </c>
      <c r="H686" t="s">
        <v>68</v>
      </c>
      <c r="I686" t="s">
        <v>176</v>
      </c>
      <c r="J686" t="s">
        <v>1173</v>
      </c>
      <c r="K686" t="s">
        <v>1174</v>
      </c>
      <c r="M686" t="s">
        <v>72</v>
      </c>
      <c r="N686" t="s">
        <v>1175</v>
      </c>
      <c r="O686" t="s">
        <v>1174</v>
      </c>
      <c r="P686" t="s">
        <v>1176</v>
      </c>
      <c r="Q686" t="s">
        <v>75</v>
      </c>
      <c r="R686" t="s">
        <v>1177</v>
      </c>
      <c r="S686" t="s">
        <v>513</v>
      </c>
      <c r="T686" t="s">
        <v>78</v>
      </c>
      <c r="U686" t="s">
        <v>646</v>
      </c>
      <c r="V686" t="s">
        <v>1179</v>
      </c>
      <c r="W686" s="1">
        <v>45108</v>
      </c>
      <c r="X686" t="s">
        <v>1180</v>
      </c>
      <c r="Y686" t="s">
        <v>1509</v>
      </c>
      <c r="Z686" t="s">
        <v>83</v>
      </c>
      <c r="AA686">
        <v>1</v>
      </c>
      <c r="AB686" t="s">
        <v>367</v>
      </c>
      <c r="AC686">
        <v>0</v>
      </c>
      <c r="AD686" t="s">
        <v>128</v>
      </c>
      <c r="AE686" t="s">
        <v>145</v>
      </c>
      <c r="AF686" t="s">
        <v>402</v>
      </c>
      <c r="AG686" t="s">
        <v>344</v>
      </c>
      <c r="AI686" t="s">
        <v>90</v>
      </c>
      <c r="AJ686">
        <v>32.449778000000002</v>
      </c>
      <c r="AK686">
        <v>-110.73813699999999</v>
      </c>
      <c r="AL686">
        <v>3</v>
      </c>
      <c r="AN686">
        <v>2091</v>
      </c>
      <c r="AP686">
        <v>2091</v>
      </c>
      <c r="AQ686">
        <v>2092.8740750000002</v>
      </c>
      <c r="AT686">
        <v>1</v>
      </c>
      <c r="AU686">
        <v>7</v>
      </c>
      <c r="AV686">
        <v>2023</v>
      </c>
      <c r="AW686">
        <v>2437874</v>
      </c>
      <c r="AX686">
        <v>2437874</v>
      </c>
      <c r="AY686" t="s">
        <v>106</v>
      </c>
      <c r="AZ686" t="s">
        <v>92</v>
      </c>
      <c r="BA686" t="s">
        <v>107</v>
      </c>
      <c r="BB686" t="s">
        <v>1513</v>
      </c>
      <c r="BC686" t="s">
        <v>1186</v>
      </c>
      <c r="BD686" s="1">
        <v>45108</v>
      </c>
      <c r="BE686" t="s">
        <v>96</v>
      </c>
      <c r="BG686" t="s">
        <v>1187</v>
      </c>
      <c r="BI686" t="s">
        <v>98</v>
      </c>
      <c r="BJ686" t="s">
        <v>1495</v>
      </c>
      <c r="BL686" t="s">
        <v>110</v>
      </c>
    </row>
    <row r="687" spans="1:64" hidden="1" x14ac:dyDescent="0.2">
      <c r="A687">
        <v>942</v>
      </c>
      <c r="B687">
        <v>4040367301</v>
      </c>
      <c r="C687" t="s">
        <v>101</v>
      </c>
      <c r="D687" t="s">
        <v>2834</v>
      </c>
      <c r="E687" t="s">
        <v>65</v>
      </c>
      <c r="F687" t="s">
        <v>66</v>
      </c>
      <c r="G687" t="s">
        <v>67</v>
      </c>
      <c r="H687" t="s">
        <v>68</v>
      </c>
      <c r="I687" t="s">
        <v>176</v>
      </c>
      <c r="J687" t="s">
        <v>177</v>
      </c>
      <c r="K687" t="s">
        <v>178</v>
      </c>
      <c r="M687" t="s">
        <v>72</v>
      </c>
      <c r="N687" t="s">
        <v>179</v>
      </c>
      <c r="O687" t="s">
        <v>178</v>
      </c>
      <c r="P687" t="s">
        <v>180</v>
      </c>
      <c r="Q687" t="s">
        <v>75</v>
      </c>
      <c r="R687" t="s">
        <v>2806</v>
      </c>
      <c r="S687" t="s">
        <v>645</v>
      </c>
      <c r="T687" t="s">
        <v>78</v>
      </c>
      <c r="U687" t="s">
        <v>1822</v>
      </c>
      <c r="V687" t="s">
        <v>80</v>
      </c>
      <c r="W687" s="1">
        <v>44814</v>
      </c>
      <c r="X687" t="s">
        <v>2778</v>
      </c>
      <c r="Y687" t="s">
        <v>2807</v>
      </c>
      <c r="Z687" t="s">
        <v>83</v>
      </c>
      <c r="AA687">
        <v>1</v>
      </c>
      <c r="AB687" t="s">
        <v>127</v>
      </c>
      <c r="AD687" t="s">
        <v>139</v>
      </c>
      <c r="AE687" t="s">
        <v>145</v>
      </c>
      <c r="AF687" t="s">
        <v>146</v>
      </c>
      <c r="AG687" t="s">
        <v>1526</v>
      </c>
      <c r="AH687" t="s">
        <v>2817</v>
      </c>
      <c r="AI687" t="s">
        <v>90</v>
      </c>
      <c r="AJ687">
        <v>32.453336</v>
      </c>
      <c r="AK687">
        <v>-110.74580400000001</v>
      </c>
      <c r="AL687">
        <v>3</v>
      </c>
      <c r="AN687">
        <v>2229</v>
      </c>
      <c r="AP687">
        <v>2229</v>
      </c>
      <c r="AQ687">
        <v>2231.3719430000001</v>
      </c>
      <c r="AT687">
        <v>10</v>
      </c>
      <c r="AU687">
        <v>9</v>
      </c>
      <c r="AV687">
        <v>2022</v>
      </c>
      <c r="AW687">
        <v>2438038</v>
      </c>
      <c r="AX687">
        <v>2438038</v>
      </c>
      <c r="AY687" t="s">
        <v>106</v>
      </c>
      <c r="AZ687" t="s">
        <v>92</v>
      </c>
      <c r="BA687" t="s">
        <v>107</v>
      </c>
      <c r="BB687" t="s">
        <v>2835</v>
      </c>
      <c r="BC687" t="s">
        <v>2245</v>
      </c>
      <c r="BE687" t="s">
        <v>96</v>
      </c>
      <c r="BG687" t="s">
        <v>2811</v>
      </c>
      <c r="BI687" t="s">
        <v>98</v>
      </c>
      <c r="BJ687" t="s">
        <v>2733</v>
      </c>
      <c r="BL687" t="s">
        <v>412</v>
      </c>
    </row>
    <row r="688" spans="1:64" hidden="1" x14ac:dyDescent="0.2">
      <c r="A688">
        <v>690</v>
      </c>
      <c r="B688">
        <v>4070420547</v>
      </c>
      <c r="C688" t="s">
        <v>101</v>
      </c>
      <c r="D688" t="s">
        <v>2836</v>
      </c>
      <c r="E688" t="s">
        <v>65</v>
      </c>
      <c r="F688" t="s">
        <v>66</v>
      </c>
      <c r="G688" t="s">
        <v>67</v>
      </c>
      <c r="H688" t="s">
        <v>68</v>
      </c>
      <c r="I688" t="s">
        <v>176</v>
      </c>
      <c r="J688" t="s">
        <v>177</v>
      </c>
      <c r="K688" t="s">
        <v>178</v>
      </c>
      <c r="M688" t="s">
        <v>72</v>
      </c>
      <c r="N688" t="s">
        <v>179</v>
      </c>
      <c r="O688" t="s">
        <v>178</v>
      </c>
      <c r="P688" t="s">
        <v>180</v>
      </c>
      <c r="Q688" t="s">
        <v>75</v>
      </c>
      <c r="R688" t="s">
        <v>2806</v>
      </c>
      <c r="S688" t="s">
        <v>645</v>
      </c>
      <c r="T688" t="s">
        <v>78</v>
      </c>
      <c r="U688" t="s">
        <v>1822</v>
      </c>
      <c r="V688" t="s">
        <v>80</v>
      </c>
      <c r="W688" s="1">
        <v>44814</v>
      </c>
      <c r="X688" t="s">
        <v>2778</v>
      </c>
      <c r="Y688" t="s">
        <v>2807</v>
      </c>
      <c r="Z688" t="s">
        <v>83</v>
      </c>
      <c r="AA688">
        <v>1</v>
      </c>
      <c r="AB688" t="s">
        <v>2248</v>
      </c>
      <c r="AD688" t="s">
        <v>378</v>
      </c>
      <c r="AE688" t="s">
        <v>145</v>
      </c>
      <c r="AF688" t="s">
        <v>146</v>
      </c>
      <c r="AG688" t="s">
        <v>1526</v>
      </c>
      <c r="AH688" t="s">
        <v>2817</v>
      </c>
      <c r="AI688" t="s">
        <v>90</v>
      </c>
      <c r="AJ688">
        <v>32.453336</v>
      </c>
      <c r="AK688">
        <v>-110.74580400000001</v>
      </c>
      <c r="AL688">
        <v>3</v>
      </c>
      <c r="AN688">
        <v>2229</v>
      </c>
      <c r="AP688">
        <v>2229</v>
      </c>
      <c r="AQ688">
        <v>2231.3719430000001</v>
      </c>
      <c r="AT688">
        <v>10</v>
      </c>
      <c r="AU688">
        <v>9</v>
      </c>
      <c r="AV688">
        <v>2022</v>
      </c>
      <c r="AW688">
        <v>2438038</v>
      </c>
      <c r="AX688">
        <v>2438038</v>
      </c>
      <c r="AY688" t="s">
        <v>106</v>
      </c>
      <c r="AZ688" t="s">
        <v>92</v>
      </c>
      <c r="BA688" t="s">
        <v>107</v>
      </c>
      <c r="BB688" t="s">
        <v>2837</v>
      </c>
      <c r="BC688" t="s">
        <v>2245</v>
      </c>
      <c r="BE688" t="s">
        <v>96</v>
      </c>
      <c r="BG688" t="s">
        <v>2811</v>
      </c>
      <c r="BI688" t="s">
        <v>98</v>
      </c>
      <c r="BJ688" t="s">
        <v>2328</v>
      </c>
      <c r="BL688" t="s">
        <v>412</v>
      </c>
    </row>
    <row r="689" spans="1:64" hidden="1" x14ac:dyDescent="0.2">
      <c r="A689">
        <v>703</v>
      </c>
      <c r="B689">
        <v>4070420534</v>
      </c>
      <c r="C689" t="s">
        <v>101</v>
      </c>
      <c r="D689" t="s">
        <v>2845</v>
      </c>
      <c r="E689" t="s">
        <v>65</v>
      </c>
      <c r="F689" t="s">
        <v>66</v>
      </c>
      <c r="G689" t="s">
        <v>67</v>
      </c>
      <c r="H689" t="s">
        <v>68</v>
      </c>
      <c r="I689" t="s">
        <v>176</v>
      </c>
      <c r="J689" t="s">
        <v>177</v>
      </c>
      <c r="K689" t="s">
        <v>178</v>
      </c>
      <c r="M689" t="s">
        <v>72</v>
      </c>
      <c r="N689" t="s">
        <v>179</v>
      </c>
      <c r="O689" t="s">
        <v>178</v>
      </c>
      <c r="P689" t="s">
        <v>180</v>
      </c>
      <c r="Q689" t="s">
        <v>75</v>
      </c>
      <c r="R689" t="s">
        <v>2806</v>
      </c>
      <c r="S689" t="s">
        <v>694</v>
      </c>
      <c r="T689" t="s">
        <v>78</v>
      </c>
      <c r="U689" t="s">
        <v>1822</v>
      </c>
      <c r="V689" t="s">
        <v>80</v>
      </c>
      <c r="W689" s="1">
        <v>44814</v>
      </c>
      <c r="X689" t="s">
        <v>2778</v>
      </c>
      <c r="Y689" t="s">
        <v>2839</v>
      </c>
      <c r="Z689" t="s">
        <v>83</v>
      </c>
      <c r="AA689">
        <v>1</v>
      </c>
      <c r="AB689" t="s">
        <v>103</v>
      </c>
      <c r="AD689" t="s">
        <v>112</v>
      </c>
      <c r="AE689" t="s">
        <v>145</v>
      </c>
      <c r="AF689" t="s">
        <v>146</v>
      </c>
      <c r="AG689" t="s">
        <v>2841</v>
      </c>
      <c r="AH689" t="s">
        <v>2846</v>
      </c>
      <c r="AI689" t="s">
        <v>90</v>
      </c>
      <c r="AJ689">
        <v>32.453328999999997</v>
      </c>
      <c r="AK689">
        <v>-110.745807</v>
      </c>
      <c r="AL689">
        <v>3</v>
      </c>
      <c r="AN689">
        <v>2228</v>
      </c>
      <c r="AP689">
        <v>2228</v>
      </c>
      <c r="AQ689">
        <v>2231.4839139999999</v>
      </c>
      <c r="AT689">
        <v>10</v>
      </c>
      <c r="AU689">
        <v>9</v>
      </c>
      <c r="AV689">
        <v>2022</v>
      </c>
      <c r="AW689">
        <v>2438038</v>
      </c>
      <c r="AX689">
        <v>2438038</v>
      </c>
      <c r="AY689" t="s">
        <v>106</v>
      </c>
      <c r="AZ689" t="s">
        <v>92</v>
      </c>
      <c r="BA689" t="s">
        <v>107</v>
      </c>
      <c r="BB689" t="s">
        <v>2847</v>
      </c>
      <c r="BC689" t="s">
        <v>2245</v>
      </c>
      <c r="BE689" t="s">
        <v>96</v>
      </c>
      <c r="BG689" t="s">
        <v>2811</v>
      </c>
      <c r="BI689" t="s">
        <v>98</v>
      </c>
      <c r="BJ689" t="s">
        <v>2848</v>
      </c>
      <c r="BL689" t="s">
        <v>412</v>
      </c>
    </row>
    <row r="690" spans="1:64" hidden="1" x14ac:dyDescent="0.2">
      <c r="A690">
        <v>732</v>
      </c>
      <c r="B690">
        <v>4070420505</v>
      </c>
      <c r="C690" t="s">
        <v>101</v>
      </c>
      <c r="D690" t="s">
        <v>2849</v>
      </c>
      <c r="E690" t="s">
        <v>65</v>
      </c>
      <c r="F690" t="s">
        <v>66</v>
      </c>
      <c r="G690" t="s">
        <v>67</v>
      </c>
      <c r="H690" t="s">
        <v>68</v>
      </c>
      <c r="I690" t="s">
        <v>176</v>
      </c>
      <c r="J690" t="s">
        <v>177</v>
      </c>
      <c r="K690" t="s">
        <v>178</v>
      </c>
      <c r="M690" t="s">
        <v>72</v>
      </c>
      <c r="N690" t="s">
        <v>179</v>
      </c>
      <c r="O690" t="s">
        <v>178</v>
      </c>
      <c r="P690" t="s">
        <v>180</v>
      </c>
      <c r="Q690" t="s">
        <v>75</v>
      </c>
      <c r="R690" t="s">
        <v>2806</v>
      </c>
      <c r="S690" t="s">
        <v>694</v>
      </c>
      <c r="T690" t="s">
        <v>78</v>
      </c>
      <c r="U690" t="s">
        <v>1822</v>
      </c>
      <c r="V690" t="s">
        <v>80</v>
      </c>
      <c r="W690" s="1">
        <v>44814</v>
      </c>
      <c r="X690" t="s">
        <v>2778</v>
      </c>
      <c r="Y690" t="s">
        <v>2839</v>
      </c>
      <c r="Z690" t="s">
        <v>83</v>
      </c>
      <c r="AA690">
        <v>1</v>
      </c>
      <c r="AB690" t="s">
        <v>127</v>
      </c>
      <c r="AD690" t="s">
        <v>139</v>
      </c>
      <c r="AE690" t="s">
        <v>145</v>
      </c>
      <c r="AF690" t="s">
        <v>146</v>
      </c>
      <c r="AG690" t="s">
        <v>2841</v>
      </c>
      <c r="AH690" t="s">
        <v>2846</v>
      </c>
      <c r="AI690" t="s">
        <v>90</v>
      </c>
      <c r="AJ690">
        <v>32.453328999999997</v>
      </c>
      <c r="AK690">
        <v>-110.745807</v>
      </c>
      <c r="AL690">
        <v>3</v>
      </c>
      <c r="AN690">
        <v>2228</v>
      </c>
      <c r="AP690">
        <v>2228</v>
      </c>
      <c r="AQ690">
        <v>2231.4839139999999</v>
      </c>
      <c r="AT690">
        <v>10</v>
      </c>
      <c r="AU690">
        <v>9</v>
      </c>
      <c r="AV690">
        <v>2022</v>
      </c>
      <c r="AW690">
        <v>2438038</v>
      </c>
      <c r="AX690">
        <v>2438038</v>
      </c>
      <c r="AY690" t="s">
        <v>106</v>
      </c>
      <c r="AZ690" t="s">
        <v>92</v>
      </c>
      <c r="BA690" t="s">
        <v>107</v>
      </c>
      <c r="BB690" t="s">
        <v>2850</v>
      </c>
      <c r="BC690" t="s">
        <v>2245</v>
      </c>
      <c r="BE690" t="s">
        <v>96</v>
      </c>
      <c r="BG690" t="s">
        <v>2811</v>
      </c>
      <c r="BI690" t="s">
        <v>98</v>
      </c>
      <c r="BJ690" t="s">
        <v>2851</v>
      </c>
      <c r="BL690" t="s">
        <v>412</v>
      </c>
    </row>
    <row r="691" spans="1:64" hidden="1" x14ac:dyDescent="0.2">
      <c r="A691">
        <v>730</v>
      </c>
      <c r="B691">
        <v>4070420507</v>
      </c>
      <c r="C691" t="s">
        <v>101</v>
      </c>
      <c r="D691" t="s">
        <v>2852</v>
      </c>
      <c r="E691" t="s">
        <v>65</v>
      </c>
      <c r="F691" t="s">
        <v>66</v>
      </c>
      <c r="G691" t="s">
        <v>67</v>
      </c>
      <c r="H691" t="s">
        <v>68</v>
      </c>
      <c r="I691" t="s">
        <v>176</v>
      </c>
      <c r="J691" t="s">
        <v>177</v>
      </c>
      <c r="K691" t="s">
        <v>178</v>
      </c>
      <c r="M691" t="s">
        <v>72</v>
      </c>
      <c r="N691" t="s">
        <v>179</v>
      </c>
      <c r="O691" t="s">
        <v>178</v>
      </c>
      <c r="P691" t="s">
        <v>180</v>
      </c>
      <c r="Q691" t="s">
        <v>75</v>
      </c>
      <c r="R691" t="s">
        <v>2806</v>
      </c>
      <c r="S691" t="s">
        <v>694</v>
      </c>
      <c r="T691" t="s">
        <v>78</v>
      </c>
      <c r="U691" t="s">
        <v>1822</v>
      </c>
      <c r="V691" t="s">
        <v>80</v>
      </c>
      <c r="W691" s="1">
        <v>44814</v>
      </c>
      <c r="X691" t="s">
        <v>2778</v>
      </c>
      <c r="Y691" t="s">
        <v>2839</v>
      </c>
      <c r="Z691" t="s">
        <v>83</v>
      </c>
      <c r="AA691">
        <v>1</v>
      </c>
      <c r="AB691" t="s">
        <v>127</v>
      </c>
      <c r="AD691" t="s">
        <v>123</v>
      </c>
      <c r="AE691" t="s">
        <v>145</v>
      </c>
      <c r="AF691" t="s">
        <v>146</v>
      </c>
      <c r="AG691" t="s">
        <v>2841</v>
      </c>
      <c r="AH691" t="s">
        <v>2846</v>
      </c>
      <c r="AI691" t="s">
        <v>90</v>
      </c>
      <c r="AJ691">
        <v>32.453328999999997</v>
      </c>
      <c r="AK691">
        <v>-110.745807</v>
      </c>
      <c r="AL691">
        <v>3</v>
      </c>
      <c r="AN691">
        <v>2228</v>
      </c>
      <c r="AP691">
        <v>2228</v>
      </c>
      <c r="AQ691">
        <v>2231.4839139999999</v>
      </c>
      <c r="AT691">
        <v>10</v>
      </c>
      <c r="AU691">
        <v>9</v>
      </c>
      <c r="AV691">
        <v>2022</v>
      </c>
      <c r="AW691">
        <v>2438038</v>
      </c>
      <c r="AX691">
        <v>2438038</v>
      </c>
      <c r="AY691" t="s">
        <v>106</v>
      </c>
      <c r="AZ691" t="s">
        <v>92</v>
      </c>
      <c r="BA691" t="s">
        <v>107</v>
      </c>
      <c r="BB691" t="s">
        <v>2853</v>
      </c>
      <c r="BC691" t="s">
        <v>2245</v>
      </c>
      <c r="BE691" t="s">
        <v>96</v>
      </c>
      <c r="BG691" t="s">
        <v>2811</v>
      </c>
      <c r="BI691" t="s">
        <v>98</v>
      </c>
      <c r="BJ691" t="s">
        <v>2718</v>
      </c>
      <c r="BL691" t="s">
        <v>412</v>
      </c>
    </row>
    <row r="692" spans="1:64" hidden="1" x14ac:dyDescent="0.2">
      <c r="A692">
        <v>324</v>
      </c>
      <c r="B692">
        <v>4403382314</v>
      </c>
      <c r="C692" t="s">
        <v>101</v>
      </c>
      <c r="D692" t="s">
        <v>1514</v>
      </c>
      <c r="E692" t="s">
        <v>65</v>
      </c>
      <c r="F692" t="s">
        <v>66</v>
      </c>
      <c r="G692" t="s">
        <v>67</v>
      </c>
      <c r="H692" t="s">
        <v>68</v>
      </c>
      <c r="I692" t="s">
        <v>176</v>
      </c>
      <c r="J692" t="s">
        <v>177</v>
      </c>
      <c r="K692" t="s">
        <v>178</v>
      </c>
      <c r="M692" t="s">
        <v>72</v>
      </c>
      <c r="N692" t="s">
        <v>179</v>
      </c>
      <c r="O692" t="s">
        <v>178</v>
      </c>
      <c r="P692" t="s">
        <v>180</v>
      </c>
      <c r="Q692" t="s">
        <v>75</v>
      </c>
      <c r="R692" t="s">
        <v>1177</v>
      </c>
      <c r="S692" t="s">
        <v>1515</v>
      </c>
      <c r="T692" t="s">
        <v>78</v>
      </c>
      <c r="U692" t="s">
        <v>646</v>
      </c>
      <c r="V692" t="s">
        <v>1179</v>
      </c>
      <c r="W692" s="1">
        <v>45108</v>
      </c>
      <c r="X692" t="s">
        <v>1180</v>
      </c>
      <c r="Y692" t="s">
        <v>1516</v>
      </c>
      <c r="Z692" t="s">
        <v>83</v>
      </c>
      <c r="AA692">
        <v>1</v>
      </c>
      <c r="AB692" t="s">
        <v>367</v>
      </c>
      <c r="AC692">
        <v>0</v>
      </c>
      <c r="AD692" t="s">
        <v>128</v>
      </c>
      <c r="AE692" t="s">
        <v>145</v>
      </c>
      <c r="AF692" t="s">
        <v>402</v>
      </c>
      <c r="AG692" t="s">
        <v>344</v>
      </c>
      <c r="AI692" t="s">
        <v>90</v>
      </c>
      <c r="AJ692">
        <v>32.450637</v>
      </c>
      <c r="AK692">
        <v>-110.736768</v>
      </c>
      <c r="AL692">
        <v>3</v>
      </c>
      <c r="AN692">
        <v>2064</v>
      </c>
      <c r="AP692">
        <v>2064</v>
      </c>
      <c r="AQ692">
        <v>2065.3303209999999</v>
      </c>
      <c r="AT692">
        <v>1</v>
      </c>
      <c r="AU692">
        <v>7</v>
      </c>
      <c r="AV692">
        <v>2023</v>
      </c>
      <c r="AW692">
        <v>2438038</v>
      </c>
      <c r="AX692">
        <v>2438038</v>
      </c>
      <c r="AY692" t="s">
        <v>106</v>
      </c>
      <c r="AZ692" t="s">
        <v>92</v>
      </c>
      <c r="BA692" t="s">
        <v>107</v>
      </c>
      <c r="BB692" t="s">
        <v>1517</v>
      </c>
      <c r="BC692" t="s">
        <v>1186</v>
      </c>
      <c r="BD692" s="1">
        <v>45108</v>
      </c>
      <c r="BE692" t="s">
        <v>96</v>
      </c>
      <c r="BG692" t="s">
        <v>1187</v>
      </c>
      <c r="BI692" t="s">
        <v>98</v>
      </c>
      <c r="BJ692" t="s">
        <v>1495</v>
      </c>
      <c r="BK692" t="s">
        <v>365</v>
      </c>
      <c r="BL692" t="s">
        <v>412</v>
      </c>
    </row>
    <row r="693" spans="1:64" x14ac:dyDescent="0.2">
      <c r="A693">
        <v>1469</v>
      </c>
      <c r="B693">
        <v>3748770412</v>
      </c>
      <c r="C693" t="s">
        <v>63</v>
      </c>
      <c r="D693" t="s">
        <v>175</v>
      </c>
      <c r="E693" t="s">
        <v>65</v>
      </c>
      <c r="F693" t="s">
        <v>66</v>
      </c>
      <c r="G693" t="s">
        <v>67</v>
      </c>
      <c r="H693" t="s">
        <v>68</v>
      </c>
      <c r="I693" t="s">
        <v>176</v>
      </c>
      <c r="J693" t="s">
        <v>177</v>
      </c>
      <c r="K693" t="s">
        <v>178</v>
      </c>
      <c r="M693" t="s">
        <v>72</v>
      </c>
      <c r="N693" t="s">
        <v>179</v>
      </c>
      <c r="O693" t="s">
        <v>178</v>
      </c>
      <c r="P693" t="s">
        <v>180</v>
      </c>
      <c r="Q693" t="s">
        <v>75</v>
      </c>
      <c r="R693" t="s">
        <v>76</v>
      </c>
      <c r="S693" t="s">
        <v>181</v>
      </c>
      <c r="T693" t="s">
        <v>78</v>
      </c>
      <c r="U693" t="s">
        <v>79</v>
      </c>
      <c r="V693" t="s">
        <v>80</v>
      </c>
      <c r="W693" s="1">
        <v>44520</v>
      </c>
      <c r="X693" t="s">
        <v>81</v>
      </c>
      <c r="Y693" t="s">
        <v>182</v>
      </c>
      <c r="Z693" t="s">
        <v>83</v>
      </c>
      <c r="AA693">
        <v>1</v>
      </c>
      <c r="AB693" t="s">
        <v>183</v>
      </c>
      <c r="AC693">
        <v>1</v>
      </c>
      <c r="AD693" s="6" t="s">
        <v>85</v>
      </c>
      <c r="AE693" s="6" t="s">
        <v>86</v>
      </c>
      <c r="AF693" s="6" t="s">
        <v>146</v>
      </c>
      <c r="AG693" s="6" t="s">
        <v>184</v>
      </c>
      <c r="AH693" s="6" t="s">
        <v>185</v>
      </c>
      <c r="AI693" s="6" t="s">
        <v>90</v>
      </c>
      <c r="AJ693" s="6">
        <v>32.500329000000001</v>
      </c>
      <c r="AK693" s="6">
        <v>-110.68177799999999</v>
      </c>
      <c r="AL693" s="6">
        <v>3</v>
      </c>
      <c r="AM693" s="6"/>
      <c r="AN693" s="6">
        <v>1318</v>
      </c>
      <c r="AO693" s="6"/>
      <c r="AP693" s="6">
        <v>1318</v>
      </c>
      <c r="AQ693" s="6">
        <v>1325.0239079999999</v>
      </c>
      <c r="AR693" s="6"/>
      <c r="AS693" s="6"/>
      <c r="AT693" s="6">
        <v>20</v>
      </c>
      <c r="AU693" s="6">
        <v>11</v>
      </c>
      <c r="AV693" s="6">
        <v>2021</v>
      </c>
      <c r="AW693" s="6">
        <v>2438038</v>
      </c>
      <c r="AX693" s="6">
        <v>2438038</v>
      </c>
      <c r="AY693" s="6" t="s">
        <v>91</v>
      </c>
      <c r="AZ693" t="s">
        <v>92</v>
      </c>
      <c r="BA693" t="s">
        <v>93</v>
      </c>
      <c r="BB693" t="s">
        <v>186</v>
      </c>
      <c r="BC693" t="s">
        <v>97</v>
      </c>
      <c r="BE693" t="s">
        <v>96</v>
      </c>
      <c r="BG693" t="s">
        <v>97</v>
      </c>
      <c r="BI693" t="s">
        <v>98</v>
      </c>
      <c r="BJ693" t="s">
        <v>187</v>
      </c>
      <c r="BL693" t="s">
        <v>100</v>
      </c>
    </row>
    <row r="694" spans="1:64" hidden="1" x14ac:dyDescent="0.2">
      <c r="A694">
        <v>682</v>
      </c>
      <c r="B694">
        <v>4070420555</v>
      </c>
      <c r="C694" t="s">
        <v>101</v>
      </c>
      <c r="D694" t="s">
        <v>2861</v>
      </c>
      <c r="E694" t="s">
        <v>65</v>
      </c>
      <c r="F694" t="s">
        <v>66</v>
      </c>
      <c r="G694" t="s">
        <v>67</v>
      </c>
      <c r="H694" t="s">
        <v>68</v>
      </c>
      <c r="I694" t="s">
        <v>176</v>
      </c>
      <c r="J694" t="s">
        <v>177</v>
      </c>
      <c r="K694" t="s">
        <v>178</v>
      </c>
      <c r="M694" t="s">
        <v>72</v>
      </c>
      <c r="N694" t="s">
        <v>179</v>
      </c>
      <c r="O694" t="s">
        <v>178</v>
      </c>
      <c r="P694" t="s">
        <v>180</v>
      </c>
      <c r="Q694" t="s">
        <v>75</v>
      </c>
      <c r="R694" t="s">
        <v>2806</v>
      </c>
      <c r="S694" t="s">
        <v>694</v>
      </c>
      <c r="T694" t="s">
        <v>78</v>
      </c>
      <c r="U694" t="s">
        <v>1822</v>
      </c>
      <c r="V694" t="s">
        <v>80</v>
      </c>
      <c r="W694" s="1">
        <v>44814</v>
      </c>
      <c r="X694" t="s">
        <v>2778</v>
      </c>
      <c r="Y694" t="s">
        <v>2839</v>
      </c>
      <c r="Z694" t="s">
        <v>83</v>
      </c>
      <c r="AA694">
        <v>1</v>
      </c>
      <c r="AB694" t="s">
        <v>103</v>
      </c>
      <c r="AD694" t="s">
        <v>104</v>
      </c>
      <c r="AE694" t="s">
        <v>145</v>
      </c>
      <c r="AF694" t="s">
        <v>146</v>
      </c>
      <c r="AG694" t="s">
        <v>2841</v>
      </c>
      <c r="AH694" t="s">
        <v>2846</v>
      </c>
      <c r="AI694" t="s">
        <v>90</v>
      </c>
      <c r="AJ694">
        <v>32.453328999999997</v>
      </c>
      <c r="AK694">
        <v>-110.745807</v>
      </c>
      <c r="AL694">
        <v>3</v>
      </c>
      <c r="AN694">
        <v>2228</v>
      </c>
      <c r="AP694">
        <v>2228</v>
      </c>
      <c r="AQ694">
        <v>2231.4839139999999</v>
      </c>
      <c r="AT694">
        <v>10</v>
      </c>
      <c r="AU694">
        <v>9</v>
      </c>
      <c r="AV694">
        <v>2022</v>
      </c>
      <c r="AW694">
        <v>2438038</v>
      </c>
      <c r="AX694">
        <v>2438038</v>
      </c>
      <c r="AY694" t="s">
        <v>106</v>
      </c>
      <c r="AZ694" t="s">
        <v>92</v>
      </c>
      <c r="BA694" t="s">
        <v>107</v>
      </c>
      <c r="BB694" t="s">
        <v>2862</v>
      </c>
      <c r="BC694" t="s">
        <v>2245</v>
      </c>
      <c r="BE694" t="s">
        <v>96</v>
      </c>
      <c r="BG694" t="s">
        <v>2811</v>
      </c>
      <c r="BI694" t="s">
        <v>98</v>
      </c>
      <c r="BJ694" t="s">
        <v>2863</v>
      </c>
      <c r="BL694" t="s">
        <v>412</v>
      </c>
    </row>
    <row r="695" spans="1:64" hidden="1" x14ac:dyDescent="0.2">
      <c r="A695">
        <v>680</v>
      </c>
      <c r="B695">
        <v>4070420557</v>
      </c>
      <c r="C695" t="s">
        <v>101</v>
      </c>
      <c r="D695" t="s">
        <v>2864</v>
      </c>
      <c r="E695" t="s">
        <v>65</v>
      </c>
      <c r="F695" t="s">
        <v>66</v>
      </c>
      <c r="G695" t="s">
        <v>67</v>
      </c>
      <c r="H695" t="s">
        <v>68</v>
      </c>
      <c r="I695" t="s">
        <v>176</v>
      </c>
      <c r="J695" t="s">
        <v>177</v>
      </c>
      <c r="K695" t="s">
        <v>178</v>
      </c>
      <c r="M695" t="s">
        <v>72</v>
      </c>
      <c r="N695" t="s">
        <v>179</v>
      </c>
      <c r="O695" t="s">
        <v>178</v>
      </c>
      <c r="P695" t="s">
        <v>180</v>
      </c>
      <c r="Q695" t="s">
        <v>75</v>
      </c>
      <c r="R695" t="s">
        <v>2806</v>
      </c>
      <c r="S695" t="s">
        <v>694</v>
      </c>
      <c r="T695" t="s">
        <v>78</v>
      </c>
      <c r="U695" t="s">
        <v>1822</v>
      </c>
      <c r="V695" t="s">
        <v>80</v>
      </c>
      <c r="W695" s="1">
        <v>44814</v>
      </c>
      <c r="X695" t="s">
        <v>2778</v>
      </c>
      <c r="Y695" t="s">
        <v>2839</v>
      </c>
      <c r="Z695" t="s">
        <v>83</v>
      </c>
      <c r="AA695">
        <v>1</v>
      </c>
      <c r="AB695" t="s">
        <v>2262</v>
      </c>
      <c r="AD695" t="s">
        <v>134</v>
      </c>
      <c r="AE695" t="s">
        <v>145</v>
      </c>
      <c r="AF695" t="s">
        <v>146</v>
      </c>
      <c r="AG695" t="s">
        <v>2841</v>
      </c>
      <c r="AH695" t="s">
        <v>2865</v>
      </c>
      <c r="AI695" t="s">
        <v>90</v>
      </c>
      <c r="AJ695">
        <v>32.453328999999997</v>
      </c>
      <c r="AK695">
        <v>-110.745807</v>
      </c>
      <c r="AL695">
        <v>3</v>
      </c>
      <c r="AN695">
        <v>2228</v>
      </c>
      <c r="AP695">
        <v>2228</v>
      </c>
      <c r="AQ695">
        <v>2231.4839139999999</v>
      </c>
      <c r="AT695">
        <v>10</v>
      </c>
      <c r="AU695">
        <v>9</v>
      </c>
      <c r="AV695">
        <v>2022</v>
      </c>
      <c r="AW695">
        <v>2438038</v>
      </c>
      <c r="AX695">
        <v>2438038</v>
      </c>
      <c r="AY695" t="s">
        <v>106</v>
      </c>
      <c r="AZ695" t="s">
        <v>92</v>
      </c>
      <c r="BA695" t="s">
        <v>107</v>
      </c>
      <c r="BB695" t="s">
        <v>2866</v>
      </c>
      <c r="BC695" t="s">
        <v>2245</v>
      </c>
      <c r="BE695" t="s">
        <v>96</v>
      </c>
      <c r="BG695" t="s">
        <v>2811</v>
      </c>
      <c r="BI695" t="s">
        <v>98</v>
      </c>
      <c r="BJ695" t="s">
        <v>2867</v>
      </c>
      <c r="BL695" t="s">
        <v>412</v>
      </c>
    </row>
    <row r="696" spans="1:64" hidden="1" x14ac:dyDescent="0.2">
      <c r="A696">
        <v>689</v>
      </c>
      <c r="B696">
        <v>4070420548</v>
      </c>
      <c r="C696" t="s">
        <v>101</v>
      </c>
      <c r="D696" t="s">
        <v>2868</v>
      </c>
      <c r="E696" t="s">
        <v>65</v>
      </c>
      <c r="F696" t="s">
        <v>66</v>
      </c>
      <c r="G696" t="s">
        <v>67</v>
      </c>
      <c r="H696" t="s">
        <v>68</v>
      </c>
      <c r="I696" t="s">
        <v>176</v>
      </c>
      <c r="J696" t="s">
        <v>177</v>
      </c>
      <c r="K696" t="s">
        <v>178</v>
      </c>
      <c r="M696" t="s">
        <v>72</v>
      </c>
      <c r="N696" t="s">
        <v>179</v>
      </c>
      <c r="O696" t="s">
        <v>178</v>
      </c>
      <c r="P696" t="s">
        <v>180</v>
      </c>
      <c r="Q696" t="s">
        <v>75</v>
      </c>
      <c r="R696" t="s">
        <v>2806</v>
      </c>
      <c r="S696" t="s">
        <v>694</v>
      </c>
      <c r="T696" t="s">
        <v>78</v>
      </c>
      <c r="U696" t="s">
        <v>1822</v>
      </c>
      <c r="V696" t="s">
        <v>80</v>
      </c>
      <c r="W696" s="1">
        <v>44814</v>
      </c>
      <c r="X696" t="s">
        <v>2778</v>
      </c>
      <c r="Y696" t="s">
        <v>2839</v>
      </c>
      <c r="Z696" t="s">
        <v>83</v>
      </c>
      <c r="AA696">
        <v>1</v>
      </c>
      <c r="AB696" t="s">
        <v>103</v>
      </c>
      <c r="AD696" t="s">
        <v>116</v>
      </c>
      <c r="AE696" t="s">
        <v>145</v>
      </c>
      <c r="AF696" t="s">
        <v>146</v>
      </c>
      <c r="AG696" t="s">
        <v>2841</v>
      </c>
      <c r="AH696" t="s">
        <v>2846</v>
      </c>
      <c r="AI696" t="s">
        <v>90</v>
      </c>
      <c r="AJ696">
        <v>32.453328999999997</v>
      </c>
      <c r="AK696">
        <v>-110.745807</v>
      </c>
      <c r="AL696">
        <v>3</v>
      </c>
      <c r="AN696">
        <v>2228</v>
      </c>
      <c r="AP696">
        <v>2228</v>
      </c>
      <c r="AQ696">
        <v>2231.4839139999999</v>
      </c>
      <c r="AT696">
        <v>10</v>
      </c>
      <c r="AU696">
        <v>9</v>
      </c>
      <c r="AV696">
        <v>2022</v>
      </c>
      <c r="AW696">
        <v>2438038</v>
      </c>
      <c r="AX696">
        <v>2438038</v>
      </c>
      <c r="AY696" t="s">
        <v>106</v>
      </c>
      <c r="AZ696" t="s">
        <v>92</v>
      </c>
      <c r="BA696" t="s">
        <v>107</v>
      </c>
      <c r="BB696" t="s">
        <v>2869</v>
      </c>
      <c r="BC696" t="s">
        <v>2245</v>
      </c>
      <c r="BE696" t="s">
        <v>96</v>
      </c>
      <c r="BG696" t="s">
        <v>2811</v>
      </c>
      <c r="BI696" t="s">
        <v>98</v>
      </c>
      <c r="BJ696" t="s">
        <v>2301</v>
      </c>
      <c r="BL696" t="s">
        <v>412</v>
      </c>
    </row>
    <row r="697" spans="1:64" hidden="1" x14ac:dyDescent="0.2">
      <c r="A697">
        <v>193</v>
      </c>
      <c r="B697">
        <v>4403382447</v>
      </c>
      <c r="C697" t="s">
        <v>101</v>
      </c>
      <c r="D697" t="s">
        <v>1529</v>
      </c>
      <c r="E697" t="s">
        <v>65</v>
      </c>
      <c r="F697" t="s">
        <v>66</v>
      </c>
      <c r="G697" t="s">
        <v>67</v>
      </c>
      <c r="H697" t="s">
        <v>68</v>
      </c>
      <c r="I697" t="s">
        <v>176</v>
      </c>
      <c r="J697" t="s">
        <v>1173</v>
      </c>
      <c r="K697" t="s">
        <v>1174</v>
      </c>
      <c r="M697" t="s">
        <v>72</v>
      </c>
      <c r="N697" t="s">
        <v>1175</v>
      </c>
      <c r="O697" t="s">
        <v>1174</v>
      </c>
      <c r="P697" t="s">
        <v>1176</v>
      </c>
      <c r="Q697" t="s">
        <v>75</v>
      </c>
      <c r="R697" t="s">
        <v>1177</v>
      </c>
      <c r="S697" t="s">
        <v>1523</v>
      </c>
      <c r="T697" t="s">
        <v>78</v>
      </c>
      <c r="U697" t="s">
        <v>646</v>
      </c>
      <c r="V697" t="s">
        <v>1179</v>
      </c>
      <c r="W697" s="1">
        <v>45108</v>
      </c>
      <c r="X697" t="s">
        <v>1180</v>
      </c>
      <c r="Y697" t="s">
        <v>1524</v>
      </c>
      <c r="Z697" t="s">
        <v>83</v>
      </c>
      <c r="AA697">
        <v>1</v>
      </c>
      <c r="AB697" t="s">
        <v>367</v>
      </c>
      <c r="AC697">
        <v>0</v>
      </c>
      <c r="AD697" t="s">
        <v>128</v>
      </c>
      <c r="AE697" t="s">
        <v>145</v>
      </c>
      <c r="AF697" t="s">
        <v>359</v>
      </c>
      <c r="AG697" t="s">
        <v>1526</v>
      </c>
      <c r="AI697" t="s">
        <v>90</v>
      </c>
      <c r="AJ697">
        <v>32.450696999999998</v>
      </c>
      <c r="AK697">
        <v>-110.7368</v>
      </c>
      <c r="AL697">
        <v>3</v>
      </c>
      <c r="AN697">
        <v>2063</v>
      </c>
      <c r="AP697">
        <v>2063</v>
      </c>
      <c r="AQ697">
        <v>2064.6299509999999</v>
      </c>
      <c r="AT697">
        <v>1</v>
      </c>
      <c r="AU697">
        <v>7</v>
      </c>
      <c r="AV697">
        <v>2023</v>
      </c>
      <c r="AW697">
        <v>2437874</v>
      </c>
      <c r="AX697">
        <v>2437874</v>
      </c>
      <c r="AY697" t="s">
        <v>106</v>
      </c>
      <c r="AZ697" t="s">
        <v>92</v>
      </c>
      <c r="BA697" t="s">
        <v>107</v>
      </c>
      <c r="BB697" t="s">
        <v>1530</v>
      </c>
      <c r="BC697" t="s">
        <v>1186</v>
      </c>
      <c r="BD697" s="1">
        <v>45108</v>
      </c>
      <c r="BE697" t="s">
        <v>96</v>
      </c>
      <c r="BG697" t="s">
        <v>1187</v>
      </c>
      <c r="BI697" t="s">
        <v>98</v>
      </c>
      <c r="BJ697" t="s">
        <v>1531</v>
      </c>
      <c r="BL697" t="s">
        <v>412</v>
      </c>
    </row>
    <row r="698" spans="1:64" hidden="1" x14ac:dyDescent="0.2">
      <c r="A698">
        <v>722</v>
      </c>
      <c r="B698">
        <v>4070420515</v>
      </c>
      <c r="C698" t="s">
        <v>101</v>
      </c>
      <c r="D698" t="s">
        <v>2873</v>
      </c>
      <c r="E698" t="s">
        <v>65</v>
      </c>
      <c r="F698" t="s">
        <v>66</v>
      </c>
      <c r="G698" t="s">
        <v>67</v>
      </c>
      <c r="H698" t="s">
        <v>68</v>
      </c>
      <c r="I698" t="s">
        <v>176</v>
      </c>
      <c r="J698" t="s">
        <v>177</v>
      </c>
      <c r="K698" t="s">
        <v>178</v>
      </c>
      <c r="M698" t="s">
        <v>72</v>
      </c>
      <c r="N698" t="s">
        <v>179</v>
      </c>
      <c r="O698" t="s">
        <v>178</v>
      </c>
      <c r="P698" t="s">
        <v>180</v>
      </c>
      <c r="Q698" t="s">
        <v>75</v>
      </c>
      <c r="R698" t="s">
        <v>2806</v>
      </c>
      <c r="S698" t="s">
        <v>727</v>
      </c>
      <c r="T698" t="s">
        <v>78</v>
      </c>
      <c r="U698" t="s">
        <v>1822</v>
      </c>
      <c r="V698" t="s">
        <v>80</v>
      </c>
      <c r="W698" s="1">
        <v>44814</v>
      </c>
      <c r="X698" t="s">
        <v>2778</v>
      </c>
      <c r="Y698" t="s">
        <v>2871</v>
      </c>
      <c r="Z698" t="s">
        <v>83</v>
      </c>
      <c r="AA698">
        <v>1</v>
      </c>
      <c r="AB698" t="s">
        <v>103</v>
      </c>
      <c r="AD698" t="s">
        <v>343</v>
      </c>
      <c r="AE698" t="s">
        <v>145</v>
      </c>
      <c r="AF698" t="s">
        <v>281</v>
      </c>
      <c r="AI698" t="s">
        <v>90</v>
      </c>
      <c r="AJ698">
        <v>32.453380000000003</v>
      </c>
      <c r="AK698">
        <v>-110.74538800000001</v>
      </c>
      <c r="AL698">
        <v>3</v>
      </c>
      <c r="AN698">
        <v>2214</v>
      </c>
      <c r="AP698">
        <v>2214</v>
      </c>
      <c r="AQ698">
        <v>2220.5690599999998</v>
      </c>
      <c r="AT698">
        <v>10</v>
      </c>
      <c r="AU698">
        <v>9</v>
      </c>
      <c r="AV698">
        <v>2022</v>
      </c>
      <c r="AW698">
        <v>2438038</v>
      </c>
      <c r="AX698">
        <v>2438038</v>
      </c>
      <c r="AY698" t="s">
        <v>106</v>
      </c>
      <c r="AZ698" t="s">
        <v>92</v>
      </c>
      <c r="BA698" t="s">
        <v>107</v>
      </c>
      <c r="BB698" t="s">
        <v>2874</v>
      </c>
      <c r="BC698" t="s">
        <v>2245</v>
      </c>
      <c r="BE698" t="s">
        <v>96</v>
      </c>
      <c r="BG698" t="s">
        <v>2811</v>
      </c>
      <c r="BI698" t="s">
        <v>98</v>
      </c>
      <c r="BJ698" t="s">
        <v>722</v>
      </c>
      <c r="BL698" t="s">
        <v>412</v>
      </c>
    </row>
    <row r="699" spans="1:64" hidden="1" x14ac:dyDescent="0.2">
      <c r="A699">
        <v>720</v>
      </c>
      <c r="B699">
        <v>4070420517</v>
      </c>
      <c r="C699" t="s">
        <v>101</v>
      </c>
      <c r="D699" t="s">
        <v>2882</v>
      </c>
      <c r="E699" t="s">
        <v>65</v>
      </c>
      <c r="F699" t="s">
        <v>66</v>
      </c>
      <c r="G699" t="s">
        <v>67</v>
      </c>
      <c r="H699" t="s">
        <v>68</v>
      </c>
      <c r="I699" t="s">
        <v>176</v>
      </c>
      <c r="J699" t="s">
        <v>177</v>
      </c>
      <c r="K699" t="s">
        <v>178</v>
      </c>
      <c r="M699" t="s">
        <v>72</v>
      </c>
      <c r="N699" t="s">
        <v>179</v>
      </c>
      <c r="O699" t="s">
        <v>178</v>
      </c>
      <c r="P699" t="s">
        <v>180</v>
      </c>
      <c r="Q699" t="s">
        <v>75</v>
      </c>
      <c r="R699" t="s">
        <v>2806</v>
      </c>
      <c r="S699" t="s">
        <v>763</v>
      </c>
      <c r="T699" t="s">
        <v>78</v>
      </c>
      <c r="U699" t="s">
        <v>1822</v>
      </c>
      <c r="V699" t="s">
        <v>80</v>
      </c>
      <c r="W699" s="1">
        <v>44814</v>
      </c>
      <c r="X699" t="s">
        <v>2778</v>
      </c>
      <c r="Y699" t="s">
        <v>2876</v>
      </c>
      <c r="Z699" t="s">
        <v>83</v>
      </c>
      <c r="AA699">
        <v>1</v>
      </c>
      <c r="AB699" t="s">
        <v>127</v>
      </c>
      <c r="AD699" t="s">
        <v>123</v>
      </c>
      <c r="AE699" t="s">
        <v>145</v>
      </c>
      <c r="AF699" t="s">
        <v>146</v>
      </c>
      <c r="AG699" t="s">
        <v>2878</v>
      </c>
      <c r="AH699" t="s">
        <v>2883</v>
      </c>
      <c r="AI699" t="s">
        <v>90</v>
      </c>
      <c r="AJ699">
        <v>32.453510000000001</v>
      </c>
      <c r="AK699">
        <v>-110.745014</v>
      </c>
      <c r="AL699">
        <v>3</v>
      </c>
      <c r="AN699">
        <v>2199</v>
      </c>
      <c r="AP699">
        <v>2199</v>
      </c>
      <c r="AQ699">
        <v>2207.513543</v>
      </c>
      <c r="AT699">
        <v>10</v>
      </c>
      <c r="AU699">
        <v>9</v>
      </c>
      <c r="AV699">
        <v>2022</v>
      </c>
      <c r="AW699">
        <v>2438038</v>
      </c>
      <c r="AX699">
        <v>2438038</v>
      </c>
      <c r="AY699" t="s">
        <v>106</v>
      </c>
      <c r="AZ699" t="s">
        <v>92</v>
      </c>
      <c r="BA699" t="s">
        <v>107</v>
      </c>
      <c r="BB699" t="s">
        <v>2884</v>
      </c>
      <c r="BC699" t="s">
        <v>2245</v>
      </c>
      <c r="BE699" t="s">
        <v>96</v>
      </c>
      <c r="BG699" t="s">
        <v>2811</v>
      </c>
      <c r="BI699" t="s">
        <v>98</v>
      </c>
      <c r="BJ699" t="s">
        <v>2885</v>
      </c>
      <c r="BL699" t="s">
        <v>412</v>
      </c>
    </row>
    <row r="700" spans="1:64" hidden="1" x14ac:dyDescent="0.2">
      <c r="A700">
        <v>197</v>
      </c>
      <c r="B700">
        <v>4403382443</v>
      </c>
      <c r="C700" t="s">
        <v>101</v>
      </c>
      <c r="D700" t="s">
        <v>1539</v>
      </c>
      <c r="E700" t="s">
        <v>65</v>
      </c>
      <c r="F700" t="s">
        <v>66</v>
      </c>
      <c r="G700" t="s">
        <v>67</v>
      </c>
      <c r="H700" t="s">
        <v>68</v>
      </c>
      <c r="I700" t="s">
        <v>176</v>
      </c>
      <c r="J700" t="s">
        <v>177</v>
      </c>
      <c r="K700" t="s">
        <v>178</v>
      </c>
      <c r="M700" t="s">
        <v>72</v>
      </c>
      <c r="N700" t="s">
        <v>179</v>
      </c>
      <c r="O700" t="s">
        <v>178</v>
      </c>
      <c r="P700" t="s">
        <v>180</v>
      </c>
      <c r="Q700" t="s">
        <v>75</v>
      </c>
      <c r="R700" t="s">
        <v>1177</v>
      </c>
      <c r="S700" t="s">
        <v>1533</v>
      </c>
      <c r="T700" t="s">
        <v>78</v>
      </c>
      <c r="U700" t="s">
        <v>646</v>
      </c>
      <c r="V700" t="s">
        <v>1179</v>
      </c>
      <c r="W700" s="1">
        <v>45108</v>
      </c>
      <c r="X700" t="s">
        <v>1180</v>
      </c>
      <c r="Y700" t="s">
        <v>1534</v>
      </c>
      <c r="Z700" t="s">
        <v>83</v>
      </c>
      <c r="AA700">
        <v>1</v>
      </c>
      <c r="AB700" t="s">
        <v>367</v>
      </c>
      <c r="AC700">
        <v>0</v>
      </c>
      <c r="AD700" t="s">
        <v>128</v>
      </c>
      <c r="AE700" t="s">
        <v>86</v>
      </c>
      <c r="AF700" t="s">
        <v>402</v>
      </c>
      <c r="AG700" t="s">
        <v>1536</v>
      </c>
      <c r="AI700" t="s">
        <v>90</v>
      </c>
      <c r="AJ700">
        <v>32.450487000000003</v>
      </c>
      <c r="AK700">
        <v>-110.736588</v>
      </c>
      <c r="AL700">
        <v>3</v>
      </c>
      <c r="AN700">
        <v>2060</v>
      </c>
      <c r="AP700">
        <v>2060</v>
      </c>
      <c r="AQ700">
        <v>2065.3487180000002</v>
      </c>
      <c r="AT700">
        <v>1</v>
      </c>
      <c r="AU700">
        <v>7</v>
      </c>
      <c r="AV700">
        <v>2023</v>
      </c>
      <c r="AW700">
        <v>2438038</v>
      </c>
      <c r="AX700">
        <v>2438038</v>
      </c>
      <c r="AY700" t="s">
        <v>106</v>
      </c>
      <c r="AZ700" t="s">
        <v>92</v>
      </c>
      <c r="BA700" t="s">
        <v>107</v>
      </c>
      <c r="BB700" t="s">
        <v>1540</v>
      </c>
      <c r="BC700" t="s">
        <v>1186</v>
      </c>
      <c r="BD700" s="1">
        <v>45108</v>
      </c>
      <c r="BE700" t="s">
        <v>96</v>
      </c>
      <c r="BG700" t="s">
        <v>1187</v>
      </c>
      <c r="BI700" t="s">
        <v>98</v>
      </c>
      <c r="BJ700" t="s">
        <v>1531</v>
      </c>
      <c r="BL700" t="s">
        <v>412</v>
      </c>
    </row>
    <row r="701" spans="1:64" x14ac:dyDescent="0.2">
      <c r="A701">
        <v>1471</v>
      </c>
      <c r="B701">
        <v>3748770410</v>
      </c>
      <c r="C701" t="s">
        <v>63</v>
      </c>
      <c r="D701" t="s">
        <v>210</v>
      </c>
      <c r="E701" t="s">
        <v>65</v>
      </c>
      <c r="F701" t="s">
        <v>66</v>
      </c>
      <c r="G701" t="s">
        <v>67</v>
      </c>
      <c r="H701" t="s">
        <v>68</v>
      </c>
      <c r="I701" t="s">
        <v>176</v>
      </c>
      <c r="J701" t="s">
        <v>177</v>
      </c>
      <c r="K701" t="s">
        <v>178</v>
      </c>
      <c r="M701" t="s">
        <v>72</v>
      </c>
      <c r="N701" t="s">
        <v>179</v>
      </c>
      <c r="O701" t="s">
        <v>178</v>
      </c>
      <c r="P701" t="s">
        <v>180</v>
      </c>
      <c r="Q701" t="s">
        <v>75</v>
      </c>
      <c r="R701" t="s">
        <v>76</v>
      </c>
      <c r="S701" t="s">
        <v>211</v>
      </c>
      <c r="T701" t="s">
        <v>78</v>
      </c>
      <c r="U701" t="s">
        <v>79</v>
      </c>
      <c r="V701" t="s">
        <v>80</v>
      </c>
      <c r="W701" s="1">
        <v>44520</v>
      </c>
      <c r="X701" t="s">
        <v>81</v>
      </c>
      <c r="Y701" t="s">
        <v>212</v>
      </c>
      <c r="Z701" t="s">
        <v>83</v>
      </c>
      <c r="AA701">
        <v>1</v>
      </c>
      <c r="AB701" t="s">
        <v>213</v>
      </c>
      <c r="AC701">
        <v>1</v>
      </c>
      <c r="AD701" s="6" t="s">
        <v>85</v>
      </c>
      <c r="AE701" s="6" t="s">
        <v>145</v>
      </c>
      <c r="AF701" s="6" t="s">
        <v>146</v>
      </c>
      <c r="AG701" s="6" t="s">
        <v>214</v>
      </c>
      <c r="AH701" s="6" t="s">
        <v>215</v>
      </c>
      <c r="AI701" s="6" t="s">
        <v>90</v>
      </c>
      <c r="AJ701" s="6">
        <v>32.500371999999999</v>
      </c>
      <c r="AK701" s="6">
        <v>-110.681731</v>
      </c>
      <c r="AL701" s="6">
        <v>3</v>
      </c>
      <c r="AM701" s="6"/>
      <c r="AN701" s="6">
        <v>1311</v>
      </c>
      <c r="AO701" s="6"/>
      <c r="AP701" s="6">
        <v>1311</v>
      </c>
      <c r="AQ701" s="6">
        <v>1326.16976</v>
      </c>
      <c r="AR701" s="6"/>
      <c r="AS701" s="6"/>
      <c r="AT701" s="6">
        <v>20</v>
      </c>
      <c r="AU701" s="6">
        <v>11</v>
      </c>
      <c r="AV701" s="6">
        <v>2021</v>
      </c>
      <c r="AW701" s="6">
        <v>2438038</v>
      </c>
      <c r="AX701" s="6">
        <v>2438038</v>
      </c>
      <c r="AY701" s="6" t="s">
        <v>91</v>
      </c>
      <c r="AZ701" t="s">
        <v>92</v>
      </c>
      <c r="BA701" t="s">
        <v>93</v>
      </c>
      <c r="BB701" t="s">
        <v>216</v>
      </c>
      <c r="BC701" t="s">
        <v>97</v>
      </c>
      <c r="BE701" t="s">
        <v>96</v>
      </c>
      <c r="BG701" t="s">
        <v>97</v>
      </c>
      <c r="BI701" t="s">
        <v>98</v>
      </c>
      <c r="BJ701" t="s">
        <v>187</v>
      </c>
      <c r="BL701" t="s">
        <v>100</v>
      </c>
    </row>
    <row r="702" spans="1:64" hidden="1" x14ac:dyDescent="0.2">
      <c r="A702">
        <v>714</v>
      </c>
      <c r="B702">
        <v>4070420523</v>
      </c>
      <c r="C702" t="s">
        <v>101</v>
      </c>
      <c r="D702" t="s">
        <v>2892</v>
      </c>
      <c r="E702" t="s">
        <v>65</v>
      </c>
      <c r="F702" t="s">
        <v>66</v>
      </c>
      <c r="G702" t="s">
        <v>67</v>
      </c>
      <c r="H702" t="s">
        <v>68</v>
      </c>
      <c r="I702" t="s">
        <v>176</v>
      </c>
      <c r="J702" t="s">
        <v>177</v>
      </c>
      <c r="K702" t="s">
        <v>178</v>
      </c>
      <c r="M702" t="s">
        <v>72</v>
      </c>
      <c r="N702" t="s">
        <v>179</v>
      </c>
      <c r="O702" t="s">
        <v>178</v>
      </c>
      <c r="P702" t="s">
        <v>180</v>
      </c>
      <c r="Q702" t="s">
        <v>75</v>
      </c>
      <c r="R702" t="s">
        <v>2806</v>
      </c>
      <c r="S702" t="s">
        <v>763</v>
      </c>
      <c r="T702" t="s">
        <v>78</v>
      </c>
      <c r="U702" t="s">
        <v>1822</v>
      </c>
      <c r="V702" t="s">
        <v>80</v>
      </c>
      <c r="W702" s="1">
        <v>44814</v>
      </c>
      <c r="X702" t="s">
        <v>2778</v>
      </c>
      <c r="Y702" t="s">
        <v>2876</v>
      </c>
      <c r="Z702" t="s">
        <v>83</v>
      </c>
      <c r="AA702">
        <v>1</v>
      </c>
      <c r="AB702" t="s">
        <v>103</v>
      </c>
      <c r="AD702" t="s">
        <v>112</v>
      </c>
      <c r="AE702" t="s">
        <v>145</v>
      </c>
      <c r="AF702" t="s">
        <v>146</v>
      </c>
      <c r="AG702" t="s">
        <v>2878</v>
      </c>
      <c r="AH702" t="s">
        <v>2883</v>
      </c>
      <c r="AI702" t="s">
        <v>90</v>
      </c>
      <c r="AJ702">
        <v>32.453510000000001</v>
      </c>
      <c r="AK702">
        <v>-110.745014</v>
      </c>
      <c r="AL702">
        <v>3</v>
      </c>
      <c r="AN702">
        <v>2199</v>
      </c>
      <c r="AP702">
        <v>2199</v>
      </c>
      <c r="AQ702">
        <v>2207.513543</v>
      </c>
      <c r="AT702">
        <v>10</v>
      </c>
      <c r="AU702">
        <v>9</v>
      </c>
      <c r="AV702">
        <v>2022</v>
      </c>
      <c r="AW702">
        <v>2438038</v>
      </c>
      <c r="AX702">
        <v>2438038</v>
      </c>
      <c r="AY702" t="s">
        <v>106</v>
      </c>
      <c r="AZ702" t="s">
        <v>92</v>
      </c>
      <c r="BA702" t="s">
        <v>107</v>
      </c>
      <c r="BB702" t="s">
        <v>2893</v>
      </c>
      <c r="BC702" t="s">
        <v>2245</v>
      </c>
      <c r="BE702" t="s">
        <v>96</v>
      </c>
      <c r="BG702" t="s">
        <v>2811</v>
      </c>
      <c r="BI702" t="s">
        <v>98</v>
      </c>
      <c r="BJ702" t="s">
        <v>1590</v>
      </c>
      <c r="BL702" t="s">
        <v>412</v>
      </c>
    </row>
    <row r="703" spans="1:64" hidden="1" x14ac:dyDescent="0.2">
      <c r="A703">
        <v>895</v>
      </c>
      <c r="B703">
        <v>4070420328</v>
      </c>
      <c r="C703" t="s">
        <v>101</v>
      </c>
      <c r="D703" t="s">
        <v>2894</v>
      </c>
      <c r="E703" t="s">
        <v>65</v>
      </c>
      <c r="F703" t="s">
        <v>66</v>
      </c>
      <c r="G703" t="s">
        <v>67</v>
      </c>
      <c r="H703" t="s">
        <v>68</v>
      </c>
      <c r="I703" t="s">
        <v>176</v>
      </c>
      <c r="J703" t="s">
        <v>177</v>
      </c>
      <c r="K703" t="s">
        <v>178</v>
      </c>
      <c r="M703" t="s">
        <v>72</v>
      </c>
      <c r="N703" t="s">
        <v>179</v>
      </c>
      <c r="O703" t="s">
        <v>178</v>
      </c>
      <c r="P703" t="s">
        <v>180</v>
      </c>
      <c r="Q703" t="s">
        <v>75</v>
      </c>
      <c r="R703" t="s">
        <v>2806</v>
      </c>
      <c r="S703" t="s">
        <v>763</v>
      </c>
      <c r="T703" t="s">
        <v>78</v>
      </c>
      <c r="U703" t="s">
        <v>1822</v>
      </c>
      <c r="V703" t="s">
        <v>80</v>
      </c>
      <c r="W703" s="1">
        <v>44814</v>
      </c>
      <c r="X703" t="s">
        <v>2778</v>
      </c>
      <c r="Y703" t="s">
        <v>2876</v>
      </c>
      <c r="Z703" t="s">
        <v>83</v>
      </c>
      <c r="AA703">
        <v>1</v>
      </c>
      <c r="AB703" t="s">
        <v>127</v>
      </c>
      <c r="AD703" t="s">
        <v>139</v>
      </c>
      <c r="AE703" t="s">
        <v>145</v>
      </c>
      <c r="AF703" t="s">
        <v>146</v>
      </c>
      <c r="AG703" t="s">
        <v>2878</v>
      </c>
      <c r="AH703" t="s">
        <v>2883</v>
      </c>
      <c r="AI703" t="s">
        <v>90</v>
      </c>
      <c r="AJ703">
        <v>32.453510000000001</v>
      </c>
      <c r="AK703">
        <v>-110.745014</v>
      </c>
      <c r="AL703">
        <v>3</v>
      </c>
      <c r="AN703">
        <v>2199</v>
      </c>
      <c r="AP703">
        <v>2199</v>
      </c>
      <c r="AQ703">
        <v>2207.513543</v>
      </c>
      <c r="AT703">
        <v>10</v>
      </c>
      <c r="AU703">
        <v>9</v>
      </c>
      <c r="AV703">
        <v>2022</v>
      </c>
      <c r="AW703">
        <v>2438038</v>
      </c>
      <c r="AX703">
        <v>2438038</v>
      </c>
      <c r="AY703" t="s">
        <v>106</v>
      </c>
      <c r="AZ703" t="s">
        <v>92</v>
      </c>
      <c r="BA703" t="s">
        <v>107</v>
      </c>
      <c r="BB703" t="s">
        <v>2895</v>
      </c>
      <c r="BC703" t="s">
        <v>2245</v>
      </c>
      <c r="BE703" t="s">
        <v>96</v>
      </c>
      <c r="BG703" t="s">
        <v>2811</v>
      </c>
      <c r="BI703" t="s">
        <v>98</v>
      </c>
      <c r="BJ703" t="s">
        <v>2896</v>
      </c>
      <c r="BL703" t="s">
        <v>412</v>
      </c>
    </row>
    <row r="704" spans="1:64" hidden="1" x14ac:dyDescent="0.2">
      <c r="A704">
        <v>688</v>
      </c>
      <c r="B704">
        <v>4070420549</v>
      </c>
      <c r="C704" t="s">
        <v>101</v>
      </c>
      <c r="D704" t="s">
        <v>2897</v>
      </c>
      <c r="E704" t="s">
        <v>65</v>
      </c>
      <c r="F704" t="s">
        <v>66</v>
      </c>
      <c r="G704" t="s">
        <v>67</v>
      </c>
      <c r="H704" t="s">
        <v>68</v>
      </c>
      <c r="I704" t="s">
        <v>176</v>
      </c>
      <c r="J704" t="s">
        <v>177</v>
      </c>
      <c r="K704" t="s">
        <v>178</v>
      </c>
      <c r="M704" t="s">
        <v>72</v>
      </c>
      <c r="N704" t="s">
        <v>179</v>
      </c>
      <c r="O704" t="s">
        <v>178</v>
      </c>
      <c r="P704" t="s">
        <v>180</v>
      </c>
      <c r="Q704" t="s">
        <v>75</v>
      </c>
      <c r="R704" t="s">
        <v>2806</v>
      </c>
      <c r="S704" t="s">
        <v>763</v>
      </c>
      <c r="T704" t="s">
        <v>78</v>
      </c>
      <c r="U704" t="s">
        <v>1822</v>
      </c>
      <c r="V704" t="s">
        <v>80</v>
      </c>
      <c r="W704" s="1">
        <v>44814</v>
      </c>
      <c r="X704" t="s">
        <v>2778</v>
      </c>
      <c r="Y704" t="s">
        <v>2876</v>
      </c>
      <c r="Z704" t="s">
        <v>83</v>
      </c>
      <c r="AA704">
        <v>1</v>
      </c>
      <c r="AB704" t="s">
        <v>103</v>
      </c>
      <c r="AD704" t="s">
        <v>116</v>
      </c>
      <c r="AE704" t="s">
        <v>145</v>
      </c>
      <c r="AF704" t="s">
        <v>146</v>
      </c>
      <c r="AG704" t="s">
        <v>2878</v>
      </c>
      <c r="AH704" t="s">
        <v>2883</v>
      </c>
      <c r="AI704" t="s">
        <v>90</v>
      </c>
      <c r="AJ704">
        <v>32.453510000000001</v>
      </c>
      <c r="AK704">
        <v>-110.745014</v>
      </c>
      <c r="AL704">
        <v>3</v>
      </c>
      <c r="AN704">
        <v>2199</v>
      </c>
      <c r="AP704">
        <v>2199</v>
      </c>
      <c r="AQ704">
        <v>2207.513543</v>
      </c>
      <c r="AT704">
        <v>10</v>
      </c>
      <c r="AU704">
        <v>9</v>
      </c>
      <c r="AV704">
        <v>2022</v>
      </c>
      <c r="AW704">
        <v>2438038</v>
      </c>
      <c r="AX704">
        <v>2438038</v>
      </c>
      <c r="AY704" t="s">
        <v>106</v>
      </c>
      <c r="AZ704" t="s">
        <v>92</v>
      </c>
      <c r="BA704" t="s">
        <v>107</v>
      </c>
      <c r="BB704" t="s">
        <v>2898</v>
      </c>
      <c r="BC704" t="s">
        <v>2245</v>
      </c>
      <c r="BE704" t="s">
        <v>96</v>
      </c>
      <c r="BG704" t="s">
        <v>2811</v>
      </c>
      <c r="BI704" t="s">
        <v>98</v>
      </c>
      <c r="BJ704" t="s">
        <v>2293</v>
      </c>
      <c r="BL704" t="s">
        <v>412</v>
      </c>
    </row>
    <row r="705" spans="1:64" hidden="1" x14ac:dyDescent="0.2">
      <c r="A705">
        <v>679</v>
      </c>
      <c r="B705">
        <v>4070420558</v>
      </c>
      <c r="C705" t="s">
        <v>101</v>
      </c>
      <c r="D705" t="s">
        <v>2899</v>
      </c>
      <c r="E705" t="s">
        <v>65</v>
      </c>
      <c r="F705" t="s">
        <v>66</v>
      </c>
      <c r="G705" t="s">
        <v>67</v>
      </c>
      <c r="H705" t="s">
        <v>68</v>
      </c>
      <c r="I705" t="s">
        <v>176</v>
      </c>
      <c r="J705" t="s">
        <v>177</v>
      </c>
      <c r="K705" t="s">
        <v>178</v>
      </c>
      <c r="M705" t="s">
        <v>72</v>
      </c>
      <c r="N705" t="s">
        <v>179</v>
      </c>
      <c r="O705" t="s">
        <v>178</v>
      </c>
      <c r="P705" t="s">
        <v>180</v>
      </c>
      <c r="Q705" t="s">
        <v>75</v>
      </c>
      <c r="R705" t="s">
        <v>2806</v>
      </c>
      <c r="S705" t="s">
        <v>763</v>
      </c>
      <c r="T705" t="s">
        <v>78</v>
      </c>
      <c r="U705" t="s">
        <v>1822</v>
      </c>
      <c r="V705" t="s">
        <v>80</v>
      </c>
      <c r="W705" s="1">
        <v>44814</v>
      </c>
      <c r="X705" t="s">
        <v>2778</v>
      </c>
      <c r="Y705" t="s">
        <v>2876</v>
      </c>
      <c r="Z705" t="s">
        <v>83</v>
      </c>
      <c r="AA705">
        <v>1</v>
      </c>
      <c r="AB705" t="s">
        <v>2262</v>
      </c>
      <c r="AD705" t="s">
        <v>134</v>
      </c>
      <c r="AE705" t="s">
        <v>145</v>
      </c>
      <c r="AF705" t="s">
        <v>146</v>
      </c>
      <c r="AG705" t="s">
        <v>2878</v>
      </c>
      <c r="AH705" t="s">
        <v>2900</v>
      </c>
      <c r="AI705" t="s">
        <v>90</v>
      </c>
      <c r="AJ705">
        <v>32.453510000000001</v>
      </c>
      <c r="AK705">
        <v>-110.745014</v>
      </c>
      <c r="AL705">
        <v>3</v>
      </c>
      <c r="AN705">
        <v>2199</v>
      </c>
      <c r="AP705">
        <v>2199</v>
      </c>
      <c r="AQ705">
        <v>2207.513543</v>
      </c>
      <c r="AT705">
        <v>10</v>
      </c>
      <c r="AU705">
        <v>9</v>
      </c>
      <c r="AV705">
        <v>2022</v>
      </c>
      <c r="AW705">
        <v>2438038</v>
      </c>
      <c r="AX705">
        <v>2438038</v>
      </c>
      <c r="AY705" t="s">
        <v>106</v>
      </c>
      <c r="AZ705" t="s">
        <v>92</v>
      </c>
      <c r="BA705" t="s">
        <v>107</v>
      </c>
      <c r="BB705" t="s">
        <v>2901</v>
      </c>
      <c r="BC705" t="s">
        <v>2245</v>
      </c>
      <c r="BE705" t="s">
        <v>96</v>
      </c>
      <c r="BG705" t="s">
        <v>2811</v>
      </c>
      <c r="BI705" t="s">
        <v>98</v>
      </c>
      <c r="BJ705" t="s">
        <v>2867</v>
      </c>
      <c r="BL705" t="s">
        <v>412</v>
      </c>
    </row>
    <row r="706" spans="1:64" hidden="1" x14ac:dyDescent="0.2">
      <c r="A706">
        <v>681</v>
      </c>
      <c r="B706">
        <v>4070420556</v>
      </c>
      <c r="C706" t="s">
        <v>101</v>
      </c>
      <c r="D706" t="s">
        <v>2902</v>
      </c>
      <c r="E706" t="s">
        <v>65</v>
      </c>
      <c r="F706" t="s">
        <v>66</v>
      </c>
      <c r="G706" t="s">
        <v>67</v>
      </c>
      <c r="H706" t="s">
        <v>68</v>
      </c>
      <c r="I706" t="s">
        <v>176</v>
      </c>
      <c r="J706" t="s">
        <v>177</v>
      </c>
      <c r="K706" t="s">
        <v>178</v>
      </c>
      <c r="M706" t="s">
        <v>72</v>
      </c>
      <c r="N706" t="s">
        <v>179</v>
      </c>
      <c r="O706" t="s">
        <v>178</v>
      </c>
      <c r="P706" t="s">
        <v>180</v>
      </c>
      <c r="Q706" t="s">
        <v>75</v>
      </c>
      <c r="R706" t="s">
        <v>2806</v>
      </c>
      <c r="S706" t="s">
        <v>763</v>
      </c>
      <c r="T706" t="s">
        <v>78</v>
      </c>
      <c r="U706" t="s">
        <v>1822</v>
      </c>
      <c r="V706" t="s">
        <v>80</v>
      </c>
      <c r="W706" s="1">
        <v>44814</v>
      </c>
      <c r="X706" t="s">
        <v>2778</v>
      </c>
      <c r="Y706" t="s">
        <v>2876</v>
      </c>
      <c r="Z706" t="s">
        <v>83</v>
      </c>
      <c r="AA706">
        <v>1</v>
      </c>
      <c r="AB706" t="s">
        <v>103</v>
      </c>
      <c r="AD706" t="s">
        <v>104</v>
      </c>
      <c r="AE706" t="s">
        <v>145</v>
      </c>
      <c r="AF706" t="s">
        <v>146</v>
      </c>
      <c r="AG706" t="s">
        <v>2878</v>
      </c>
      <c r="AH706" t="s">
        <v>2883</v>
      </c>
      <c r="AI706" t="s">
        <v>90</v>
      </c>
      <c r="AJ706">
        <v>32.453510000000001</v>
      </c>
      <c r="AK706">
        <v>-110.745014</v>
      </c>
      <c r="AL706">
        <v>3</v>
      </c>
      <c r="AN706">
        <v>2199</v>
      </c>
      <c r="AP706">
        <v>2199</v>
      </c>
      <c r="AQ706">
        <v>2207.513543</v>
      </c>
      <c r="AT706">
        <v>10</v>
      </c>
      <c r="AU706">
        <v>9</v>
      </c>
      <c r="AV706">
        <v>2022</v>
      </c>
      <c r="AW706">
        <v>2438038</v>
      </c>
      <c r="AX706">
        <v>2438038</v>
      </c>
      <c r="AY706" t="s">
        <v>106</v>
      </c>
      <c r="AZ706" t="s">
        <v>92</v>
      </c>
      <c r="BA706" t="s">
        <v>107</v>
      </c>
      <c r="BB706" t="s">
        <v>2903</v>
      </c>
      <c r="BC706" t="s">
        <v>2245</v>
      </c>
      <c r="BE706" t="s">
        <v>96</v>
      </c>
      <c r="BG706" t="s">
        <v>2811</v>
      </c>
      <c r="BI706" t="s">
        <v>98</v>
      </c>
      <c r="BJ706" t="s">
        <v>818</v>
      </c>
      <c r="BL706" t="s">
        <v>412</v>
      </c>
    </row>
    <row r="707" spans="1:64" x14ac:dyDescent="0.2">
      <c r="A707">
        <v>1473</v>
      </c>
      <c r="B707">
        <v>3748770408</v>
      </c>
      <c r="C707" t="s">
        <v>63</v>
      </c>
      <c r="D707" t="s">
        <v>244</v>
      </c>
      <c r="E707" t="s">
        <v>65</v>
      </c>
      <c r="F707" t="s">
        <v>66</v>
      </c>
      <c r="G707" t="s">
        <v>67</v>
      </c>
      <c r="H707" t="s">
        <v>68</v>
      </c>
      <c r="I707" t="s">
        <v>69</v>
      </c>
      <c r="J707" t="s">
        <v>70</v>
      </c>
      <c r="K707" t="s">
        <v>71</v>
      </c>
      <c r="M707" t="s">
        <v>72</v>
      </c>
      <c r="N707" t="s">
        <v>73</v>
      </c>
      <c r="O707" t="s">
        <v>71</v>
      </c>
      <c r="P707" t="s">
        <v>74</v>
      </c>
      <c r="Q707" t="s">
        <v>75</v>
      </c>
      <c r="R707" t="s">
        <v>76</v>
      </c>
      <c r="S707" t="s">
        <v>245</v>
      </c>
      <c r="T707" t="s">
        <v>78</v>
      </c>
      <c r="U707" t="s">
        <v>79</v>
      </c>
      <c r="V707" t="s">
        <v>80</v>
      </c>
      <c r="W707" s="1">
        <v>44521</v>
      </c>
      <c r="X707" t="s">
        <v>81</v>
      </c>
      <c r="Y707" t="s">
        <v>246</v>
      </c>
      <c r="Z707" t="s">
        <v>83</v>
      </c>
      <c r="AA707">
        <v>1</v>
      </c>
      <c r="AB707" t="s">
        <v>247</v>
      </c>
      <c r="AC707">
        <v>1</v>
      </c>
      <c r="AD707" s="6" t="s">
        <v>85</v>
      </c>
      <c r="AE707" s="6" t="s">
        <v>145</v>
      </c>
      <c r="AF707" s="6" t="s">
        <v>87</v>
      </c>
      <c r="AG707" s="6" t="s">
        <v>248</v>
      </c>
      <c r="AH707" s="6" t="s">
        <v>249</v>
      </c>
      <c r="AI707" s="6" t="s">
        <v>90</v>
      </c>
      <c r="AJ707" s="6">
        <v>32.500216999999999</v>
      </c>
      <c r="AK707" s="6">
        <v>-110.68151</v>
      </c>
      <c r="AL707" s="6">
        <v>3</v>
      </c>
      <c r="AM707" s="6"/>
      <c r="AN707" s="6">
        <v>1281</v>
      </c>
      <c r="AO707" s="6"/>
      <c r="AP707" s="6">
        <v>1281</v>
      </c>
      <c r="AQ707" s="6">
        <v>1326.348197</v>
      </c>
      <c r="AR707" s="6"/>
      <c r="AS707" s="6"/>
      <c r="AT707" s="6">
        <v>21</v>
      </c>
      <c r="AU707" s="6">
        <v>11</v>
      </c>
      <c r="AV707" s="6">
        <v>2021</v>
      </c>
      <c r="AW707" s="6">
        <v>2439581</v>
      </c>
      <c r="AX707" s="6">
        <v>2439581</v>
      </c>
      <c r="AY707" s="6" t="s">
        <v>91</v>
      </c>
      <c r="AZ707" t="s">
        <v>92</v>
      </c>
      <c r="BA707" t="s">
        <v>93</v>
      </c>
      <c r="BB707" t="s">
        <v>250</v>
      </c>
      <c r="BC707" t="s">
        <v>97</v>
      </c>
      <c r="BE707" t="s">
        <v>96</v>
      </c>
      <c r="BG707" t="s">
        <v>97</v>
      </c>
      <c r="BI707" t="s">
        <v>98</v>
      </c>
      <c r="BJ707" t="s">
        <v>251</v>
      </c>
      <c r="BL707" t="s">
        <v>100</v>
      </c>
    </row>
    <row r="708" spans="1:64" hidden="1" x14ac:dyDescent="0.2">
      <c r="A708">
        <v>903</v>
      </c>
      <c r="B708">
        <v>4070420320</v>
      </c>
      <c r="C708" t="s">
        <v>101</v>
      </c>
      <c r="D708" t="s">
        <v>2908</v>
      </c>
      <c r="E708" t="s">
        <v>65</v>
      </c>
      <c r="F708" t="s">
        <v>66</v>
      </c>
      <c r="G708" t="s">
        <v>67</v>
      </c>
      <c r="H708" t="s">
        <v>68</v>
      </c>
      <c r="I708" t="s">
        <v>176</v>
      </c>
      <c r="J708" t="s">
        <v>177</v>
      </c>
      <c r="K708" t="s">
        <v>178</v>
      </c>
      <c r="M708" t="s">
        <v>72</v>
      </c>
      <c r="N708" t="s">
        <v>179</v>
      </c>
      <c r="O708" t="s">
        <v>178</v>
      </c>
      <c r="P708" t="s">
        <v>180</v>
      </c>
      <c r="Q708" t="s">
        <v>75</v>
      </c>
      <c r="R708" t="s">
        <v>2806</v>
      </c>
      <c r="S708" t="s">
        <v>777</v>
      </c>
      <c r="T708" t="s">
        <v>78</v>
      </c>
      <c r="U708" t="s">
        <v>1822</v>
      </c>
      <c r="V708" t="s">
        <v>80</v>
      </c>
      <c r="W708" s="1">
        <v>44814</v>
      </c>
      <c r="X708" t="s">
        <v>2778</v>
      </c>
      <c r="Y708" t="s">
        <v>2905</v>
      </c>
      <c r="Z708" t="s">
        <v>83</v>
      </c>
      <c r="AA708">
        <v>1</v>
      </c>
      <c r="AB708" t="s">
        <v>103</v>
      </c>
      <c r="AD708" t="s">
        <v>343</v>
      </c>
      <c r="AE708" t="s">
        <v>86</v>
      </c>
      <c r="AF708" t="s">
        <v>146</v>
      </c>
      <c r="AI708" t="s">
        <v>90</v>
      </c>
      <c r="AJ708">
        <v>32.453581</v>
      </c>
      <c r="AK708">
        <v>-110.745073</v>
      </c>
      <c r="AL708">
        <v>3</v>
      </c>
      <c r="AN708">
        <v>2197</v>
      </c>
      <c r="AP708">
        <v>2197</v>
      </c>
      <c r="AQ708">
        <v>2208.4560849999998</v>
      </c>
      <c r="AT708">
        <v>10</v>
      </c>
      <c r="AU708">
        <v>9</v>
      </c>
      <c r="AV708">
        <v>2022</v>
      </c>
      <c r="AW708">
        <v>2438038</v>
      </c>
      <c r="AX708">
        <v>2438038</v>
      </c>
      <c r="AY708" t="s">
        <v>106</v>
      </c>
      <c r="AZ708" t="s">
        <v>92</v>
      </c>
      <c r="BA708" t="s">
        <v>107</v>
      </c>
      <c r="BB708" t="s">
        <v>2909</v>
      </c>
      <c r="BC708" t="s">
        <v>2245</v>
      </c>
      <c r="BE708" t="s">
        <v>96</v>
      </c>
      <c r="BG708" t="s">
        <v>2811</v>
      </c>
      <c r="BI708" t="s">
        <v>98</v>
      </c>
      <c r="BJ708" t="s">
        <v>2910</v>
      </c>
      <c r="BL708" t="s">
        <v>412</v>
      </c>
    </row>
    <row r="709" spans="1:64" hidden="1" x14ac:dyDescent="0.2">
      <c r="A709">
        <v>201</v>
      </c>
      <c r="B709">
        <v>4403382439</v>
      </c>
      <c r="C709" t="s">
        <v>101</v>
      </c>
      <c r="D709" t="s">
        <v>1545</v>
      </c>
      <c r="E709" t="s">
        <v>65</v>
      </c>
      <c r="F709" t="s">
        <v>66</v>
      </c>
      <c r="G709" t="s">
        <v>67</v>
      </c>
      <c r="H709" t="s">
        <v>68</v>
      </c>
      <c r="I709" t="s">
        <v>176</v>
      </c>
      <c r="J709" t="s">
        <v>177</v>
      </c>
      <c r="K709" t="s">
        <v>178</v>
      </c>
      <c r="M709" t="s">
        <v>72</v>
      </c>
      <c r="N709" t="s">
        <v>179</v>
      </c>
      <c r="O709" t="s">
        <v>178</v>
      </c>
      <c r="P709" t="s">
        <v>180</v>
      </c>
      <c r="Q709" t="s">
        <v>75</v>
      </c>
      <c r="R709" t="s">
        <v>1177</v>
      </c>
      <c r="S709" t="s">
        <v>589</v>
      </c>
      <c r="T709" t="s">
        <v>78</v>
      </c>
      <c r="U709" t="s">
        <v>646</v>
      </c>
      <c r="V709" t="s">
        <v>1179</v>
      </c>
      <c r="W709" s="1">
        <v>45108</v>
      </c>
      <c r="X709" t="s">
        <v>1180</v>
      </c>
      <c r="Y709" t="s">
        <v>1542</v>
      </c>
      <c r="Z709" t="s">
        <v>83</v>
      </c>
      <c r="AA709">
        <v>1</v>
      </c>
      <c r="AB709" t="s">
        <v>367</v>
      </c>
      <c r="AC709">
        <v>0</v>
      </c>
      <c r="AD709" t="s">
        <v>128</v>
      </c>
      <c r="AE709" t="s">
        <v>86</v>
      </c>
      <c r="AF709" t="s">
        <v>402</v>
      </c>
      <c r="AG709" t="s">
        <v>579</v>
      </c>
      <c r="AI709" t="s">
        <v>90</v>
      </c>
      <c r="AJ709">
        <v>32.450288999999998</v>
      </c>
      <c r="AK709">
        <v>-110.736276</v>
      </c>
      <c r="AL709">
        <v>3</v>
      </c>
      <c r="AN709">
        <v>2063</v>
      </c>
      <c r="AP709">
        <v>2063</v>
      </c>
      <c r="AQ709">
        <v>2062.7495800000002</v>
      </c>
      <c r="AT709">
        <v>1</v>
      </c>
      <c r="AU709">
        <v>7</v>
      </c>
      <c r="AV709">
        <v>2023</v>
      </c>
      <c r="AW709">
        <v>2438038</v>
      </c>
      <c r="AX709">
        <v>2438038</v>
      </c>
      <c r="AY709" t="s">
        <v>106</v>
      </c>
      <c r="AZ709" t="s">
        <v>92</v>
      </c>
      <c r="BA709" t="s">
        <v>107</v>
      </c>
      <c r="BB709" t="s">
        <v>1546</v>
      </c>
      <c r="BC709" t="s">
        <v>1186</v>
      </c>
      <c r="BD709" s="1">
        <v>45108</v>
      </c>
      <c r="BE709" t="s">
        <v>96</v>
      </c>
      <c r="BG709" t="s">
        <v>1187</v>
      </c>
      <c r="BI709" t="s">
        <v>98</v>
      </c>
      <c r="BJ709" t="s">
        <v>1547</v>
      </c>
      <c r="BL709" t="s">
        <v>412</v>
      </c>
    </row>
    <row r="710" spans="1:64" hidden="1" x14ac:dyDescent="0.2">
      <c r="A710">
        <v>185</v>
      </c>
      <c r="B710">
        <v>4403382455</v>
      </c>
      <c r="C710" t="s">
        <v>101</v>
      </c>
      <c r="D710" t="s">
        <v>1554</v>
      </c>
      <c r="E710" t="s">
        <v>65</v>
      </c>
      <c r="F710" t="s">
        <v>66</v>
      </c>
      <c r="G710" t="s">
        <v>67</v>
      </c>
      <c r="H710" t="s">
        <v>68</v>
      </c>
      <c r="I710" t="s">
        <v>176</v>
      </c>
      <c r="J710" t="s">
        <v>177</v>
      </c>
      <c r="K710" t="s">
        <v>178</v>
      </c>
      <c r="M710" t="s">
        <v>72</v>
      </c>
      <c r="N710" t="s">
        <v>179</v>
      </c>
      <c r="O710" t="s">
        <v>178</v>
      </c>
      <c r="P710" t="s">
        <v>180</v>
      </c>
      <c r="Q710" t="s">
        <v>75</v>
      </c>
      <c r="R710" t="s">
        <v>1177</v>
      </c>
      <c r="S710" t="s">
        <v>522</v>
      </c>
      <c r="T710" t="s">
        <v>78</v>
      </c>
      <c r="U710" t="s">
        <v>646</v>
      </c>
      <c r="V710" t="s">
        <v>1179</v>
      </c>
      <c r="W710" s="1">
        <v>45108</v>
      </c>
      <c r="X710" t="s">
        <v>1180</v>
      </c>
      <c r="Y710" t="s">
        <v>1549</v>
      </c>
      <c r="Z710" t="s">
        <v>83</v>
      </c>
      <c r="AA710">
        <v>1</v>
      </c>
      <c r="AB710" t="s">
        <v>367</v>
      </c>
      <c r="AC710">
        <v>0</v>
      </c>
      <c r="AD710" t="s">
        <v>128</v>
      </c>
      <c r="AE710" t="s">
        <v>86</v>
      </c>
      <c r="AF710" t="s">
        <v>402</v>
      </c>
      <c r="AG710" t="s">
        <v>1551</v>
      </c>
      <c r="AI710" t="s">
        <v>90</v>
      </c>
      <c r="AJ710">
        <v>32.449883</v>
      </c>
      <c r="AK710">
        <v>-110.73697900000001</v>
      </c>
      <c r="AL710">
        <v>3</v>
      </c>
      <c r="AN710">
        <v>2082</v>
      </c>
      <c r="AP710">
        <v>2082</v>
      </c>
      <c r="AQ710">
        <v>2089.8664020000001</v>
      </c>
      <c r="AT710">
        <v>1</v>
      </c>
      <c r="AU710">
        <v>7</v>
      </c>
      <c r="AV710">
        <v>2023</v>
      </c>
      <c r="AW710">
        <v>2438038</v>
      </c>
      <c r="AX710">
        <v>2438038</v>
      </c>
      <c r="AY710" t="s">
        <v>106</v>
      </c>
      <c r="AZ710" t="s">
        <v>92</v>
      </c>
      <c r="BA710" t="s">
        <v>107</v>
      </c>
      <c r="BB710" t="s">
        <v>1555</v>
      </c>
      <c r="BC710" t="s">
        <v>1186</v>
      </c>
      <c r="BD710" s="1">
        <v>45108</v>
      </c>
      <c r="BE710" t="s">
        <v>96</v>
      </c>
      <c r="BG710" t="s">
        <v>1187</v>
      </c>
      <c r="BI710" t="s">
        <v>98</v>
      </c>
      <c r="BJ710" t="s">
        <v>1553</v>
      </c>
      <c r="BL710" t="s">
        <v>412</v>
      </c>
    </row>
    <row r="711" spans="1:64" hidden="1" x14ac:dyDescent="0.2">
      <c r="A711">
        <v>900</v>
      </c>
      <c r="B711">
        <v>4070420323</v>
      </c>
      <c r="C711" t="s">
        <v>101</v>
      </c>
      <c r="D711" t="s">
        <v>2917</v>
      </c>
      <c r="E711" t="s">
        <v>65</v>
      </c>
      <c r="F711" t="s">
        <v>66</v>
      </c>
      <c r="G711" t="s">
        <v>67</v>
      </c>
      <c r="H711" t="s">
        <v>68</v>
      </c>
      <c r="I711" t="s">
        <v>176</v>
      </c>
      <c r="J711" t="s">
        <v>177</v>
      </c>
      <c r="K711" t="s">
        <v>178</v>
      </c>
      <c r="M711" t="s">
        <v>72</v>
      </c>
      <c r="N711" t="s">
        <v>179</v>
      </c>
      <c r="O711" t="s">
        <v>178</v>
      </c>
      <c r="P711" t="s">
        <v>180</v>
      </c>
      <c r="Q711" t="s">
        <v>75</v>
      </c>
      <c r="R711" t="s">
        <v>2806</v>
      </c>
      <c r="S711" t="s">
        <v>1075</v>
      </c>
      <c r="T711" t="s">
        <v>78</v>
      </c>
      <c r="U711" t="s">
        <v>1822</v>
      </c>
      <c r="V711" t="s">
        <v>80</v>
      </c>
      <c r="W711" s="1">
        <v>44814</v>
      </c>
      <c r="X711" t="s">
        <v>2778</v>
      </c>
      <c r="Y711" t="s">
        <v>2915</v>
      </c>
      <c r="Z711" t="s">
        <v>83</v>
      </c>
      <c r="AA711">
        <v>1</v>
      </c>
      <c r="AB711" t="s">
        <v>103</v>
      </c>
      <c r="AD711" t="s">
        <v>343</v>
      </c>
      <c r="AE711" t="s">
        <v>1078</v>
      </c>
      <c r="AF711" t="s">
        <v>281</v>
      </c>
      <c r="AI711" t="s">
        <v>90</v>
      </c>
      <c r="AJ711">
        <v>32.453570999999997</v>
      </c>
      <c r="AK711">
        <v>-110.74509500000001</v>
      </c>
      <c r="AL711">
        <v>3</v>
      </c>
      <c r="AN711">
        <v>2197</v>
      </c>
      <c r="AP711">
        <v>2197</v>
      </c>
      <c r="AQ711">
        <v>2209.2185829999999</v>
      </c>
      <c r="AT711">
        <v>10</v>
      </c>
      <c r="AU711">
        <v>9</v>
      </c>
      <c r="AV711">
        <v>2022</v>
      </c>
      <c r="AW711">
        <v>2438038</v>
      </c>
      <c r="AX711">
        <v>2438038</v>
      </c>
      <c r="AY711" t="s">
        <v>106</v>
      </c>
      <c r="AZ711" t="s">
        <v>92</v>
      </c>
      <c r="BA711" t="s">
        <v>107</v>
      </c>
      <c r="BB711" t="s">
        <v>2918</v>
      </c>
      <c r="BC711" t="s">
        <v>2245</v>
      </c>
      <c r="BE711" t="s">
        <v>96</v>
      </c>
      <c r="BG711" t="s">
        <v>2811</v>
      </c>
      <c r="BI711" t="s">
        <v>98</v>
      </c>
      <c r="BJ711" t="s">
        <v>2919</v>
      </c>
      <c r="BL711" t="s">
        <v>412</v>
      </c>
    </row>
    <row r="712" spans="1:64" hidden="1" x14ac:dyDescent="0.2">
      <c r="A712">
        <v>187</v>
      </c>
      <c r="B712">
        <v>4403382453</v>
      </c>
      <c r="C712" t="s">
        <v>101</v>
      </c>
      <c r="D712" t="s">
        <v>1556</v>
      </c>
      <c r="E712" t="s">
        <v>65</v>
      </c>
      <c r="F712" t="s">
        <v>66</v>
      </c>
      <c r="G712" t="s">
        <v>67</v>
      </c>
      <c r="H712" t="s">
        <v>68</v>
      </c>
      <c r="I712" t="s">
        <v>176</v>
      </c>
      <c r="J712" t="s">
        <v>177</v>
      </c>
      <c r="K712" t="s">
        <v>178</v>
      </c>
      <c r="M712" t="s">
        <v>72</v>
      </c>
      <c r="N712" t="s">
        <v>179</v>
      </c>
      <c r="O712" t="s">
        <v>178</v>
      </c>
      <c r="P712" t="s">
        <v>180</v>
      </c>
      <c r="Q712" t="s">
        <v>75</v>
      </c>
      <c r="R712" t="s">
        <v>1177</v>
      </c>
      <c r="S712" t="s">
        <v>1557</v>
      </c>
      <c r="T712" t="s">
        <v>78</v>
      </c>
      <c r="U712" t="s">
        <v>646</v>
      </c>
      <c r="V712" t="s">
        <v>1179</v>
      </c>
      <c r="W712" s="1">
        <v>45108</v>
      </c>
      <c r="X712" t="s">
        <v>1180</v>
      </c>
      <c r="Y712" t="s">
        <v>1558</v>
      </c>
      <c r="Z712" t="s">
        <v>83</v>
      </c>
      <c r="AA712">
        <v>1</v>
      </c>
      <c r="AB712" t="s">
        <v>367</v>
      </c>
      <c r="AC712">
        <v>0</v>
      </c>
      <c r="AD712" t="s">
        <v>128</v>
      </c>
      <c r="AE712" t="s">
        <v>86</v>
      </c>
      <c r="AF712" t="s">
        <v>402</v>
      </c>
      <c r="AG712" t="s">
        <v>579</v>
      </c>
      <c r="AI712" t="s">
        <v>90</v>
      </c>
      <c r="AJ712">
        <v>32.450591000000003</v>
      </c>
      <c r="AK712">
        <v>-110.73669</v>
      </c>
      <c r="AL712">
        <v>3</v>
      </c>
      <c r="AN712">
        <v>2061</v>
      </c>
      <c r="AP712">
        <v>2061</v>
      </c>
      <c r="AQ712">
        <v>2064.8774440000002</v>
      </c>
      <c r="AT712">
        <v>1</v>
      </c>
      <c r="AU712">
        <v>7</v>
      </c>
      <c r="AV712">
        <v>2023</v>
      </c>
      <c r="AW712">
        <v>2438038</v>
      </c>
      <c r="AX712">
        <v>2438038</v>
      </c>
      <c r="AY712" t="s">
        <v>106</v>
      </c>
      <c r="AZ712" t="s">
        <v>92</v>
      </c>
      <c r="BA712" t="s">
        <v>107</v>
      </c>
      <c r="BB712" t="s">
        <v>1559</v>
      </c>
      <c r="BC712" t="s">
        <v>1186</v>
      </c>
      <c r="BD712" s="1">
        <v>45108</v>
      </c>
      <c r="BE712" t="s">
        <v>96</v>
      </c>
      <c r="BG712" t="s">
        <v>1187</v>
      </c>
      <c r="BI712" t="s">
        <v>98</v>
      </c>
      <c r="BJ712" t="s">
        <v>668</v>
      </c>
      <c r="BK712" t="s">
        <v>365</v>
      </c>
      <c r="BL712" t="s">
        <v>412</v>
      </c>
    </row>
    <row r="713" spans="1:64" hidden="1" x14ac:dyDescent="0.2">
      <c r="A713">
        <v>898</v>
      </c>
      <c r="B713">
        <v>4070420325</v>
      </c>
      <c r="C713" t="s">
        <v>101</v>
      </c>
      <c r="D713" t="s">
        <v>2925</v>
      </c>
      <c r="E713" t="s">
        <v>65</v>
      </c>
      <c r="F713" t="s">
        <v>66</v>
      </c>
      <c r="G713" t="s">
        <v>67</v>
      </c>
      <c r="H713" t="s">
        <v>68</v>
      </c>
      <c r="I713" t="s">
        <v>176</v>
      </c>
      <c r="J713" t="s">
        <v>177</v>
      </c>
      <c r="K713" t="s">
        <v>178</v>
      </c>
      <c r="M713" t="s">
        <v>72</v>
      </c>
      <c r="N713" t="s">
        <v>179</v>
      </c>
      <c r="O713" t="s">
        <v>178</v>
      </c>
      <c r="P713" t="s">
        <v>180</v>
      </c>
      <c r="Q713" t="s">
        <v>75</v>
      </c>
      <c r="R713" t="s">
        <v>2806</v>
      </c>
      <c r="S713" t="s">
        <v>2921</v>
      </c>
      <c r="T713" t="s">
        <v>78</v>
      </c>
      <c r="U713" t="s">
        <v>1822</v>
      </c>
      <c r="V713" t="s">
        <v>80</v>
      </c>
      <c r="W713" s="1">
        <v>44814</v>
      </c>
      <c r="X713" t="s">
        <v>2778</v>
      </c>
      <c r="Y713" t="s">
        <v>2922</v>
      </c>
      <c r="Z713" t="s">
        <v>83</v>
      </c>
      <c r="AA713">
        <v>1</v>
      </c>
      <c r="AB713" t="s">
        <v>103</v>
      </c>
      <c r="AD713" t="s">
        <v>343</v>
      </c>
      <c r="AE713" t="s">
        <v>145</v>
      </c>
      <c r="AF713" t="s">
        <v>146</v>
      </c>
      <c r="AI713" t="s">
        <v>90</v>
      </c>
      <c r="AJ713">
        <v>32.453726000000003</v>
      </c>
      <c r="AK713">
        <v>-110.745212</v>
      </c>
      <c r="AL713">
        <v>3</v>
      </c>
      <c r="AN713">
        <v>2195</v>
      </c>
      <c r="AP713">
        <v>2195</v>
      </c>
      <c r="AQ713">
        <v>2211.713835</v>
      </c>
      <c r="AT713">
        <v>10</v>
      </c>
      <c r="AU713">
        <v>9</v>
      </c>
      <c r="AV713">
        <v>2022</v>
      </c>
      <c r="AW713">
        <v>2438038</v>
      </c>
      <c r="AX713">
        <v>2438038</v>
      </c>
      <c r="AY713" t="s">
        <v>106</v>
      </c>
      <c r="AZ713" t="s">
        <v>92</v>
      </c>
      <c r="BA713" t="s">
        <v>107</v>
      </c>
      <c r="BB713" t="s">
        <v>2926</v>
      </c>
      <c r="BC713" t="s">
        <v>2245</v>
      </c>
      <c r="BE713" t="s">
        <v>96</v>
      </c>
      <c r="BG713" t="s">
        <v>2811</v>
      </c>
      <c r="BI713" t="s">
        <v>98</v>
      </c>
      <c r="BJ713" t="s">
        <v>2927</v>
      </c>
      <c r="BL713" t="s">
        <v>412</v>
      </c>
    </row>
    <row r="714" spans="1:64" x14ac:dyDescent="0.2">
      <c r="A714">
        <v>1472</v>
      </c>
      <c r="B714">
        <v>3748770409</v>
      </c>
      <c r="C714" t="s">
        <v>63</v>
      </c>
      <c r="D714" t="s">
        <v>276</v>
      </c>
      <c r="E714" t="s">
        <v>65</v>
      </c>
      <c r="F714" t="s">
        <v>66</v>
      </c>
      <c r="G714" t="s">
        <v>67</v>
      </c>
      <c r="H714" t="s">
        <v>68</v>
      </c>
      <c r="I714" t="s">
        <v>176</v>
      </c>
      <c r="J714" t="s">
        <v>177</v>
      </c>
      <c r="K714" t="s">
        <v>178</v>
      </c>
      <c r="M714" t="s">
        <v>72</v>
      </c>
      <c r="N714" t="s">
        <v>179</v>
      </c>
      <c r="O714" t="s">
        <v>178</v>
      </c>
      <c r="P714" t="s">
        <v>180</v>
      </c>
      <c r="Q714" t="s">
        <v>75</v>
      </c>
      <c r="R714" t="s">
        <v>277</v>
      </c>
      <c r="S714" t="s">
        <v>278</v>
      </c>
      <c r="T714" t="s">
        <v>78</v>
      </c>
      <c r="U714" t="s">
        <v>79</v>
      </c>
      <c r="V714" t="s">
        <v>80</v>
      </c>
      <c r="W714" s="1">
        <v>44521</v>
      </c>
      <c r="X714" t="s">
        <v>81</v>
      </c>
      <c r="Y714" t="s">
        <v>279</v>
      </c>
      <c r="Z714" t="s">
        <v>83</v>
      </c>
      <c r="AA714">
        <v>1</v>
      </c>
      <c r="AB714" t="s">
        <v>280</v>
      </c>
      <c r="AC714">
        <v>1</v>
      </c>
      <c r="AD714" s="6" t="s">
        <v>85</v>
      </c>
      <c r="AE714" s="6" t="s">
        <v>86</v>
      </c>
      <c r="AF714" s="6" t="s">
        <v>281</v>
      </c>
      <c r="AG714" s="6" t="s">
        <v>282</v>
      </c>
      <c r="AH714" s="6" t="s">
        <v>283</v>
      </c>
      <c r="AI714" s="6" t="s">
        <v>90</v>
      </c>
      <c r="AJ714" s="6">
        <v>32.501477999999999</v>
      </c>
      <c r="AK714" s="6">
        <v>-110.682596</v>
      </c>
      <c r="AL714" s="6">
        <v>3</v>
      </c>
      <c r="AM714" s="6"/>
      <c r="AN714" s="6">
        <v>1318</v>
      </c>
      <c r="AO714" s="6"/>
      <c r="AP714" s="6">
        <v>1318</v>
      </c>
      <c r="AQ714" s="6">
        <v>1332.8139309999999</v>
      </c>
      <c r="AR714" s="6"/>
      <c r="AS714" s="6"/>
      <c r="AT714" s="6">
        <v>21</v>
      </c>
      <c r="AU714" s="6">
        <v>11</v>
      </c>
      <c r="AV714" s="6">
        <v>2021</v>
      </c>
      <c r="AW714" s="6">
        <v>2438038</v>
      </c>
      <c r="AX714" s="6">
        <v>2438038</v>
      </c>
      <c r="AY714" s="6" t="s">
        <v>91</v>
      </c>
      <c r="AZ714" t="s">
        <v>92</v>
      </c>
      <c r="BA714" t="s">
        <v>93</v>
      </c>
      <c r="BB714" t="s">
        <v>284</v>
      </c>
      <c r="BC714" t="s">
        <v>95</v>
      </c>
      <c r="BD714" s="1">
        <v>45126</v>
      </c>
      <c r="BE714" t="s">
        <v>96</v>
      </c>
      <c r="BG714" t="s">
        <v>97</v>
      </c>
      <c r="BI714" t="s">
        <v>98</v>
      </c>
      <c r="BJ714" t="s">
        <v>285</v>
      </c>
      <c r="BL714" t="s">
        <v>100</v>
      </c>
    </row>
    <row r="715" spans="1:64" hidden="1" x14ac:dyDescent="0.2">
      <c r="A715">
        <v>896</v>
      </c>
      <c r="B715">
        <v>4070420327</v>
      </c>
      <c r="C715" t="s">
        <v>101</v>
      </c>
      <c r="D715" t="s">
        <v>2933</v>
      </c>
      <c r="E715" t="s">
        <v>65</v>
      </c>
      <c r="F715" t="s">
        <v>66</v>
      </c>
      <c r="G715" t="s">
        <v>67</v>
      </c>
      <c r="H715" t="s">
        <v>68</v>
      </c>
      <c r="I715" t="s">
        <v>176</v>
      </c>
      <c r="J715" t="s">
        <v>177</v>
      </c>
      <c r="K715" t="s">
        <v>178</v>
      </c>
      <c r="M715" t="s">
        <v>72</v>
      </c>
      <c r="N715" t="s">
        <v>179</v>
      </c>
      <c r="O715" t="s">
        <v>178</v>
      </c>
      <c r="P715" t="s">
        <v>180</v>
      </c>
      <c r="Q715" t="s">
        <v>75</v>
      </c>
      <c r="R715" t="s">
        <v>2806</v>
      </c>
      <c r="S715" t="s">
        <v>2929</v>
      </c>
      <c r="T715" t="s">
        <v>78</v>
      </c>
      <c r="U715" t="s">
        <v>1822</v>
      </c>
      <c r="V715" t="s">
        <v>80</v>
      </c>
      <c r="W715" s="1">
        <v>44814</v>
      </c>
      <c r="X715" t="s">
        <v>2778</v>
      </c>
      <c r="Y715" t="s">
        <v>2930</v>
      </c>
      <c r="Z715" t="s">
        <v>83</v>
      </c>
      <c r="AA715">
        <v>1</v>
      </c>
      <c r="AB715" t="s">
        <v>103</v>
      </c>
      <c r="AD715" t="s">
        <v>343</v>
      </c>
      <c r="AE715" t="s">
        <v>86</v>
      </c>
      <c r="AF715" t="s">
        <v>281</v>
      </c>
      <c r="AI715" t="s">
        <v>90</v>
      </c>
      <c r="AJ715">
        <v>32.453733999999997</v>
      </c>
      <c r="AK715">
        <v>-110.745186</v>
      </c>
      <c r="AL715">
        <v>3</v>
      </c>
      <c r="AN715">
        <v>2195</v>
      </c>
      <c r="AP715">
        <v>2195</v>
      </c>
      <c r="AQ715">
        <v>2210.772121</v>
      </c>
      <c r="AT715">
        <v>10</v>
      </c>
      <c r="AU715">
        <v>9</v>
      </c>
      <c r="AV715">
        <v>2022</v>
      </c>
      <c r="AW715">
        <v>2438038</v>
      </c>
      <c r="AX715">
        <v>2438038</v>
      </c>
      <c r="AY715" t="s">
        <v>106</v>
      </c>
      <c r="AZ715" t="s">
        <v>92</v>
      </c>
      <c r="BA715" t="s">
        <v>107</v>
      </c>
      <c r="BB715" t="s">
        <v>2934</v>
      </c>
      <c r="BC715" t="s">
        <v>2245</v>
      </c>
      <c r="BE715" t="s">
        <v>96</v>
      </c>
      <c r="BG715" t="s">
        <v>2811</v>
      </c>
      <c r="BI715" t="s">
        <v>98</v>
      </c>
      <c r="BJ715" t="s">
        <v>2885</v>
      </c>
      <c r="BL715" t="s">
        <v>412</v>
      </c>
    </row>
    <row r="716" spans="1:64" hidden="1" x14ac:dyDescent="0.2">
      <c r="A716">
        <v>128</v>
      </c>
      <c r="B716">
        <v>4403382512</v>
      </c>
      <c r="C716" t="s">
        <v>101</v>
      </c>
      <c r="D716" t="s">
        <v>1570</v>
      </c>
      <c r="E716" t="s">
        <v>65</v>
      </c>
      <c r="F716" t="s">
        <v>66</v>
      </c>
      <c r="G716" t="s">
        <v>67</v>
      </c>
      <c r="H716" t="s">
        <v>68</v>
      </c>
      <c r="I716" t="s">
        <v>176</v>
      </c>
      <c r="J716" t="s">
        <v>177</v>
      </c>
      <c r="K716" t="s">
        <v>178</v>
      </c>
      <c r="M716" t="s">
        <v>72</v>
      </c>
      <c r="N716" t="s">
        <v>179</v>
      </c>
      <c r="O716" t="s">
        <v>178</v>
      </c>
      <c r="P716" t="s">
        <v>180</v>
      </c>
      <c r="Q716" t="s">
        <v>75</v>
      </c>
      <c r="R716" t="s">
        <v>1177</v>
      </c>
      <c r="S716" t="s">
        <v>1565</v>
      </c>
      <c r="T716" t="s">
        <v>78</v>
      </c>
      <c r="U716" t="s">
        <v>646</v>
      </c>
      <c r="V716" t="s">
        <v>1179</v>
      </c>
      <c r="W716" s="1">
        <v>45108</v>
      </c>
      <c r="X716" t="s">
        <v>1180</v>
      </c>
      <c r="Y716" t="s">
        <v>1566</v>
      </c>
      <c r="Z716" t="s">
        <v>83</v>
      </c>
      <c r="AA716">
        <v>1</v>
      </c>
      <c r="AB716" t="s">
        <v>367</v>
      </c>
      <c r="AC716">
        <v>0</v>
      </c>
      <c r="AD716" t="s">
        <v>128</v>
      </c>
      <c r="AE716" t="s">
        <v>145</v>
      </c>
      <c r="AF716" t="s">
        <v>402</v>
      </c>
      <c r="AG716" t="s">
        <v>344</v>
      </c>
      <c r="AI716" t="s">
        <v>90</v>
      </c>
      <c r="AJ716">
        <v>32.449652999999998</v>
      </c>
      <c r="AK716">
        <v>-110.73842399999999</v>
      </c>
      <c r="AL716">
        <v>3</v>
      </c>
      <c r="AN716">
        <v>2094</v>
      </c>
      <c r="AP716">
        <v>2094</v>
      </c>
      <c r="AQ716">
        <v>2090.4213049999998</v>
      </c>
      <c r="AT716">
        <v>1</v>
      </c>
      <c r="AU716">
        <v>7</v>
      </c>
      <c r="AV716">
        <v>2023</v>
      </c>
      <c r="AW716">
        <v>2438038</v>
      </c>
      <c r="AX716">
        <v>2438038</v>
      </c>
      <c r="AY716" t="s">
        <v>106</v>
      </c>
      <c r="AZ716" t="s">
        <v>92</v>
      </c>
      <c r="BA716" t="s">
        <v>107</v>
      </c>
      <c r="BB716" t="s">
        <v>1571</v>
      </c>
      <c r="BC716" t="s">
        <v>1186</v>
      </c>
      <c r="BD716" s="1">
        <v>45108</v>
      </c>
      <c r="BE716" t="s">
        <v>96</v>
      </c>
      <c r="BG716" t="s">
        <v>1187</v>
      </c>
      <c r="BI716" t="s">
        <v>98</v>
      </c>
      <c r="BJ716" t="s">
        <v>1572</v>
      </c>
      <c r="BL716" t="s">
        <v>110</v>
      </c>
    </row>
    <row r="717" spans="1:64" hidden="1" x14ac:dyDescent="0.2">
      <c r="A717">
        <v>132</v>
      </c>
      <c r="B717">
        <v>4403382508</v>
      </c>
      <c r="C717" t="s">
        <v>101</v>
      </c>
      <c r="D717" t="s">
        <v>1576</v>
      </c>
      <c r="E717" t="s">
        <v>65</v>
      </c>
      <c r="F717" t="s">
        <v>66</v>
      </c>
      <c r="G717" t="s">
        <v>67</v>
      </c>
      <c r="H717" t="s">
        <v>68</v>
      </c>
      <c r="I717" t="s">
        <v>176</v>
      </c>
      <c r="J717" t="s">
        <v>177</v>
      </c>
      <c r="K717" t="s">
        <v>178</v>
      </c>
      <c r="M717" t="s">
        <v>72</v>
      </c>
      <c r="N717" t="s">
        <v>179</v>
      </c>
      <c r="O717" t="s">
        <v>178</v>
      </c>
      <c r="P717" t="s">
        <v>180</v>
      </c>
      <c r="Q717" t="s">
        <v>75</v>
      </c>
      <c r="R717" t="s">
        <v>1177</v>
      </c>
      <c r="S717" t="s">
        <v>1577</v>
      </c>
      <c r="T717" t="s">
        <v>78</v>
      </c>
      <c r="U717" t="s">
        <v>646</v>
      </c>
      <c r="V717" t="s">
        <v>1179</v>
      </c>
      <c r="W717" s="1">
        <v>45108</v>
      </c>
      <c r="X717" t="s">
        <v>1180</v>
      </c>
      <c r="Y717" t="s">
        <v>1578</v>
      </c>
      <c r="Z717" t="s">
        <v>83</v>
      </c>
      <c r="AA717">
        <v>1</v>
      </c>
      <c r="AB717" t="s">
        <v>367</v>
      </c>
      <c r="AC717">
        <v>0</v>
      </c>
      <c r="AD717" t="s">
        <v>128</v>
      </c>
      <c r="AE717" t="s">
        <v>145</v>
      </c>
      <c r="AF717" t="s">
        <v>402</v>
      </c>
      <c r="AG717" t="s">
        <v>344</v>
      </c>
      <c r="AI717" t="s">
        <v>90</v>
      </c>
      <c r="AJ717">
        <v>32.448816000000001</v>
      </c>
      <c r="AK717">
        <v>-110.737647</v>
      </c>
      <c r="AN717">
        <v>2076</v>
      </c>
      <c r="AP717">
        <v>2076</v>
      </c>
      <c r="AQ717">
        <v>2081.1325510000001</v>
      </c>
      <c r="AT717">
        <v>1</v>
      </c>
      <c r="AU717">
        <v>7</v>
      </c>
      <c r="AV717">
        <v>2023</v>
      </c>
      <c r="AW717">
        <v>2438038</v>
      </c>
      <c r="AX717">
        <v>2438038</v>
      </c>
      <c r="AY717" t="s">
        <v>106</v>
      </c>
      <c r="AZ717" t="s">
        <v>92</v>
      </c>
      <c r="BA717" t="s">
        <v>107</v>
      </c>
      <c r="BB717" t="s">
        <v>1579</v>
      </c>
      <c r="BC717" t="s">
        <v>1186</v>
      </c>
      <c r="BD717" s="1">
        <v>45108</v>
      </c>
      <c r="BE717" t="s">
        <v>96</v>
      </c>
      <c r="BG717" t="s">
        <v>1187</v>
      </c>
      <c r="BI717" t="s">
        <v>98</v>
      </c>
      <c r="BJ717" t="s">
        <v>1563</v>
      </c>
      <c r="BK717" t="s">
        <v>365</v>
      </c>
      <c r="BL717" t="s">
        <v>110</v>
      </c>
    </row>
    <row r="718" spans="1:64" hidden="1" x14ac:dyDescent="0.2">
      <c r="A718">
        <v>904</v>
      </c>
      <c r="B718">
        <v>4070420318</v>
      </c>
      <c r="C718" t="s">
        <v>101</v>
      </c>
      <c r="D718" t="s">
        <v>2941</v>
      </c>
      <c r="E718" t="s">
        <v>65</v>
      </c>
      <c r="F718" t="s">
        <v>66</v>
      </c>
      <c r="G718" t="s">
        <v>67</v>
      </c>
      <c r="H718" t="s">
        <v>68</v>
      </c>
      <c r="I718" t="s">
        <v>176</v>
      </c>
      <c r="J718" t="s">
        <v>177</v>
      </c>
      <c r="K718" t="s">
        <v>178</v>
      </c>
      <c r="M718" t="s">
        <v>72</v>
      </c>
      <c r="N718" t="s">
        <v>179</v>
      </c>
      <c r="O718" t="s">
        <v>178</v>
      </c>
      <c r="P718" t="s">
        <v>180</v>
      </c>
      <c r="Q718" t="s">
        <v>75</v>
      </c>
      <c r="R718" t="s">
        <v>2806</v>
      </c>
      <c r="S718" t="s">
        <v>815</v>
      </c>
      <c r="T718" t="s">
        <v>78</v>
      </c>
      <c r="U718" t="s">
        <v>1822</v>
      </c>
      <c r="V718" t="s">
        <v>80</v>
      </c>
      <c r="W718" s="1">
        <v>44814</v>
      </c>
      <c r="X718" t="s">
        <v>2778</v>
      </c>
      <c r="Y718" t="s">
        <v>2938</v>
      </c>
      <c r="Z718" t="s">
        <v>83</v>
      </c>
      <c r="AA718">
        <v>1</v>
      </c>
      <c r="AB718" t="s">
        <v>103</v>
      </c>
      <c r="AD718" t="s">
        <v>343</v>
      </c>
      <c r="AE718" t="s">
        <v>145</v>
      </c>
      <c r="AF718" t="s">
        <v>146</v>
      </c>
      <c r="AI718" t="s">
        <v>90</v>
      </c>
      <c r="AJ718">
        <v>32.452944000000002</v>
      </c>
      <c r="AK718">
        <v>-110.746416</v>
      </c>
      <c r="AL718">
        <v>3</v>
      </c>
      <c r="AN718">
        <v>2219</v>
      </c>
      <c r="AP718">
        <v>2219</v>
      </c>
      <c r="AQ718">
        <v>2233.2087879999999</v>
      </c>
      <c r="AT718">
        <v>10</v>
      </c>
      <c r="AU718">
        <v>9</v>
      </c>
      <c r="AV718">
        <v>2022</v>
      </c>
      <c r="AW718">
        <v>2438038</v>
      </c>
      <c r="AX718">
        <v>2438038</v>
      </c>
      <c r="AY718" t="s">
        <v>106</v>
      </c>
      <c r="AZ718" t="s">
        <v>92</v>
      </c>
      <c r="BA718" t="s">
        <v>107</v>
      </c>
      <c r="BB718" t="s">
        <v>2942</v>
      </c>
      <c r="BC718" t="s">
        <v>2245</v>
      </c>
      <c r="BE718" t="s">
        <v>96</v>
      </c>
      <c r="BG718" t="s">
        <v>2811</v>
      </c>
      <c r="BI718" t="s">
        <v>98</v>
      </c>
      <c r="BJ718" t="s">
        <v>2940</v>
      </c>
      <c r="BL718" t="s">
        <v>412</v>
      </c>
    </row>
    <row r="719" spans="1:64" hidden="1" x14ac:dyDescent="0.2">
      <c r="A719">
        <v>118</v>
      </c>
      <c r="B719">
        <v>4403382522</v>
      </c>
      <c r="C719" t="s">
        <v>101</v>
      </c>
      <c r="D719" t="s">
        <v>1588</v>
      </c>
      <c r="E719" t="s">
        <v>65</v>
      </c>
      <c r="F719" t="s">
        <v>66</v>
      </c>
      <c r="G719" t="s">
        <v>67</v>
      </c>
      <c r="H719" t="s">
        <v>68</v>
      </c>
      <c r="I719" t="s">
        <v>176</v>
      </c>
      <c r="J719" t="s">
        <v>177</v>
      </c>
      <c r="K719" t="s">
        <v>178</v>
      </c>
      <c r="M719" t="s">
        <v>72</v>
      </c>
      <c r="N719" t="s">
        <v>179</v>
      </c>
      <c r="O719" t="s">
        <v>178</v>
      </c>
      <c r="P719" t="s">
        <v>180</v>
      </c>
      <c r="Q719" t="s">
        <v>75</v>
      </c>
      <c r="R719" t="s">
        <v>1177</v>
      </c>
      <c r="S719" t="s">
        <v>1584</v>
      </c>
      <c r="T719" t="s">
        <v>78</v>
      </c>
      <c r="U719" t="s">
        <v>646</v>
      </c>
      <c r="V719" t="s">
        <v>1179</v>
      </c>
      <c r="W719" s="1">
        <v>45108</v>
      </c>
      <c r="X719" t="s">
        <v>1180</v>
      </c>
      <c r="Y719" t="s">
        <v>1585</v>
      </c>
      <c r="Z719" t="s">
        <v>83</v>
      </c>
      <c r="AA719">
        <v>1</v>
      </c>
      <c r="AB719" t="s">
        <v>367</v>
      </c>
      <c r="AC719">
        <v>0</v>
      </c>
      <c r="AD719" t="s">
        <v>128</v>
      </c>
      <c r="AE719" t="s">
        <v>145</v>
      </c>
      <c r="AF719" t="s">
        <v>402</v>
      </c>
      <c r="AG719" t="s">
        <v>344</v>
      </c>
      <c r="AI719" t="s">
        <v>90</v>
      </c>
      <c r="AJ719">
        <v>32.449100999999999</v>
      </c>
      <c r="AK719">
        <v>-110.737835</v>
      </c>
      <c r="AL719">
        <v>3</v>
      </c>
      <c r="AN719">
        <v>2065</v>
      </c>
      <c r="AP719">
        <v>2065</v>
      </c>
      <c r="AQ719">
        <v>2086.6606980000001</v>
      </c>
      <c r="AT719">
        <v>1</v>
      </c>
      <c r="AU719">
        <v>7</v>
      </c>
      <c r="AV719">
        <v>2023</v>
      </c>
      <c r="AW719">
        <v>2438038</v>
      </c>
      <c r="AX719">
        <v>2438038</v>
      </c>
      <c r="AY719" t="s">
        <v>106</v>
      </c>
      <c r="AZ719" t="s">
        <v>92</v>
      </c>
      <c r="BA719" t="s">
        <v>107</v>
      </c>
      <c r="BB719" t="s">
        <v>1589</v>
      </c>
      <c r="BC719" t="s">
        <v>1186</v>
      </c>
      <c r="BD719" s="1">
        <v>45108</v>
      </c>
      <c r="BE719" t="s">
        <v>96</v>
      </c>
      <c r="BG719" t="s">
        <v>1187</v>
      </c>
      <c r="BI719" t="s">
        <v>98</v>
      </c>
      <c r="BJ719" t="s">
        <v>1590</v>
      </c>
      <c r="BL719" t="s">
        <v>412</v>
      </c>
    </row>
    <row r="720" spans="1:64" x14ac:dyDescent="0.2">
      <c r="A720">
        <v>1477</v>
      </c>
      <c r="B720">
        <v>3748770404</v>
      </c>
      <c r="C720" t="s">
        <v>63</v>
      </c>
      <c r="D720" t="s">
        <v>4303</v>
      </c>
      <c r="E720" t="s">
        <v>65</v>
      </c>
      <c r="F720" t="s">
        <v>66</v>
      </c>
      <c r="G720" t="s">
        <v>67</v>
      </c>
      <c r="H720" t="s">
        <v>68</v>
      </c>
      <c r="I720" t="s">
        <v>176</v>
      </c>
      <c r="J720" t="s">
        <v>177</v>
      </c>
      <c r="K720" t="s">
        <v>3925</v>
      </c>
      <c r="M720" t="s">
        <v>72</v>
      </c>
      <c r="N720" t="s">
        <v>3926</v>
      </c>
      <c r="O720" t="s">
        <v>3925</v>
      </c>
      <c r="P720" t="s">
        <v>1176</v>
      </c>
      <c r="Q720" t="s">
        <v>75</v>
      </c>
      <c r="R720" t="s">
        <v>4297</v>
      </c>
      <c r="S720" t="s">
        <v>4304</v>
      </c>
      <c r="T720" t="s">
        <v>78</v>
      </c>
      <c r="U720" t="s">
        <v>79</v>
      </c>
      <c r="V720" t="s">
        <v>80</v>
      </c>
      <c r="W720" s="1">
        <v>44521</v>
      </c>
      <c r="X720" t="s">
        <v>81</v>
      </c>
      <c r="Y720" t="s">
        <v>4305</v>
      </c>
      <c r="Z720" t="s">
        <v>83</v>
      </c>
      <c r="AA720">
        <v>1</v>
      </c>
      <c r="AB720" t="s">
        <v>4306</v>
      </c>
      <c r="AC720">
        <v>1</v>
      </c>
      <c r="AD720" s="6" t="s">
        <v>85</v>
      </c>
      <c r="AE720" s="6" t="s">
        <v>86</v>
      </c>
      <c r="AF720" s="6" t="s">
        <v>146</v>
      </c>
      <c r="AG720" s="6" t="s">
        <v>4307</v>
      </c>
      <c r="AH720" s="6" t="s">
        <v>4308</v>
      </c>
      <c r="AI720" s="6" t="s">
        <v>90</v>
      </c>
      <c r="AJ720" s="6">
        <v>32.499819000000002</v>
      </c>
      <c r="AK720" s="6">
        <v>-110.68379899999999</v>
      </c>
      <c r="AL720" s="6">
        <v>3</v>
      </c>
      <c r="AM720" s="6"/>
      <c r="AN720" s="6">
        <v>1332</v>
      </c>
      <c r="AO720" s="6"/>
      <c r="AP720" s="6">
        <v>1332</v>
      </c>
      <c r="AQ720" s="6">
        <v>1335.8770300000001</v>
      </c>
      <c r="AR720" s="6"/>
      <c r="AS720" s="6"/>
      <c r="AT720" s="6">
        <v>21</v>
      </c>
      <c r="AU720" s="6">
        <v>11</v>
      </c>
      <c r="AV720" s="6">
        <v>2021</v>
      </c>
      <c r="AW720" s="6">
        <v>2437981</v>
      </c>
      <c r="AX720" s="6">
        <v>2437981</v>
      </c>
      <c r="AY720" s="6" t="s">
        <v>91</v>
      </c>
      <c r="AZ720" t="s">
        <v>92</v>
      </c>
      <c r="BA720" t="s">
        <v>93</v>
      </c>
      <c r="BB720" t="s">
        <v>4309</v>
      </c>
      <c r="BC720" t="s">
        <v>97</v>
      </c>
      <c r="BE720" t="s">
        <v>96</v>
      </c>
      <c r="BG720" t="s">
        <v>97</v>
      </c>
      <c r="BI720" t="s">
        <v>98</v>
      </c>
      <c r="BJ720" t="s">
        <v>285</v>
      </c>
      <c r="BL720" t="s">
        <v>100</v>
      </c>
    </row>
    <row r="721" spans="1:64" hidden="1" x14ac:dyDescent="0.2">
      <c r="A721">
        <v>915</v>
      </c>
      <c r="B721">
        <v>4070420305</v>
      </c>
      <c r="C721" t="s">
        <v>101</v>
      </c>
      <c r="D721" t="s">
        <v>2950</v>
      </c>
      <c r="E721" t="s">
        <v>65</v>
      </c>
      <c r="F721" t="s">
        <v>66</v>
      </c>
      <c r="G721" t="s">
        <v>67</v>
      </c>
      <c r="H721" t="s">
        <v>68</v>
      </c>
      <c r="I721" t="s">
        <v>176</v>
      </c>
      <c r="J721" t="s">
        <v>177</v>
      </c>
      <c r="K721" t="s">
        <v>178</v>
      </c>
      <c r="M721" t="s">
        <v>72</v>
      </c>
      <c r="N721" t="s">
        <v>179</v>
      </c>
      <c r="O721" t="s">
        <v>178</v>
      </c>
      <c r="P721" t="s">
        <v>180</v>
      </c>
      <c r="Q721" t="s">
        <v>75</v>
      </c>
      <c r="R721" t="s">
        <v>2806</v>
      </c>
      <c r="S721" t="s">
        <v>2944</v>
      </c>
      <c r="T721" t="s">
        <v>78</v>
      </c>
      <c r="U721" t="s">
        <v>1822</v>
      </c>
      <c r="V721" t="s">
        <v>80</v>
      </c>
      <c r="W721" s="1">
        <v>44814</v>
      </c>
      <c r="X721" t="s">
        <v>2778</v>
      </c>
      <c r="Y721" t="s">
        <v>2945</v>
      </c>
      <c r="Z721" t="s">
        <v>83</v>
      </c>
      <c r="AA721">
        <v>1</v>
      </c>
      <c r="AB721" t="s">
        <v>103</v>
      </c>
      <c r="AD721" t="s">
        <v>343</v>
      </c>
      <c r="AE721" t="s">
        <v>86</v>
      </c>
      <c r="AF721" t="s">
        <v>146</v>
      </c>
      <c r="AI721" t="s">
        <v>90</v>
      </c>
      <c r="AJ721">
        <v>32.453822000000002</v>
      </c>
      <c r="AK721">
        <v>-110.745199</v>
      </c>
      <c r="AL721">
        <v>3</v>
      </c>
      <c r="AN721">
        <v>2191</v>
      </c>
      <c r="AP721">
        <v>2191</v>
      </c>
      <c r="AQ721">
        <v>2210.86996</v>
      </c>
      <c r="AT721">
        <v>10</v>
      </c>
      <c r="AU721">
        <v>9</v>
      </c>
      <c r="AV721">
        <v>2022</v>
      </c>
      <c r="AW721">
        <v>2438038</v>
      </c>
      <c r="AX721">
        <v>2438038</v>
      </c>
      <c r="AY721" t="s">
        <v>106</v>
      </c>
      <c r="AZ721" t="s">
        <v>92</v>
      </c>
      <c r="BA721" t="s">
        <v>107</v>
      </c>
      <c r="BB721" t="s">
        <v>2951</v>
      </c>
      <c r="BC721" t="s">
        <v>2245</v>
      </c>
      <c r="BE721" t="s">
        <v>96</v>
      </c>
      <c r="BG721" t="s">
        <v>2811</v>
      </c>
      <c r="BI721" t="s">
        <v>98</v>
      </c>
      <c r="BJ721" t="s">
        <v>2947</v>
      </c>
      <c r="BL721" t="s">
        <v>412</v>
      </c>
    </row>
    <row r="722" spans="1:64" hidden="1" x14ac:dyDescent="0.2">
      <c r="A722">
        <v>121</v>
      </c>
      <c r="B722">
        <v>4403382519</v>
      </c>
      <c r="C722" t="s">
        <v>101</v>
      </c>
      <c r="D722" t="s">
        <v>1597</v>
      </c>
      <c r="E722" t="s">
        <v>65</v>
      </c>
      <c r="F722" t="s">
        <v>66</v>
      </c>
      <c r="G722" t="s">
        <v>67</v>
      </c>
      <c r="H722" t="s">
        <v>68</v>
      </c>
      <c r="I722" t="s">
        <v>176</v>
      </c>
      <c r="J722" t="s">
        <v>177</v>
      </c>
      <c r="K722" t="s">
        <v>178</v>
      </c>
      <c r="M722" t="s">
        <v>72</v>
      </c>
      <c r="N722" t="s">
        <v>179</v>
      </c>
      <c r="O722" t="s">
        <v>178</v>
      </c>
      <c r="P722" t="s">
        <v>180</v>
      </c>
      <c r="Q722" t="s">
        <v>75</v>
      </c>
      <c r="R722" t="s">
        <v>1177</v>
      </c>
      <c r="S722" t="s">
        <v>1592</v>
      </c>
      <c r="T722" t="s">
        <v>78</v>
      </c>
      <c r="U722" t="s">
        <v>646</v>
      </c>
      <c r="V722" t="s">
        <v>1179</v>
      </c>
      <c r="W722" s="1">
        <v>45108</v>
      </c>
      <c r="X722" t="s">
        <v>1180</v>
      </c>
      <c r="Y722" t="s">
        <v>1593</v>
      </c>
      <c r="Z722" t="s">
        <v>83</v>
      </c>
      <c r="AA722">
        <v>1</v>
      </c>
      <c r="AB722" t="s">
        <v>367</v>
      </c>
      <c r="AC722">
        <v>0</v>
      </c>
      <c r="AD722" t="s">
        <v>128</v>
      </c>
      <c r="AE722" t="s">
        <v>86</v>
      </c>
      <c r="AF722" t="s">
        <v>402</v>
      </c>
      <c r="AG722" t="s">
        <v>1595</v>
      </c>
      <c r="AI722" t="s">
        <v>90</v>
      </c>
      <c r="AJ722">
        <v>32.449677000000001</v>
      </c>
      <c r="AK722">
        <v>-110.73831199999999</v>
      </c>
      <c r="AL722">
        <v>3</v>
      </c>
      <c r="AN722">
        <v>2088</v>
      </c>
      <c r="AP722">
        <v>2088</v>
      </c>
      <c r="AQ722">
        <v>2090.828</v>
      </c>
      <c r="AT722">
        <v>1</v>
      </c>
      <c r="AU722">
        <v>7</v>
      </c>
      <c r="AV722">
        <v>2023</v>
      </c>
      <c r="AW722">
        <v>2438038</v>
      </c>
      <c r="AX722">
        <v>2438038</v>
      </c>
      <c r="AY722" t="s">
        <v>106</v>
      </c>
      <c r="AZ722" t="s">
        <v>92</v>
      </c>
      <c r="BA722" t="s">
        <v>107</v>
      </c>
      <c r="BB722" t="s">
        <v>1598</v>
      </c>
      <c r="BC722" t="s">
        <v>1186</v>
      </c>
      <c r="BD722" s="1">
        <v>45108</v>
      </c>
      <c r="BE722" t="s">
        <v>96</v>
      </c>
      <c r="BG722" t="s">
        <v>1187</v>
      </c>
      <c r="BI722" t="s">
        <v>98</v>
      </c>
      <c r="BJ722" t="s">
        <v>1569</v>
      </c>
      <c r="BK722" t="s">
        <v>365</v>
      </c>
      <c r="BL722" t="s">
        <v>110</v>
      </c>
    </row>
    <row r="723" spans="1:64" hidden="1" x14ac:dyDescent="0.2">
      <c r="A723">
        <v>913</v>
      </c>
      <c r="B723">
        <v>4070420309</v>
      </c>
      <c r="C723" t="s">
        <v>101</v>
      </c>
      <c r="D723" s="2" t="s">
        <v>2955</v>
      </c>
      <c r="E723" t="s">
        <v>65</v>
      </c>
      <c r="F723" t="s">
        <v>66</v>
      </c>
      <c r="G723" t="s">
        <v>67</v>
      </c>
      <c r="H723" t="s">
        <v>68</v>
      </c>
      <c r="I723" t="s">
        <v>176</v>
      </c>
      <c r="J723" t="s">
        <v>177</v>
      </c>
      <c r="K723" t="s">
        <v>178</v>
      </c>
      <c r="M723" t="s">
        <v>72</v>
      </c>
      <c r="N723" t="s">
        <v>179</v>
      </c>
      <c r="O723" t="s">
        <v>178</v>
      </c>
      <c r="P723" t="s">
        <v>180</v>
      </c>
      <c r="Q723" t="s">
        <v>75</v>
      </c>
      <c r="R723" t="s">
        <v>2806</v>
      </c>
      <c r="S723" t="s">
        <v>823</v>
      </c>
      <c r="T723" t="s">
        <v>78</v>
      </c>
      <c r="U723" t="s">
        <v>1822</v>
      </c>
      <c r="V723" t="s">
        <v>80</v>
      </c>
      <c r="W723" s="1">
        <v>44814</v>
      </c>
      <c r="X723" t="s">
        <v>2778</v>
      </c>
      <c r="Y723" t="s">
        <v>2953</v>
      </c>
      <c r="Z723" t="s">
        <v>83</v>
      </c>
      <c r="AA723">
        <v>1</v>
      </c>
      <c r="AB723" t="s">
        <v>103</v>
      </c>
      <c r="AD723" t="s">
        <v>343</v>
      </c>
      <c r="AE723" t="s">
        <v>86</v>
      </c>
      <c r="AF723" t="s">
        <v>146</v>
      </c>
      <c r="AI723" t="s">
        <v>90</v>
      </c>
      <c r="AJ723">
        <v>32.452317000000001</v>
      </c>
      <c r="AK723">
        <v>-110.746362</v>
      </c>
      <c r="AL723">
        <v>3</v>
      </c>
      <c r="AN723">
        <v>2208</v>
      </c>
      <c r="AP723">
        <v>2208</v>
      </c>
      <c r="AQ723">
        <v>2209.284455</v>
      </c>
      <c r="AT723">
        <v>10</v>
      </c>
      <c r="AU723">
        <v>9</v>
      </c>
      <c r="AV723">
        <v>2022</v>
      </c>
      <c r="AW723">
        <v>2438038</v>
      </c>
      <c r="AX723">
        <v>2438038</v>
      </c>
      <c r="AY723" t="s">
        <v>106</v>
      </c>
      <c r="AZ723" t="s">
        <v>92</v>
      </c>
      <c r="BA723" t="s">
        <v>107</v>
      </c>
      <c r="BB723" t="s">
        <v>2956</v>
      </c>
      <c r="BC723" t="s">
        <v>2245</v>
      </c>
      <c r="BE723" t="s">
        <v>96</v>
      </c>
      <c r="BG723" t="s">
        <v>2811</v>
      </c>
      <c r="BI723" t="s">
        <v>98</v>
      </c>
      <c r="BJ723" t="s">
        <v>1688</v>
      </c>
      <c r="BL723" t="s">
        <v>412</v>
      </c>
    </row>
    <row r="724" spans="1:64" hidden="1" x14ac:dyDescent="0.2">
      <c r="A724">
        <v>144</v>
      </c>
      <c r="B724">
        <v>4403382496</v>
      </c>
      <c r="C724" t="s">
        <v>101</v>
      </c>
      <c r="D724" t="s">
        <v>1605</v>
      </c>
      <c r="E724" t="s">
        <v>65</v>
      </c>
      <c r="F724" t="s">
        <v>66</v>
      </c>
      <c r="G724" t="s">
        <v>67</v>
      </c>
      <c r="H724" t="s">
        <v>68</v>
      </c>
      <c r="I724" t="s">
        <v>176</v>
      </c>
      <c r="J724" t="s">
        <v>177</v>
      </c>
      <c r="K724" t="s">
        <v>178</v>
      </c>
      <c r="M724" t="s">
        <v>72</v>
      </c>
      <c r="N724" t="s">
        <v>179</v>
      </c>
      <c r="O724" t="s">
        <v>178</v>
      </c>
      <c r="P724" t="s">
        <v>180</v>
      </c>
      <c r="Q724" t="s">
        <v>75</v>
      </c>
      <c r="R724" t="s">
        <v>1177</v>
      </c>
      <c r="S724" t="s">
        <v>437</v>
      </c>
      <c r="T724" t="s">
        <v>78</v>
      </c>
      <c r="U724" t="s">
        <v>646</v>
      </c>
      <c r="V724" t="s">
        <v>1179</v>
      </c>
      <c r="W724" s="1">
        <v>45108</v>
      </c>
      <c r="X724" t="s">
        <v>1180</v>
      </c>
      <c r="Y724" t="s">
        <v>1600</v>
      </c>
      <c r="Z724" t="s">
        <v>83</v>
      </c>
      <c r="AA724">
        <v>1</v>
      </c>
      <c r="AB724" t="s">
        <v>367</v>
      </c>
      <c r="AC724">
        <v>0</v>
      </c>
      <c r="AD724" t="s">
        <v>128</v>
      </c>
      <c r="AE724" t="s">
        <v>86</v>
      </c>
      <c r="AF724" t="s">
        <v>402</v>
      </c>
      <c r="AG724" t="s">
        <v>1602</v>
      </c>
      <c r="AI724" t="s">
        <v>90</v>
      </c>
      <c r="AJ724">
        <v>32.449317999999998</v>
      </c>
      <c r="AK724">
        <v>-110.737779</v>
      </c>
      <c r="AL724">
        <v>3</v>
      </c>
      <c r="AN724">
        <v>2072</v>
      </c>
      <c r="AP724">
        <v>2072</v>
      </c>
      <c r="AQ724">
        <v>2089.6323969999999</v>
      </c>
      <c r="AT724">
        <v>1</v>
      </c>
      <c r="AU724">
        <v>7</v>
      </c>
      <c r="AV724">
        <v>2023</v>
      </c>
      <c r="AW724">
        <v>2438038</v>
      </c>
      <c r="AX724">
        <v>2438038</v>
      </c>
      <c r="AY724" t="s">
        <v>106</v>
      </c>
      <c r="AZ724" t="s">
        <v>92</v>
      </c>
      <c r="BA724" t="s">
        <v>107</v>
      </c>
      <c r="BB724" t="s">
        <v>1606</v>
      </c>
      <c r="BC724" t="s">
        <v>1186</v>
      </c>
      <c r="BD724" s="1">
        <v>45108</v>
      </c>
      <c r="BE724" t="s">
        <v>96</v>
      </c>
      <c r="BG724" t="s">
        <v>1187</v>
      </c>
      <c r="BI724" t="s">
        <v>98</v>
      </c>
      <c r="BJ724" t="s">
        <v>1607</v>
      </c>
      <c r="BL724" t="s">
        <v>412</v>
      </c>
    </row>
    <row r="725" spans="1:64" hidden="1" x14ac:dyDescent="0.2">
      <c r="A725">
        <v>909</v>
      </c>
      <c r="B725">
        <v>4070420313</v>
      </c>
      <c r="C725" t="s">
        <v>101</v>
      </c>
      <c r="D725" t="s">
        <v>2960</v>
      </c>
      <c r="E725" t="s">
        <v>65</v>
      </c>
      <c r="F725" t="s">
        <v>66</v>
      </c>
      <c r="G725" t="s">
        <v>67</v>
      </c>
      <c r="H725" t="s">
        <v>68</v>
      </c>
      <c r="I725" t="s">
        <v>176</v>
      </c>
      <c r="J725" t="s">
        <v>177</v>
      </c>
      <c r="K725" t="s">
        <v>178</v>
      </c>
      <c r="M725" t="s">
        <v>72</v>
      </c>
      <c r="N725" t="s">
        <v>179</v>
      </c>
      <c r="O725" t="s">
        <v>178</v>
      </c>
      <c r="P725" t="s">
        <v>180</v>
      </c>
      <c r="Q725" t="s">
        <v>75</v>
      </c>
      <c r="R725" t="s">
        <v>2806</v>
      </c>
      <c r="S725" t="s">
        <v>830</v>
      </c>
      <c r="T725" t="s">
        <v>78</v>
      </c>
      <c r="U725" t="s">
        <v>1822</v>
      </c>
      <c r="V725" t="s">
        <v>80</v>
      </c>
      <c r="W725" s="1">
        <v>44814</v>
      </c>
      <c r="X725" t="s">
        <v>2778</v>
      </c>
      <c r="Y725" t="s">
        <v>2958</v>
      </c>
      <c r="Z725" t="s">
        <v>83</v>
      </c>
      <c r="AA725">
        <v>1</v>
      </c>
      <c r="AB725" t="s">
        <v>103</v>
      </c>
      <c r="AD725" t="s">
        <v>343</v>
      </c>
      <c r="AE725" t="s">
        <v>145</v>
      </c>
      <c r="AF725" t="s">
        <v>146</v>
      </c>
      <c r="AI725" t="s">
        <v>90</v>
      </c>
      <c r="AJ725">
        <v>32.452244999999998</v>
      </c>
      <c r="AK725">
        <v>-110.746408</v>
      </c>
      <c r="AL725">
        <v>3</v>
      </c>
      <c r="AN725">
        <v>2205</v>
      </c>
      <c r="AP725">
        <v>2205</v>
      </c>
      <c r="AQ725">
        <v>2207.1639970000001</v>
      </c>
      <c r="AT725">
        <v>10</v>
      </c>
      <c r="AU725">
        <v>9</v>
      </c>
      <c r="AV725">
        <v>2022</v>
      </c>
      <c r="AW725">
        <v>2438038</v>
      </c>
      <c r="AX725">
        <v>2438038</v>
      </c>
      <c r="AY725" t="s">
        <v>106</v>
      </c>
      <c r="AZ725" t="s">
        <v>92</v>
      </c>
      <c r="BA725" t="s">
        <v>107</v>
      </c>
      <c r="BB725" t="s">
        <v>2961</v>
      </c>
      <c r="BC725" t="s">
        <v>2245</v>
      </c>
      <c r="BE725" t="s">
        <v>96</v>
      </c>
      <c r="BG725" t="s">
        <v>2811</v>
      </c>
      <c r="BI725" t="s">
        <v>98</v>
      </c>
      <c r="BJ725" t="s">
        <v>2910</v>
      </c>
      <c r="BL725" t="s">
        <v>412</v>
      </c>
    </row>
    <row r="726" spans="1:64" hidden="1" x14ac:dyDescent="0.2">
      <c r="A726">
        <v>148</v>
      </c>
      <c r="B726">
        <v>4403382492</v>
      </c>
      <c r="C726" t="s">
        <v>101</v>
      </c>
      <c r="D726" t="s">
        <v>1612</v>
      </c>
      <c r="E726" t="s">
        <v>65</v>
      </c>
      <c r="F726" t="s">
        <v>66</v>
      </c>
      <c r="G726" t="s">
        <v>67</v>
      </c>
      <c r="H726" t="s">
        <v>68</v>
      </c>
      <c r="I726" t="s">
        <v>176</v>
      </c>
      <c r="J726" t="s">
        <v>177</v>
      </c>
      <c r="K726" t="s">
        <v>178</v>
      </c>
      <c r="M726" t="s">
        <v>72</v>
      </c>
      <c r="N726" t="s">
        <v>179</v>
      </c>
      <c r="O726" t="s">
        <v>178</v>
      </c>
      <c r="P726" t="s">
        <v>180</v>
      </c>
      <c r="Q726" t="s">
        <v>75</v>
      </c>
      <c r="R726" t="s">
        <v>1177</v>
      </c>
      <c r="S726" t="s">
        <v>607</v>
      </c>
      <c r="T726" t="s">
        <v>78</v>
      </c>
      <c r="U726" t="s">
        <v>646</v>
      </c>
      <c r="V726" t="s">
        <v>1179</v>
      </c>
      <c r="W726" s="1">
        <v>45108</v>
      </c>
      <c r="X726" t="s">
        <v>1180</v>
      </c>
      <c r="Y726" t="s">
        <v>1609</v>
      </c>
      <c r="Z726" t="s">
        <v>83</v>
      </c>
      <c r="AA726">
        <v>1</v>
      </c>
      <c r="AB726" t="s">
        <v>367</v>
      </c>
      <c r="AC726">
        <v>0</v>
      </c>
      <c r="AD726" t="s">
        <v>128</v>
      </c>
      <c r="AE726" t="s">
        <v>145</v>
      </c>
      <c r="AF726" t="s">
        <v>402</v>
      </c>
      <c r="AG726" t="s">
        <v>344</v>
      </c>
      <c r="AI726" t="s">
        <v>90</v>
      </c>
      <c r="AJ726">
        <v>32.449050999999997</v>
      </c>
      <c r="AK726">
        <v>-110.73769799999999</v>
      </c>
      <c r="AN726">
        <v>2076</v>
      </c>
      <c r="AP726">
        <v>2076</v>
      </c>
      <c r="AQ726">
        <v>2085.9180000000001</v>
      </c>
      <c r="AT726">
        <v>1</v>
      </c>
      <c r="AU726">
        <v>7</v>
      </c>
      <c r="AV726">
        <v>2023</v>
      </c>
      <c r="AW726">
        <v>2438038</v>
      </c>
      <c r="AX726">
        <v>2438038</v>
      </c>
      <c r="AY726" t="s">
        <v>106</v>
      </c>
      <c r="AZ726" t="s">
        <v>92</v>
      </c>
      <c r="BA726" t="s">
        <v>107</v>
      </c>
      <c r="BB726" t="s">
        <v>1613</v>
      </c>
      <c r="BC726" t="s">
        <v>1186</v>
      </c>
      <c r="BD726" s="1">
        <v>45108</v>
      </c>
      <c r="BE726" t="s">
        <v>96</v>
      </c>
      <c r="BG726" t="s">
        <v>1187</v>
      </c>
      <c r="BI726" t="s">
        <v>98</v>
      </c>
      <c r="BJ726" t="s">
        <v>1614</v>
      </c>
      <c r="BL726" t="s">
        <v>110</v>
      </c>
    </row>
    <row r="727" spans="1:64" hidden="1" x14ac:dyDescent="0.2">
      <c r="A727">
        <v>857</v>
      </c>
      <c r="B727">
        <v>4070420366</v>
      </c>
      <c r="C727" t="s">
        <v>101</v>
      </c>
      <c r="D727" t="s">
        <v>2967</v>
      </c>
      <c r="E727" t="s">
        <v>65</v>
      </c>
      <c r="F727" t="s">
        <v>66</v>
      </c>
      <c r="G727" t="s">
        <v>67</v>
      </c>
      <c r="H727" t="s">
        <v>68</v>
      </c>
      <c r="I727" t="s">
        <v>176</v>
      </c>
      <c r="J727" t="s">
        <v>177</v>
      </c>
      <c r="K727" t="s">
        <v>178</v>
      </c>
      <c r="M727" t="s">
        <v>72</v>
      </c>
      <c r="N727" t="s">
        <v>179</v>
      </c>
      <c r="O727" t="s">
        <v>178</v>
      </c>
      <c r="P727" t="s">
        <v>180</v>
      </c>
      <c r="Q727" t="s">
        <v>75</v>
      </c>
      <c r="R727" t="s">
        <v>2806</v>
      </c>
      <c r="S727" t="s">
        <v>2963</v>
      </c>
      <c r="T727" t="s">
        <v>78</v>
      </c>
      <c r="U727" t="s">
        <v>1822</v>
      </c>
      <c r="V727" t="s">
        <v>80</v>
      </c>
      <c r="W727" s="1">
        <v>44814</v>
      </c>
      <c r="X727" t="s">
        <v>2778</v>
      </c>
      <c r="Y727" t="s">
        <v>2964</v>
      </c>
      <c r="Z727" t="s">
        <v>83</v>
      </c>
      <c r="AA727">
        <v>1</v>
      </c>
      <c r="AB727" t="s">
        <v>103</v>
      </c>
      <c r="AD727" t="s">
        <v>343</v>
      </c>
      <c r="AE727" t="s">
        <v>86</v>
      </c>
      <c r="AF727" t="s">
        <v>146</v>
      </c>
      <c r="AI727" t="s">
        <v>90</v>
      </c>
      <c r="AJ727">
        <v>32.453946000000002</v>
      </c>
      <c r="AK727">
        <v>-110.74514000000001</v>
      </c>
      <c r="AL727">
        <v>3</v>
      </c>
      <c r="AN727">
        <v>2193</v>
      </c>
      <c r="AP727">
        <v>2193</v>
      </c>
      <c r="AQ727">
        <v>2207.946019</v>
      </c>
      <c r="AT727">
        <v>10</v>
      </c>
      <c r="AU727">
        <v>9</v>
      </c>
      <c r="AV727">
        <v>2022</v>
      </c>
      <c r="AW727">
        <v>2438038</v>
      </c>
      <c r="AX727">
        <v>2438038</v>
      </c>
      <c r="AY727" t="s">
        <v>106</v>
      </c>
      <c r="AZ727" t="s">
        <v>92</v>
      </c>
      <c r="BA727" t="s">
        <v>107</v>
      </c>
      <c r="BB727" t="s">
        <v>2968</v>
      </c>
      <c r="BC727" t="s">
        <v>2245</v>
      </c>
      <c r="BE727" t="s">
        <v>96</v>
      </c>
      <c r="BG727" t="s">
        <v>2811</v>
      </c>
      <c r="BI727" t="s">
        <v>98</v>
      </c>
      <c r="BJ727" t="s">
        <v>2966</v>
      </c>
      <c r="BL727" t="s">
        <v>412</v>
      </c>
    </row>
    <row r="728" spans="1:64" hidden="1" x14ac:dyDescent="0.2">
      <c r="A728">
        <v>152</v>
      </c>
      <c r="B728">
        <v>4403382488</v>
      </c>
      <c r="C728" t="s">
        <v>101</v>
      </c>
      <c r="D728" t="s">
        <v>1620</v>
      </c>
      <c r="E728" t="s">
        <v>65</v>
      </c>
      <c r="F728" t="s">
        <v>66</v>
      </c>
      <c r="G728" t="s">
        <v>67</v>
      </c>
      <c r="H728" t="s">
        <v>68</v>
      </c>
      <c r="I728" t="s">
        <v>176</v>
      </c>
      <c r="J728" t="s">
        <v>177</v>
      </c>
      <c r="K728" t="s">
        <v>178</v>
      </c>
      <c r="M728" t="s">
        <v>72</v>
      </c>
      <c r="N728" t="s">
        <v>179</v>
      </c>
      <c r="O728" t="s">
        <v>178</v>
      </c>
      <c r="P728" t="s">
        <v>180</v>
      </c>
      <c r="Q728" t="s">
        <v>75</v>
      </c>
      <c r="R728" t="s">
        <v>1177</v>
      </c>
      <c r="S728" t="s">
        <v>569</v>
      </c>
      <c r="T728" t="s">
        <v>78</v>
      </c>
      <c r="U728" t="s">
        <v>646</v>
      </c>
      <c r="V728" t="s">
        <v>1179</v>
      </c>
      <c r="W728" s="1">
        <v>45108</v>
      </c>
      <c r="X728" t="s">
        <v>1180</v>
      </c>
      <c r="Y728" t="s">
        <v>1616</v>
      </c>
      <c r="Z728" t="s">
        <v>83</v>
      </c>
      <c r="AA728">
        <v>1</v>
      </c>
      <c r="AB728" t="s">
        <v>367</v>
      </c>
      <c r="AC728">
        <v>0</v>
      </c>
      <c r="AD728" t="s">
        <v>128</v>
      </c>
      <c r="AE728" t="s">
        <v>86</v>
      </c>
      <c r="AF728" t="s">
        <v>610</v>
      </c>
      <c r="AG728" t="s">
        <v>1595</v>
      </c>
      <c r="AI728" t="s">
        <v>90</v>
      </c>
      <c r="AJ728">
        <v>32.449451000000003</v>
      </c>
      <c r="AK728">
        <v>-110.73769799999999</v>
      </c>
      <c r="AN728">
        <v>2074</v>
      </c>
      <c r="AP728">
        <v>2074</v>
      </c>
      <c r="AQ728">
        <v>2091.3344000000002</v>
      </c>
      <c r="AT728">
        <v>1</v>
      </c>
      <c r="AU728">
        <v>7</v>
      </c>
      <c r="AV728">
        <v>2023</v>
      </c>
      <c r="AW728">
        <v>2438038</v>
      </c>
      <c r="AX728">
        <v>2438038</v>
      </c>
      <c r="AY728" t="s">
        <v>106</v>
      </c>
      <c r="AZ728" t="s">
        <v>92</v>
      </c>
      <c r="BA728" t="s">
        <v>107</v>
      </c>
      <c r="BB728" t="s">
        <v>1621</v>
      </c>
      <c r="BC728" t="s">
        <v>1186</v>
      </c>
      <c r="BD728" s="1">
        <v>45108</v>
      </c>
      <c r="BE728" t="s">
        <v>96</v>
      </c>
      <c r="BG728" t="s">
        <v>1187</v>
      </c>
      <c r="BI728" t="s">
        <v>98</v>
      </c>
      <c r="BJ728" t="s">
        <v>1622</v>
      </c>
      <c r="BL728" t="s">
        <v>412</v>
      </c>
    </row>
    <row r="729" spans="1:64" hidden="1" x14ac:dyDescent="0.2">
      <c r="A729">
        <v>853</v>
      </c>
      <c r="B729">
        <v>4070420370</v>
      </c>
      <c r="C729" t="s">
        <v>101</v>
      </c>
      <c r="D729" t="s">
        <v>2973</v>
      </c>
      <c r="E729" t="s">
        <v>65</v>
      </c>
      <c r="F729" t="s">
        <v>66</v>
      </c>
      <c r="G729" t="s">
        <v>67</v>
      </c>
      <c r="H729" t="s">
        <v>68</v>
      </c>
      <c r="I729" t="s">
        <v>176</v>
      </c>
      <c r="J729" t="s">
        <v>177</v>
      </c>
      <c r="K729" t="s">
        <v>178</v>
      </c>
      <c r="M729" t="s">
        <v>72</v>
      </c>
      <c r="N729" t="s">
        <v>179</v>
      </c>
      <c r="O729" t="s">
        <v>178</v>
      </c>
      <c r="P729" t="s">
        <v>180</v>
      </c>
      <c r="Q729" t="s">
        <v>75</v>
      </c>
      <c r="R729" t="s">
        <v>2806</v>
      </c>
      <c r="S729" t="s">
        <v>2091</v>
      </c>
      <c r="T729" t="s">
        <v>78</v>
      </c>
      <c r="U729" t="s">
        <v>1822</v>
      </c>
      <c r="V729" t="s">
        <v>80</v>
      </c>
      <c r="W729" s="1">
        <v>44814</v>
      </c>
      <c r="X729" t="s">
        <v>2778</v>
      </c>
      <c r="Y729" t="s">
        <v>2970</v>
      </c>
      <c r="Z729" t="s">
        <v>83</v>
      </c>
      <c r="AA729">
        <v>1</v>
      </c>
      <c r="AB729" t="s">
        <v>103</v>
      </c>
      <c r="AD729" t="s">
        <v>343</v>
      </c>
      <c r="AE729" t="s">
        <v>86</v>
      </c>
      <c r="AF729" t="s">
        <v>146</v>
      </c>
      <c r="AI729" t="s">
        <v>90</v>
      </c>
      <c r="AJ729">
        <v>32.451875000000001</v>
      </c>
      <c r="AK729">
        <v>-110.74621999999999</v>
      </c>
      <c r="AL729">
        <v>30</v>
      </c>
      <c r="AN729">
        <v>2195</v>
      </c>
      <c r="AP729">
        <v>2195</v>
      </c>
      <c r="AQ729">
        <v>2196.0579980000002</v>
      </c>
      <c r="AT729">
        <v>10</v>
      </c>
      <c r="AU729">
        <v>9</v>
      </c>
      <c r="AV729">
        <v>2022</v>
      </c>
      <c r="AW729">
        <v>2438038</v>
      </c>
      <c r="AX729">
        <v>2438038</v>
      </c>
      <c r="AY729" t="s">
        <v>106</v>
      </c>
      <c r="AZ729" t="s">
        <v>92</v>
      </c>
      <c r="BA729" t="s">
        <v>107</v>
      </c>
      <c r="BB729" t="s">
        <v>2974</v>
      </c>
      <c r="BC729" t="s">
        <v>2245</v>
      </c>
      <c r="BE729" t="s">
        <v>96</v>
      </c>
      <c r="BG729" t="s">
        <v>2811</v>
      </c>
      <c r="BI729" t="s">
        <v>98</v>
      </c>
      <c r="BJ729" t="s">
        <v>2972</v>
      </c>
      <c r="BL729" t="s">
        <v>412</v>
      </c>
    </row>
    <row r="730" spans="1:64" hidden="1" x14ac:dyDescent="0.2">
      <c r="A730">
        <v>136</v>
      </c>
      <c r="B730">
        <v>4403382504</v>
      </c>
      <c r="C730" t="s">
        <v>101</v>
      </c>
      <c r="D730" t="s">
        <v>1628</v>
      </c>
      <c r="E730" t="s">
        <v>65</v>
      </c>
      <c r="F730" t="s">
        <v>66</v>
      </c>
      <c r="G730" t="s">
        <v>67</v>
      </c>
      <c r="H730" t="s">
        <v>68</v>
      </c>
      <c r="I730" t="s">
        <v>176</v>
      </c>
      <c r="J730" t="s">
        <v>177</v>
      </c>
      <c r="K730" t="s">
        <v>178</v>
      </c>
      <c r="M730" t="s">
        <v>72</v>
      </c>
      <c r="N730" t="s">
        <v>179</v>
      </c>
      <c r="O730" t="s">
        <v>178</v>
      </c>
      <c r="P730" t="s">
        <v>180</v>
      </c>
      <c r="Q730" t="s">
        <v>75</v>
      </c>
      <c r="R730" t="s">
        <v>1177</v>
      </c>
      <c r="S730" t="s">
        <v>1624</v>
      </c>
      <c r="T730" t="s">
        <v>78</v>
      </c>
      <c r="U730" t="s">
        <v>646</v>
      </c>
      <c r="V730" t="s">
        <v>1179</v>
      </c>
      <c r="W730" s="1">
        <v>45108</v>
      </c>
      <c r="X730" t="s">
        <v>1180</v>
      </c>
      <c r="Y730" t="s">
        <v>1625</v>
      </c>
      <c r="Z730" t="s">
        <v>83</v>
      </c>
      <c r="AA730">
        <v>1</v>
      </c>
      <c r="AB730" t="s">
        <v>367</v>
      </c>
      <c r="AC730">
        <v>0</v>
      </c>
      <c r="AD730" t="s">
        <v>128</v>
      </c>
      <c r="AE730" t="s">
        <v>86</v>
      </c>
      <c r="AF730" t="s">
        <v>610</v>
      </c>
      <c r="AG730" t="s">
        <v>1595</v>
      </c>
      <c r="AI730" t="s">
        <v>90</v>
      </c>
      <c r="AJ730">
        <v>32.449663999999999</v>
      </c>
      <c r="AK730">
        <v>-110.738276</v>
      </c>
      <c r="AL730">
        <v>3</v>
      </c>
      <c r="AN730">
        <v>2092</v>
      </c>
      <c r="AP730">
        <v>2092</v>
      </c>
      <c r="AQ730">
        <v>2090.9935999999998</v>
      </c>
      <c r="AT730">
        <v>1</v>
      </c>
      <c r="AU730">
        <v>7</v>
      </c>
      <c r="AV730">
        <v>2023</v>
      </c>
      <c r="AW730">
        <v>2438038</v>
      </c>
      <c r="AX730">
        <v>2438038</v>
      </c>
      <c r="AY730" t="s">
        <v>106</v>
      </c>
      <c r="AZ730" t="s">
        <v>92</v>
      </c>
      <c r="BA730" t="s">
        <v>107</v>
      </c>
      <c r="BB730" t="s">
        <v>1629</v>
      </c>
      <c r="BC730" t="s">
        <v>1186</v>
      </c>
      <c r="BD730" s="1">
        <v>45108</v>
      </c>
      <c r="BE730" t="s">
        <v>96</v>
      </c>
      <c r="BG730" t="s">
        <v>1187</v>
      </c>
      <c r="BI730" t="s">
        <v>98</v>
      </c>
      <c r="BJ730" t="s">
        <v>1630</v>
      </c>
      <c r="BL730" t="s">
        <v>110</v>
      </c>
    </row>
    <row r="731" spans="1:64" hidden="1" x14ac:dyDescent="0.2">
      <c r="A731">
        <v>870</v>
      </c>
      <c r="B731">
        <v>4070420353</v>
      </c>
      <c r="C731" t="s">
        <v>101</v>
      </c>
      <c r="D731" t="s">
        <v>2978</v>
      </c>
      <c r="E731" t="s">
        <v>65</v>
      </c>
      <c r="F731" t="s">
        <v>66</v>
      </c>
      <c r="G731" t="s">
        <v>67</v>
      </c>
      <c r="H731" t="s">
        <v>68</v>
      </c>
      <c r="I731" t="s">
        <v>176</v>
      </c>
      <c r="J731" t="s">
        <v>177</v>
      </c>
      <c r="K731" t="s">
        <v>178</v>
      </c>
      <c r="M731" t="s">
        <v>72</v>
      </c>
      <c r="N731" t="s">
        <v>179</v>
      </c>
      <c r="O731" t="s">
        <v>178</v>
      </c>
      <c r="P731" t="s">
        <v>180</v>
      </c>
      <c r="Q731" t="s">
        <v>75</v>
      </c>
      <c r="R731" t="s">
        <v>2806</v>
      </c>
      <c r="S731" t="s">
        <v>838</v>
      </c>
      <c r="T731" t="s">
        <v>78</v>
      </c>
      <c r="U731" t="s">
        <v>1822</v>
      </c>
      <c r="V731" t="s">
        <v>80</v>
      </c>
      <c r="W731" s="1">
        <v>44814</v>
      </c>
      <c r="X731" t="s">
        <v>2778</v>
      </c>
      <c r="Y731" t="s">
        <v>2976</v>
      </c>
      <c r="Z731" t="s">
        <v>83</v>
      </c>
      <c r="AA731">
        <v>1</v>
      </c>
      <c r="AB731" t="s">
        <v>103</v>
      </c>
      <c r="AD731" t="s">
        <v>343</v>
      </c>
      <c r="AE731" t="s">
        <v>86</v>
      </c>
      <c r="AF731" t="s">
        <v>146</v>
      </c>
      <c r="AI731" t="s">
        <v>90</v>
      </c>
      <c r="AJ731">
        <v>32.451875000000001</v>
      </c>
      <c r="AK731">
        <v>-110.74621999999999</v>
      </c>
      <c r="AL731">
        <v>30</v>
      </c>
      <c r="AN731">
        <v>2195</v>
      </c>
      <c r="AP731">
        <v>2195</v>
      </c>
      <c r="AQ731">
        <v>2196.0579980000002</v>
      </c>
      <c r="AT731">
        <v>10</v>
      </c>
      <c r="AU731">
        <v>9</v>
      </c>
      <c r="AV731">
        <v>2022</v>
      </c>
      <c r="AW731">
        <v>2438038</v>
      </c>
      <c r="AX731">
        <v>2438038</v>
      </c>
      <c r="AY731" t="s">
        <v>106</v>
      </c>
      <c r="AZ731" t="s">
        <v>92</v>
      </c>
      <c r="BA731" t="s">
        <v>107</v>
      </c>
      <c r="BB731" t="s">
        <v>2979</v>
      </c>
      <c r="BC731" t="s">
        <v>2245</v>
      </c>
      <c r="BE731" t="s">
        <v>96</v>
      </c>
      <c r="BG731" t="s">
        <v>2811</v>
      </c>
      <c r="BI731" t="s">
        <v>98</v>
      </c>
      <c r="BJ731" t="s">
        <v>2980</v>
      </c>
      <c r="BL731" t="s">
        <v>412</v>
      </c>
    </row>
    <row r="732" spans="1:64" hidden="1" x14ac:dyDescent="0.2">
      <c r="A732">
        <v>164</v>
      </c>
      <c r="B732">
        <v>4403382476</v>
      </c>
      <c r="C732" t="s">
        <v>101</v>
      </c>
      <c r="D732" t="s">
        <v>1639</v>
      </c>
      <c r="E732" t="s">
        <v>65</v>
      </c>
      <c r="F732" t="s">
        <v>66</v>
      </c>
      <c r="G732" t="s">
        <v>67</v>
      </c>
      <c r="H732" t="s">
        <v>68</v>
      </c>
      <c r="I732" t="s">
        <v>176</v>
      </c>
      <c r="J732" t="s">
        <v>177</v>
      </c>
      <c r="K732" t="s">
        <v>178</v>
      </c>
      <c r="M732" t="s">
        <v>72</v>
      </c>
      <c r="N732" t="s">
        <v>179</v>
      </c>
      <c r="O732" t="s">
        <v>178</v>
      </c>
      <c r="P732" t="s">
        <v>180</v>
      </c>
      <c r="Q732" t="s">
        <v>75</v>
      </c>
      <c r="R732" t="s">
        <v>1177</v>
      </c>
      <c r="S732" t="s">
        <v>1635</v>
      </c>
      <c r="T732" t="s">
        <v>78</v>
      </c>
      <c r="U732" t="s">
        <v>646</v>
      </c>
      <c r="V732" t="s">
        <v>1179</v>
      </c>
      <c r="W732" s="1">
        <v>45108</v>
      </c>
      <c r="X732" t="s">
        <v>1180</v>
      </c>
      <c r="Y732" t="s">
        <v>1636</v>
      </c>
      <c r="Z732" t="s">
        <v>83</v>
      </c>
      <c r="AA732">
        <v>1</v>
      </c>
      <c r="AB732" t="s">
        <v>367</v>
      </c>
      <c r="AC732">
        <v>0</v>
      </c>
      <c r="AD732" t="s">
        <v>128</v>
      </c>
      <c r="AE732" t="s">
        <v>86</v>
      </c>
      <c r="AF732" t="s">
        <v>610</v>
      </c>
      <c r="AG732" t="s">
        <v>1595</v>
      </c>
      <c r="AI732" t="s">
        <v>90</v>
      </c>
      <c r="AJ732">
        <v>32.448991999999997</v>
      </c>
      <c r="AK732">
        <v>-110.737639</v>
      </c>
      <c r="AN732">
        <v>2077</v>
      </c>
      <c r="AP732">
        <v>2077</v>
      </c>
      <c r="AQ732">
        <v>2084.8560000000002</v>
      </c>
      <c r="AT732">
        <v>1</v>
      </c>
      <c r="AU732">
        <v>7</v>
      </c>
      <c r="AV732">
        <v>2023</v>
      </c>
      <c r="AW732">
        <v>2438038</v>
      </c>
      <c r="AX732">
        <v>2438038</v>
      </c>
      <c r="AY732" t="s">
        <v>106</v>
      </c>
      <c r="AZ732" t="s">
        <v>92</v>
      </c>
      <c r="BA732" t="s">
        <v>107</v>
      </c>
      <c r="BB732" t="s">
        <v>1640</v>
      </c>
      <c r="BC732" t="s">
        <v>1186</v>
      </c>
      <c r="BD732" s="1">
        <v>45108</v>
      </c>
      <c r="BE732" t="s">
        <v>96</v>
      </c>
      <c r="BG732" t="s">
        <v>1187</v>
      </c>
      <c r="BI732" t="s">
        <v>98</v>
      </c>
      <c r="BJ732" t="s">
        <v>1641</v>
      </c>
      <c r="BL732" t="s">
        <v>110</v>
      </c>
    </row>
    <row r="733" spans="1:64" hidden="1" x14ac:dyDescent="0.2">
      <c r="A733">
        <v>866</v>
      </c>
      <c r="B733">
        <v>4070420357</v>
      </c>
      <c r="C733" t="s">
        <v>101</v>
      </c>
      <c r="D733" t="s">
        <v>2986</v>
      </c>
      <c r="E733" t="s">
        <v>65</v>
      </c>
      <c r="F733" t="s">
        <v>66</v>
      </c>
      <c r="G733" t="s">
        <v>67</v>
      </c>
      <c r="H733" t="s">
        <v>68</v>
      </c>
      <c r="I733" t="s">
        <v>176</v>
      </c>
      <c r="J733" t="s">
        <v>177</v>
      </c>
      <c r="K733" t="s">
        <v>178</v>
      </c>
      <c r="M733" t="s">
        <v>72</v>
      </c>
      <c r="N733" t="s">
        <v>179</v>
      </c>
      <c r="O733" t="s">
        <v>178</v>
      </c>
      <c r="P733" t="s">
        <v>180</v>
      </c>
      <c r="Q733" t="s">
        <v>75</v>
      </c>
      <c r="R733" t="s">
        <v>2806</v>
      </c>
      <c r="S733" t="s">
        <v>2982</v>
      </c>
      <c r="T733" t="s">
        <v>78</v>
      </c>
      <c r="U733" t="s">
        <v>1822</v>
      </c>
      <c r="V733" t="s">
        <v>80</v>
      </c>
      <c r="W733" s="1">
        <v>44814</v>
      </c>
      <c r="X733" t="s">
        <v>2778</v>
      </c>
      <c r="Y733" t="s">
        <v>2983</v>
      </c>
      <c r="Z733" t="s">
        <v>83</v>
      </c>
      <c r="AA733">
        <v>1</v>
      </c>
      <c r="AB733" t="s">
        <v>103</v>
      </c>
      <c r="AD733" t="s">
        <v>343</v>
      </c>
      <c r="AE733" t="s">
        <v>145</v>
      </c>
      <c r="AF733" t="s">
        <v>146</v>
      </c>
      <c r="AI733" t="s">
        <v>90</v>
      </c>
      <c r="AJ733">
        <v>32.454039000000002</v>
      </c>
      <c r="AK733">
        <v>-110.74514600000001</v>
      </c>
      <c r="AL733">
        <v>3</v>
      </c>
      <c r="AN733">
        <v>2194</v>
      </c>
      <c r="AP733">
        <v>2194</v>
      </c>
      <c r="AQ733">
        <v>2208.0508300000001</v>
      </c>
      <c r="AT733">
        <v>10</v>
      </c>
      <c r="AU733">
        <v>9</v>
      </c>
      <c r="AV733">
        <v>2022</v>
      </c>
      <c r="AW733">
        <v>2438038</v>
      </c>
      <c r="AX733">
        <v>2438038</v>
      </c>
      <c r="AY733" t="s">
        <v>106</v>
      </c>
      <c r="AZ733" t="s">
        <v>92</v>
      </c>
      <c r="BA733" t="s">
        <v>107</v>
      </c>
      <c r="BB733" t="s">
        <v>2987</v>
      </c>
      <c r="BC733" t="s">
        <v>2245</v>
      </c>
      <c r="BE733" t="s">
        <v>96</v>
      </c>
      <c r="BG733" t="s">
        <v>2811</v>
      </c>
      <c r="BI733" t="s">
        <v>98</v>
      </c>
      <c r="BJ733" t="s">
        <v>2896</v>
      </c>
      <c r="BL733" t="s">
        <v>412</v>
      </c>
    </row>
    <row r="734" spans="1:64" hidden="1" x14ac:dyDescent="0.2">
      <c r="A734">
        <v>82</v>
      </c>
      <c r="B734">
        <v>4403382558</v>
      </c>
      <c r="C734" t="s">
        <v>101</v>
      </c>
      <c r="D734" t="s">
        <v>1750</v>
      </c>
      <c r="E734" t="s">
        <v>65</v>
      </c>
      <c r="F734" t="s">
        <v>66</v>
      </c>
      <c r="G734" t="s">
        <v>67</v>
      </c>
      <c r="H734" t="s">
        <v>68</v>
      </c>
      <c r="I734" t="s">
        <v>176</v>
      </c>
      <c r="J734" t="s">
        <v>1251</v>
      </c>
      <c r="K734" t="s">
        <v>1252</v>
      </c>
      <c r="M734" t="s">
        <v>72</v>
      </c>
      <c r="N734" t="s">
        <v>1253</v>
      </c>
      <c r="O734" t="s">
        <v>1252</v>
      </c>
      <c r="P734" t="s">
        <v>1254</v>
      </c>
      <c r="Q734" t="s">
        <v>75</v>
      </c>
      <c r="R734" t="s">
        <v>1177</v>
      </c>
      <c r="S734" t="s">
        <v>1751</v>
      </c>
      <c r="T734" t="s">
        <v>78</v>
      </c>
      <c r="U734" t="s">
        <v>646</v>
      </c>
      <c r="V734" t="s">
        <v>1179</v>
      </c>
      <c r="W734" s="1">
        <v>45109</v>
      </c>
      <c r="X734" t="s">
        <v>1180</v>
      </c>
      <c r="Y734" t="s">
        <v>1752</v>
      </c>
      <c r="Z734" t="s">
        <v>83</v>
      </c>
      <c r="AA734">
        <v>1</v>
      </c>
      <c r="AB734" t="s">
        <v>367</v>
      </c>
      <c r="AC734">
        <v>0</v>
      </c>
      <c r="AD734" t="s">
        <v>128</v>
      </c>
      <c r="AE734" t="s">
        <v>145</v>
      </c>
      <c r="AF734" t="s">
        <v>359</v>
      </c>
      <c r="AG734" t="s">
        <v>1526</v>
      </c>
      <c r="AI734" t="s">
        <v>90</v>
      </c>
      <c r="AJ734">
        <v>32.449879000000003</v>
      </c>
      <c r="AK734">
        <v>-110.738057</v>
      </c>
      <c r="AL734">
        <v>3</v>
      </c>
      <c r="AN734">
        <v>2090</v>
      </c>
      <c r="AP734">
        <v>2090</v>
      </c>
      <c r="AQ734">
        <v>2094.1213349999998</v>
      </c>
      <c r="AT734">
        <v>2</v>
      </c>
      <c r="AU734">
        <v>7</v>
      </c>
      <c r="AV734">
        <v>2023</v>
      </c>
      <c r="AW734">
        <v>2438156</v>
      </c>
      <c r="AX734">
        <v>2438156</v>
      </c>
      <c r="AY734" t="s">
        <v>106</v>
      </c>
      <c r="AZ734" t="s">
        <v>92</v>
      </c>
      <c r="BA734" t="s">
        <v>107</v>
      </c>
      <c r="BB734" t="s">
        <v>1753</v>
      </c>
      <c r="BC734" t="s">
        <v>1186</v>
      </c>
      <c r="BD734" s="1">
        <v>45109</v>
      </c>
      <c r="BE734" t="s">
        <v>96</v>
      </c>
      <c r="BG734" t="s">
        <v>1649</v>
      </c>
      <c r="BI734" t="s">
        <v>98</v>
      </c>
      <c r="BJ734" t="s">
        <v>1754</v>
      </c>
      <c r="BK734" t="s">
        <v>365</v>
      </c>
      <c r="BL734" t="s">
        <v>110</v>
      </c>
    </row>
    <row r="735" spans="1:64" hidden="1" x14ac:dyDescent="0.2">
      <c r="A735">
        <v>862</v>
      </c>
      <c r="B735">
        <v>4070420361</v>
      </c>
      <c r="C735" t="s">
        <v>101</v>
      </c>
      <c r="D735" t="s">
        <v>2991</v>
      </c>
      <c r="E735" t="s">
        <v>65</v>
      </c>
      <c r="F735" t="s">
        <v>66</v>
      </c>
      <c r="G735" t="s">
        <v>67</v>
      </c>
      <c r="H735" t="s">
        <v>68</v>
      </c>
      <c r="I735" t="s">
        <v>176</v>
      </c>
      <c r="J735" t="s">
        <v>177</v>
      </c>
      <c r="K735" t="s">
        <v>178</v>
      </c>
      <c r="M735" t="s">
        <v>72</v>
      </c>
      <c r="N735" t="s">
        <v>179</v>
      </c>
      <c r="O735" t="s">
        <v>178</v>
      </c>
      <c r="P735" t="s">
        <v>180</v>
      </c>
      <c r="Q735" t="s">
        <v>75</v>
      </c>
      <c r="R735" t="s">
        <v>2806</v>
      </c>
      <c r="S735" t="s">
        <v>1103</v>
      </c>
      <c r="T735" t="s">
        <v>78</v>
      </c>
      <c r="U735" t="s">
        <v>1822</v>
      </c>
      <c r="V735" t="s">
        <v>80</v>
      </c>
      <c r="W735" s="1">
        <v>44814</v>
      </c>
      <c r="X735" t="s">
        <v>2778</v>
      </c>
      <c r="Y735" t="s">
        <v>2989</v>
      </c>
      <c r="Z735" t="s">
        <v>83</v>
      </c>
      <c r="AA735">
        <v>1</v>
      </c>
      <c r="AB735" t="s">
        <v>103</v>
      </c>
      <c r="AD735" t="s">
        <v>343</v>
      </c>
      <c r="AE735" t="s">
        <v>145</v>
      </c>
      <c r="AF735" t="s">
        <v>146</v>
      </c>
      <c r="AI735" t="s">
        <v>90</v>
      </c>
      <c r="AJ735">
        <v>32.452697999999998</v>
      </c>
      <c r="AK735">
        <v>-110.746953</v>
      </c>
      <c r="AL735">
        <v>3</v>
      </c>
      <c r="AN735">
        <v>2232</v>
      </c>
      <c r="AP735">
        <v>2232</v>
      </c>
      <c r="AQ735">
        <v>2231.625599</v>
      </c>
      <c r="AT735">
        <v>10</v>
      </c>
      <c r="AU735">
        <v>9</v>
      </c>
      <c r="AV735">
        <v>2022</v>
      </c>
      <c r="AW735">
        <v>2438038</v>
      </c>
      <c r="AX735">
        <v>2438038</v>
      </c>
      <c r="AY735" t="s">
        <v>106</v>
      </c>
      <c r="AZ735" t="s">
        <v>92</v>
      </c>
      <c r="BA735" t="s">
        <v>107</v>
      </c>
      <c r="BB735" t="s">
        <v>2992</v>
      </c>
      <c r="BC735" t="s">
        <v>2245</v>
      </c>
      <c r="BE735" t="s">
        <v>96</v>
      </c>
      <c r="BG735" t="s">
        <v>2811</v>
      </c>
      <c r="BI735" t="s">
        <v>98</v>
      </c>
      <c r="BJ735" t="s">
        <v>2993</v>
      </c>
      <c r="BL735" t="s">
        <v>110</v>
      </c>
    </row>
    <row r="736" spans="1:64" hidden="1" x14ac:dyDescent="0.2">
      <c r="A736">
        <v>66</v>
      </c>
      <c r="B736">
        <v>4403382574</v>
      </c>
      <c r="C736" t="s">
        <v>101</v>
      </c>
      <c r="D736" t="s">
        <v>1765</v>
      </c>
      <c r="E736" t="s">
        <v>65</v>
      </c>
      <c r="F736" t="s">
        <v>66</v>
      </c>
      <c r="G736" t="s">
        <v>67</v>
      </c>
      <c r="H736" t="s">
        <v>68</v>
      </c>
      <c r="I736" t="s">
        <v>176</v>
      </c>
      <c r="J736" t="s">
        <v>1251</v>
      </c>
      <c r="K736" t="s">
        <v>1252</v>
      </c>
      <c r="M736" t="s">
        <v>72</v>
      </c>
      <c r="N736" t="s">
        <v>1253</v>
      </c>
      <c r="O736" t="s">
        <v>1252</v>
      </c>
      <c r="P736" t="s">
        <v>1254</v>
      </c>
      <c r="Q736" t="s">
        <v>75</v>
      </c>
      <c r="R736" t="s">
        <v>1177</v>
      </c>
      <c r="S736" t="s">
        <v>1760</v>
      </c>
      <c r="T736" t="s">
        <v>78</v>
      </c>
      <c r="U736" t="s">
        <v>646</v>
      </c>
      <c r="V736" t="s">
        <v>1179</v>
      </c>
      <c r="W736" s="1">
        <v>45109</v>
      </c>
      <c r="X736" t="s">
        <v>1180</v>
      </c>
      <c r="Y736" t="s">
        <v>1761</v>
      </c>
      <c r="Z736" t="s">
        <v>83</v>
      </c>
      <c r="AA736">
        <v>1</v>
      </c>
      <c r="AB736" t="s">
        <v>367</v>
      </c>
      <c r="AC736">
        <v>0</v>
      </c>
      <c r="AD736" t="s">
        <v>128</v>
      </c>
      <c r="AE736" t="s">
        <v>86</v>
      </c>
      <c r="AF736" t="s">
        <v>610</v>
      </c>
      <c r="AG736" t="s">
        <v>497</v>
      </c>
      <c r="AI736" t="s">
        <v>90</v>
      </c>
      <c r="AJ736">
        <v>32.449024999999999</v>
      </c>
      <c r="AK736">
        <v>-110.737736</v>
      </c>
      <c r="AN736">
        <v>2075</v>
      </c>
      <c r="AP736">
        <v>2075</v>
      </c>
      <c r="AQ736">
        <v>2085.4499999999998</v>
      </c>
      <c r="AT736">
        <v>2</v>
      </c>
      <c r="AU736">
        <v>7</v>
      </c>
      <c r="AV736">
        <v>2023</v>
      </c>
      <c r="AW736">
        <v>2438156</v>
      </c>
      <c r="AX736">
        <v>2438156</v>
      </c>
      <c r="AY736" t="s">
        <v>106</v>
      </c>
      <c r="AZ736" t="s">
        <v>92</v>
      </c>
      <c r="BA736" t="s">
        <v>107</v>
      </c>
      <c r="BB736" t="s">
        <v>1766</v>
      </c>
      <c r="BC736" t="s">
        <v>1186</v>
      </c>
      <c r="BD736" s="1">
        <v>45109</v>
      </c>
      <c r="BE736" t="s">
        <v>96</v>
      </c>
      <c r="BG736" t="s">
        <v>1649</v>
      </c>
      <c r="BI736" t="s">
        <v>98</v>
      </c>
      <c r="BJ736" t="s">
        <v>1767</v>
      </c>
      <c r="BL736" t="s">
        <v>110</v>
      </c>
    </row>
    <row r="737" spans="1:64" hidden="1" x14ac:dyDescent="0.2">
      <c r="A737">
        <v>837</v>
      </c>
      <c r="B737">
        <v>4070420386</v>
      </c>
      <c r="C737" t="s">
        <v>101</v>
      </c>
      <c r="D737" t="s">
        <v>2997</v>
      </c>
      <c r="E737" t="s">
        <v>65</v>
      </c>
      <c r="F737" t="s">
        <v>66</v>
      </c>
      <c r="G737" t="s">
        <v>67</v>
      </c>
      <c r="H737" t="s">
        <v>68</v>
      </c>
      <c r="I737" t="s">
        <v>176</v>
      </c>
      <c r="J737" t="s">
        <v>177</v>
      </c>
      <c r="K737" t="s">
        <v>178</v>
      </c>
      <c r="M737" t="s">
        <v>72</v>
      </c>
      <c r="N737" t="s">
        <v>179</v>
      </c>
      <c r="O737" t="s">
        <v>178</v>
      </c>
      <c r="P737" t="s">
        <v>180</v>
      </c>
      <c r="Q737" t="s">
        <v>75</v>
      </c>
      <c r="R737" t="s">
        <v>2806</v>
      </c>
      <c r="S737" t="s">
        <v>1103</v>
      </c>
      <c r="T737" t="s">
        <v>78</v>
      </c>
      <c r="U737" t="s">
        <v>1822</v>
      </c>
      <c r="V737" t="s">
        <v>80</v>
      </c>
      <c r="W737" s="1">
        <v>44814</v>
      </c>
      <c r="X737" t="s">
        <v>2778</v>
      </c>
      <c r="Y737" t="s">
        <v>2989</v>
      </c>
      <c r="Z737" t="s">
        <v>83</v>
      </c>
      <c r="AA737">
        <v>1</v>
      </c>
      <c r="AB737" t="s">
        <v>103</v>
      </c>
      <c r="AD737" t="s">
        <v>343</v>
      </c>
      <c r="AE737" t="s">
        <v>145</v>
      </c>
      <c r="AF737" t="s">
        <v>146</v>
      </c>
      <c r="AI737" t="s">
        <v>90</v>
      </c>
      <c r="AJ737">
        <v>32.452697999999998</v>
      </c>
      <c r="AK737">
        <v>-110.746953</v>
      </c>
      <c r="AL737">
        <v>3</v>
      </c>
      <c r="AN737">
        <v>2232</v>
      </c>
      <c r="AP737">
        <v>2232</v>
      </c>
      <c r="AQ737">
        <v>2231.625599</v>
      </c>
      <c r="AT737">
        <v>10</v>
      </c>
      <c r="AU737">
        <v>9</v>
      </c>
      <c r="AV737">
        <v>2022</v>
      </c>
      <c r="AW737">
        <v>2438038</v>
      </c>
      <c r="AX737">
        <v>2438038</v>
      </c>
      <c r="AY737" t="s">
        <v>106</v>
      </c>
      <c r="AZ737" t="s">
        <v>92</v>
      </c>
      <c r="BA737" t="s">
        <v>107</v>
      </c>
      <c r="BB737" t="s">
        <v>2998</v>
      </c>
      <c r="BC737" t="s">
        <v>2245</v>
      </c>
      <c r="BE737" t="s">
        <v>96</v>
      </c>
      <c r="BG737" t="s">
        <v>2811</v>
      </c>
      <c r="BI737" t="s">
        <v>98</v>
      </c>
      <c r="BJ737" t="s">
        <v>2999</v>
      </c>
      <c r="BL737" t="s">
        <v>110</v>
      </c>
    </row>
    <row r="738" spans="1:64" hidden="1" x14ac:dyDescent="0.2">
      <c r="A738">
        <v>70</v>
      </c>
      <c r="B738">
        <v>4403382570</v>
      </c>
      <c r="C738" t="s">
        <v>101</v>
      </c>
      <c r="D738" t="s">
        <v>1773</v>
      </c>
      <c r="E738" t="s">
        <v>65</v>
      </c>
      <c r="F738" t="s">
        <v>66</v>
      </c>
      <c r="G738" t="s">
        <v>67</v>
      </c>
      <c r="H738" t="s">
        <v>68</v>
      </c>
      <c r="I738" t="s">
        <v>176</v>
      </c>
      <c r="J738" t="s">
        <v>1251</v>
      </c>
      <c r="K738" t="s">
        <v>1252</v>
      </c>
      <c r="M738" t="s">
        <v>72</v>
      </c>
      <c r="N738" t="s">
        <v>1253</v>
      </c>
      <c r="O738" t="s">
        <v>1252</v>
      </c>
      <c r="P738" t="s">
        <v>1254</v>
      </c>
      <c r="Q738" t="s">
        <v>75</v>
      </c>
      <c r="R738" t="s">
        <v>1177</v>
      </c>
      <c r="S738" t="s">
        <v>1769</v>
      </c>
      <c r="T738" t="s">
        <v>78</v>
      </c>
      <c r="U738" t="s">
        <v>646</v>
      </c>
      <c r="V738" t="s">
        <v>1179</v>
      </c>
      <c r="W738" s="1">
        <v>45109</v>
      </c>
      <c r="X738" t="s">
        <v>1180</v>
      </c>
      <c r="Y738" t="s">
        <v>1770</v>
      </c>
      <c r="Z738" t="s">
        <v>83</v>
      </c>
      <c r="AA738">
        <v>1</v>
      </c>
      <c r="AB738" t="s">
        <v>367</v>
      </c>
      <c r="AC738">
        <v>0</v>
      </c>
      <c r="AD738" t="s">
        <v>128</v>
      </c>
      <c r="AE738" t="s">
        <v>86</v>
      </c>
      <c r="AF738" t="s">
        <v>610</v>
      </c>
      <c r="AG738" t="s">
        <v>560</v>
      </c>
      <c r="AI738" t="s">
        <v>90</v>
      </c>
      <c r="AJ738">
        <v>32.449885000000002</v>
      </c>
      <c r="AK738">
        <v>-110.73800300000001</v>
      </c>
      <c r="AL738">
        <v>3</v>
      </c>
      <c r="AN738">
        <v>2089</v>
      </c>
      <c r="AP738">
        <v>2089</v>
      </c>
      <c r="AQ738">
        <v>2094.172</v>
      </c>
      <c r="AT738">
        <v>2</v>
      </c>
      <c r="AU738">
        <v>7</v>
      </c>
      <c r="AV738">
        <v>2023</v>
      </c>
      <c r="AW738">
        <v>2438156</v>
      </c>
      <c r="AX738">
        <v>2438156</v>
      </c>
      <c r="AY738" t="s">
        <v>106</v>
      </c>
      <c r="AZ738" t="s">
        <v>92</v>
      </c>
      <c r="BA738" t="s">
        <v>107</v>
      </c>
      <c r="BB738" t="s">
        <v>1774</v>
      </c>
      <c r="BC738" t="s">
        <v>1186</v>
      </c>
      <c r="BD738" s="1">
        <v>45109</v>
      </c>
      <c r="BE738" t="s">
        <v>96</v>
      </c>
      <c r="BG738" t="s">
        <v>1649</v>
      </c>
      <c r="BI738" t="s">
        <v>98</v>
      </c>
      <c r="BJ738" t="s">
        <v>1775</v>
      </c>
      <c r="BL738" t="s">
        <v>110</v>
      </c>
    </row>
    <row r="739" spans="1:64" hidden="1" x14ac:dyDescent="0.2">
      <c r="A739">
        <v>880</v>
      </c>
      <c r="B739">
        <v>4070420343</v>
      </c>
      <c r="C739" t="s">
        <v>101</v>
      </c>
      <c r="D739" t="s">
        <v>3003</v>
      </c>
      <c r="E739" t="s">
        <v>65</v>
      </c>
      <c r="F739" t="s">
        <v>66</v>
      </c>
      <c r="G739" t="s">
        <v>67</v>
      </c>
      <c r="H739" t="s">
        <v>68</v>
      </c>
      <c r="I739" t="s">
        <v>176</v>
      </c>
      <c r="J739" t="s">
        <v>177</v>
      </c>
      <c r="K739" t="s">
        <v>178</v>
      </c>
      <c r="M739" t="s">
        <v>72</v>
      </c>
      <c r="N739" t="s">
        <v>179</v>
      </c>
      <c r="O739" t="s">
        <v>178</v>
      </c>
      <c r="P739" t="s">
        <v>180</v>
      </c>
      <c r="Q739" t="s">
        <v>75</v>
      </c>
      <c r="R739" t="s">
        <v>2806</v>
      </c>
      <c r="S739" t="s">
        <v>2129</v>
      </c>
      <c r="T739" t="s">
        <v>78</v>
      </c>
      <c r="U739" t="s">
        <v>1822</v>
      </c>
      <c r="V739" t="s">
        <v>80</v>
      </c>
      <c r="W739" s="1">
        <v>44814</v>
      </c>
      <c r="X739" t="s">
        <v>2778</v>
      </c>
      <c r="Y739" t="s">
        <v>3001</v>
      </c>
      <c r="Z739" t="s">
        <v>83</v>
      </c>
      <c r="AA739">
        <v>1</v>
      </c>
      <c r="AB739" t="s">
        <v>103</v>
      </c>
      <c r="AD739" t="s">
        <v>343</v>
      </c>
      <c r="AE739" t="s">
        <v>145</v>
      </c>
      <c r="AF739" t="s">
        <v>146</v>
      </c>
      <c r="AI739" t="s">
        <v>90</v>
      </c>
      <c r="AJ739">
        <v>32.451875000000001</v>
      </c>
      <c r="AK739">
        <v>-110.74621999999999</v>
      </c>
      <c r="AL739">
        <v>30</v>
      </c>
      <c r="AN739">
        <v>2195</v>
      </c>
      <c r="AP739">
        <v>2195</v>
      </c>
      <c r="AQ739">
        <v>2196.0579980000002</v>
      </c>
      <c r="AT739">
        <v>10</v>
      </c>
      <c r="AU739">
        <v>9</v>
      </c>
      <c r="AV739">
        <v>2022</v>
      </c>
      <c r="AW739">
        <v>2438038</v>
      </c>
      <c r="AX739">
        <v>2438038</v>
      </c>
      <c r="AY739" t="s">
        <v>106</v>
      </c>
      <c r="AZ739" t="s">
        <v>92</v>
      </c>
      <c r="BA739" t="s">
        <v>107</v>
      </c>
      <c r="BB739" t="s">
        <v>3004</v>
      </c>
      <c r="BC739" t="s">
        <v>2245</v>
      </c>
      <c r="BE739" t="s">
        <v>96</v>
      </c>
      <c r="BG739" t="s">
        <v>2811</v>
      </c>
      <c r="BI739" t="s">
        <v>98</v>
      </c>
      <c r="BJ739" t="s">
        <v>3005</v>
      </c>
      <c r="BL739" t="s">
        <v>412</v>
      </c>
    </row>
    <row r="740" spans="1:64" hidden="1" x14ac:dyDescent="0.2">
      <c r="A740">
        <v>74</v>
      </c>
      <c r="B740">
        <v>4403382566</v>
      </c>
      <c r="C740" t="s">
        <v>101</v>
      </c>
      <c r="D740" t="s">
        <v>1780</v>
      </c>
      <c r="E740" t="s">
        <v>65</v>
      </c>
      <c r="F740" t="s">
        <v>66</v>
      </c>
      <c r="G740" t="s">
        <v>67</v>
      </c>
      <c r="H740" t="s">
        <v>68</v>
      </c>
      <c r="I740" t="s">
        <v>176</v>
      </c>
      <c r="J740" t="s">
        <v>1173</v>
      </c>
      <c r="K740" t="s">
        <v>1174</v>
      </c>
      <c r="M740" t="s">
        <v>72</v>
      </c>
      <c r="N740" t="s">
        <v>1175</v>
      </c>
      <c r="O740" t="s">
        <v>1174</v>
      </c>
      <c r="P740" t="s">
        <v>1176</v>
      </c>
      <c r="Q740" t="s">
        <v>75</v>
      </c>
      <c r="R740" t="s">
        <v>1177</v>
      </c>
      <c r="S740" t="s">
        <v>1643</v>
      </c>
      <c r="T740" t="s">
        <v>78</v>
      </c>
      <c r="U740" t="s">
        <v>646</v>
      </c>
      <c r="V740" t="s">
        <v>1179</v>
      </c>
      <c r="W740" s="1">
        <v>45109</v>
      </c>
      <c r="X740" t="s">
        <v>1180</v>
      </c>
      <c r="Y740" t="s">
        <v>1777</v>
      </c>
      <c r="Z740" t="s">
        <v>83</v>
      </c>
      <c r="AA740">
        <v>1</v>
      </c>
      <c r="AB740" t="s">
        <v>367</v>
      </c>
      <c r="AC740">
        <v>0</v>
      </c>
      <c r="AD740" t="s">
        <v>128</v>
      </c>
      <c r="AE740" t="s">
        <v>145</v>
      </c>
      <c r="AF740" t="s">
        <v>402</v>
      </c>
      <c r="AG740" t="s">
        <v>1526</v>
      </c>
      <c r="AI740" t="s">
        <v>90</v>
      </c>
      <c r="AJ740">
        <v>32.449154</v>
      </c>
      <c r="AK740">
        <v>-110.737861</v>
      </c>
      <c r="AL740">
        <v>3</v>
      </c>
      <c r="AN740">
        <v>2065</v>
      </c>
      <c r="AP740">
        <v>2065</v>
      </c>
      <c r="AQ740">
        <v>2087.4860619999999</v>
      </c>
      <c r="AT740">
        <v>2</v>
      </c>
      <c r="AU740">
        <v>7</v>
      </c>
      <c r="AV740">
        <v>2023</v>
      </c>
      <c r="AW740">
        <v>2437874</v>
      </c>
      <c r="AX740">
        <v>2437874</v>
      </c>
      <c r="AY740" t="s">
        <v>106</v>
      </c>
      <c r="AZ740" t="s">
        <v>92</v>
      </c>
      <c r="BA740" t="s">
        <v>107</v>
      </c>
      <c r="BB740" t="s">
        <v>1781</v>
      </c>
      <c r="BC740" t="s">
        <v>1186</v>
      </c>
      <c r="BD740" s="1">
        <v>45109</v>
      </c>
      <c r="BE740" t="s">
        <v>96</v>
      </c>
      <c r="BG740" t="s">
        <v>1649</v>
      </c>
      <c r="BI740" t="s">
        <v>98</v>
      </c>
      <c r="BJ740" t="s">
        <v>1775</v>
      </c>
      <c r="BL740" t="s">
        <v>412</v>
      </c>
    </row>
    <row r="741" spans="1:64" hidden="1" x14ac:dyDescent="0.2">
      <c r="A741">
        <v>876</v>
      </c>
      <c r="B741">
        <v>4070420347</v>
      </c>
      <c r="C741" t="s">
        <v>101</v>
      </c>
      <c r="D741" t="s">
        <v>3010</v>
      </c>
      <c r="E741" t="s">
        <v>65</v>
      </c>
      <c r="F741" t="s">
        <v>66</v>
      </c>
      <c r="G741" t="s">
        <v>67</v>
      </c>
      <c r="H741" t="s">
        <v>68</v>
      </c>
      <c r="I741" t="s">
        <v>176</v>
      </c>
      <c r="J741" t="s">
        <v>177</v>
      </c>
      <c r="K741" t="s">
        <v>178</v>
      </c>
      <c r="M741" t="s">
        <v>72</v>
      </c>
      <c r="N741" t="s">
        <v>179</v>
      </c>
      <c r="O741" t="s">
        <v>178</v>
      </c>
      <c r="P741" t="s">
        <v>180</v>
      </c>
      <c r="Q741" t="s">
        <v>75</v>
      </c>
      <c r="R741" t="s">
        <v>2806</v>
      </c>
      <c r="S741" t="s">
        <v>887</v>
      </c>
      <c r="T741" t="s">
        <v>78</v>
      </c>
      <c r="U741" t="s">
        <v>1822</v>
      </c>
      <c r="V741" t="s">
        <v>80</v>
      </c>
      <c r="W741" s="1">
        <v>44814</v>
      </c>
      <c r="X741" t="s">
        <v>2778</v>
      </c>
      <c r="Y741" t="s">
        <v>3007</v>
      </c>
      <c r="Z741" t="s">
        <v>83</v>
      </c>
      <c r="AA741">
        <v>1</v>
      </c>
      <c r="AB741" t="s">
        <v>103</v>
      </c>
      <c r="AD741" t="s">
        <v>343</v>
      </c>
      <c r="AE741" t="s">
        <v>145</v>
      </c>
      <c r="AF741" t="s">
        <v>146</v>
      </c>
      <c r="AI741" t="s">
        <v>90</v>
      </c>
      <c r="AJ741">
        <v>32.451971</v>
      </c>
      <c r="AK741">
        <v>-110.746691</v>
      </c>
      <c r="AL741">
        <v>3</v>
      </c>
      <c r="AN741">
        <v>2210</v>
      </c>
      <c r="AP741">
        <v>2210</v>
      </c>
      <c r="AQ741">
        <v>2207.2831460000002</v>
      </c>
      <c r="AT741">
        <v>10</v>
      </c>
      <c r="AU741">
        <v>9</v>
      </c>
      <c r="AV741">
        <v>2022</v>
      </c>
      <c r="AW741">
        <v>2438038</v>
      </c>
      <c r="AX741">
        <v>2438038</v>
      </c>
      <c r="AY741" t="s">
        <v>106</v>
      </c>
      <c r="AZ741" t="s">
        <v>92</v>
      </c>
      <c r="BA741" t="s">
        <v>107</v>
      </c>
      <c r="BB741" t="s">
        <v>3011</v>
      </c>
      <c r="BC741" t="s">
        <v>2245</v>
      </c>
      <c r="BE741" t="s">
        <v>96</v>
      </c>
      <c r="BG741" t="s">
        <v>2811</v>
      </c>
      <c r="BI741" t="s">
        <v>98</v>
      </c>
      <c r="BJ741" t="s">
        <v>3009</v>
      </c>
      <c r="BL741" t="s">
        <v>110</v>
      </c>
    </row>
    <row r="742" spans="1:64" hidden="1" x14ac:dyDescent="0.2">
      <c r="A742">
        <v>874</v>
      </c>
      <c r="B742">
        <v>4070420349</v>
      </c>
      <c r="C742" t="s">
        <v>101</v>
      </c>
      <c r="D742" t="s">
        <v>3012</v>
      </c>
      <c r="E742" t="s">
        <v>65</v>
      </c>
      <c r="F742" t="s">
        <v>66</v>
      </c>
      <c r="G742" t="s">
        <v>67</v>
      </c>
      <c r="H742" t="s">
        <v>68</v>
      </c>
      <c r="I742" t="s">
        <v>176</v>
      </c>
      <c r="J742" t="s">
        <v>177</v>
      </c>
      <c r="K742" t="s">
        <v>178</v>
      </c>
      <c r="M742" t="s">
        <v>72</v>
      </c>
      <c r="N742" t="s">
        <v>179</v>
      </c>
      <c r="O742" t="s">
        <v>178</v>
      </c>
      <c r="P742" t="s">
        <v>180</v>
      </c>
      <c r="Q742" t="s">
        <v>75</v>
      </c>
      <c r="R742" t="s">
        <v>2806</v>
      </c>
      <c r="S742" t="s">
        <v>2735</v>
      </c>
      <c r="T742" t="s">
        <v>78</v>
      </c>
      <c r="U742" t="s">
        <v>1822</v>
      </c>
      <c r="V742" t="s">
        <v>80</v>
      </c>
      <c r="W742" s="1">
        <v>44814</v>
      </c>
      <c r="X742" t="s">
        <v>2778</v>
      </c>
      <c r="Y742" t="s">
        <v>3013</v>
      </c>
      <c r="Z742" t="s">
        <v>83</v>
      </c>
      <c r="AA742">
        <v>1</v>
      </c>
      <c r="AB742" t="s">
        <v>103</v>
      </c>
      <c r="AD742" t="s">
        <v>343</v>
      </c>
      <c r="AE742" t="s">
        <v>145</v>
      </c>
      <c r="AF742" t="s">
        <v>281</v>
      </c>
      <c r="AI742" t="s">
        <v>90</v>
      </c>
      <c r="AJ742">
        <v>32.452505000000002</v>
      </c>
      <c r="AK742">
        <v>-110.746701</v>
      </c>
      <c r="AL742">
        <v>3</v>
      </c>
      <c r="AN742">
        <v>2242</v>
      </c>
      <c r="AP742">
        <v>2242</v>
      </c>
      <c r="AQ742">
        <v>2222.0340729999998</v>
      </c>
      <c r="AT742">
        <v>10</v>
      </c>
      <c r="AU742">
        <v>9</v>
      </c>
      <c r="AV742">
        <v>2022</v>
      </c>
      <c r="AW742">
        <v>2438038</v>
      </c>
      <c r="AX742">
        <v>2438038</v>
      </c>
      <c r="AY742" t="s">
        <v>106</v>
      </c>
      <c r="AZ742" t="s">
        <v>92</v>
      </c>
      <c r="BA742" t="s">
        <v>107</v>
      </c>
      <c r="BB742" t="s">
        <v>3014</v>
      </c>
      <c r="BC742" t="s">
        <v>2245</v>
      </c>
      <c r="BE742" t="s">
        <v>96</v>
      </c>
      <c r="BG742" t="s">
        <v>2811</v>
      </c>
      <c r="BI742" t="s">
        <v>98</v>
      </c>
      <c r="BJ742" t="s">
        <v>2927</v>
      </c>
      <c r="BL742" t="s">
        <v>110</v>
      </c>
    </row>
    <row r="743" spans="1:64" hidden="1" x14ac:dyDescent="0.2">
      <c r="A743">
        <v>98</v>
      </c>
      <c r="B743">
        <v>4403382542</v>
      </c>
      <c r="C743" t="s">
        <v>101</v>
      </c>
      <c r="D743" t="s">
        <v>1787</v>
      </c>
      <c r="E743" t="s">
        <v>65</v>
      </c>
      <c r="F743" t="s">
        <v>66</v>
      </c>
      <c r="G743" t="s">
        <v>67</v>
      </c>
      <c r="H743" t="s">
        <v>68</v>
      </c>
      <c r="I743" t="s">
        <v>176</v>
      </c>
      <c r="J743" t="s">
        <v>1173</v>
      </c>
      <c r="K743" t="s">
        <v>1174</v>
      </c>
      <c r="M743" t="s">
        <v>72</v>
      </c>
      <c r="N743" t="s">
        <v>1175</v>
      </c>
      <c r="O743" t="s">
        <v>1174</v>
      </c>
      <c r="P743" t="s">
        <v>1176</v>
      </c>
      <c r="Q743" t="s">
        <v>75</v>
      </c>
      <c r="R743" t="s">
        <v>1177</v>
      </c>
      <c r="S743" t="s">
        <v>1783</v>
      </c>
      <c r="T743" t="s">
        <v>78</v>
      </c>
      <c r="U743" t="s">
        <v>646</v>
      </c>
      <c r="V743" t="s">
        <v>1179</v>
      </c>
      <c r="W743" s="1">
        <v>45109</v>
      </c>
      <c r="X743" t="s">
        <v>1180</v>
      </c>
      <c r="Y743" t="s">
        <v>1784</v>
      </c>
      <c r="Z743" t="s">
        <v>83</v>
      </c>
      <c r="AA743">
        <v>1</v>
      </c>
      <c r="AB743" t="s">
        <v>367</v>
      </c>
      <c r="AC743">
        <v>0</v>
      </c>
      <c r="AD743" t="s">
        <v>128</v>
      </c>
      <c r="AE743" t="s">
        <v>145</v>
      </c>
      <c r="AF743" t="s">
        <v>402</v>
      </c>
      <c r="AG743" t="s">
        <v>1526</v>
      </c>
      <c r="AI743" t="s">
        <v>90</v>
      </c>
      <c r="AJ743">
        <v>32.449522999999999</v>
      </c>
      <c r="AK743">
        <v>-110.737723</v>
      </c>
      <c r="AL743">
        <v>3</v>
      </c>
      <c r="AN743">
        <v>2090</v>
      </c>
      <c r="AP743">
        <v>2090</v>
      </c>
      <c r="AQ743">
        <v>2091.7628</v>
      </c>
      <c r="AT743">
        <v>2</v>
      </c>
      <c r="AU743">
        <v>7</v>
      </c>
      <c r="AV743">
        <v>2023</v>
      </c>
      <c r="AW743">
        <v>2437874</v>
      </c>
      <c r="AX743">
        <v>2437874</v>
      </c>
      <c r="AY743" t="s">
        <v>106</v>
      </c>
      <c r="AZ743" t="s">
        <v>92</v>
      </c>
      <c r="BA743" t="s">
        <v>107</v>
      </c>
      <c r="BB743" t="s">
        <v>1788</v>
      </c>
      <c r="BC743" t="s">
        <v>1186</v>
      </c>
      <c r="BD743" s="1">
        <v>45109</v>
      </c>
      <c r="BE743" t="s">
        <v>96</v>
      </c>
      <c r="BG743" t="s">
        <v>1649</v>
      </c>
      <c r="BI743" t="s">
        <v>98</v>
      </c>
      <c r="BJ743" t="s">
        <v>1789</v>
      </c>
      <c r="BL743" t="s">
        <v>110</v>
      </c>
    </row>
    <row r="744" spans="1:64" hidden="1" x14ac:dyDescent="0.2">
      <c r="A744">
        <v>101</v>
      </c>
      <c r="B744">
        <v>4403382539</v>
      </c>
      <c r="C744" t="s">
        <v>101</v>
      </c>
      <c r="D744" t="s">
        <v>1796</v>
      </c>
      <c r="E744" t="s">
        <v>65</v>
      </c>
      <c r="F744" t="s">
        <v>66</v>
      </c>
      <c r="G744" t="s">
        <v>67</v>
      </c>
      <c r="H744" t="s">
        <v>68</v>
      </c>
      <c r="I744" t="s">
        <v>176</v>
      </c>
      <c r="J744" t="s">
        <v>1173</v>
      </c>
      <c r="K744" t="s">
        <v>1174</v>
      </c>
      <c r="M744" t="s">
        <v>72</v>
      </c>
      <c r="N744" t="s">
        <v>1175</v>
      </c>
      <c r="O744" t="s">
        <v>1174</v>
      </c>
      <c r="P744" t="s">
        <v>1176</v>
      </c>
      <c r="Q744" t="s">
        <v>75</v>
      </c>
      <c r="R744" t="s">
        <v>1177</v>
      </c>
      <c r="S744" t="s">
        <v>1791</v>
      </c>
      <c r="T744" t="s">
        <v>78</v>
      </c>
      <c r="U744" t="s">
        <v>646</v>
      </c>
      <c r="V744" t="s">
        <v>1179</v>
      </c>
      <c r="W744" s="1">
        <v>45109</v>
      </c>
      <c r="X744" t="s">
        <v>1180</v>
      </c>
      <c r="Y744" t="s">
        <v>1792</v>
      </c>
      <c r="Z744" t="s">
        <v>83</v>
      </c>
      <c r="AA744">
        <v>1</v>
      </c>
      <c r="AB744" t="s">
        <v>367</v>
      </c>
      <c r="AC744">
        <v>0</v>
      </c>
      <c r="AD744" t="s">
        <v>128</v>
      </c>
      <c r="AE744" t="s">
        <v>145</v>
      </c>
      <c r="AF744" t="s">
        <v>610</v>
      </c>
      <c r="AG744" t="s">
        <v>344</v>
      </c>
      <c r="AI744" t="s">
        <v>90</v>
      </c>
      <c r="AJ744">
        <v>32.449871999999999</v>
      </c>
      <c r="AK744">
        <v>-110.738035</v>
      </c>
      <c r="AL744">
        <v>3</v>
      </c>
      <c r="AN744">
        <v>2089</v>
      </c>
      <c r="AP744">
        <v>2089</v>
      </c>
      <c r="AQ744">
        <v>2094.0783999999999</v>
      </c>
      <c r="AT744">
        <v>2</v>
      </c>
      <c r="AU744">
        <v>7</v>
      </c>
      <c r="AV744">
        <v>2023</v>
      </c>
      <c r="AW744">
        <v>2437874</v>
      </c>
      <c r="AX744">
        <v>2437874</v>
      </c>
      <c r="AY744" t="s">
        <v>106</v>
      </c>
      <c r="AZ744" t="s">
        <v>92</v>
      </c>
      <c r="BA744" t="s">
        <v>107</v>
      </c>
      <c r="BB744" t="s">
        <v>1797</v>
      </c>
      <c r="BC744" t="s">
        <v>1186</v>
      </c>
      <c r="BD744" s="1">
        <v>45109</v>
      </c>
      <c r="BE744" t="s">
        <v>96</v>
      </c>
      <c r="BG744" t="s">
        <v>1649</v>
      </c>
      <c r="BI744" t="s">
        <v>98</v>
      </c>
      <c r="BJ744" t="s">
        <v>1798</v>
      </c>
      <c r="BL744" t="s">
        <v>110</v>
      </c>
    </row>
    <row r="745" spans="1:64" hidden="1" x14ac:dyDescent="0.2">
      <c r="A745">
        <v>888</v>
      </c>
      <c r="B745">
        <v>4070420335</v>
      </c>
      <c r="C745" t="s">
        <v>101</v>
      </c>
      <c r="D745" t="s">
        <v>3021</v>
      </c>
      <c r="E745" t="s">
        <v>65</v>
      </c>
      <c r="F745" t="s">
        <v>66</v>
      </c>
      <c r="G745" t="s">
        <v>67</v>
      </c>
      <c r="H745" t="s">
        <v>68</v>
      </c>
      <c r="I745" t="s">
        <v>176</v>
      </c>
      <c r="J745" t="s">
        <v>177</v>
      </c>
      <c r="K745" t="s">
        <v>178</v>
      </c>
      <c r="M745" t="s">
        <v>72</v>
      </c>
      <c r="N745" t="s">
        <v>179</v>
      </c>
      <c r="O745" t="s">
        <v>178</v>
      </c>
      <c r="P745" t="s">
        <v>180</v>
      </c>
      <c r="Q745" t="s">
        <v>75</v>
      </c>
      <c r="R745" t="s">
        <v>2806</v>
      </c>
      <c r="S745" t="s">
        <v>916</v>
      </c>
      <c r="T745" t="s">
        <v>78</v>
      </c>
      <c r="U745" t="s">
        <v>1822</v>
      </c>
      <c r="V745" t="s">
        <v>80</v>
      </c>
      <c r="W745" s="1">
        <v>44814</v>
      </c>
      <c r="X745" t="s">
        <v>2778</v>
      </c>
      <c r="Y745" t="s">
        <v>3018</v>
      </c>
      <c r="Z745" t="s">
        <v>83</v>
      </c>
      <c r="AA745">
        <v>1</v>
      </c>
      <c r="AB745" t="s">
        <v>103</v>
      </c>
      <c r="AD745" t="s">
        <v>343</v>
      </c>
      <c r="AE745" t="s">
        <v>145</v>
      </c>
      <c r="AF745" t="s">
        <v>146</v>
      </c>
      <c r="AI745" t="s">
        <v>90</v>
      </c>
      <c r="AJ745">
        <v>32.45158</v>
      </c>
      <c r="AK745">
        <v>-110.746437</v>
      </c>
      <c r="AL745">
        <v>3</v>
      </c>
      <c r="AN745">
        <v>2195</v>
      </c>
      <c r="AP745">
        <v>2195</v>
      </c>
      <c r="AQ745">
        <v>2198.751636</v>
      </c>
      <c r="AT745">
        <v>10</v>
      </c>
      <c r="AU745">
        <v>9</v>
      </c>
      <c r="AV745">
        <v>2022</v>
      </c>
      <c r="AW745">
        <v>2438038</v>
      </c>
      <c r="AX745">
        <v>2438038</v>
      </c>
      <c r="AY745" t="s">
        <v>106</v>
      </c>
      <c r="AZ745" t="s">
        <v>92</v>
      </c>
      <c r="BA745" t="s">
        <v>107</v>
      </c>
      <c r="BB745" t="s">
        <v>3022</v>
      </c>
      <c r="BC745" t="s">
        <v>2245</v>
      </c>
      <c r="BE745" t="s">
        <v>96</v>
      </c>
      <c r="BG745" t="s">
        <v>2811</v>
      </c>
      <c r="BI745" t="s">
        <v>98</v>
      </c>
      <c r="BJ745" t="s">
        <v>3009</v>
      </c>
      <c r="BL745" t="s">
        <v>110</v>
      </c>
    </row>
    <row r="746" spans="1:64" hidden="1" x14ac:dyDescent="0.2">
      <c r="A746">
        <v>85</v>
      </c>
      <c r="B746">
        <v>4403382555</v>
      </c>
      <c r="C746" t="s">
        <v>101</v>
      </c>
      <c r="D746" t="s">
        <v>1805</v>
      </c>
      <c r="E746" t="s">
        <v>65</v>
      </c>
      <c r="F746" t="s">
        <v>66</v>
      </c>
      <c r="G746" t="s">
        <v>67</v>
      </c>
      <c r="H746" t="s">
        <v>68</v>
      </c>
      <c r="I746" t="s">
        <v>176</v>
      </c>
      <c r="J746" t="s">
        <v>1173</v>
      </c>
      <c r="K746" t="s">
        <v>1174</v>
      </c>
      <c r="M746" t="s">
        <v>72</v>
      </c>
      <c r="N746" t="s">
        <v>1175</v>
      </c>
      <c r="O746" t="s">
        <v>1174</v>
      </c>
      <c r="P746" t="s">
        <v>1176</v>
      </c>
      <c r="Q746" t="s">
        <v>75</v>
      </c>
      <c r="R746" t="s">
        <v>1177</v>
      </c>
      <c r="S746" t="s">
        <v>1800</v>
      </c>
      <c r="T746" t="s">
        <v>78</v>
      </c>
      <c r="U746" t="s">
        <v>646</v>
      </c>
      <c r="V746" t="s">
        <v>1179</v>
      </c>
      <c r="W746" s="1">
        <v>45109</v>
      </c>
      <c r="X746" t="s">
        <v>1180</v>
      </c>
      <c r="Y746" t="s">
        <v>1801</v>
      </c>
      <c r="Z746" t="s">
        <v>83</v>
      </c>
      <c r="AA746">
        <v>1</v>
      </c>
      <c r="AB746" t="s">
        <v>367</v>
      </c>
      <c r="AC746">
        <v>0</v>
      </c>
      <c r="AD746" t="s">
        <v>128</v>
      </c>
      <c r="AE746" t="s">
        <v>86</v>
      </c>
      <c r="AF746" t="s">
        <v>402</v>
      </c>
      <c r="AG746" t="s">
        <v>1803</v>
      </c>
      <c r="AI746" t="s">
        <v>90</v>
      </c>
      <c r="AJ746">
        <v>32.449643000000002</v>
      </c>
      <c r="AK746">
        <v>-110.737352</v>
      </c>
      <c r="AN746">
        <v>2083</v>
      </c>
      <c r="AP746">
        <v>2083</v>
      </c>
      <c r="AQ746">
        <v>2092.5928899999999</v>
      </c>
      <c r="AT746">
        <v>2</v>
      </c>
      <c r="AU746">
        <v>7</v>
      </c>
      <c r="AV746">
        <v>2023</v>
      </c>
      <c r="AW746">
        <v>2437874</v>
      </c>
      <c r="AX746">
        <v>2437874</v>
      </c>
      <c r="AY746" t="s">
        <v>106</v>
      </c>
      <c r="AZ746" t="s">
        <v>92</v>
      </c>
      <c r="BA746" t="s">
        <v>107</v>
      </c>
      <c r="BB746" t="s">
        <v>1806</v>
      </c>
      <c r="BC746" t="s">
        <v>1186</v>
      </c>
      <c r="BD746" s="1">
        <v>45109</v>
      </c>
      <c r="BE746" t="s">
        <v>96</v>
      </c>
      <c r="BG746" t="s">
        <v>1649</v>
      </c>
      <c r="BI746" t="s">
        <v>98</v>
      </c>
      <c r="BJ746" t="s">
        <v>1795</v>
      </c>
      <c r="BL746" t="s">
        <v>110</v>
      </c>
    </row>
    <row r="747" spans="1:64" hidden="1" x14ac:dyDescent="0.2">
      <c r="A747">
        <v>884</v>
      </c>
      <c r="B747">
        <v>4070420339</v>
      </c>
      <c r="C747" t="s">
        <v>101</v>
      </c>
      <c r="D747" t="s">
        <v>3027</v>
      </c>
      <c r="E747" t="s">
        <v>65</v>
      </c>
      <c r="F747" t="s">
        <v>66</v>
      </c>
      <c r="G747" t="s">
        <v>67</v>
      </c>
      <c r="H747" t="s">
        <v>68</v>
      </c>
      <c r="I747" t="s">
        <v>176</v>
      </c>
      <c r="J747" t="s">
        <v>177</v>
      </c>
      <c r="K747" t="s">
        <v>178</v>
      </c>
      <c r="M747" t="s">
        <v>72</v>
      </c>
      <c r="N747" t="s">
        <v>179</v>
      </c>
      <c r="O747" t="s">
        <v>178</v>
      </c>
      <c r="P747" t="s">
        <v>180</v>
      </c>
      <c r="Q747" t="s">
        <v>75</v>
      </c>
      <c r="R747" t="s">
        <v>2806</v>
      </c>
      <c r="S747" t="s">
        <v>1110</v>
      </c>
      <c r="T747" t="s">
        <v>78</v>
      </c>
      <c r="U747" t="s">
        <v>1822</v>
      </c>
      <c r="V747" t="s">
        <v>80</v>
      </c>
      <c r="W747" s="1">
        <v>44814</v>
      </c>
      <c r="X747" t="s">
        <v>2778</v>
      </c>
      <c r="Y747" t="s">
        <v>3024</v>
      </c>
      <c r="Z747" t="s">
        <v>83</v>
      </c>
      <c r="AA747">
        <v>1</v>
      </c>
      <c r="AB747" t="s">
        <v>103</v>
      </c>
      <c r="AD747" t="s">
        <v>343</v>
      </c>
      <c r="AE747" t="s">
        <v>86</v>
      </c>
      <c r="AF747" t="s">
        <v>146</v>
      </c>
      <c r="AI747" t="s">
        <v>90</v>
      </c>
      <c r="AJ747">
        <v>32.452182999999998</v>
      </c>
      <c r="AK747">
        <v>-110.746696</v>
      </c>
      <c r="AL747">
        <v>4</v>
      </c>
      <c r="AN747">
        <v>2206</v>
      </c>
      <c r="AP747">
        <v>2206</v>
      </c>
      <c r="AQ747">
        <v>2211.4257750000002</v>
      </c>
      <c r="AT747">
        <v>10</v>
      </c>
      <c r="AU747">
        <v>9</v>
      </c>
      <c r="AV747">
        <v>2022</v>
      </c>
      <c r="AW747">
        <v>2438038</v>
      </c>
      <c r="AX747">
        <v>2438038</v>
      </c>
      <c r="AY747" t="s">
        <v>106</v>
      </c>
      <c r="AZ747" t="s">
        <v>92</v>
      </c>
      <c r="BA747" t="s">
        <v>107</v>
      </c>
      <c r="BB747" t="s">
        <v>3028</v>
      </c>
      <c r="BC747" t="s">
        <v>2245</v>
      </c>
      <c r="BE747" t="s">
        <v>96</v>
      </c>
      <c r="BG747" t="s">
        <v>2811</v>
      </c>
      <c r="BI747" t="s">
        <v>98</v>
      </c>
      <c r="BJ747" t="s">
        <v>3029</v>
      </c>
      <c r="BL747" t="s">
        <v>110</v>
      </c>
    </row>
    <row r="748" spans="1:64" hidden="1" x14ac:dyDescent="0.2">
      <c r="A748">
        <v>823</v>
      </c>
      <c r="B748">
        <v>4070420400</v>
      </c>
      <c r="C748" t="s">
        <v>101</v>
      </c>
      <c r="D748" t="s">
        <v>3030</v>
      </c>
      <c r="E748" t="s">
        <v>65</v>
      </c>
      <c r="F748" t="s">
        <v>66</v>
      </c>
      <c r="G748" t="s">
        <v>67</v>
      </c>
      <c r="H748" t="s">
        <v>68</v>
      </c>
      <c r="I748" t="s">
        <v>176</v>
      </c>
      <c r="J748" t="s">
        <v>177</v>
      </c>
      <c r="M748" t="s">
        <v>1072</v>
      </c>
      <c r="N748" t="s">
        <v>3031</v>
      </c>
      <c r="O748" t="s">
        <v>177</v>
      </c>
      <c r="P748" t="s">
        <v>3032</v>
      </c>
      <c r="Q748" t="s">
        <v>75</v>
      </c>
      <c r="R748" t="s">
        <v>2806</v>
      </c>
      <c r="S748" t="s">
        <v>3033</v>
      </c>
      <c r="T748" t="s">
        <v>78</v>
      </c>
      <c r="U748" t="s">
        <v>1822</v>
      </c>
      <c r="V748" t="s">
        <v>80</v>
      </c>
      <c r="W748" s="1">
        <v>44814</v>
      </c>
      <c r="X748" t="s">
        <v>2778</v>
      </c>
      <c r="Y748" t="s">
        <v>3034</v>
      </c>
      <c r="Z748" t="s">
        <v>83</v>
      </c>
      <c r="AA748">
        <v>1</v>
      </c>
      <c r="AB748" t="s">
        <v>103</v>
      </c>
      <c r="AD748" t="s">
        <v>1077</v>
      </c>
      <c r="AE748" t="s">
        <v>1078</v>
      </c>
      <c r="AF748" t="s">
        <v>1079</v>
      </c>
      <c r="AI748" t="s">
        <v>90</v>
      </c>
      <c r="AJ748">
        <v>32.452683999999998</v>
      </c>
      <c r="AK748">
        <v>-110.746968</v>
      </c>
      <c r="AL748">
        <v>3</v>
      </c>
      <c r="AN748">
        <v>2227</v>
      </c>
      <c r="AP748">
        <v>2227</v>
      </c>
      <c r="AQ748">
        <v>2231.4815990000002</v>
      </c>
      <c r="AT748">
        <v>10</v>
      </c>
      <c r="AU748">
        <v>9</v>
      </c>
      <c r="AV748">
        <v>2022</v>
      </c>
      <c r="AW748">
        <v>2437961</v>
      </c>
      <c r="AY748" t="s">
        <v>106</v>
      </c>
      <c r="AZ748" t="s">
        <v>92</v>
      </c>
      <c r="BA748" t="s">
        <v>107</v>
      </c>
      <c r="BB748" t="s">
        <v>3035</v>
      </c>
      <c r="BC748" t="s">
        <v>2245</v>
      </c>
      <c r="BE748" t="s">
        <v>96</v>
      </c>
      <c r="BG748" t="s">
        <v>2811</v>
      </c>
      <c r="BI748" t="s">
        <v>98</v>
      </c>
      <c r="BJ748" t="s">
        <v>2332</v>
      </c>
      <c r="BL748" t="s">
        <v>110</v>
      </c>
    </row>
    <row r="749" spans="1:64" hidden="1" x14ac:dyDescent="0.2">
      <c r="A749">
        <v>89</v>
      </c>
      <c r="B749">
        <v>4403382551</v>
      </c>
      <c r="C749" t="s">
        <v>101</v>
      </c>
      <c r="D749" t="s">
        <v>1813</v>
      </c>
      <c r="E749" t="s">
        <v>65</v>
      </c>
      <c r="F749" t="s">
        <v>66</v>
      </c>
      <c r="G749" t="s">
        <v>67</v>
      </c>
      <c r="H749" t="s">
        <v>68</v>
      </c>
      <c r="I749" t="s">
        <v>176</v>
      </c>
      <c r="J749" t="s">
        <v>1173</v>
      </c>
      <c r="K749" t="s">
        <v>1174</v>
      </c>
      <c r="M749" t="s">
        <v>72</v>
      </c>
      <c r="N749" t="s">
        <v>1175</v>
      </c>
      <c r="O749" t="s">
        <v>1174</v>
      </c>
      <c r="P749" t="s">
        <v>1176</v>
      </c>
      <c r="Q749" t="s">
        <v>75</v>
      </c>
      <c r="R749" t="s">
        <v>1177</v>
      </c>
      <c r="S749" t="s">
        <v>1808</v>
      </c>
      <c r="T749" t="s">
        <v>78</v>
      </c>
      <c r="U749" t="s">
        <v>646</v>
      </c>
      <c r="V749" t="s">
        <v>1179</v>
      </c>
      <c r="W749" s="1">
        <v>45109</v>
      </c>
      <c r="X749" t="s">
        <v>1180</v>
      </c>
      <c r="Y749" t="s">
        <v>1809</v>
      </c>
      <c r="Z749" t="s">
        <v>83</v>
      </c>
      <c r="AA749">
        <v>1</v>
      </c>
      <c r="AB749" t="s">
        <v>367</v>
      </c>
      <c r="AC749">
        <v>0</v>
      </c>
      <c r="AD749" t="s">
        <v>128</v>
      </c>
      <c r="AE749" t="s">
        <v>86</v>
      </c>
      <c r="AF749" t="s">
        <v>402</v>
      </c>
      <c r="AG749" t="s">
        <v>1811</v>
      </c>
      <c r="AI749" t="s">
        <v>90</v>
      </c>
      <c r="AJ749">
        <v>32.449026000000003</v>
      </c>
      <c r="AK749">
        <v>-110.73765</v>
      </c>
      <c r="AN749">
        <v>2077</v>
      </c>
      <c r="AP749">
        <v>2077</v>
      </c>
      <c r="AQ749">
        <v>2085.4679999999998</v>
      </c>
      <c r="AT749">
        <v>2</v>
      </c>
      <c r="AU749">
        <v>7</v>
      </c>
      <c r="AV749">
        <v>2023</v>
      </c>
      <c r="AW749">
        <v>2437874</v>
      </c>
      <c r="AX749">
        <v>2437874</v>
      </c>
      <c r="AY749" t="s">
        <v>106</v>
      </c>
      <c r="AZ749" t="s">
        <v>92</v>
      </c>
      <c r="BA749" t="s">
        <v>107</v>
      </c>
      <c r="BB749" t="s">
        <v>1814</v>
      </c>
      <c r="BC749" t="s">
        <v>1186</v>
      </c>
      <c r="BD749" s="1">
        <v>45109</v>
      </c>
      <c r="BE749" t="s">
        <v>96</v>
      </c>
      <c r="BG749" t="s">
        <v>1649</v>
      </c>
      <c r="BI749" t="s">
        <v>98</v>
      </c>
      <c r="BJ749" t="s">
        <v>1815</v>
      </c>
      <c r="BL749" t="s">
        <v>110</v>
      </c>
    </row>
    <row r="750" spans="1:64" hidden="1" x14ac:dyDescent="0.2">
      <c r="A750">
        <v>819</v>
      </c>
      <c r="B750">
        <v>4070420404</v>
      </c>
      <c r="C750" t="s">
        <v>101</v>
      </c>
      <c r="D750" t="s">
        <v>3040</v>
      </c>
      <c r="E750" t="s">
        <v>65</v>
      </c>
      <c r="F750" t="s">
        <v>66</v>
      </c>
      <c r="G750" t="s">
        <v>67</v>
      </c>
      <c r="H750" t="s">
        <v>68</v>
      </c>
      <c r="I750" t="s">
        <v>176</v>
      </c>
      <c r="J750" t="s">
        <v>177</v>
      </c>
      <c r="K750" t="s">
        <v>178</v>
      </c>
      <c r="M750" t="s">
        <v>72</v>
      </c>
      <c r="N750" t="s">
        <v>179</v>
      </c>
      <c r="O750" t="s">
        <v>178</v>
      </c>
      <c r="P750" t="s">
        <v>180</v>
      </c>
      <c r="Q750" t="s">
        <v>75</v>
      </c>
      <c r="R750" t="s">
        <v>2806</v>
      </c>
      <c r="S750" t="s">
        <v>953</v>
      </c>
      <c r="T750" t="s">
        <v>78</v>
      </c>
      <c r="U750" t="s">
        <v>1822</v>
      </c>
      <c r="V750" t="s">
        <v>80</v>
      </c>
      <c r="W750" s="1">
        <v>44814</v>
      </c>
      <c r="X750" t="s">
        <v>2778</v>
      </c>
      <c r="Y750" t="s">
        <v>3037</v>
      </c>
      <c r="Z750" t="s">
        <v>83</v>
      </c>
      <c r="AA750">
        <v>1</v>
      </c>
      <c r="AB750" t="s">
        <v>103</v>
      </c>
      <c r="AD750" t="s">
        <v>343</v>
      </c>
      <c r="AE750" t="s">
        <v>86</v>
      </c>
      <c r="AF750" t="s">
        <v>146</v>
      </c>
      <c r="AI750" t="s">
        <v>90</v>
      </c>
      <c r="AJ750">
        <v>32.451441000000003</v>
      </c>
      <c r="AK750">
        <v>-110.74642299999999</v>
      </c>
      <c r="AL750">
        <v>3</v>
      </c>
      <c r="AN750">
        <v>2211</v>
      </c>
      <c r="AP750">
        <v>2211</v>
      </c>
      <c r="AQ750">
        <v>2198.8945600000002</v>
      </c>
      <c r="AT750">
        <v>10</v>
      </c>
      <c r="AU750">
        <v>9</v>
      </c>
      <c r="AV750">
        <v>2022</v>
      </c>
      <c r="AW750">
        <v>2438038</v>
      </c>
      <c r="AX750">
        <v>2438038</v>
      </c>
      <c r="AY750" t="s">
        <v>106</v>
      </c>
      <c r="AZ750" t="s">
        <v>92</v>
      </c>
      <c r="BA750" t="s">
        <v>107</v>
      </c>
      <c r="BB750" t="s">
        <v>3041</v>
      </c>
      <c r="BC750" t="s">
        <v>2245</v>
      </c>
      <c r="BE750" t="s">
        <v>96</v>
      </c>
      <c r="BG750" t="s">
        <v>2811</v>
      </c>
      <c r="BI750" t="s">
        <v>98</v>
      </c>
      <c r="BJ750" t="s">
        <v>3042</v>
      </c>
      <c r="BL750" t="s">
        <v>110</v>
      </c>
    </row>
    <row r="751" spans="1:64" hidden="1" x14ac:dyDescent="0.2">
      <c r="A751">
        <v>149</v>
      </c>
      <c r="B751">
        <v>4403382491</v>
      </c>
      <c r="C751" t="s">
        <v>101</v>
      </c>
      <c r="D751" t="s">
        <v>3423</v>
      </c>
      <c r="E751" t="s">
        <v>65</v>
      </c>
      <c r="F751" t="s">
        <v>66</v>
      </c>
      <c r="G751" t="s">
        <v>67</v>
      </c>
      <c r="H751" t="s">
        <v>68</v>
      </c>
      <c r="I751" t="s">
        <v>350</v>
      </c>
      <c r="J751" t="s">
        <v>351</v>
      </c>
      <c r="K751" t="s">
        <v>352</v>
      </c>
      <c r="M751" t="s">
        <v>72</v>
      </c>
      <c r="N751" t="s">
        <v>353</v>
      </c>
      <c r="O751" t="s">
        <v>352</v>
      </c>
      <c r="P751" t="s">
        <v>180</v>
      </c>
      <c r="Q751" t="s">
        <v>75</v>
      </c>
      <c r="R751" t="s">
        <v>3174</v>
      </c>
      <c r="S751" t="s">
        <v>437</v>
      </c>
      <c r="T751" t="s">
        <v>78</v>
      </c>
      <c r="U751" t="s">
        <v>1822</v>
      </c>
      <c r="V751" t="s">
        <v>80</v>
      </c>
      <c r="W751" s="1">
        <v>45110</v>
      </c>
      <c r="X751" t="s">
        <v>1859</v>
      </c>
      <c r="Y751" t="s">
        <v>3419</v>
      </c>
      <c r="Z751" t="s">
        <v>83</v>
      </c>
      <c r="AA751">
        <v>1</v>
      </c>
      <c r="AB751" t="s">
        <v>367</v>
      </c>
      <c r="AC751">
        <v>0</v>
      </c>
      <c r="AD751" t="s">
        <v>128</v>
      </c>
      <c r="AE751" t="s">
        <v>86</v>
      </c>
      <c r="AF751" t="s">
        <v>402</v>
      </c>
      <c r="AG751" t="s">
        <v>3421</v>
      </c>
      <c r="AI751" t="s">
        <v>90</v>
      </c>
      <c r="AJ751">
        <v>32.422694</v>
      </c>
      <c r="AK751">
        <v>-110.733796</v>
      </c>
      <c r="AN751">
        <v>2411</v>
      </c>
      <c r="AP751">
        <v>2411</v>
      </c>
      <c r="AQ751">
        <v>2420.8542349999998</v>
      </c>
      <c r="AT751">
        <v>3</v>
      </c>
      <c r="AU751">
        <v>7</v>
      </c>
      <c r="AV751">
        <v>2023</v>
      </c>
      <c r="AW751">
        <v>4972385</v>
      </c>
      <c r="AX751">
        <v>2437431</v>
      </c>
      <c r="AY751" t="s">
        <v>106</v>
      </c>
      <c r="AZ751" t="s">
        <v>92</v>
      </c>
      <c r="BA751" t="s">
        <v>107</v>
      </c>
      <c r="BB751" t="s">
        <v>3424</v>
      </c>
      <c r="BC751" t="s">
        <v>1186</v>
      </c>
      <c r="BD751" s="1">
        <v>45110</v>
      </c>
      <c r="BE751" t="s">
        <v>96</v>
      </c>
      <c r="BG751" t="s">
        <v>1187</v>
      </c>
      <c r="BI751" t="s">
        <v>98</v>
      </c>
      <c r="BJ751" t="s">
        <v>3400</v>
      </c>
      <c r="BL751" t="s">
        <v>412</v>
      </c>
    </row>
    <row r="752" spans="1:64" hidden="1" x14ac:dyDescent="0.2">
      <c r="A752">
        <v>815</v>
      </c>
      <c r="B752">
        <v>4070420408</v>
      </c>
      <c r="C752" t="s">
        <v>101</v>
      </c>
      <c r="D752" t="s">
        <v>3048</v>
      </c>
      <c r="E752" t="s">
        <v>65</v>
      </c>
      <c r="F752" t="s">
        <v>66</v>
      </c>
      <c r="G752" t="s">
        <v>67</v>
      </c>
      <c r="H752" t="s">
        <v>68</v>
      </c>
      <c r="I752" t="s">
        <v>176</v>
      </c>
      <c r="J752" t="s">
        <v>177</v>
      </c>
      <c r="K752" t="s">
        <v>178</v>
      </c>
      <c r="M752" t="s">
        <v>72</v>
      </c>
      <c r="N752" t="s">
        <v>179</v>
      </c>
      <c r="O752" t="s">
        <v>178</v>
      </c>
      <c r="P752" t="s">
        <v>180</v>
      </c>
      <c r="Q752" t="s">
        <v>75</v>
      </c>
      <c r="R752" t="s">
        <v>2806</v>
      </c>
      <c r="S752" t="s">
        <v>3044</v>
      </c>
      <c r="T752" t="s">
        <v>78</v>
      </c>
      <c r="U752" t="s">
        <v>1822</v>
      </c>
      <c r="V752" t="s">
        <v>80</v>
      </c>
      <c r="W752" s="1">
        <v>44814</v>
      </c>
      <c r="X752" t="s">
        <v>2778</v>
      </c>
      <c r="Y752" t="s">
        <v>3045</v>
      </c>
      <c r="Z752" t="s">
        <v>83</v>
      </c>
      <c r="AA752">
        <v>1</v>
      </c>
      <c r="AB752" t="s">
        <v>103</v>
      </c>
      <c r="AD752" t="s">
        <v>343</v>
      </c>
      <c r="AE752" t="s">
        <v>86</v>
      </c>
      <c r="AF752" t="s">
        <v>146</v>
      </c>
      <c r="AI752" t="s">
        <v>90</v>
      </c>
      <c r="AJ752">
        <v>32.452485000000003</v>
      </c>
      <c r="AK752">
        <v>-110.74709</v>
      </c>
      <c r="AL752">
        <v>15</v>
      </c>
      <c r="AN752">
        <v>2220</v>
      </c>
      <c r="AP752">
        <v>2220</v>
      </c>
      <c r="AQ752">
        <v>2228.7805910000002</v>
      </c>
      <c r="AT752">
        <v>10</v>
      </c>
      <c r="AU752">
        <v>9</v>
      </c>
      <c r="AV752">
        <v>2022</v>
      </c>
      <c r="AW752">
        <v>2438038</v>
      </c>
      <c r="AX752">
        <v>2438038</v>
      </c>
      <c r="AY752" t="s">
        <v>106</v>
      </c>
      <c r="AZ752" t="s">
        <v>92</v>
      </c>
      <c r="BA752" t="s">
        <v>107</v>
      </c>
      <c r="BB752" t="s">
        <v>3049</v>
      </c>
      <c r="BC752" t="s">
        <v>2245</v>
      </c>
      <c r="BE752" t="s">
        <v>96</v>
      </c>
      <c r="BG752" t="s">
        <v>2811</v>
      </c>
      <c r="BI752" t="s">
        <v>98</v>
      </c>
      <c r="BJ752" t="s">
        <v>3050</v>
      </c>
      <c r="BL752" t="s">
        <v>412</v>
      </c>
    </row>
    <row r="753" spans="1:64" hidden="1" x14ac:dyDescent="0.2">
      <c r="A753">
        <v>813</v>
      </c>
      <c r="B753">
        <v>4070420410</v>
      </c>
      <c r="C753" t="s">
        <v>101</v>
      </c>
      <c r="D753" t="s">
        <v>3051</v>
      </c>
      <c r="E753" t="s">
        <v>65</v>
      </c>
      <c r="F753" t="s">
        <v>66</v>
      </c>
      <c r="G753" t="s">
        <v>67</v>
      </c>
      <c r="H753" t="s">
        <v>68</v>
      </c>
      <c r="I753" t="s">
        <v>176</v>
      </c>
      <c r="J753" t="s">
        <v>177</v>
      </c>
      <c r="K753" t="s">
        <v>178</v>
      </c>
      <c r="M753" t="s">
        <v>72</v>
      </c>
      <c r="N753" t="s">
        <v>179</v>
      </c>
      <c r="O753" t="s">
        <v>178</v>
      </c>
      <c r="P753" t="s">
        <v>180</v>
      </c>
      <c r="Q753" t="s">
        <v>75</v>
      </c>
      <c r="R753" t="s">
        <v>2806</v>
      </c>
      <c r="S753" t="s">
        <v>3052</v>
      </c>
      <c r="T753" t="s">
        <v>78</v>
      </c>
      <c r="U753" t="s">
        <v>1822</v>
      </c>
      <c r="V753" t="s">
        <v>80</v>
      </c>
      <c r="W753" s="1">
        <v>44814</v>
      </c>
      <c r="X753" t="s">
        <v>2778</v>
      </c>
      <c r="Y753" t="s">
        <v>3053</v>
      </c>
      <c r="Z753" t="s">
        <v>83</v>
      </c>
      <c r="AA753">
        <v>1</v>
      </c>
      <c r="AB753" t="s">
        <v>103</v>
      </c>
      <c r="AD753" t="s">
        <v>343</v>
      </c>
      <c r="AE753" t="s">
        <v>145</v>
      </c>
      <c r="AF753" t="s">
        <v>281</v>
      </c>
      <c r="AI753" t="s">
        <v>90</v>
      </c>
      <c r="AJ753">
        <v>32.452215000000002</v>
      </c>
      <c r="AK753">
        <v>-110.74687400000001</v>
      </c>
      <c r="AL753">
        <v>15</v>
      </c>
      <c r="AN753">
        <v>2212</v>
      </c>
      <c r="AP753">
        <v>2212</v>
      </c>
      <c r="AQ753">
        <v>2219.0415830000002</v>
      </c>
      <c r="AT753">
        <v>10</v>
      </c>
      <c r="AU753">
        <v>9</v>
      </c>
      <c r="AV753">
        <v>2022</v>
      </c>
      <c r="AW753">
        <v>2438038</v>
      </c>
      <c r="AX753">
        <v>2438038</v>
      </c>
      <c r="AY753" t="s">
        <v>106</v>
      </c>
      <c r="AZ753" t="s">
        <v>92</v>
      </c>
      <c r="BA753" t="s">
        <v>107</v>
      </c>
      <c r="BB753" t="s">
        <v>3054</v>
      </c>
      <c r="BC753" t="s">
        <v>2245</v>
      </c>
      <c r="BE753" t="s">
        <v>96</v>
      </c>
      <c r="BG753" t="s">
        <v>2811</v>
      </c>
      <c r="BI753" t="s">
        <v>98</v>
      </c>
      <c r="BJ753" t="s">
        <v>3055</v>
      </c>
      <c r="BL753" t="s">
        <v>412</v>
      </c>
    </row>
    <row r="754" spans="1:64" hidden="1" x14ac:dyDescent="0.2">
      <c r="A754">
        <v>151</v>
      </c>
      <c r="B754">
        <v>4403382489</v>
      </c>
      <c r="C754" t="s">
        <v>101</v>
      </c>
      <c r="D754" t="s">
        <v>3425</v>
      </c>
      <c r="E754" t="s">
        <v>65</v>
      </c>
      <c r="F754" t="s">
        <v>66</v>
      </c>
      <c r="G754" t="s">
        <v>67</v>
      </c>
      <c r="H754" t="s">
        <v>68</v>
      </c>
      <c r="I754" t="s">
        <v>350</v>
      </c>
      <c r="J754" t="s">
        <v>351</v>
      </c>
      <c r="K754" t="s">
        <v>352</v>
      </c>
      <c r="M754" t="s">
        <v>72</v>
      </c>
      <c r="N754" t="s">
        <v>353</v>
      </c>
      <c r="O754" t="s">
        <v>352</v>
      </c>
      <c r="P754" t="s">
        <v>180</v>
      </c>
      <c r="Q754" t="s">
        <v>75</v>
      </c>
      <c r="R754" t="s">
        <v>3174</v>
      </c>
      <c r="S754" t="s">
        <v>3426</v>
      </c>
      <c r="T754" t="s">
        <v>78</v>
      </c>
      <c r="U754" t="s">
        <v>1822</v>
      </c>
      <c r="V754" t="s">
        <v>80</v>
      </c>
      <c r="W754" s="1">
        <v>45110</v>
      </c>
      <c r="X754" t="s">
        <v>1859</v>
      </c>
      <c r="Y754" t="s">
        <v>3427</v>
      </c>
      <c r="Z754" t="s">
        <v>83</v>
      </c>
      <c r="AA754">
        <v>1</v>
      </c>
      <c r="AB754" t="s">
        <v>367</v>
      </c>
      <c r="AC754">
        <v>0</v>
      </c>
      <c r="AD754" t="s">
        <v>128</v>
      </c>
      <c r="AE754" t="s">
        <v>86</v>
      </c>
      <c r="AF754" t="s">
        <v>402</v>
      </c>
      <c r="AG754" t="s">
        <v>3421</v>
      </c>
      <c r="AI754" t="s">
        <v>90</v>
      </c>
      <c r="AJ754">
        <v>32.424543</v>
      </c>
      <c r="AK754">
        <v>-110.738316</v>
      </c>
      <c r="AN754">
        <v>2372</v>
      </c>
      <c r="AP754">
        <v>2372</v>
      </c>
      <c r="AQ754">
        <v>2395.4364369999998</v>
      </c>
      <c r="AT754">
        <v>3</v>
      </c>
      <c r="AU754">
        <v>7</v>
      </c>
      <c r="AV754">
        <v>2023</v>
      </c>
      <c r="AW754">
        <v>4972385</v>
      </c>
      <c r="AX754">
        <v>2437431</v>
      </c>
      <c r="AY754" t="s">
        <v>106</v>
      </c>
      <c r="AZ754" t="s">
        <v>92</v>
      </c>
      <c r="BA754" t="s">
        <v>107</v>
      </c>
      <c r="BB754" t="s">
        <v>3428</v>
      </c>
      <c r="BC754" t="s">
        <v>1186</v>
      </c>
      <c r="BD754" s="1">
        <v>45110</v>
      </c>
      <c r="BE754" t="s">
        <v>96</v>
      </c>
      <c r="BG754" t="s">
        <v>1187</v>
      </c>
      <c r="BI754" t="s">
        <v>98</v>
      </c>
      <c r="BJ754" t="s">
        <v>3429</v>
      </c>
      <c r="BK754" t="s">
        <v>365</v>
      </c>
      <c r="BL754" t="s">
        <v>110</v>
      </c>
    </row>
    <row r="755" spans="1:64" hidden="1" x14ac:dyDescent="0.2">
      <c r="A755">
        <v>137</v>
      </c>
      <c r="B755">
        <v>4403382503</v>
      </c>
      <c r="C755" t="s">
        <v>101</v>
      </c>
      <c r="D755" t="s">
        <v>3439</v>
      </c>
      <c r="E755" t="s">
        <v>65</v>
      </c>
      <c r="F755" t="s">
        <v>66</v>
      </c>
      <c r="G755" t="s">
        <v>67</v>
      </c>
      <c r="H755" t="s">
        <v>68</v>
      </c>
      <c r="I755" t="s">
        <v>350</v>
      </c>
      <c r="J755" t="s">
        <v>351</v>
      </c>
      <c r="K755" t="s">
        <v>352</v>
      </c>
      <c r="M755" t="s">
        <v>72</v>
      </c>
      <c r="N755" t="s">
        <v>353</v>
      </c>
      <c r="O755" t="s">
        <v>352</v>
      </c>
      <c r="P755" t="s">
        <v>180</v>
      </c>
      <c r="Q755" t="s">
        <v>75</v>
      </c>
      <c r="R755" t="s">
        <v>3174</v>
      </c>
      <c r="S755" t="s">
        <v>3435</v>
      </c>
      <c r="T755" t="s">
        <v>78</v>
      </c>
      <c r="U755" t="s">
        <v>1822</v>
      </c>
      <c r="V755" t="s">
        <v>80</v>
      </c>
      <c r="W755" s="1">
        <v>45110</v>
      </c>
      <c r="X755" t="s">
        <v>1859</v>
      </c>
      <c r="Y755" t="s">
        <v>3436</v>
      </c>
      <c r="Z755" t="s">
        <v>83</v>
      </c>
      <c r="AA755">
        <v>1</v>
      </c>
      <c r="AB755" t="s">
        <v>367</v>
      </c>
      <c r="AC755">
        <v>0</v>
      </c>
      <c r="AD755" t="s">
        <v>128</v>
      </c>
      <c r="AE755" t="s">
        <v>86</v>
      </c>
      <c r="AF755" t="s">
        <v>402</v>
      </c>
      <c r="AG755" t="s">
        <v>3421</v>
      </c>
      <c r="AI755" t="s">
        <v>90</v>
      </c>
      <c r="AJ755">
        <v>32.424374999999998</v>
      </c>
      <c r="AK755">
        <v>-110.73778299999999</v>
      </c>
      <c r="AN755">
        <v>2373</v>
      </c>
      <c r="AP755">
        <v>2373</v>
      </c>
      <c r="AQ755">
        <v>2394.3252000000002</v>
      </c>
      <c r="AT755">
        <v>3</v>
      </c>
      <c r="AU755">
        <v>7</v>
      </c>
      <c r="AV755">
        <v>2023</v>
      </c>
      <c r="AW755">
        <v>4972385</v>
      </c>
      <c r="AX755">
        <v>2437431</v>
      </c>
      <c r="AY755" t="s">
        <v>106</v>
      </c>
      <c r="AZ755" t="s">
        <v>92</v>
      </c>
      <c r="BA755" t="s">
        <v>107</v>
      </c>
      <c r="BB755" t="s">
        <v>3440</v>
      </c>
      <c r="BC755" t="s">
        <v>1186</v>
      </c>
      <c r="BD755" s="1">
        <v>45110</v>
      </c>
      <c r="BE755" t="s">
        <v>96</v>
      </c>
      <c r="BG755" t="s">
        <v>1187</v>
      </c>
      <c r="BI755" t="s">
        <v>98</v>
      </c>
      <c r="BJ755" t="s">
        <v>3411</v>
      </c>
      <c r="BL755" t="s">
        <v>110</v>
      </c>
    </row>
    <row r="756" spans="1:64" hidden="1" x14ac:dyDescent="0.2">
      <c r="A756">
        <v>827</v>
      </c>
      <c r="B756">
        <v>4070420396</v>
      </c>
      <c r="C756" t="s">
        <v>101</v>
      </c>
      <c r="D756" t="s">
        <v>3063</v>
      </c>
      <c r="E756" t="s">
        <v>65</v>
      </c>
      <c r="F756" t="s">
        <v>66</v>
      </c>
      <c r="G756" t="s">
        <v>67</v>
      </c>
      <c r="H756" t="s">
        <v>68</v>
      </c>
      <c r="I756" t="s">
        <v>176</v>
      </c>
      <c r="J756" t="s">
        <v>177</v>
      </c>
      <c r="K756" t="s">
        <v>178</v>
      </c>
      <c r="M756" t="s">
        <v>72</v>
      </c>
      <c r="N756" t="s">
        <v>179</v>
      </c>
      <c r="O756" t="s">
        <v>178</v>
      </c>
      <c r="P756" t="s">
        <v>180</v>
      </c>
      <c r="Q756" t="s">
        <v>75</v>
      </c>
      <c r="R756" t="s">
        <v>2806</v>
      </c>
      <c r="S756" t="s">
        <v>873</v>
      </c>
      <c r="T756" t="s">
        <v>78</v>
      </c>
      <c r="U756" t="s">
        <v>1822</v>
      </c>
      <c r="V756" t="s">
        <v>80</v>
      </c>
      <c r="W756" s="1">
        <v>44814</v>
      </c>
      <c r="X756" t="s">
        <v>2778</v>
      </c>
      <c r="Y756" t="s">
        <v>3060</v>
      </c>
      <c r="Z756" t="s">
        <v>83</v>
      </c>
      <c r="AA756">
        <v>1</v>
      </c>
      <c r="AB756" t="s">
        <v>103</v>
      </c>
      <c r="AD756" t="s">
        <v>343</v>
      </c>
      <c r="AE756" t="s">
        <v>86</v>
      </c>
      <c r="AF756" t="s">
        <v>146</v>
      </c>
      <c r="AI756" t="s">
        <v>90</v>
      </c>
      <c r="AJ756">
        <v>32.452987</v>
      </c>
      <c r="AK756">
        <v>-110.74722800000001</v>
      </c>
      <c r="AL756">
        <v>4</v>
      </c>
      <c r="AN756">
        <v>2233</v>
      </c>
      <c r="AP756">
        <v>2233</v>
      </c>
      <c r="AQ756">
        <v>2236.558532</v>
      </c>
      <c r="AT756">
        <v>10</v>
      </c>
      <c r="AU756">
        <v>9</v>
      </c>
      <c r="AV756">
        <v>2022</v>
      </c>
      <c r="AW756">
        <v>2438038</v>
      </c>
      <c r="AX756">
        <v>2438038</v>
      </c>
      <c r="AY756" t="s">
        <v>106</v>
      </c>
      <c r="AZ756" t="s">
        <v>92</v>
      </c>
      <c r="BA756" t="s">
        <v>107</v>
      </c>
      <c r="BB756" t="s">
        <v>3064</v>
      </c>
      <c r="BC756" t="s">
        <v>2245</v>
      </c>
      <c r="BE756" t="s">
        <v>96</v>
      </c>
      <c r="BG756" t="s">
        <v>2811</v>
      </c>
      <c r="BI756" t="s">
        <v>98</v>
      </c>
      <c r="BJ756" t="s">
        <v>3065</v>
      </c>
      <c r="BL756" t="s">
        <v>110</v>
      </c>
    </row>
    <row r="757" spans="1:64" hidden="1" x14ac:dyDescent="0.2">
      <c r="A757">
        <v>825</v>
      </c>
      <c r="B757">
        <v>4070420398</v>
      </c>
      <c r="C757" t="s">
        <v>101</v>
      </c>
      <c r="D757" t="s">
        <v>3066</v>
      </c>
      <c r="E757" t="s">
        <v>65</v>
      </c>
      <c r="F757" t="s">
        <v>66</v>
      </c>
      <c r="G757" t="s">
        <v>67</v>
      </c>
      <c r="H757" t="s">
        <v>68</v>
      </c>
      <c r="I757" t="s">
        <v>176</v>
      </c>
      <c r="J757" t="s">
        <v>177</v>
      </c>
      <c r="K757" t="s">
        <v>178</v>
      </c>
      <c r="M757" t="s">
        <v>72</v>
      </c>
      <c r="N757" t="s">
        <v>179</v>
      </c>
      <c r="O757" t="s">
        <v>178</v>
      </c>
      <c r="P757" t="s">
        <v>180</v>
      </c>
      <c r="Q757" t="s">
        <v>75</v>
      </c>
      <c r="R757" t="s">
        <v>2806</v>
      </c>
      <c r="S757" t="s">
        <v>3067</v>
      </c>
      <c r="T757" t="s">
        <v>78</v>
      </c>
      <c r="U757" t="s">
        <v>1822</v>
      </c>
      <c r="V757" t="s">
        <v>80</v>
      </c>
      <c r="W757" s="1">
        <v>44814</v>
      </c>
      <c r="X757" t="s">
        <v>2778</v>
      </c>
      <c r="Y757" t="s">
        <v>3068</v>
      </c>
      <c r="Z757" t="s">
        <v>83</v>
      </c>
      <c r="AA757">
        <v>1</v>
      </c>
      <c r="AB757" t="s">
        <v>103</v>
      </c>
      <c r="AD757" t="s">
        <v>343</v>
      </c>
      <c r="AE757" t="s">
        <v>145</v>
      </c>
      <c r="AF757" t="s">
        <v>281</v>
      </c>
      <c r="AI757" t="s">
        <v>90</v>
      </c>
      <c r="AJ757">
        <v>32.452052999999999</v>
      </c>
      <c r="AK757">
        <v>-110.746858</v>
      </c>
      <c r="AL757">
        <v>15</v>
      </c>
      <c r="AN757">
        <v>2210</v>
      </c>
      <c r="AP757">
        <v>2210</v>
      </c>
      <c r="AQ757">
        <v>2214.691562</v>
      </c>
      <c r="AT757">
        <v>10</v>
      </c>
      <c r="AU757">
        <v>9</v>
      </c>
      <c r="AV757">
        <v>2022</v>
      </c>
      <c r="AW757">
        <v>2438038</v>
      </c>
      <c r="AX757">
        <v>2438038</v>
      </c>
      <c r="AY757" t="s">
        <v>106</v>
      </c>
      <c r="AZ757" t="s">
        <v>92</v>
      </c>
      <c r="BA757" t="s">
        <v>107</v>
      </c>
      <c r="BB757" t="s">
        <v>3069</v>
      </c>
      <c r="BC757" t="s">
        <v>2245</v>
      </c>
      <c r="BE757" t="s">
        <v>96</v>
      </c>
      <c r="BG757" t="s">
        <v>2811</v>
      </c>
      <c r="BI757" t="s">
        <v>98</v>
      </c>
      <c r="BJ757" t="s">
        <v>3070</v>
      </c>
      <c r="BL757" t="s">
        <v>412</v>
      </c>
    </row>
    <row r="758" spans="1:64" hidden="1" x14ac:dyDescent="0.2">
      <c r="A758">
        <v>163</v>
      </c>
      <c r="B758">
        <v>4403382477</v>
      </c>
      <c r="C758" t="s">
        <v>101</v>
      </c>
      <c r="D758" t="s">
        <v>3446</v>
      </c>
      <c r="E758" t="s">
        <v>65</v>
      </c>
      <c r="F758" t="s">
        <v>66</v>
      </c>
      <c r="G758" t="s">
        <v>67</v>
      </c>
      <c r="H758" t="s">
        <v>68</v>
      </c>
      <c r="I758" t="s">
        <v>176</v>
      </c>
      <c r="J758" t="s">
        <v>1173</v>
      </c>
      <c r="K758" t="s">
        <v>1174</v>
      </c>
      <c r="M758" t="s">
        <v>72</v>
      </c>
      <c r="N758" t="s">
        <v>1175</v>
      </c>
      <c r="O758" t="s">
        <v>1174</v>
      </c>
      <c r="P758" t="s">
        <v>1176</v>
      </c>
      <c r="Q758" t="s">
        <v>75</v>
      </c>
      <c r="R758" t="s">
        <v>3174</v>
      </c>
      <c r="S758" t="s">
        <v>399</v>
      </c>
      <c r="T758" t="s">
        <v>78</v>
      </c>
      <c r="U758" t="s">
        <v>1822</v>
      </c>
      <c r="V758" t="s">
        <v>80</v>
      </c>
      <c r="W758" s="1">
        <v>45110</v>
      </c>
      <c r="X758" t="s">
        <v>1859</v>
      </c>
      <c r="Y758" t="s">
        <v>3442</v>
      </c>
      <c r="Z758" t="s">
        <v>83</v>
      </c>
      <c r="AA758">
        <v>1</v>
      </c>
      <c r="AB758" t="s">
        <v>367</v>
      </c>
      <c r="AC758">
        <v>0</v>
      </c>
      <c r="AD758" t="s">
        <v>128</v>
      </c>
      <c r="AE758" t="s">
        <v>145</v>
      </c>
      <c r="AF758" t="s">
        <v>402</v>
      </c>
      <c r="AG758" t="s">
        <v>344</v>
      </c>
      <c r="AI758" t="s">
        <v>90</v>
      </c>
      <c r="AJ758">
        <v>32.422288000000002</v>
      </c>
      <c r="AK758">
        <v>-110.73228400000001</v>
      </c>
      <c r="AN758">
        <v>2408</v>
      </c>
      <c r="AP758">
        <v>2408</v>
      </c>
      <c r="AQ758">
        <v>2423.442278</v>
      </c>
      <c r="AT758">
        <v>3</v>
      </c>
      <c r="AU758">
        <v>7</v>
      </c>
      <c r="AV758">
        <v>2023</v>
      </c>
      <c r="AW758">
        <v>2437874</v>
      </c>
      <c r="AX758">
        <v>2437874</v>
      </c>
      <c r="AY758" t="s">
        <v>106</v>
      </c>
      <c r="AZ758" t="s">
        <v>92</v>
      </c>
      <c r="BA758" t="s">
        <v>107</v>
      </c>
      <c r="BB758" t="s">
        <v>3447</v>
      </c>
      <c r="BC758" t="s">
        <v>1186</v>
      </c>
      <c r="BD758" s="1">
        <v>45110</v>
      </c>
      <c r="BE758" t="s">
        <v>96</v>
      </c>
      <c r="BG758" t="s">
        <v>1187</v>
      </c>
      <c r="BI758" t="s">
        <v>98</v>
      </c>
      <c r="BJ758" t="s">
        <v>3448</v>
      </c>
      <c r="BL758" t="s">
        <v>412</v>
      </c>
    </row>
    <row r="759" spans="1:64" hidden="1" x14ac:dyDescent="0.2">
      <c r="A759">
        <v>168</v>
      </c>
      <c r="B759">
        <v>4403382472</v>
      </c>
      <c r="C759" t="s">
        <v>101</v>
      </c>
      <c r="D759" t="s">
        <v>3455</v>
      </c>
      <c r="E759" t="s">
        <v>65</v>
      </c>
      <c r="F759" t="s">
        <v>66</v>
      </c>
      <c r="G759" t="s">
        <v>67</v>
      </c>
      <c r="H759" t="s">
        <v>68</v>
      </c>
      <c r="I759" t="s">
        <v>176</v>
      </c>
      <c r="J759" t="s">
        <v>1173</v>
      </c>
      <c r="K759" t="s">
        <v>1174</v>
      </c>
      <c r="M759" t="s">
        <v>72</v>
      </c>
      <c r="N759" t="s">
        <v>1175</v>
      </c>
      <c r="O759" t="s">
        <v>1174</v>
      </c>
      <c r="P759" t="s">
        <v>1176</v>
      </c>
      <c r="Q759" t="s">
        <v>75</v>
      </c>
      <c r="R759" t="s">
        <v>3174</v>
      </c>
      <c r="S759" t="s">
        <v>3450</v>
      </c>
      <c r="T759" t="s">
        <v>78</v>
      </c>
      <c r="U759" t="s">
        <v>1822</v>
      </c>
      <c r="V759" t="s">
        <v>80</v>
      </c>
      <c r="W759" s="1">
        <v>45110</v>
      </c>
      <c r="X759" t="s">
        <v>1859</v>
      </c>
      <c r="Y759" t="s">
        <v>3451</v>
      </c>
      <c r="Z759" t="s">
        <v>83</v>
      </c>
      <c r="AA759">
        <v>1</v>
      </c>
      <c r="AB759" t="s">
        <v>367</v>
      </c>
      <c r="AC759">
        <v>0</v>
      </c>
      <c r="AD759" t="s">
        <v>128</v>
      </c>
      <c r="AE759" t="s">
        <v>145</v>
      </c>
      <c r="AF759" t="s">
        <v>359</v>
      </c>
      <c r="AG759" t="s">
        <v>1526</v>
      </c>
      <c r="AI759" t="s">
        <v>90</v>
      </c>
      <c r="AJ759">
        <v>32.424678</v>
      </c>
      <c r="AK759">
        <v>-110.738186</v>
      </c>
      <c r="AN759">
        <v>2371</v>
      </c>
      <c r="AP759">
        <v>2371</v>
      </c>
      <c r="AQ759">
        <v>2387.881363</v>
      </c>
      <c r="AT759">
        <v>3</v>
      </c>
      <c r="AU759">
        <v>7</v>
      </c>
      <c r="AV759">
        <v>2023</v>
      </c>
      <c r="AW759">
        <v>2437874</v>
      </c>
      <c r="AX759">
        <v>2437874</v>
      </c>
      <c r="AY759" t="s">
        <v>106</v>
      </c>
      <c r="AZ759" t="s">
        <v>92</v>
      </c>
      <c r="BA759" t="s">
        <v>107</v>
      </c>
      <c r="BB759" t="s">
        <v>3456</v>
      </c>
      <c r="BC759" t="s">
        <v>1186</v>
      </c>
      <c r="BD759" s="1">
        <v>45110</v>
      </c>
      <c r="BE759" t="s">
        <v>96</v>
      </c>
      <c r="BG759" t="s">
        <v>1187</v>
      </c>
      <c r="BI759" t="s">
        <v>98</v>
      </c>
      <c r="BJ759" t="s">
        <v>3448</v>
      </c>
      <c r="BL759" t="s">
        <v>110</v>
      </c>
    </row>
    <row r="760" spans="1:64" hidden="1" x14ac:dyDescent="0.2">
      <c r="A760">
        <v>841</v>
      </c>
      <c r="B760">
        <v>4070420382</v>
      </c>
      <c r="C760" t="s">
        <v>101</v>
      </c>
      <c r="D760" t="s">
        <v>3077</v>
      </c>
      <c r="E760" t="s">
        <v>65</v>
      </c>
      <c r="F760" t="s">
        <v>66</v>
      </c>
      <c r="G760" t="s">
        <v>67</v>
      </c>
      <c r="H760" t="s">
        <v>68</v>
      </c>
      <c r="I760" t="s">
        <v>176</v>
      </c>
      <c r="J760" t="s">
        <v>177</v>
      </c>
      <c r="K760" t="s">
        <v>178</v>
      </c>
      <c r="M760" t="s">
        <v>72</v>
      </c>
      <c r="N760" t="s">
        <v>179</v>
      </c>
      <c r="O760" t="s">
        <v>178</v>
      </c>
      <c r="P760" t="s">
        <v>180</v>
      </c>
      <c r="Q760" t="s">
        <v>75</v>
      </c>
      <c r="R760" t="s">
        <v>2806</v>
      </c>
      <c r="S760" t="s">
        <v>880</v>
      </c>
      <c r="T760" t="s">
        <v>78</v>
      </c>
      <c r="U760" t="s">
        <v>1822</v>
      </c>
      <c r="V760" t="s">
        <v>80</v>
      </c>
      <c r="W760" s="1">
        <v>44814</v>
      </c>
      <c r="X760" t="s">
        <v>2778</v>
      </c>
      <c r="Y760" t="s">
        <v>3074</v>
      </c>
      <c r="Z760" t="s">
        <v>83</v>
      </c>
      <c r="AA760">
        <v>1</v>
      </c>
      <c r="AB760" t="s">
        <v>103</v>
      </c>
      <c r="AD760" t="s">
        <v>343</v>
      </c>
      <c r="AE760" t="s">
        <v>86</v>
      </c>
      <c r="AF760" t="s">
        <v>281</v>
      </c>
      <c r="AI760" t="s">
        <v>90</v>
      </c>
      <c r="AJ760">
        <v>32.452776</v>
      </c>
      <c r="AK760">
        <v>-110.747089</v>
      </c>
      <c r="AL760">
        <v>3</v>
      </c>
      <c r="AN760">
        <v>2217</v>
      </c>
      <c r="AP760">
        <v>2217</v>
      </c>
      <c r="AQ760">
        <v>2234.0087990000002</v>
      </c>
      <c r="AT760">
        <v>10</v>
      </c>
      <c r="AU760">
        <v>9</v>
      </c>
      <c r="AV760">
        <v>2022</v>
      </c>
      <c r="AW760">
        <v>2438038</v>
      </c>
      <c r="AX760">
        <v>2438038</v>
      </c>
      <c r="AY760" t="s">
        <v>106</v>
      </c>
      <c r="AZ760" t="s">
        <v>92</v>
      </c>
      <c r="BA760" t="s">
        <v>107</v>
      </c>
      <c r="BB760" t="s">
        <v>3078</v>
      </c>
      <c r="BC760" t="s">
        <v>2245</v>
      </c>
      <c r="BE760" t="s">
        <v>96</v>
      </c>
      <c r="BG760" t="s">
        <v>2811</v>
      </c>
      <c r="BI760" t="s">
        <v>98</v>
      </c>
      <c r="BJ760" t="s">
        <v>2999</v>
      </c>
      <c r="BL760" t="s">
        <v>110</v>
      </c>
    </row>
    <row r="761" spans="1:64" x14ac:dyDescent="0.2">
      <c r="A761">
        <v>1474</v>
      </c>
      <c r="B761">
        <v>3748770407</v>
      </c>
      <c r="C761" t="s">
        <v>63</v>
      </c>
      <c r="D761" t="s">
        <v>4390</v>
      </c>
      <c r="E761" t="s">
        <v>65</v>
      </c>
      <c r="F761" t="s">
        <v>66</v>
      </c>
      <c r="G761" t="s">
        <v>67</v>
      </c>
      <c r="H761" t="s">
        <v>68</v>
      </c>
      <c r="I761" t="s">
        <v>69</v>
      </c>
      <c r="J761" t="s">
        <v>70</v>
      </c>
      <c r="K761" t="s">
        <v>71</v>
      </c>
      <c r="M761" t="s">
        <v>72</v>
      </c>
      <c r="N761" t="s">
        <v>73</v>
      </c>
      <c r="O761" t="s">
        <v>71</v>
      </c>
      <c r="P761" t="s">
        <v>74</v>
      </c>
      <c r="Q761" t="s">
        <v>75</v>
      </c>
      <c r="R761" t="s">
        <v>4297</v>
      </c>
      <c r="S761" t="s">
        <v>4391</v>
      </c>
      <c r="T761" t="s">
        <v>78</v>
      </c>
      <c r="U761" t="s">
        <v>79</v>
      </c>
      <c r="V761" t="s">
        <v>80</v>
      </c>
      <c r="W761" s="1">
        <v>44521</v>
      </c>
      <c r="X761" t="s">
        <v>81</v>
      </c>
      <c r="Y761" t="s">
        <v>4392</v>
      </c>
      <c r="Z761" t="s">
        <v>83</v>
      </c>
      <c r="AA761">
        <v>1</v>
      </c>
      <c r="AB761" t="s">
        <v>4393</v>
      </c>
      <c r="AC761">
        <v>1</v>
      </c>
      <c r="AD761" s="6" t="s">
        <v>85</v>
      </c>
      <c r="AE761" s="6" t="s">
        <v>86</v>
      </c>
      <c r="AF761" s="6" t="s">
        <v>146</v>
      </c>
      <c r="AG761" s="6" t="s">
        <v>4394</v>
      </c>
      <c r="AH761" s="6" t="s">
        <v>4395</v>
      </c>
      <c r="AI761" s="6" t="s">
        <v>90</v>
      </c>
      <c r="AJ761" s="6">
        <v>32.499460999999997</v>
      </c>
      <c r="AK761" s="6">
        <v>-110.68250999999999</v>
      </c>
      <c r="AL761" s="6">
        <v>3</v>
      </c>
      <c r="AM761" s="6"/>
      <c r="AN761" s="6">
        <v>1318</v>
      </c>
      <c r="AO761" s="6"/>
      <c r="AP761" s="6">
        <v>1318</v>
      </c>
      <c r="AQ761" s="6">
        <v>1318.1478159999999</v>
      </c>
      <c r="AR761" s="6"/>
      <c r="AS761" s="6"/>
      <c r="AT761" s="6">
        <v>21</v>
      </c>
      <c r="AU761" s="6">
        <v>11</v>
      </c>
      <c r="AV761" s="6">
        <v>2021</v>
      </c>
      <c r="AW761" s="6">
        <v>2439581</v>
      </c>
      <c r="AX761" s="6">
        <v>2439581</v>
      </c>
      <c r="AY761" s="6" t="s">
        <v>91</v>
      </c>
      <c r="AZ761" t="s">
        <v>92</v>
      </c>
      <c r="BA761" t="s">
        <v>93</v>
      </c>
      <c r="BB761" t="s">
        <v>4396</v>
      </c>
      <c r="BC761" t="s">
        <v>97</v>
      </c>
      <c r="BE761" t="s">
        <v>96</v>
      </c>
      <c r="BG761" t="s">
        <v>97</v>
      </c>
      <c r="BI761" t="s">
        <v>98</v>
      </c>
      <c r="BJ761" t="s">
        <v>285</v>
      </c>
      <c r="BL761" t="s">
        <v>100</v>
      </c>
    </row>
    <row r="762" spans="1:64" hidden="1" x14ac:dyDescent="0.2">
      <c r="A762">
        <v>833</v>
      </c>
      <c r="B762">
        <v>4070420390</v>
      </c>
      <c r="C762" t="s">
        <v>101</v>
      </c>
      <c r="D762" t="s">
        <v>3089</v>
      </c>
      <c r="E762" t="s">
        <v>65</v>
      </c>
      <c r="F762" t="s">
        <v>66</v>
      </c>
      <c r="G762" t="s">
        <v>67</v>
      </c>
      <c r="H762" t="s">
        <v>68</v>
      </c>
      <c r="I762" t="s">
        <v>350</v>
      </c>
      <c r="J762" t="s">
        <v>351</v>
      </c>
      <c r="K762" t="s">
        <v>352</v>
      </c>
      <c r="M762" t="s">
        <v>72</v>
      </c>
      <c r="N762" t="s">
        <v>353</v>
      </c>
      <c r="O762" t="s">
        <v>352</v>
      </c>
      <c r="P762" t="s">
        <v>180</v>
      </c>
      <c r="Q762" t="s">
        <v>75</v>
      </c>
      <c r="R762" t="s">
        <v>2806</v>
      </c>
      <c r="S762" t="s">
        <v>961</v>
      </c>
      <c r="T762" t="s">
        <v>78</v>
      </c>
      <c r="U762" t="s">
        <v>1822</v>
      </c>
      <c r="V762" t="s">
        <v>80</v>
      </c>
      <c r="W762" s="1">
        <v>44814</v>
      </c>
      <c r="X762" t="s">
        <v>2778</v>
      </c>
      <c r="Y762" t="s">
        <v>3080</v>
      </c>
      <c r="Z762" t="s">
        <v>83</v>
      </c>
      <c r="AA762">
        <v>1</v>
      </c>
      <c r="AB762" t="s">
        <v>103</v>
      </c>
      <c r="AD762" t="s">
        <v>112</v>
      </c>
      <c r="AE762" t="s">
        <v>145</v>
      </c>
      <c r="AF762" t="s">
        <v>146</v>
      </c>
      <c r="AG762" t="s">
        <v>3082</v>
      </c>
      <c r="AH762" t="s">
        <v>3090</v>
      </c>
      <c r="AI762" t="s">
        <v>90</v>
      </c>
      <c r="AJ762">
        <v>32.452097000000002</v>
      </c>
      <c r="AK762">
        <v>-110.74662600000001</v>
      </c>
      <c r="AL762">
        <v>3</v>
      </c>
      <c r="AN762">
        <v>2204</v>
      </c>
      <c r="AP762">
        <v>2204</v>
      </c>
      <c r="AQ762">
        <v>2207.9480010000002</v>
      </c>
      <c r="AT762">
        <v>10</v>
      </c>
      <c r="AU762">
        <v>9</v>
      </c>
      <c r="AV762">
        <v>2022</v>
      </c>
      <c r="AW762">
        <v>4972385</v>
      </c>
      <c r="AX762">
        <v>2437431</v>
      </c>
      <c r="AY762" t="s">
        <v>106</v>
      </c>
      <c r="AZ762" t="s">
        <v>92</v>
      </c>
      <c r="BA762" t="s">
        <v>107</v>
      </c>
      <c r="BB762" t="s">
        <v>3091</v>
      </c>
      <c r="BC762" t="s">
        <v>2245</v>
      </c>
      <c r="BE762" t="s">
        <v>96</v>
      </c>
      <c r="BG762" t="s">
        <v>2811</v>
      </c>
      <c r="BI762" t="s">
        <v>98</v>
      </c>
      <c r="BJ762" t="s">
        <v>3062</v>
      </c>
      <c r="BL762" t="s">
        <v>110</v>
      </c>
    </row>
    <row r="763" spans="1:64" hidden="1" x14ac:dyDescent="0.2">
      <c r="A763">
        <v>851</v>
      </c>
      <c r="B763">
        <v>4070420372</v>
      </c>
      <c r="C763" t="s">
        <v>101</v>
      </c>
      <c r="D763" t="s">
        <v>3092</v>
      </c>
      <c r="E763" t="s">
        <v>65</v>
      </c>
      <c r="F763" t="s">
        <v>66</v>
      </c>
      <c r="G763" t="s">
        <v>67</v>
      </c>
      <c r="H763" t="s">
        <v>68</v>
      </c>
      <c r="I763" t="s">
        <v>350</v>
      </c>
      <c r="J763" t="s">
        <v>351</v>
      </c>
      <c r="K763" t="s">
        <v>352</v>
      </c>
      <c r="M763" t="s">
        <v>72</v>
      </c>
      <c r="N763" t="s">
        <v>353</v>
      </c>
      <c r="O763" t="s">
        <v>352</v>
      </c>
      <c r="P763" t="s">
        <v>180</v>
      </c>
      <c r="Q763" t="s">
        <v>75</v>
      </c>
      <c r="R763" t="s">
        <v>2806</v>
      </c>
      <c r="S763" t="s">
        <v>961</v>
      </c>
      <c r="T763" t="s">
        <v>78</v>
      </c>
      <c r="U763" t="s">
        <v>1822</v>
      </c>
      <c r="V763" t="s">
        <v>80</v>
      </c>
      <c r="W763" s="1">
        <v>44814</v>
      </c>
      <c r="X763" t="s">
        <v>2778</v>
      </c>
      <c r="Y763" t="s">
        <v>3080</v>
      </c>
      <c r="Z763" t="s">
        <v>83</v>
      </c>
      <c r="AA763">
        <v>1</v>
      </c>
      <c r="AB763" t="s">
        <v>127</v>
      </c>
      <c r="AD763" t="s">
        <v>139</v>
      </c>
      <c r="AE763" t="s">
        <v>145</v>
      </c>
      <c r="AF763" t="s">
        <v>146</v>
      </c>
      <c r="AG763" t="s">
        <v>3082</v>
      </c>
      <c r="AH763" t="s">
        <v>3090</v>
      </c>
      <c r="AI763" t="s">
        <v>90</v>
      </c>
      <c r="AJ763">
        <v>32.452097000000002</v>
      </c>
      <c r="AK763">
        <v>-110.74662600000001</v>
      </c>
      <c r="AL763">
        <v>3</v>
      </c>
      <c r="AN763">
        <v>2204</v>
      </c>
      <c r="AP763">
        <v>2204</v>
      </c>
      <c r="AQ763">
        <v>2207.9480010000002</v>
      </c>
      <c r="AT763">
        <v>10</v>
      </c>
      <c r="AU763">
        <v>9</v>
      </c>
      <c r="AV763">
        <v>2022</v>
      </c>
      <c r="AW763">
        <v>4972385</v>
      </c>
      <c r="AX763">
        <v>2437431</v>
      </c>
      <c r="AY763" t="s">
        <v>106</v>
      </c>
      <c r="AZ763" t="s">
        <v>92</v>
      </c>
      <c r="BA763" t="s">
        <v>107</v>
      </c>
      <c r="BB763" t="s">
        <v>3093</v>
      </c>
      <c r="BC763" t="s">
        <v>2245</v>
      </c>
      <c r="BE763" t="s">
        <v>96</v>
      </c>
      <c r="BG763" t="s">
        <v>2811</v>
      </c>
      <c r="BI763" t="s">
        <v>98</v>
      </c>
      <c r="BJ763" t="s">
        <v>2980</v>
      </c>
      <c r="BL763" t="s">
        <v>110</v>
      </c>
    </row>
    <row r="764" spans="1:64" hidden="1" x14ac:dyDescent="0.2">
      <c r="A764">
        <v>849</v>
      </c>
      <c r="B764">
        <v>4070420374</v>
      </c>
      <c r="C764" t="s">
        <v>101</v>
      </c>
      <c r="D764" t="s">
        <v>3094</v>
      </c>
      <c r="E764" t="s">
        <v>65</v>
      </c>
      <c r="F764" t="s">
        <v>66</v>
      </c>
      <c r="G764" t="s">
        <v>67</v>
      </c>
      <c r="H764" t="s">
        <v>68</v>
      </c>
      <c r="I764" t="s">
        <v>350</v>
      </c>
      <c r="J764" t="s">
        <v>351</v>
      </c>
      <c r="K764" t="s">
        <v>352</v>
      </c>
      <c r="M764" t="s">
        <v>72</v>
      </c>
      <c r="N764" t="s">
        <v>353</v>
      </c>
      <c r="O764" t="s">
        <v>352</v>
      </c>
      <c r="P764" t="s">
        <v>180</v>
      </c>
      <c r="Q764" t="s">
        <v>75</v>
      </c>
      <c r="R764" t="s">
        <v>2806</v>
      </c>
      <c r="S764" t="s">
        <v>961</v>
      </c>
      <c r="T764" t="s">
        <v>78</v>
      </c>
      <c r="U764" t="s">
        <v>1822</v>
      </c>
      <c r="V764" t="s">
        <v>80</v>
      </c>
      <c r="W764" s="1">
        <v>44814</v>
      </c>
      <c r="X764" t="s">
        <v>2778</v>
      </c>
      <c r="Y764" t="s">
        <v>3080</v>
      </c>
      <c r="Z764" t="s">
        <v>83</v>
      </c>
      <c r="AA764">
        <v>1</v>
      </c>
      <c r="AB764" t="s">
        <v>127</v>
      </c>
      <c r="AD764" t="s">
        <v>123</v>
      </c>
      <c r="AE764" t="s">
        <v>145</v>
      </c>
      <c r="AF764" t="s">
        <v>146</v>
      </c>
      <c r="AG764" t="s">
        <v>3082</v>
      </c>
      <c r="AH764" t="s">
        <v>3090</v>
      </c>
      <c r="AI764" t="s">
        <v>90</v>
      </c>
      <c r="AJ764">
        <v>32.452097000000002</v>
      </c>
      <c r="AK764">
        <v>-110.74662600000001</v>
      </c>
      <c r="AL764">
        <v>3</v>
      </c>
      <c r="AN764">
        <v>2204</v>
      </c>
      <c r="AP764">
        <v>2204</v>
      </c>
      <c r="AQ764">
        <v>2207.9480010000002</v>
      </c>
      <c r="AT764">
        <v>10</v>
      </c>
      <c r="AU764">
        <v>9</v>
      </c>
      <c r="AV764">
        <v>2022</v>
      </c>
      <c r="AW764">
        <v>4972385</v>
      </c>
      <c r="AX764">
        <v>2437431</v>
      </c>
      <c r="AY764" t="s">
        <v>106</v>
      </c>
      <c r="AZ764" t="s">
        <v>92</v>
      </c>
      <c r="BA764" t="s">
        <v>107</v>
      </c>
      <c r="BB764" t="s">
        <v>3095</v>
      </c>
      <c r="BC764" t="s">
        <v>2245</v>
      </c>
      <c r="BE764" t="s">
        <v>96</v>
      </c>
      <c r="BG764" t="s">
        <v>2811</v>
      </c>
      <c r="BI764" t="s">
        <v>98</v>
      </c>
      <c r="BJ764" t="s">
        <v>3096</v>
      </c>
      <c r="BL764" t="s">
        <v>110</v>
      </c>
    </row>
    <row r="765" spans="1:64" hidden="1" x14ac:dyDescent="0.2">
      <c r="A765">
        <v>174</v>
      </c>
      <c r="B765">
        <v>4403382466</v>
      </c>
      <c r="C765" t="s">
        <v>101</v>
      </c>
      <c r="D765" t="s">
        <v>3463</v>
      </c>
      <c r="E765" t="s">
        <v>65</v>
      </c>
      <c r="F765" t="s">
        <v>66</v>
      </c>
      <c r="G765" t="s">
        <v>67</v>
      </c>
      <c r="H765" t="s">
        <v>68</v>
      </c>
      <c r="I765" t="s">
        <v>176</v>
      </c>
      <c r="J765" t="s">
        <v>1173</v>
      </c>
      <c r="K765" t="s">
        <v>1174</v>
      </c>
      <c r="M765" t="s">
        <v>72</v>
      </c>
      <c r="N765" t="s">
        <v>1175</v>
      </c>
      <c r="O765" t="s">
        <v>1174</v>
      </c>
      <c r="P765" t="s">
        <v>1176</v>
      </c>
      <c r="Q765" t="s">
        <v>75</v>
      </c>
      <c r="R765" t="s">
        <v>3174</v>
      </c>
      <c r="S765" t="s">
        <v>1624</v>
      </c>
      <c r="T765" t="s">
        <v>78</v>
      </c>
      <c r="U765" t="s">
        <v>1822</v>
      </c>
      <c r="V765" t="s">
        <v>80</v>
      </c>
      <c r="W765" s="1">
        <v>45110</v>
      </c>
      <c r="X765" t="s">
        <v>1859</v>
      </c>
      <c r="Y765" t="s">
        <v>3458</v>
      </c>
      <c r="Z765" t="s">
        <v>83</v>
      </c>
      <c r="AA765">
        <v>1</v>
      </c>
      <c r="AB765" t="s">
        <v>367</v>
      </c>
      <c r="AC765">
        <v>0</v>
      </c>
      <c r="AD765" t="s">
        <v>128</v>
      </c>
      <c r="AE765" t="s">
        <v>86</v>
      </c>
      <c r="AF765" t="s">
        <v>402</v>
      </c>
      <c r="AG765" t="s">
        <v>3460</v>
      </c>
      <c r="AI765" t="s">
        <v>90</v>
      </c>
      <c r="AJ765">
        <v>32.425522999999998</v>
      </c>
      <c r="AK765">
        <v>-110.73965099999999</v>
      </c>
      <c r="AN765">
        <v>2361</v>
      </c>
      <c r="AP765">
        <v>2361</v>
      </c>
      <c r="AQ765">
        <v>2378.7560990000002</v>
      </c>
      <c r="AT765">
        <v>3</v>
      </c>
      <c r="AU765">
        <v>7</v>
      </c>
      <c r="AV765">
        <v>2023</v>
      </c>
      <c r="AW765">
        <v>2437874</v>
      </c>
      <c r="AX765">
        <v>2437874</v>
      </c>
      <c r="AY765" t="s">
        <v>106</v>
      </c>
      <c r="AZ765" t="s">
        <v>92</v>
      </c>
      <c r="BA765" t="s">
        <v>107</v>
      </c>
      <c r="BB765" t="s">
        <v>3464</v>
      </c>
      <c r="BC765" t="s">
        <v>1186</v>
      </c>
      <c r="BD765" s="1">
        <v>45110</v>
      </c>
      <c r="BE765" t="s">
        <v>96</v>
      </c>
      <c r="BG765" t="s">
        <v>1187</v>
      </c>
      <c r="BI765" t="s">
        <v>98</v>
      </c>
      <c r="BJ765" t="s">
        <v>3448</v>
      </c>
      <c r="BL765" t="s">
        <v>110</v>
      </c>
    </row>
    <row r="766" spans="1:64" hidden="1" x14ac:dyDescent="0.2">
      <c r="A766">
        <v>766</v>
      </c>
      <c r="B766">
        <v>4070420471</v>
      </c>
      <c r="C766" t="s">
        <v>101</v>
      </c>
      <c r="D766" t="s">
        <v>3100</v>
      </c>
      <c r="E766" t="s">
        <v>65</v>
      </c>
      <c r="F766" t="s">
        <v>66</v>
      </c>
      <c r="G766" t="s">
        <v>67</v>
      </c>
      <c r="H766" t="s">
        <v>68</v>
      </c>
      <c r="I766" t="s">
        <v>350</v>
      </c>
      <c r="J766" t="s">
        <v>351</v>
      </c>
      <c r="K766" t="s">
        <v>352</v>
      </c>
      <c r="M766" t="s">
        <v>72</v>
      </c>
      <c r="N766" t="s">
        <v>353</v>
      </c>
      <c r="O766" t="s">
        <v>352</v>
      </c>
      <c r="P766" t="s">
        <v>180</v>
      </c>
      <c r="Q766" t="s">
        <v>75</v>
      </c>
      <c r="R766" t="s">
        <v>2806</v>
      </c>
      <c r="S766" t="s">
        <v>961</v>
      </c>
      <c r="T766" t="s">
        <v>78</v>
      </c>
      <c r="U766" t="s">
        <v>1822</v>
      </c>
      <c r="V766" t="s">
        <v>80</v>
      </c>
      <c r="W766" s="1">
        <v>44814</v>
      </c>
      <c r="X766" t="s">
        <v>2778</v>
      </c>
      <c r="Y766" t="s">
        <v>3080</v>
      </c>
      <c r="Z766" t="s">
        <v>83</v>
      </c>
      <c r="AA766">
        <v>1</v>
      </c>
      <c r="AB766" t="s">
        <v>103</v>
      </c>
      <c r="AD766" t="s">
        <v>116</v>
      </c>
      <c r="AE766" t="s">
        <v>145</v>
      </c>
      <c r="AF766" t="s">
        <v>146</v>
      </c>
      <c r="AG766" t="s">
        <v>3082</v>
      </c>
      <c r="AH766" t="s">
        <v>3090</v>
      </c>
      <c r="AI766" t="s">
        <v>90</v>
      </c>
      <c r="AJ766">
        <v>32.452097000000002</v>
      </c>
      <c r="AK766">
        <v>-110.74662600000001</v>
      </c>
      <c r="AL766">
        <v>3</v>
      </c>
      <c r="AN766">
        <v>2204</v>
      </c>
      <c r="AP766">
        <v>2204</v>
      </c>
      <c r="AQ766">
        <v>2207.9480010000002</v>
      </c>
      <c r="AT766">
        <v>10</v>
      </c>
      <c r="AU766">
        <v>9</v>
      </c>
      <c r="AV766">
        <v>2022</v>
      </c>
      <c r="AW766">
        <v>4972385</v>
      </c>
      <c r="AX766">
        <v>2437431</v>
      </c>
      <c r="AY766" t="s">
        <v>106</v>
      </c>
      <c r="AZ766" t="s">
        <v>92</v>
      </c>
      <c r="BA766" t="s">
        <v>107</v>
      </c>
      <c r="BB766" t="s">
        <v>3101</v>
      </c>
      <c r="BC766" t="s">
        <v>2245</v>
      </c>
      <c r="BE766" t="s">
        <v>96</v>
      </c>
      <c r="BG766" t="s">
        <v>2811</v>
      </c>
      <c r="BI766" t="s">
        <v>98</v>
      </c>
      <c r="BJ766" t="s">
        <v>630</v>
      </c>
      <c r="BL766" t="s">
        <v>110</v>
      </c>
    </row>
    <row r="767" spans="1:64" hidden="1" x14ac:dyDescent="0.2">
      <c r="A767">
        <v>764</v>
      </c>
      <c r="B767">
        <v>4070420473</v>
      </c>
      <c r="C767" t="s">
        <v>101</v>
      </c>
      <c r="D767" t="s">
        <v>3102</v>
      </c>
      <c r="E767" t="s">
        <v>65</v>
      </c>
      <c r="F767" t="s">
        <v>66</v>
      </c>
      <c r="G767" t="s">
        <v>67</v>
      </c>
      <c r="H767" t="s">
        <v>68</v>
      </c>
      <c r="I767" t="s">
        <v>350</v>
      </c>
      <c r="J767" t="s">
        <v>351</v>
      </c>
      <c r="K767" t="s">
        <v>352</v>
      </c>
      <c r="M767" t="s">
        <v>72</v>
      </c>
      <c r="N767" t="s">
        <v>353</v>
      </c>
      <c r="O767" t="s">
        <v>352</v>
      </c>
      <c r="P767" t="s">
        <v>180</v>
      </c>
      <c r="Q767" t="s">
        <v>75</v>
      </c>
      <c r="R767" t="s">
        <v>2806</v>
      </c>
      <c r="S767" t="s">
        <v>961</v>
      </c>
      <c r="T767" t="s">
        <v>78</v>
      </c>
      <c r="U767" t="s">
        <v>1822</v>
      </c>
      <c r="V767" t="s">
        <v>80</v>
      </c>
      <c r="W767" s="1">
        <v>44814</v>
      </c>
      <c r="X767" t="s">
        <v>2778</v>
      </c>
      <c r="Y767" t="s">
        <v>3080</v>
      </c>
      <c r="Z767" t="s">
        <v>83</v>
      </c>
      <c r="AA767">
        <v>1</v>
      </c>
      <c r="AB767" t="s">
        <v>103</v>
      </c>
      <c r="AD767" t="s">
        <v>104</v>
      </c>
      <c r="AE767" t="s">
        <v>145</v>
      </c>
      <c r="AF767" t="s">
        <v>146</v>
      </c>
      <c r="AG767" t="s">
        <v>3082</v>
      </c>
      <c r="AH767" t="s">
        <v>3090</v>
      </c>
      <c r="AI767" t="s">
        <v>90</v>
      </c>
      <c r="AJ767">
        <v>32.452097000000002</v>
      </c>
      <c r="AK767">
        <v>-110.74662600000001</v>
      </c>
      <c r="AL767">
        <v>3</v>
      </c>
      <c r="AN767">
        <v>2204</v>
      </c>
      <c r="AP767">
        <v>2204</v>
      </c>
      <c r="AQ767">
        <v>2207.9480010000002</v>
      </c>
      <c r="AT767">
        <v>10</v>
      </c>
      <c r="AU767">
        <v>9</v>
      </c>
      <c r="AV767">
        <v>2022</v>
      </c>
      <c r="AW767">
        <v>4972385</v>
      </c>
      <c r="AX767">
        <v>2437431</v>
      </c>
      <c r="AY767" t="s">
        <v>106</v>
      </c>
      <c r="AZ767" t="s">
        <v>92</v>
      </c>
      <c r="BA767" t="s">
        <v>107</v>
      </c>
      <c r="BB767" t="s">
        <v>3103</v>
      </c>
      <c r="BC767" t="s">
        <v>2245</v>
      </c>
      <c r="BE767" t="s">
        <v>96</v>
      </c>
      <c r="BG767" t="s">
        <v>2811</v>
      </c>
      <c r="BI767" t="s">
        <v>98</v>
      </c>
      <c r="BJ767" t="s">
        <v>3104</v>
      </c>
      <c r="BL767" t="s">
        <v>110</v>
      </c>
    </row>
    <row r="768" spans="1:64" hidden="1" x14ac:dyDescent="0.2">
      <c r="A768">
        <v>687</v>
      </c>
      <c r="B768">
        <v>4070420550</v>
      </c>
      <c r="C768" t="s">
        <v>101</v>
      </c>
      <c r="D768" t="s">
        <v>3105</v>
      </c>
      <c r="E768" t="s">
        <v>65</v>
      </c>
      <c r="F768" t="s">
        <v>66</v>
      </c>
      <c r="G768" t="s">
        <v>67</v>
      </c>
      <c r="H768" t="s">
        <v>68</v>
      </c>
      <c r="I768" t="s">
        <v>350</v>
      </c>
      <c r="J768" t="s">
        <v>351</v>
      </c>
      <c r="K768" t="s">
        <v>352</v>
      </c>
      <c r="M768" t="s">
        <v>72</v>
      </c>
      <c r="N768" t="s">
        <v>353</v>
      </c>
      <c r="O768" t="s">
        <v>352</v>
      </c>
      <c r="P768" t="s">
        <v>180</v>
      </c>
      <c r="Q768" t="s">
        <v>75</v>
      </c>
      <c r="R768" t="s">
        <v>2806</v>
      </c>
      <c r="S768" t="s">
        <v>961</v>
      </c>
      <c r="T768" t="s">
        <v>78</v>
      </c>
      <c r="U768" t="s">
        <v>1822</v>
      </c>
      <c r="V768" t="s">
        <v>80</v>
      </c>
      <c r="W768" s="1">
        <v>44814</v>
      </c>
      <c r="X768" t="s">
        <v>2778</v>
      </c>
      <c r="Y768" t="s">
        <v>3080</v>
      </c>
      <c r="Z768" t="s">
        <v>83</v>
      </c>
      <c r="AA768">
        <v>1</v>
      </c>
      <c r="AB768" t="s">
        <v>2262</v>
      </c>
      <c r="AD768" t="s">
        <v>134</v>
      </c>
      <c r="AE768" t="s">
        <v>145</v>
      </c>
      <c r="AF768" t="s">
        <v>146</v>
      </c>
      <c r="AG768" t="s">
        <v>3082</v>
      </c>
      <c r="AH768" t="s">
        <v>3106</v>
      </c>
      <c r="AI768" t="s">
        <v>90</v>
      </c>
      <c r="AJ768">
        <v>32.452097000000002</v>
      </c>
      <c r="AK768">
        <v>-110.74662600000001</v>
      </c>
      <c r="AL768">
        <v>3</v>
      </c>
      <c r="AN768">
        <v>2204</v>
      </c>
      <c r="AP768">
        <v>2204</v>
      </c>
      <c r="AQ768">
        <v>2207.9480010000002</v>
      </c>
      <c r="AT768">
        <v>10</v>
      </c>
      <c r="AU768">
        <v>9</v>
      </c>
      <c r="AV768">
        <v>2022</v>
      </c>
      <c r="AW768">
        <v>4972385</v>
      </c>
      <c r="AX768">
        <v>2437431</v>
      </c>
      <c r="AY768" t="s">
        <v>106</v>
      </c>
      <c r="AZ768" t="s">
        <v>92</v>
      </c>
      <c r="BA768" t="s">
        <v>107</v>
      </c>
      <c r="BB768" t="s">
        <v>3107</v>
      </c>
      <c r="BC768" t="s">
        <v>2245</v>
      </c>
      <c r="BE768" t="s">
        <v>96</v>
      </c>
      <c r="BG768" t="s">
        <v>2811</v>
      </c>
      <c r="BI768" t="s">
        <v>98</v>
      </c>
      <c r="BJ768" t="s">
        <v>2301</v>
      </c>
      <c r="BL768" t="s">
        <v>110</v>
      </c>
    </row>
    <row r="769" spans="1:64" hidden="1" x14ac:dyDescent="0.2">
      <c r="A769">
        <v>860</v>
      </c>
      <c r="B769">
        <v>4070420363</v>
      </c>
      <c r="C769" t="s">
        <v>101</v>
      </c>
      <c r="D769" t="s">
        <v>3108</v>
      </c>
      <c r="E769" t="s">
        <v>65</v>
      </c>
      <c r="F769" t="s">
        <v>66</v>
      </c>
      <c r="G769" t="s">
        <v>67</v>
      </c>
      <c r="H769" t="s">
        <v>68</v>
      </c>
      <c r="I769" t="s">
        <v>350</v>
      </c>
      <c r="J769" t="s">
        <v>351</v>
      </c>
      <c r="K769" t="s">
        <v>352</v>
      </c>
      <c r="M769" t="s">
        <v>72</v>
      </c>
      <c r="N769" t="s">
        <v>353</v>
      </c>
      <c r="O769" t="s">
        <v>352</v>
      </c>
      <c r="P769" t="s">
        <v>180</v>
      </c>
      <c r="Q769" t="s">
        <v>75</v>
      </c>
      <c r="R769" t="s">
        <v>2806</v>
      </c>
      <c r="T769" t="s">
        <v>78</v>
      </c>
      <c r="U769" t="s">
        <v>1822</v>
      </c>
      <c r="V769" t="s">
        <v>80</v>
      </c>
      <c r="W769" s="1">
        <v>44814</v>
      </c>
      <c r="X769" t="s">
        <v>2778</v>
      </c>
      <c r="Y769" t="s">
        <v>3080</v>
      </c>
      <c r="Z769" t="s">
        <v>83</v>
      </c>
      <c r="AA769">
        <v>1</v>
      </c>
      <c r="AB769" t="s">
        <v>3109</v>
      </c>
      <c r="AD769" t="s">
        <v>378</v>
      </c>
      <c r="AE769" t="s">
        <v>145</v>
      </c>
      <c r="AF769" t="s">
        <v>146</v>
      </c>
      <c r="AG769" t="s">
        <v>3082</v>
      </c>
      <c r="AH769" t="s">
        <v>3110</v>
      </c>
      <c r="AI769" t="s">
        <v>90</v>
      </c>
      <c r="AJ769">
        <v>32.452097000000002</v>
      </c>
      <c r="AK769">
        <v>-110.74662600000001</v>
      </c>
      <c r="AL769">
        <v>3</v>
      </c>
      <c r="AN769">
        <v>2204</v>
      </c>
      <c r="AP769">
        <v>2204</v>
      </c>
      <c r="AQ769">
        <v>2207.9480010000002</v>
      </c>
      <c r="AT769">
        <v>10</v>
      </c>
      <c r="AU769">
        <v>9</v>
      </c>
      <c r="AV769">
        <v>2022</v>
      </c>
      <c r="AW769">
        <v>4972385</v>
      </c>
      <c r="AX769">
        <v>2437431</v>
      </c>
      <c r="AY769" t="s">
        <v>106</v>
      </c>
      <c r="AZ769" t="s">
        <v>92</v>
      </c>
      <c r="BA769" t="s">
        <v>107</v>
      </c>
      <c r="BB769" t="s">
        <v>3111</v>
      </c>
      <c r="BC769" t="s">
        <v>2245</v>
      </c>
      <c r="BE769" t="s">
        <v>96</v>
      </c>
      <c r="BG769" t="s">
        <v>2811</v>
      </c>
      <c r="BI769" t="s">
        <v>98</v>
      </c>
      <c r="BJ769" t="s">
        <v>3112</v>
      </c>
      <c r="BL769" t="s">
        <v>110</v>
      </c>
    </row>
    <row r="770" spans="1:64" hidden="1" x14ac:dyDescent="0.2">
      <c r="A770">
        <v>787</v>
      </c>
      <c r="B770">
        <v>4070420444</v>
      </c>
      <c r="C770" t="s">
        <v>101</v>
      </c>
      <c r="D770" t="s">
        <v>3119</v>
      </c>
      <c r="E770" t="s">
        <v>65</v>
      </c>
      <c r="F770" t="s">
        <v>66</v>
      </c>
      <c r="G770" t="s">
        <v>67</v>
      </c>
      <c r="H770" t="s">
        <v>68</v>
      </c>
      <c r="I770" t="s">
        <v>350</v>
      </c>
      <c r="J770" t="s">
        <v>351</v>
      </c>
      <c r="K770" t="s">
        <v>352</v>
      </c>
      <c r="M770" t="s">
        <v>72</v>
      </c>
      <c r="N770" t="s">
        <v>353</v>
      </c>
      <c r="O770" t="s">
        <v>352</v>
      </c>
      <c r="P770" t="s">
        <v>180</v>
      </c>
      <c r="Q770" t="s">
        <v>75</v>
      </c>
      <c r="R770" t="s">
        <v>2806</v>
      </c>
      <c r="S770" t="s">
        <v>968</v>
      </c>
      <c r="T770" t="s">
        <v>78</v>
      </c>
      <c r="U770" t="s">
        <v>1822</v>
      </c>
      <c r="V770" t="s">
        <v>80</v>
      </c>
      <c r="W770" s="1">
        <v>44814</v>
      </c>
      <c r="X770" t="s">
        <v>2778</v>
      </c>
      <c r="Y770" t="s">
        <v>3114</v>
      </c>
      <c r="Z770" t="s">
        <v>83</v>
      </c>
      <c r="AA770">
        <v>1</v>
      </c>
      <c r="AB770" t="s">
        <v>127</v>
      </c>
      <c r="AD770" t="s">
        <v>139</v>
      </c>
      <c r="AE770" t="s">
        <v>86</v>
      </c>
      <c r="AF770" t="s">
        <v>146</v>
      </c>
      <c r="AG770" t="s">
        <v>1393</v>
      </c>
      <c r="AH770" t="s">
        <v>3120</v>
      </c>
      <c r="AI770" t="s">
        <v>90</v>
      </c>
      <c r="AJ770">
        <v>32.451968000000001</v>
      </c>
      <c r="AK770">
        <v>-110.746624</v>
      </c>
      <c r="AL770">
        <v>4</v>
      </c>
      <c r="AN770">
        <v>2204</v>
      </c>
      <c r="AP770">
        <v>2204</v>
      </c>
      <c r="AQ770">
        <v>2205.5154229999998</v>
      </c>
      <c r="AT770">
        <v>10</v>
      </c>
      <c r="AU770">
        <v>9</v>
      </c>
      <c r="AV770">
        <v>2022</v>
      </c>
      <c r="AW770">
        <v>4972385</v>
      </c>
      <c r="AX770">
        <v>2437431</v>
      </c>
      <c r="AY770" t="s">
        <v>106</v>
      </c>
      <c r="AZ770" t="s">
        <v>92</v>
      </c>
      <c r="BA770" t="s">
        <v>107</v>
      </c>
      <c r="BB770" t="s">
        <v>3121</v>
      </c>
      <c r="BC770" t="s">
        <v>2245</v>
      </c>
      <c r="BE770" t="s">
        <v>96</v>
      </c>
      <c r="BG770" t="s">
        <v>2811</v>
      </c>
      <c r="BI770" t="s">
        <v>98</v>
      </c>
      <c r="BJ770" t="s">
        <v>3122</v>
      </c>
      <c r="BL770" t="s">
        <v>110</v>
      </c>
    </row>
    <row r="771" spans="1:64" hidden="1" x14ac:dyDescent="0.2">
      <c r="A771">
        <v>785</v>
      </c>
      <c r="B771">
        <v>4070420446</v>
      </c>
      <c r="C771" t="s">
        <v>101</v>
      </c>
      <c r="D771" t="s">
        <v>3123</v>
      </c>
      <c r="E771" t="s">
        <v>65</v>
      </c>
      <c r="F771" t="s">
        <v>66</v>
      </c>
      <c r="G771" t="s">
        <v>67</v>
      </c>
      <c r="H771" t="s">
        <v>68</v>
      </c>
      <c r="I771" t="s">
        <v>350</v>
      </c>
      <c r="J771" t="s">
        <v>351</v>
      </c>
      <c r="K771" t="s">
        <v>352</v>
      </c>
      <c r="M771" t="s">
        <v>72</v>
      </c>
      <c r="N771" t="s">
        <v>353</v>
      </c>
      <c r="O771" t="s">
        <v>352</v>
      </c>
      <c r="P771" t="s">
        <v>180</v>
      </c>
      <c r="Q771" t="s">
        <v>75</v>
      </c>
      <c r="R771" t="s">
        <v>2806</v>
      </c>
      <c r="S771" t="s">
        <v>968</v>
      </c>
      <c r="T771" t="s">
        <v>78</v>
      </c>
      <c r="U771" t="s">
        <v>1822</v>
      </c>
      <c r="V771" t="s">
        <v>80</v>
      </c>
      <c r="W771" s="1">
        <v>44814</v>
      </c>
      <c r="X771" t="s">
        <v>2778</v>
      </c>
      <c r="Y771" t="s">
        <v>3114</v>
      </c>
      <c r="Z771" t="s">
        <v>83</v>
      </c>
      <c r="AA771">
        <v>1</v>
      </c>
      <c r="AB771" t="s">
        <v>127</v>
      </c>
      <c r="AD771" t="s">
        <v>123</v>
      </c>
      <c r="AE771" t="s">
        <v>86</v>
      </c>
      <c r="AF771" t="s">
        <v>146</v>
      </c>
      <c r="AG771" t="s">
        <v>1393</v>
      </c>
      <c r="AH771" t="s">
        <v>3120</v>
      </c>
      <c r="AI771" t="s">
        <v>90</v>
      </c>
      <c r="AJ771">
        <v>32.451968000000001</v>
      </c>
      <c r="AK771">
        <v>-110.746624</v>
      </c>
      <c r="AL771">
        <v>4</v>
      </c>
      <c r="AN771">
        <v>2204</v>
      </c>
      <c r="AP771">
        <v>2204</v>
      </c>
      <c r="AQ771">
        <v>2205.5154229999998</v>
      </c>
      <c r="AT771">
        <v>10</v>
      </c>
      <c r="AU771">
        <v>9</v>
      </c>
      <c r="AV771">
        <v>2022</v>
      </c>
      <c r="AW771">
        <v>4972385</v>
      </c>
      <c r="AX771">
        <v>2437431</v>
      </c>
      <c r="AY771" t="s">
        <v>106</v>
      </c>
      <c r="AZ771" t="s">
        <v>92</v>
      </c>
      <c r="BA771" t="s">
        <v>107</v>
      </c>
      <c r="BB771" t="s">
        <v>3124</v>
      </c>
      <c r="BC771" t="s">
        <v>2245</v>
      </c>
      <c r="BE771" t="s">
        <v>96</v>
      </c>
      <c r="BG771" t="s">
        <v>2811</v>
      </c>
      <c r="BI771" t="s">
        <v>98</v>
      </c>
      <c r="BJ771" t="s">
        <v>2307</v>
      </c>
      <c r="BL771" t="s">
        <v>110</v>
      </c>
    </row>
    <row r="772" spans="1:64" hidden="1" x14ac:dyDescent="0.2">
      <c r="A772">
        <v>180</v>
      </c>
      <c r="B772">
        <v>4403382460</v>
      </c>
      <c r="C772" t="s">
        <v>101</v>
      </c>
      <c r="D772" t="s">
        <v>3470</v>
      </c>
      <c r="E772" t="s">
        <v>65</v>
      </c>
      <c r="F772" t="s">
        <v>66</v>
      </c>
      <c r="G772" t="s">
        <v>67</v>
      </c>
      <c r="H772" t="s">
        <v>68</v>
      </c>
      <c r="I772" t="s">
        <v>176</v>
      </c>
      <c r="J772" t="s">
        <v>1173</v>
      </c>
      <c r="K772" t="s">
        <v>1174</v>
      </c>
      <c r="M772" t="s">
        <v>72</v>
      </c>
      <c r="N772" t="s">
        <v>1175</v>
      </c>
      <c r="O772" t="s">
        <v>1174</v>
      </c>
      <c r="P772" t="s">
        <v>1176</v>
      </c>
      <c r="Q772" t="s">
        <v>75</v>
      </c>
      <c r="R772" t="s">
        <v>3174</v>
      </c>
      <c r="S772" t="s">
        <v>1592</v>
      </c>
      <c r="T772" t="s">
        <v>78</v>
      </c>
      <c r="U772" t="s">
        <v>1822</v>
      </c>
      <c r="V772" t="s">
        <v>80</v>
      </c>
      <c r="W772" s="1">
        <v>45110</v>
      </c>
      <c r="X772" t="s">
        <v>1859</v>
      </c>
      <c r="Y772" t="s">
        <v>3466</v>
      </c>
      <c r="Z772" t="s">
        <v>83</v>
      </c>
      <c r="AA772">
        <v>1</v>
      </c>
      <c r="AB772" t="s">
        <v>367</v>
      </c>
      <c r="AC772">
        <v>0</v>
      </c>
      <c r="AD772" t="s">
        <v>128</v>
      </c>
      <c r="AE772" t="s">
        <v>145</v>
      </c>
      <c r="AF772" t="s">
        <v>402</v>
      </c>
      <c r="AG772" t="s">
        <v>344</v>
      </c>
      <c r="AI772" t="s">
        <v>90</v>
      </c>
      <c r="AJ772">
        <v>32.425635</v>
      </c>
      <c r="AK772">
        <v>-110.739571</v>
      </c>
      <c r="AN772">
        <v>2363</v>
      </c>
      <c r="AP772">
        <v>2363</v>
      </c>
      <c r="AQ772">
        <v>2378.1348840000001</v>
      </c>
      <c r="AT772">
        <v>3</v>
      </c>
      <c r="AU772">
        <v>7</v>
      </c>
      <c r="AV772">
        <v>2023</v>
      </c>
      <c r="AW772">
        <v>2437874</v>
      </c>
      <c r="AX772">
        <v>2437874</v>
      </c>
      <c r="AY772" t="s">
        <v>106</v>
      </c>
      <c r="AZ772" t="s">
        <v>92</v>
      </c>
      <c r="BA772" t="s">
        <v>107</v>
      </c>
      <c r="BB772" t="s">
        <v>3471</v>
      </c>
      <c r="BC772" t="s">
        <v>1186</v>
      </c>
      <c r="BD772" s="1">
        <v>45110</v>
      </c>
      <c r="BE772" t="s">
        <v>96</v>
      </c>
      <c r="BG772" t="s">
        <v>1187</v>
      </c>
      <c r="BI772" t="s">
        <v>98</v>
      </c>
      <c r="BJ772" t="s">
        <v>3472</v>
      </c>
      <c r="BL772" t="s">
        <v>110</v>
      </c>
    </row>
    <row r="773" spans="1:64" x14ac:dyDescent="0.2">
      <c r="A773">
        <v>1478</v>
      </c>
      <c r="B773">
        <v>3748770403</v>
      </c>
      <c r="C773" t="s">
        <v>63</v>
      </c>
      <c r="D773" t="s">
        <v>4462</v>
      </c>
      <c r="E773" t="s">
        <v>65</v>
      </c>
      <c r="F773" t="s">
        <v>66</v>
      </c>
      <c r="G773" t="s">
        <v>67</v>
      </c>
      <c r="H773" t="s">
        <v>68</v>
      </c>
      <c r="I773" t="s">
        <v>69</v>
      </c>
      <c r="J773" t="s">
        <v>70</v>
      </c>
      <c r="K773" t="s">
        <v>71</v>
      </c>
      <c r="M773" t="s">
        <v>72</v>
      </c>
      <c r="N773" t="s">
        <v>73</v>
      </c>
      <c r="O773" t="s">
        <v>71</v>
      </c>
      <c r="P773" t="s">
        <v>74</v>
      </c>
      <c r="Q773" t="s">
        <v>75</v>
      </c>
      <c r="R773" t="s">
        <v>4297</v>
      </c>
      <c r="S773" t="s">
        <v>4463</v>
      </c>
      <c r="T773" t="s">
        <v>78</v>
      </c>
      <c r="U773" t="s">
        <v>79</v>
      </c>
      <c r="V773" t="s">
        <v>80</v>
      </c>
      <c r="W773" s="1">
        <v>44521</v>
      </c>
      <c r="X773" t="s">
        <v>81</v>
      </c>
      <c r="Y773" t="s">
        <v>4464</v>
      </c>
      <c r="Z773" t="s">
        <v>83</v>
      </c>
      <c r="AA773">
        <v>1</v>
      </c>
      <c r="AB773" t="s">
        <v>4465</v>
      </c>
      <c r="AC773">
        <v>1</v>
      </c>
      <c r="AD773" s="6" t="s">
        <v>85</v>
      </c>
      <c r="AE773" s="6" t="s">
        <v>145</v>
      </c>
      <c r="AF773" s="6" t="s">
        <v>146</v>
      </c>
      <c r="AG773" s="6" t="s">
        <v>4466</v>
      </c>
      <c r="AH773" s="6" t="s">
        <v>4467</v>
      </c>
      <c r="AI773" s="6" t="s">
        <v>90</v>
      </c>
      <c r="AJ773" s="6">
        <v>32.499155999999999</v>
      </c>
      <c r="AK773" s="6">
        <v>-110.682446</v>
      </c>
      <c r="AL773" s="6">
        <v>3</v>
      </c>
      <c r="AM773" s="6"/>
      <c r="AN773" s="6">
        <v>1318</v>
      </c>
      <c r="AO773" s="6"/>
      <c r="AP773" s="6">
        <v>1318</v>
      </c>
      <c r="AQ773" s="6">
        <v>1320.826133</v>
      </c>
      <c r="AR773" s="6"/>
      <c r="AS773" s="6"/>
      <c r="AT773" s="6">
        <v>21</v>
      </c>
      <c r="AU773" s="6">
        <v>11</v>
      </c>
      <c r="AV773" s="6">
        <v>2021</v>
      </c>
      <c r="AW773" s="6">
        <v>2439581</v>
      </c>
      <c r="AX773" s="6">
        <v>2439581</v>
      </c>
      <c r="AY773" s="6" t="s">
        <v>91</v>
      </c>
      <c r="AZ773" t="s">
        <v>92</v>
      </c>
      <c r="BA773" t="s">
        <v>93</v>
      </c>
      <c r="BB773" t="s">
        <v>4468</v>
      </c>
      <c r="BC773" t="s">
        <v>97</v>
      </c>
      <c r="BE773" t="s">
        <v>96</v>
      </c>
      <c r="BG773" t="s">
        <v>97</v>
      </c>
      <c r="BI773" t="s">
        <v>98</v>
      </c>
      <c r="BJ773" t="s">
        <v>4469</v>
      </c>
      <c r="BL773" t="s">
        <v>100</v>
      </c>
    </row>
    <row r="774" spans="1:64" hidden="1" x14ac:dyDescent="0.2">
      <c r="A774">
        <v>779</v>
      </c>
      <c r="B774">
        <v>4070420455</v>
      </c>
      <c r="C774" t="s">
        <v>101</v>
      </c>
      <c r="D774" t="s">
        <v>3132</v>
      </c>
      <c r="E774" t="s">
        <v>65</v>
      </c>
      <c r="F774" t="s">
        <v>66</v>
      </c>
      <c r="G774" t="s">
        <v>67</v>
      </c>
      <c r="H774" t="s">
        <v>68</v>
      </c>
      <c r="I774" t="s">
        <v>350</v>
      </c>
      <c r="J774" t="s">
        <v>351</v>
      </c>
      <c r="K774" t="s">
        <v>352</v>
      </c>
      <c r="M774" t="s">
        <v>72</v>
      </c>
      <c r="N774" t="s">
        <v>353</v>
      </c>
      <c r="O774" t="s">
        <v>352</v>
      </c>
      <c r="P774" t="s">
        <v>180</v>
      </c>
      <c r="Q774" t="s">
        <v>75</v>
      </c>
      <c r="R774" t="s">
        <v>2806</v>
      </c>
      <c r="S774" t="s">
        <v>968</v>
      </c>
      <c r="T774" t="s">
        <v>78</v>
      </c>
      <c r="U774" t="s">
        <v>1822</v>
      </c>
      <c r="V774" t="s">
        <v>80</v>
      </c>
      <c r="W774" s="1">
        <v>44814</v>
      </c>
      <c r="X774" t="s">
        <v>2778</v>
      </c>
      <c r="Y774" t="s">
        <v>3114</v>
      </c>
      <c r="Z774" t="s">
        <v>83</v>
      </c>
      <c r="AA774">
        <v>1</v>
      </c>
      <c r="AB774" t="s">
        <v>103</v>
      </c>
      <c r="AD774" t="s">
        <v>112</v>
      </c>
      <c r="AE774" t="s">
        <v>86</v>
      </c>
      <c r="AF774" t="s">
        <v>146</v>
      </c>
      <c r="AG774" t="s">
        <v>1393</v>
      </c>
      <c r="AH774" t="s">
        <v>3120</v>
      </c>
      <c r="AI774" t="s">
        <v>90</v>
      </c>
      <c r="AJ774">
        <v>32.451968000000001</v>
      </c>
      <c r="AK774">
        <v>-110.746624</v>
      </c>
      <c r="AL774">
        <v>4</v>
      </c>
      <c r="AN774">
        <v>2204</v>
      </c>
      <c r="AP774">
        <v>2204</v>
      </c>
      <c r="AQ774">
        <v>2205.5154229999998</v>
      </c>
      <c r="AT774">
        <v>10</v>
      </c>
      <c r="AU774">
        <v>9</v>
      </c>
      <c r="AV774">
        <v>2022</v>
      </c>
      <c r="AW774">
        <v>4972385</v>
      </c>
      <c r="AX774">
        <v>2437431</v>
      </c>
      <c r="AY774" t="s">
        <v>106</v>
      </c>
      <c r="AZ774" t="s">
        <v>92</v>
      </c>
      <c r="BA774" t="s">
        <v>107</v>
      </c>
      <c r="BB774" t="s">
        <v>3133</v>
      </c>
      <c r="BC774" t="s">
        <v>2245</v>
      </c>
      <c r="BE774" t="s">
        <v>96</v>
      </c>
      <c r="BG774" t="s">
        <v>2811</v>
      </c>
      <c r="BI774" t="s">
        <v>98</v>
      </c>
      <c r="BJ774" t="s">
        <v>1895</v>
      </c>
      <c r="BL774" t="s">
        <v>110</v>
      </c>
    </row>
    <row r="775" spans="1:64" hidden="1" x14ac:dyDescent="0.2">
      <c r="A775">
        <v>762</v>
      </c>
      <c r="B775">
        <v>4070420475</v>
      </c>
      <c r="C775" t="s">
        <v>101</v>
      </c>
      <c r="D775" t="s">
        <v>3134</v>
      </c>
      <c r="E775" t="s">
        <v>65</v>
      </c>
      <c r="F775" t="s">
        <v>66</v>
      </c>
      <c r="G775" t="s">
        <v>67</v>
      </c>
      <c r="H775" t="s">
        <v>68</v>
      </c>
      <c r="I775" t="s">
        <v>350</v>
      </c>
      <c r="J775" t="s">
        <v>351</v>
      </c>
      <c r="K775" t="s">
        <v>352</v>
      </c>
      <c r="M775" t="s">
        <v>72</v>
      </c>
      <c r="N775" t="s">
        <v>353</v>
      </c>
      <c r="O775" t="s">
        <v>352</v>
      </c>
      <c r="P775" t="s">
        <v>180</v>
      </c>
      <c r="Q775" t="s">
        <v>75</v>
      </c>
      <c r="R775" t="s">
        <v>2806</v>
      </c>
      <c r="S775" t="s">
        <v>968</v>
      </c>
      <c r="T775" t="s">
        <v>78</v>
      </c>
      <c r="U775" t="s">
        <v>1822</v>
      </c>
      <c r="V775" t="s">
        <v>80</v>
      </c>
      <c r="W775" s="1">
        <v>44814</v>
      </c>
      <c r="X775" t="s">
        <v>2778</v>
      </c>
      <c r="Y775" t="s">
        <v>3114</v>
      </c>
      <c r="Z775" t="s">
        <v>83</v>
      </c>
      <c r="AA775">
        <v>1</v>
      </c>
      <c r="AB775" t="s">
        <v>103</v>
      </c>
      <c r="AD775" t="s">
        <v>116</v>
      </c>
      <c r="AE775" t="s">
        <v>86</v>
      </c>
      <c r="AF775" t="s">
        <v>146</v>
      </c>
      <c r="AG775" t="s">
        <v>1393</v>
      </c>
      <c r="AH775" t="s">
        <v>3120</v>
      </c>
      <c r="AI775" t="s">
        <v>90</v>
      </c>
      <c r="AJ775">
        <v>32.451968000000001</v>
      </c>
      <c r="AK775">
        <v>-110.746624</v>
      </c>
      <c r="AL775">
        <v>4</v>
      </c>
      <c r="AN775">
        <v>2204</v>
      </c>
      <c r="AP775">
        <v>2204</v>
      </c>
      <c r="AQ775">
        <v>2205.5154229999998</v>
      </c>
      <c r="AT775">
        <v>10</v>
      </c>
      <c r="AU775">
        <v>9</v>
      </c>
      <c r="AV775">
        <v>2022</v>
      </c>
      <c r="AW775">
        <v>4972385</v>
      </c>
      <c r="AX775">
        <v>2437431</v>
      </c>
      <c r="AY775" t="s">
        <v>106</v>
      </c>
      <c r="AZ775" t="s">
        <v>92</v>
      </c>
      <c r="BA775" t="s">
        <v>107</v>
      </c>
      <c r="BB775" t="s">
        <v>3135</v>
      </c>
      <c r="BC775" t="s">
        <v>2245</v>
      </c>
      <c r="BE775" t="s">
        <v>96</v>
      </c>
      <c r="BG775" t="s">
        <v>2811</v>
      </c>
      <c r="BI775" t="s">
        <v>98</v>
      </c>
      <c r="BJ775" t="s">
        <v>3136</v>
      </c>
      <c r="BL775" t="s">
        <v>110</v>
      </c>
    </row>
    <row r="776" spans="1:64" hidden="1" x14ac:dyDescent="0.2">
      <c r="A776">
        <v>760</v>
      </c>
      <c r="B776">
        <v>4070420477</v>
      </c>
      <c r="C776" t="s">
        <v>101</v>
      </c>
      <c r="D776" t="s">
        <v>3137</v>
      </c>
      <c r="E776" t="s">
        <v>65</v>
      </c>
      <c r="F776" t="s">
        <v>66</v>
      </c>
      <c r="G776" t="s">
        <v>67</v>
      </c>
      <c r="H776" t="s">
        <v>68</v>
      </c>
      <c r="I776" t="s">
        <v>350</v>
      </c>
      <c r="J776" t="s">
        <v>351</v>
      </c>
      <c r="K776" t="s">
        <v>352</v>
      </c>
      <c r="M776" t="s">
        <v>72</v>
      </c>
      <c r="N776" t="s">
        <v>353</v>
      </c>
      <c r="O776" t="s">
        <v>352</v>
      </c>
      <c r="P776" t="s">
        <v>180</v>
      </c>
      <c r="Q776" t="s">
        <v>75</v>
      </c>
      <c r="R776" t="s">
        <v>2806</v>
      </c>
      <c r="S776" t="s">
        <v>968</v>
      </c>
      <c r="T776" t="s">
        <v>78</v>
      </c>
      <c r="U776" t="s">
        <v>1822</v>
      </c>
      <c r="V776" t="s">
        <v>80</v>
      </c>
      <c r="W776" s="1">
        <v>44814</v>
      </c>
      <c r="X776" t="s">
        <v>2778</v>
      </c>
      <c r="Y776" t="s">
        <v>3114</v>
      </c>
      <c r="Z776" t="s">
        <v>83</v>
      </c>
      <c r="AA776">
        <v>1</v>
      </c>
      <c r="AB776" t="s">
        <v>103</v>
      </c>
      <c r="AD776" t="s">
        <v>104</v>
      </c>
      <c r="AE776" t="s">
        <v>86</v>
      </c>
      <c r="AF776" t="s">
        <v>146</v>
      </c>
      <c r="AG776" t="s">
        <v>1393</v>
      </c>
      <c r="AH776" t="s">
        <v>3120</v>
      </c>
      <c r="AI776" t="s">
        <v>90</v>
      </c>
      <c r="AJ776">
        <v>32.451968000000001</v>
      </c>
      <c r="AK776">
        <v>-110.746624</v>
      </c>
      <c r="AL776">
        <v>4</v>
      </c>
      <c r="AN776">
        <v>2204</v>
      </c>
      <c r="AP776">
        <v>2204</v>
      </c>
      <c r="AQ776">
        <v>2205.5154229999998</v>
      </c>
      <c r="AT776">
        <v>10</v>
      </c>
      <c r="AU776">
        <v>9</v>
      </c>
      <c r="AV776">
        <v>2022</v>
      </c>
      <c r="AW776">
        <v>4972385</v>
      </c>
      <c r="AX776">
        <v>2437431</v>
      </c>
      <c r="AY776" t="s">
        <v>106</v>
      </c>
      <c r="AZ776" t="s">
        <v>92</v>
      </c>
      <c r="BA776" t="s">
        <v>107</v>
      </c>
      <c r="BB776" t="s">
        <v>3138</v>
      </c>
      <c r="BC776" t="s">
        <v>2245</v>
      </c>
      <c r="BE776" t="s">
        <v>96</v>
      </c>
      <c r="BG776" t="s">
        <v>2811</v>
      </c>
      <c r="BI776" t="s">
        <v>98</v>
      </c>
      <c r="BJ776" t="s">
        <v>3104</v>
      </c>
      <c r="BL776" t="s">
        <v>110</v>
      </c>
    </row>
    <row r="777" spans="1:64" hidden="1" x14ac:dyDescent="0.2">
      <c r="A777">
        <v>686</v>
      </c>
      <c r="B777">
        <v>4070420551</v>
      </c>
      <c r="C777" t="s">
        <v>101</v>
      </c>
      <c r="D777" t="s">
        <v>3139</v>
      </c>
      <c r="E777" t="s">
        <v>65</v>
      </c>
      <c r="F777" t="s">
        <v>66</v>
      </c>
      <c r="G777" t="s">
        <v>67</v>
      </c>
      <c r="H777" t="s">
        <v>68</v>
      </c>
      <c r="I777" t="s">
        <v>350</v>
      </c>
      <c r="J777" t="s">
        <v>351</v>
      </c>
      <c r="K777" t="s">
        <v>352</v>
      </c>
      <c r="M777" t="s">
        <v>72</v>
      </c>
      <c r="N777" t="s">
        <v>353</v>
      </c>
      <c r="O777" t="s">
        <v>352</v>
      </c>
      <c r="P777" t="s">
        <v>180</v>
      </c>
      <c r="Q777" t="s">
        <v>75</v>
      </c>
      <c r="R777" t="s">
        <v>2806</v>
      </c>
      <c r="S777" t="s">
        <v>968</v>
      </c>
      <c r="T777" t="s">
        <v>78</v>
      </c>
      <c r="U777" t="s">
        <v>1822</v>
      </c>
      <c r="V777" t="s">
        <v>80</v>
      </c>
      <c r="W777" s="1">
        <v>44814</v>
      </c>
      <c r="X777" t="s">
        <v>2778</v>
      </c>
      <c r="Y777" t="s">
        <v>3114</v>
      </c>
      <c r="Z777" t="s">
        <v>83</v>
      </c>
      <c r="AA777">
        <v>1</v>
      </c>
      <c r="AB777" t="s">
        <v>2262</v>
      </c>
      <c r="AD777" t="s">
        <v>134</v>
      </c>
      <c r="AE777" t="s">
        <v>86</v>
      </c>
      <c r="AF777" t="s">
        <v>146</v>
      </c>
      <c r="AG777" t="s">
        <v>1393</v>
      </c>
      <c r="AH777" t="s">
        <v>3140</v>
      </c>
      <c r="AI777" t="s">
        <v>90</v>
      </c>
      <c r="AJ777">
        <v>32.451968000000001</v>
      </c>
      <c r="AK777">
        <v>-110.746624</v>
      </c>
      <c r="AL777">
        <v>4</v>
      </c>
      <c r="AN777">
        <v>2204</v>
      </c>
      <c r="AP777">
        <v>2204</v>
      </c>
      <c r="AQ777">
        <v>2205.5154229999998</v>
      </c>
      <c r="AT777">
        <v>10</v>
      </c>
      <c r="AU777">
        <v>9</v>
      </c>
      <c r="AV777">
        <v>2022</v>
      </c>
      <c r="AW777">
        <v>4972385</v>
      </c>
      <c r="AX777">
        <v>2437431</v>
      </c>
      <c r="AY777" t="s">
        <v>106</v>
      </c>
      <c r="AZ777" t="s">
        <v>92</v>
      </c>
      <c r="BA777" t="s">
        <v>107</v>
      </c>
      <c r="BB777" t="s">
        <v>3141</v>
      </c>
      <c r="BC777" t="s">
        <v>2245</v>
      </c>
      <c r="BE777" t="s">
        <v>96</v>
      </c>
      <c r="BG777" t="s">
        <v>2811</v>
      </c>
      <c r="BI777" t="s">
        <v>98</v>
      </c>
      <c r="BJ777" t="s">
        <v>3142</v>
      </c>
      <c r="BL777" t="s">
        <v>110</v>
      </c>
    </row>
    <row r="778" spans="1:64" hidden="1" x14ac:dyDescent="0.2">
      <c r="A778">
        <v>156</v>
      </c>
      <c r="B778">
        <v>4403382484</v>
      </c>
      <c r="C778" t="s">
        <v>101</v>
      </c>
      <c r="D778" t="s">
        <v>3478</v>
      </c>
      <c r="E778" t="s">
        <v>65</v>
      </c>
      <c r="F778" t="s">
        <v>66</v>
      </c>
      <c r="G778" t="s">
        <v>67</v>
      </c>
      <c r="H778" t="s">
        <v>68</v>
      </c>
      <c r="I778" t="s">
        <v>176</v>
      </c>
      <c r="J778" t="s">
        <v>1173</v>
      </c>
      <c r="K778" t="s">
        <v>1174</v>
      </c>
      <c r="M778" t="s">
        <v>72</v>
      </c>
      <c r="N778" t="s">
        <v>1175</v>
      </c>
      <c r="O778" t="s">
        <v>1174</v>
      </c>
      <c r="P778" t="s">
        <v>1176</v>
      </c>
      <c r="Q778" t="s">
        <v>75</v>
      </c>
      <c r="R778" t="s">
        <v>3174</v>
      </c>
      <c r="S778" t="s">
        <v>513</v>
      </c>
      <c r="T778" t="s">
        <v>78</v>
      </c>
      <c r="U778" t="s">
        <v>1822</v>
      </c>
      <c r="V778" t="s">
        <v>80</v>
      </c>
      <c r="W778" s="1">
        <v>45110</v>
      </c>
      <c r="X778" t="s">
        <v>1859</v>
      </c>
      <c r="Y778" t="s">
        <v>3474</v>
      </c>
      <c r="Z778" t="s">
        <v>83</v>
      </c>
      <c r="AA778">
        <v>1</v>
      </c>
      <c r="AB778" t="s">
        <v>367</v>
      </c>
      <c r="AC778">
        <v>0</v>
      </c>
      <c r="AD778" t="s">
        <v>128</v>
      </c>
      <c r="AE778" t="s">
        <v>145</v>
      </c>
      <c r="AF778" t="s">
        <v>402</v>
      </c>
      <c r="AG778" t="s">
        <v>344</v>
      </c>
      <c r="AI778" t="s">
        <v>90</v>
      </c>
      <c r="AJ778">
        <v>32.425542</v>
      </c>
      <c r="AK778">
        <v>-110.73976399999999</v>
      </c>
      <c r="AN778">
        <v>2360</v>
      </c>
      <c r="AP778">
        <v>2360</v>
      </c>
      <c r="AQ778">
        <v>2380.8569379999999</v>
      </c>
      <c r="AT778">
        <v>3</v>
      </c>
      <c r="AU778">
        <v>7</v>
      </c>
      <c r="AV778">
        <v>2023</v>
      </c>
      <c r="AW778">
        <v>2437874</v>
      </c>
      <c r="AX778">
        <v>2437874</v>
      </c>
      <c r="AY778" t="s">
        <v>106</v>
      </c>
      <c r="AZ778" t="s">
        <v>92</v>
      </c>
      <c r="BA778" t="s">
        <v>107</v>
      </c>
      <c r="BB778" t="s">
        <v>3479</v>
      </c>
      <c r="BC778" t="s">
        <v>1186</v>
      </c>
      <c r="BD778" s="1">
        <v>45110</v>
      </c>
      <c r="BE778" t="s">
        <v>96</v>
      </c>
      <c r="BG778" t="s">
        <v>1187</v>
      </c>
      <c r="BI778" t="s">
        <v>98</v>
      </c>
      <c r="BJ778" t="s">
        <v>3477</v>
      </c>
      <c r="BL778" t="s">
        <v>110</v>
      </c>
    </row>
    <row r="779" spans="1:64" x14ac:dyDescent="0.2">
      <c r="A779">
        <v>1480</v>
      </c>
      <c r="B779">
        <v>3748770401</v>
      </c>
      <c r="C779" t="s">
        <v>63</v>
      </c>
      <c r="D779" t="s">
        <v>310</v>
      </c>
      <c r="E779" t="s">
        <v>65</v>
      </c>
      <c r="F779" t="s">
        <v>66</v>
      </c>
      <c r="G779" t="s">
        <v>67</v>
      </c>
      <c r="H779" t="s">
        <v>68</v>
      </c>
      <c r="I779" t="s">
        <v>176</v>
      </c>
      <c r="J779" t="s">
        <v>177</v>
      </c>
      <c r="K779" t="s">
        <v>178</v>
      </c>
      <c r="M779" t="s">
        <v>72</v>
      </c>
      <c r="N779" t="s">
        <v>179</v>
      </c>
      <c r="O779" t="s">
        <v>178</v>
      </c>
      <c r="P779" t="s">
        <v>180</v>
      </c>
      <c r="Q779" t="s">
        <v>75</v>
      </c>
      <c r="R779" t="s">
        <v>311</v>
      </c>
      <c r="S779" t="s">
        <v>312</v>
      </c>
      <c r="T779" t="s">
        <v>78</v>
      </c>
      <c r="U779" t="s">
        <v>79</v>
      </c>
      <c r="V779" t="s">
        <v>80</v>
      </c>
      <c r="W779" s="1">
        <v>44521</v>
      </c>
      <c r="X779" t="s">
        <v>81</v>
      </c>
      <c r="Y779" t="s">
        <v>313</v>
      </c>
      <c r="Z779" t="s">
        <v>83</v>
      </c>
      <c r="AA779">
        <v>1</v>
      </c>
      <c r="AB779" t="s">
        <v>314</v>
      </c>
      <c r="AC779">
        <v>1</v>
      </c>
      <c r="AD779" s="6" t="s">
        <v>85</v>
      </c>
      <c r="AE779" s="6" t="s">
        <v>86</v>
      </c>
      <c r="AF779" s="6" t="s">
        <v>146</v>
      </c>
      <c r="AG779" s="6" t="s">
        <v>315</v>
      </c>
      <c r="AH779" s="6" t="s">
        <v>316</v>
      </c>
      <c r="AI779" s="6" t="s">
        <v>90</v>
      </c>
      <c r="AJ779" s="6">
        <v>32.501846999999998</v>
      </c>
      <c r="AK779" s="6">
        <v>-110.68313999999999</v>
      </c>
      <c r="AL779" s="6">
        <v>3</v>
      </c>
      <c r="AM779" s="6"/>
      <c r="AN779" s="6">
        <v>1326</v>
      </c>
      <c r="AO779" s="6"/>
      <c r="AP779" s="6">
        <v>1326</v>
      </c>
      <c r="AQ779" s="6">
        <v>1337.383513</v>
      </c>
      <c r="AR779" s="6"/>
      <c r="AS779" s="6"/>
      <c r="AT779" s="6">
        <v>21</v>
      </c>
      <c r="AU779" s="6">
        <v>11</v>
      </c>
      <c r="AV779" s="6">
        <v>2021</v>
      </c>
      <c r="AW779" s="6">
        <v>2438038</v>
      </c>
      <c r="AX779" s="6">
        <v>2438038</v>
      </c>
      <c r="AY779" s="6" t="s">
        <v>91</v>
      </c>
      <c r="AZ779" t="s">
        <v>92</v>
      </c>
      <c r="BA779" t="s">
        <v>93</v>
      </c>
      <c r="BB779" t="s">
        <v>317</v>
      </c>
      <c r="BC779" t="s">
        <v>97</v>
      </c>
      <c r="BE779" t="s">
        <v>96</v>
      </c>
      <c r="BG779" t="s">
        <v>97</v>
      </c>
      <c r="BI779" t="s">
        <v>98</v>
      </c>
      <c r="BJ779" t="s">
        <v>285</v>
      </c>
      <c r="BL779" t="s">
        <v>100</v>
      </c>
    </row>
    <row r="780" spans="1:64" hidden="1" x14ac:dyDescent="0.2">
      <c r="A780">
        <v>773</v>
      </c>
      <c r="B780">
        <v>4070420464</v>
      </c>
      <c r="C780" t="s">
        <v>101</v>
      </c>
      <c r="D780" t="s">
        <v>3156</v>
      </c>
      <c r="E780" t="s">
        <v>65</v>
      </c>
      <c r="F780" t="s">
        <v>66</v>
      </c>
      <c r="G780" t="s">
        <v>67</v>
      </c>
      <c r="H780" t="s">
        <v>68</v>
      </c>
      <c r="I780" t="s">
        <v>350</v>
      </c>
      <c r="J780" t="s">
        <v>351</v>
      </c>
      <c r="K780" t="s">
        <v>352</v>
      </c>
      <c r="M780" t="s">
        <v>72</v>
      </c>
      <c r="N780" t="s">
        <v>353</v>
      </c>
      <c r="O780" t="s">
        <v>352</v>
      </c>
      <c r="P780" t="s">
        <v>180</v>
      </c>
      <c r="Q780" t="s">
        <v>75</v>
      </c>
      <c r="R780" t="s">
        <v>2806</v>
      </c>
      <c r="S780" t="s">
        <v>3144</v>
      </c>
      <c r="T780" t="s">
        <v>78</v>
      </c>
      <c r="U780" t="s">
        <v>1822</v>
      </c>
      <c r="V780" t="s">
        <v>80</v>
      </c>
      <c r="W780" s="1">
        <v>44815</v>
      </c>
      <c r="X780" t="s">
        <v>2778</v>
      </c>
      <c r="Y780" t="s">
        <v>3145</v>
      </c>
      <c r="Z780" t="s">
        <v>83</v>
      </c>
      <c r="AA780">
        <v>1</v>
      </c>
      <c r="AB780" t="s">
        <v>103</v>
      </c>
      <c r="AD780" t="s">
        <v>112</v>
      </c>
      <c r="AE780" t="s">
        <v>145</v>
      </c>
      <c r="AF780" t="s">
        <v>146</v>
      </c>
      <c r="AG780" t="s">
        <v>3147</v>
      </c>
      <c r="AH780" t="s">
        <v>3157</v>
      </c>
      <c r="AI780" t="s">
        <v>90</v>
      </c>
      <c r="AJ780">
        <v>32.453969000000001</v>
      </c>
      <c r="AK780">
        <v>-110.74510600000001</v>
      </c>
      <c r="AL780">
        <v>3</v>
      </c>
      <c r="AN780">
        <v>2201</v>
      </c>
      <c r="AP780">
        <v>2201</v>
      </c>
      <c r="AQ780">
        <v>2206.40085</v>
      </c>
      <c r="AT780">
        <v>11</v>
      </c>
      <c r="AU780">
        <v>9</v>
      </c>
      <c r="AV780">
        <v>2022</v>
      </c>
      <c r="AW780">
        <v>4972385</v>
      </c>
      <c r="AX780">
        <v>2437431</v>
      </c>
      <c r="AY780" t="s">
        <v>106</v>
      </c>
      <c r="AZ780" t="s">
        <v>92</v>
      </c>
      <c r="BA780" t="s">
        <v>107</v>
      </c>
      <c r="BB780" t="s">
        <v>3158</v>
      </c>
      <c r="BC780" t="s">
        <v>2245</v>
      </c>
      <c r="BE780" t="s">
        <v>96</v>
      </c>
      <c r="BG780" t="s">
        <v>2811</v>
      </c>
      <c r="BI780" t="s">
        <v>98</v>
      </c>
      <c r="BJ780" t="s">
        <v>3122</v>
      </c>
      <c r="BL780" t="s">
        <v>412</v>
      </c>
    </row>
    <row r="781" spans="1:64" hidden="1" x14ac:dyDescent="0.2">
      <c r="A781">
        <v>791</v>
      </c>
      <c r="B781">
        <v>4070420437</v>
      </c>
      <c r="C781" t="s">
        <v>101</v>
      </c>
      <c r="D781" t="s">
        <v>3159</v>
      </c>
      <c r="E781" t="s">
        <v>65</v>
      </c>
      <c r="F781" t="s">
        <v>66</v>
      </c>
      <c r="G781" t="s">
        <v>67</v>
      </c>
      <c r="H781" t="s">
        <v>68</v>
      </c>
      <c r="I781" t="s">
        <v>350</v>
      </c>
      <c r="J781" t="s">
        <v>351</v>
      </c>
      <c r="K781" t="s">
        <v>352</v>
      </c>
      <c r="M781" t="s">
        <v>72</v>
      </c>
      <c r="N781" t="s">
        <v>353</v>
      </c>
      <c r="O781" t="s">
        <v>352</v>
      </c>
      <c r="P781" t="s">
        <v>180</v>
      </c>
      <c r="Q781" t="s">
        <v>75</v>
      </c>
      <c r="R781" t="s">
        <v>2806</v>
      </c>
      <c r="S781" t="s">
        <v>3144</v>
      </c>
      <c r="T781" t="s">
        <v>78</v>
      </c>
      <c r="U781" t="s">
        <v>1822</v>
      </c>
      <c r="V781" t="s">
        <v>80</v>
      </c>
      <c r="W781" s="1">
        <v>44815</v>
      </c>
      <c r="X781" t="s">
        <v>2778</v>
      </c>
      <c r="Y781" t="s">
        <v>3145</v>
      </c>
      <c r="Z781" t="s">
        <v>83</v>
      </c>
      <c r="AA781">
        <v>1</v>
      </c>
      <c r="AB781" t="s">
        <v>127</v>
      </c>
      <c r="AD781" t="s">
        <v>139</v>
      </c>
      <c r="AE781" t="s">
        <v>145</v>
      </c>
      <c r="AF781" t="s">
        <v>146</v>
      </c>
      <c r="AG781" t="s">
        <v>3147</v>
      </c>
      <c r="AH781" t="s">
        <v>3157</v>
      </c>
      <c r="AI781" t="s">
        <v>90</v>
      </c>
      <c r="AJ781">
        <v>32.453969000000001</v>
      </c>
      <c r="AK781">
        <v>-110.74510600000001</v>
      </c>
      <c r="AL781">
        <v>3</v>
      </c>
      <c r="AN781">
        <v>2201</v>
      </c>
      <c r="AP781">
        <v>2201</v>
      </c>
      <c r="AQ781">
        <v>2206.40085</v>
      </c>
      <c r="AT781">
        <v>11</v>
      </c>
      <c r="AU781">
        <v>9</v>
      </c>
      <c r="AV781">
        <v>2022</v>
      </c>
      <c r="AW781">
        <v>4972385</v>
      </c>
      <c r="AX781">
        <v>2437431</v>
      </c>
      <c r="AY781" t="s">
        <v>106</v>
      </c>
      <c r="AZ781" t="s">
        <v>92</v>
      </c>
      <c r="BA781" t="s">
        <v>107</v>
      </c>
      <c r="BB781" t="s">
        <v>3160</v>
      </c>
      <c r="BC781" t="s">
        <v>2245</v>
      </c>
      <c r="BE781" t="s">
        <v>96</v>
      </c>
      <c r="BG781" t="s">
        <v>2811</v>
      </c>
      <c r="BI781" t="s">
        <v>98</v>
      </c>
      <c r="BJ781" t="s">
        <v>3161</v>
      </c>
      <c r="BL781" t="s">
        <v>412</v>
      </c>
    </row>
    <row r="782" spans="1:64" hidden="1" x14ac:dyDescent="0.2">
      <c r="A782">
        <v>789</v>
      </c>
      <c r="B782">
        <v>4070420440</v>
      </c>
      <c r="C782" t="s">
        <v>101</v>
      </c>
      <c r="D782" t="s">
        <v>3162</v>
      </c>
      <c r="E782" t="s">
        <v>65</v>
      </c>
      <c r="F782" t="s">
        <v>66</v>
      </c>
      <c r="G782" t="s">
        <v>67</v>
      </c>
      <c r="H782" t="s">
        <v>68</v>
      </c>
      <c r="I782" t="s">
        <v>350</v>
      </c>
      <c r="J782" t="s">
        <v>351</v>
      </c>
      <c r="K782" t="s">
        <v>352</v>
      </c>
      <c r="M782" t="s">
        <v>72</v>
      </c>
      <c r="N782" t="s">
        <v>353</v>
      </c>
      <c r="O782" t="s">
        <v>352</v>
      </c>
      <c r="P782" t="s">
        <v>180</v>
      </c>
      <c r="Q782" t="s">
        <v>75</v>
      </c>
      <c r="R782" t="s">
        <v>2806</v>
      </c>
      <c r="S782" t="s">
        <v>3144</v>
      </c>
      <c r="T782" t="s">
        <v>78</v>
      </c>
      <c r="U782" t="s">
        <v>1822</v>
      </c>
      <c r="V782" t="s">
        <v>80</v>
      </c>
      <c r="W782" s="1">
        <v>44815</v>
      </c>
      <c r="X782" t="s">
        <v>2778</v>
      </c>
      <c r="Y782" t="s">
        <v>3145</v>
      </c>
      <c r="Z782" t="s">
        <v>83</v>
      </c>
      <c r="AA782">
        <v>1</v>
      </c>
      <c r="AB782" t="s">
        <v>127</v>
      </c>
      <c r="AD782" t="s">
        <v>123</v>
      </c>
      <c r="AE782" t="s">
        <v>145</v>
      </c>
      <c r="AF782" t="s">
        <v>146</v>
      </c>
      <c r="AG782" t="s">
        <v>3147</v>
      </c>
      <c r="AH782" t="s">
        <v>3157</v>
      </c>
      <c r="AI782" t="s">
        <v>90</v>
      </c>
      <c r="AJ782">
        <v>32.453969000000001</v>
      </c>
      <c r="AK782">
        <v>-110.74510600000001</v>
      </c>
      <c r="AL782">
        <v>3</v>
      </c>
      <c r="AN782">
        <v>2201</v>
      </c>
      <c r="AP782">
        <v>2201</v>
      </c>
      <c r="AQ782">
        <v>2206.40085</v>
      </c>
      <c r="AT782">
        <v>11</v>
      </c>
      <c r="AU782">
        <v>9</v>
      </c>
      <c r="AV782">
        <v>2022</v>
      </c>
      <c r="AW782">
        <v>4972385</v>
      </c>
      <c r="AX782">
        <v>2437431</v>
      </c>
      <c r="AY782" t="s">
        <v>106</v>
      </c>
      <c r="AZ782" t="s">
        <v>92</v>
      </c>
      <c r="BA782" t="s">
        <v>107</v>
      </c>
      <c r="BB782" t="s">
        <v>3163</v>
      </c>
      <c r="BC782" t="s">
        <v>2245</v>
      </c>
      <c r="BE782" t="s">
        <v>96</v>
      </c>
      <c r="BG782" t="s">
        <v>2811</v>
      </c>
      <c r="BI782" t="s">
        <v>98</v>
      </c>
      <c r="BJ782" t="s">
        <v>3161</v>
      </c>
      <c r="BL782" t="s">
        <v>412</v>
      </c>
    </row>
    <row r="783" spans="1:64" hidden="1" x14ac:dyDescent="0.2">
      <c r="A783">
        <v>758</v>
      </c>
      <c r="B783">
        <v>4070420479</v>
      </c>
      <c r="C783" t="s">
        <v>101</v>
      </c>
      <c r="D783" t="s">
        <v>3164</v>
      </c>
      <c r="E783" t="s">
        <v>65</v>
      </c>
      <c r="F783" t="s">
        <v>66</v>
      </c>
      <c r="G783" t="s">
        <v>67</v>
      </c>
      <c r="H783" t="s">
        <v>68</v>
      </c>
      <c r="I783" t="s">
        <v>350</v>
      </c>
      <c r="J783" t="s">
        <v>351</v>
      </c>
      <c r="K783" t="s">
        <v>352</v>
      </c>
      <c r="M783" t="s">
        <v>72</v>
      </c>
      <c r="N783" t="s">
        <v>353</v>
      </c>
      <c r="O783" t="s">
        <v>352</v>
      </c>
      <c r="P783" t="s">
        <v>180</v>
      </c>
      <c r="Q783" t="s">
        <v>75</v>
      </c>
      <c r="R783" t="s">
        <v>2806</v>
      </c>
      <c r="S783" t="s">
        <v>3144</v>
      </c>
      <c r="T783" t="s">
        <v>78</v>
      </c>
      <c r="U783" t="s">
        <v>1822</v>
      </c>
      <c r="V783" t="s">
        <v>80</v>
      </c>
      <c r="W783" s="1">
        <v>44815</v>
      </c>
      <c r="X783" t="s">
        <v>2778</v>
      </c>
      <c r="Y783" t="s">
        <v>3145</v>
      </c>
      <c r="Z783" t="s">
        <v>83</v>
      </c>
      <c r="AA783">
        <v>1</v>
      </c>
      <c r="AB783" t="s">
        <v>103</v>
      </c>
      <c r="AD783" t="s">
        <v>116</v>
      </c>
      <c r="AE783" t="s">
        <v>145</v>
      </c>
      <c r="AF783" t="s">
        <v>146</v>
      </c>
      <c r="AG783" t="s">
        <v>3147</v>
      </c>
      <c r="AH783" t="s">
        <v>3157</v>
      </c>
      <c r="AI783" t="s">
        <v>90</v>
      </c>
      <c r="AJ783">
        <v>32.453969000000001</v>
      </c>
      <c r="AK783">
        <v>-110.74510600000001</v>
      </c>
      <c r="AL783">
        <v>3</v>
      </c>
      <c r="AN783">
        <v>2201</v>
      </c>
      <c r="AP783">
        <v>2201</v>
      </c>
      <c r="AQ783">
        <v>2206.40085</v>
      </c>
      <c r="AT783">
        <v>11</v>
      </c>
      <c r="AU783">
        <v>9</v>
      </c>
      <c r="AV783">
        <v>2022</v>
      </c>
      <c r="AW783">
        <v>4972385</v>
      </c>
      <c r="AX783">
        <v>2437431</v>
      </c>
      <c r="AY783" t="s">
        <v>106</v>
      </c>
      <c r="AZ783" t="s">
        <v>92</v>
      </c>
      <c r="BA783" t="s">
        <v>107</v>
      </c>
      <c r="BB783" t="s">
        <v>3165</v>
      </c>
      <c r="BC783" t="s">
        <v>2245</v>
      </c>
      <c r="BE783" t="s">
        <v>96</v>
      </c>
      <c r="BG783" t="s">
        <v>2811</v>
      </c>
      <c r="BI783" t="s">
        <v>98</v>
      </c>
      <c r="BJ783" t="s">
        <v>2387</v>
      </c>
      <c r="BL783" t="s">
        <v>412</v>
      </c>
    </row>
    <row r="784" spans="1:64" hidden="1" x14ac:dyDescent="0.2">
      <c r="A784">
        <v>756</v>
      </c>
      <c r="B784">
        <v>4070420481</v>
      </c>
      <c r="C784" t="s">
        <v>101</v>
      </c>
      <c r="D784" t="s">
        <v>3166</v>
      </c>
      <c r="E784" t="s">
        <v>65</v>
      </c>
      <c r="F784" t="s">
        <v>66</v>
      </c>
      <c r="G784" t="s">
        <v>67</v>
      </c>
      <c r="H784" t="s">
        <v>68</v>
      </c>
      <c r="I784" t="s">
        <v>350</v>
      </c>
      <c r="J784" t="s">
        <v>351</v>
      </c>
      <c r="K784" t="s">
        <v>352</v>
      </c>
      <c r="M784" t="s">
        <v>72</v>
      </c>
      <c r="N784" t="s">
        <v>353</v>
      </c>
      <c r="O784" t="s">
        <v>352</v>
      </c>
      <c r="P784" t="s">
        <v>180</v>
      </c>
      <c r="Q784" t="s">
        <v>75</v>
      </c>
      <c r="R784" t="s">
        <v>2806</v>
      </c>
      <c r="S784" t="s">
        <v>3144</v>
      </c>
      <c r="T784" t="s">
        <v>78</v>
      </c>
      <c r="U784" t="s">
        <v>1822</v>
      </c>
      <c r="V784" t="s">
        <v>80</v>
      </c>
      <c r="W784" s="1">
        <v>44815</v>
      </c>
      <c r="X784" t="s">
        <v>2778</v>
      </c>
      <c r="Y784" t="s">
        <v>3145</v>
      </c>
      <c r="Z784" t="s">
        <v>83</v>
      </c>
      <c r="AA784">
        <v>1</v>
      </c>
      <c r="AB784" t="s">
        <v>103</v>
      </c>
      <c r="AD784" t="s">
        <v>104</v>
      </c>
      <c r="AE784" t="s">
        <v>145</v>
      </c>
      <c r="AF784" t="s">
        <v>146</v>
      </c>
      <c r="AG784" t="s">
        <v>3147</v>
      </c>
      <c r="AH784" t="s">
        <v>3157</v>
      </c>
      <c r="AI784" t="s">
        <v>90</v>
      </c>
      <c r="AJ784">
        <v>32.453969000000001</v>
      </c>
      <c r="AK784">
        <v>-110.74510600000001</v>
      </c>
      <c r="AL784">
        <v>3</v>
      </c>
      <c r="AN784">
        <v>2201</v>
      </c>
      <c r="AP784">
        <v>2201</v>
      </c>
      <c r="AQ784">
        <v>2206.40085</v>
      </c>
      <c r="AT784">
        <v>11</v>
      </c>
      <c r="AU784">
        <v>9</v>
      </c>
      <c r="AV784">
        <v>2022</v>
      </c>
      <c r="AW784">
        <v>4972385</v>
      </c>
      <c r="AX784">
        <v>2437431</v>
      </c>
      <c r="AY784" t="s">
        <v>106</v>
      </c>
      <c r="AZ784" t="s">
        <v>92</v>
      </c>
      <c r="BA784" t="s">
        <v>107</v>
      </c>
      <c r="BB784" t="s">
        <v>3167</v>
      </c>
      <c r="BC784" t="s">
        <v>2245</v>
      </c>
      <c r="BE784" t="s">
        <v>96</v>
      </c>
      <c r="BG784" t="s">
        <v>2811</v>
      </c>
      <c r="BI784" t="s">
        <v>98</v>
      </c>
      <c r="BJ784" t="s">
        <v>3168</v>
      </c>
      <c r="BL784" t="s">
        <v>412</v>
      </c>
    </row>
    <row r="785" spans="1:64" hidden="1" x14ac:dyDescent="0.2">
      <c r="A785">
        <v>685</v>
      </c>
      <c r="B785">
        <v>4070420552</v>
      </c>
      <c r="C785" t="s">
        <v>101</v>
      </c>
      <c r="D785" t="s">
        <v>3169</v>
      </c>
      <c r="E785" t="s">
        <v>65</v>
      </c>
      <c r="F785" t="s">
        <v>66</v>
      </c>
      <c r="G785" t="s">
        <v>67</v>
      </c>
      <c r="H785" t="s">
        <v>68</v>
      </c>
      <c r="I785" t="s">
        <v>350</v>
      </c>
      <c r="J785" t="s">
        <v>351</v>
      </c>
      <c r="K785" t="s">
        <v>352</v>
      </c>
      <c r="M785" t="s">
        <v>72</v>
      </c>
      <c r="N785" t="s">
        <v>353</v>
      </c>
      <c r="O785" t="s">
        <v>352</v>
      </c>
      <c r="P785" t="s">
        <v>180</v>
      </c>
      <c r="Q785" t="s">
        <v>75</v>
      </c>
      <c r="R785" t="s">
        <v>2806</v>
      </c>
      <c r="S785" t="s">
        <v>3144</v>
      </c>
      <c r="T785" t="s">
        <v>78</v>
      </c>
      <c r="U785" t="s">
        <v>1822</v>
      </c>
      <c r="V785" t="s">
        <v>80</v>
      </c>
      <c r="W785" s="1">
        <v>44815</v>
      </c>
      <c r="X785" t="s">
        <v>2778</v>
      </c>
      <c r="Y785" t="s">
        <v>3145</v>
      </c>
      <c r="Z785" t="s">
        <v>83</v>
      </c>
      <c r="AA785">
        <v>1</v>
      </c>
      <c r="AB785" t="s">
        <v>2262</v>
      </c>
      <c r="AD785" t="s">
        <v>134</v>
      </c>
      <c r="AE785" t="s">
        <v>145</v>
      </c>
      <c r="AF785" t="s">
        <v>146</v>
      </c>
      <c r="AG785" t="s">
        <v>3147</v>
      </c>
      <c r="AH785" t="s">
        <v>3170</v>
      </c>
      <c r="AI785" t="s">
        <v>90</v>
      </c>
      <c r="AJ785">
        <v>32.453969000000001</v>
      </c>
      <c r="AK785">
        <v>-110.74510600000001</v>
      </c>
      <c r="AL785">
        <v>3</v>
      </c>
      <c r="AN785">
        <v>2201</v>
      </c>
      <c r="AP785">
        <v>2201</v>
      </c>
      <c r="AQ785">
        <v>2206.40085</v>
      </c>
      <c r="AT785">
        <v>11</v>
      </c>
      <c r="AU785">
        <v>9</v>
      </c>
      <c r="AV785">
        <v>2022</v>
      </c>
      <c r="AW785">
        <v>4972385</v>
      </c>
      <c r="AX785">
        <v>2437431</v>
      </c>
      <c r="AY785" t="s">
        <v>106</v>
      </c>
      <c r="AZ785" t="s">
        <v>92</v>
      </c>
      <c r="BA785" t="s">
        <v>107</v>
      </c>
      <c r="BB785" t="s">
        <v>3171</v>
      </c>
      <c r="BC785" t="s">
        <v>2245</v>
      </c>
      <c r="BE785" t="s">
        <v>96</v>
      </c>
      <c r="BG785" t="s">
        <v>2811</v>
      </c>
      <c r="BI785" t="s">
        <v>98</v>
      </c>
      <c r="BJ785" t="s">
        <v>3172</v>
      </c>
      <c r="BL785" t="s">
        <v>412</v>
      </c>
    </row>
    <row r="786" spans="1:64" hidden="1" x14ac:dyDescent="0.2">
      <c r="A786">
        <v>235</v>
      </c>
      <c r="B786">
        <v>4403382405</v>
      </c>
      <c r="C786" t="s">
        <v>101</v>
      </c>
      <c r="D786" t="s">
        <v>3180</v>
      </c>
      <c r="E786" t="s">
        <v>65</v>
      </c>
      <c r="F786" t="s">
        <v>66</v>
      </c>
      <c r="G786" t="s">
        <v>67</v>
      </c>
      <c r="H786" t="s">
        <v>68</v>
      </c>
      <c r="I786" t="s">
        <v>176</v>
      </c>
      <c r="J786" t="s">
        <v>773</v>
      </c>
      <c r="K786" t="s">
        <v>774</v>
      </c>
      <c r="M786" t="s">
        <v>72</v>
      </c>
      <c r="N786" t="s">
        <v>775</v>
      </c>
      <c r="O786" t="s">
        <v>774</v>
      </c>
      <c r="P786" t="s">
        <v>776</v>
      </c>
      <c r="Q786" t="s">
        <v>75</v>
      </c>
      <c r="R786" t="s">
        <v>3174</v>
      </c>
      <c r="S786" t="s">
        <v>1584</v>
      </c>
      <c r="T786" t="s">
        <v>78</v>
      </c>
      <c r="U786" t="s">
        <v>1822</v>
      </c>
      <c r="V786" t="s">
        <v>80</v>
      </c>
      <c r="W786" s="1">
        <v>45110</v>
      </c>
      <c r="X786" t="s">
        <v>1859</v>
      </c>
      <c r="Y786" t="s">
        <v>3175</v>
      </c>
      <c r="Z786" t="s">
        <v>83</v>
      </c>
      <c r="AA786">
        <v>1</v>
      </c>
      <c r="AB786" t="s">
        <v>367</v>
      </c>
      <c r="AD786" t="s">
        <v>139</v>
      </c>
      <c r="AE786" t="s">
        <v>145</v>
      </c>
      <c r="AF786" t="s">
        <v>402</v>
      </c>
      <c r="AG786" t="s">
        <v>3177</v>
      </c>
      <c r="AH786" t="s">
        <v>3181</v>
      </c>
      <c r="AI786" t="s">
        <v>90</v>
      </c>
      <c r="AJ786">
        <v>32.422648000000002</v>
      </c>
      <c r="AK786">
        <v>-110.734174</v>
      </c>
      <c r="AL786">
        <v>3</v>
      </c>
      <c r="AN786">
        <v>2407</v>
      </c>
      <c r="AP786">
        <v>2407</v>
      </c>
      <c r="AQ786">
        <v>2430.4372669999998</v>
      </c>
      <c r="AT786">
        <v>3</v>
      </c>
      <c r="AU786">
        <v>7</v>
      </c>
      <c r="AV786">
        <v>2023</v>
      </c>
      <c r="AW786">
        <v>2438447</v>
      </c>
      <c r="AX786">
        <v>2438447</v>
      </c>
      <c r="AY786" t="s">
        <v>106</v>
      </c>
      <c r="AZ786" t="s">
        <v>92</v>
      </c>
      <c r="BA786" t="s">
        <v>107</v>
      </c>
      <c r="BB786" t="s">
        <v>3182</v>
      </c>
      <c r="BC786" t="s">
        <v>1186</v>
      </c>
      <c r="BD786" s="1">
        <v>45110</v>
      </c>
      <c r="BE786" t="s">
        <v>96</v>
      </c>
      <c r="BG786" t="s">
        <v>1187</v>
      </c>
      <c r="BI786" t="s">
        <v>98</v>
      </c>
      <c r="BJ786" t="s">
        <v>3183</v>
      </c>
      <c r="BL786" t="s">
        <v>412</v>
      </c>
    </row>
    <row r="787" spans="1:64" hidden="1" x14ac:dyDescent="0.2">
      <c r="A787">
        <v>237</v>
      </c>
      <c r="B787">
        <v>4403382402</v>
      </c>
      <c r="C787" t="s">
        <v>101</v>
      </c>
      <c r="D787" t="s">
        <v>3184</v>
      </c>
      <c r="E787" t="s">
        <v>65</v>
      </c>
      <c r="F787" t="s">
        <v>66</v>
      </c>
      <c r="G787" t="s">
        <v>67</v>
      </c>
      <c r="H787" t="s">
        <v>68</v>
      </c>
      <c r="I787" t="s">
        <v>176</v>
      </c>
      <c r="J787" t="s">
        <v>773</v>
      </c>
      <c r="K787" t="s">
        <v>774</v>
      </c>
      <c r="M787" t="s">
        <v>72</v>
      </c>
      <c r="N787" t="s">
        <v>775</v>
      </c>
      <c r="O787" t="s">
        <v>774</v>
      </c>
      <c r="P787" t="s">
        <v>776</v>
      </c>
      <c r="Q787" t="s">
        <v>75</v>
      </c>
      <c r="R787" t="s">
        <v>3174</v>
      </c>
      <c r="S787" t="s">
        <v>1584</v>
      </c>
      <c r="T787" t="s">
        <v>78</v>
      </c>
      <c r="U787" t="s">
        <v>1822</v>
      </c>
      <c r="V787" t="s">
        <v>80</v>
      </c>
      <c r="W787" s="1">
        <v>45110</v>
      </c>
      <c r="X787" t="s">
        <v>1859</v>
      </c>
      <c r="Y787" t="s">
        <v>3175</v>
      </c>
      <c r="Z787" t="s">
        <v>83</v>
      </c>
      <c r="AA787">
        <v>1</v>
      </c>
      <c r="AB787" t="s">
        <v>372</v>
      </c>
      <c r="AD787" t="s">
        <v>134</v>
      </c>
      <c r="AE787" t="s">
        <v>145</v>
      </c>
      <c r="AF787" t="s">
        <v>402</v>
      </c>
      <c r="AG787" t="s">
        <v>3177</v>
      </c>
      <c r="AH787" t="s">
        <v>3185</v>
      </c>
      <c r="AI787" t="s">
        <v>90</v>
      </c>
      <c r="AJ787">
        <v>32.422648000000002</v>
      </c>
      <c r="AK787">
        <v>-110.734174</v>
      </c>
      <c r="AL787">
        <v>3</v>
      </c>
      <c r="AN787">
        <v>2407</v>
      </c>
      <c r="AP787">
        <v>2407</v>
      </c>
      <c r="AQ787">
        <v>2430.4372669999998</v>
      </c>
      <c r="AT787">
        <v>3</v>
      </c>
      <c r="AU787">
        <v>7</v>
      </c>
      <c r="AV787">
        <v>2023</v>
      </c>
      <c r="AW787">
        <v>2438447</v>
      </c>
      <c r="AX787">
        <v>2438447</v>
      </c>
      <c r="AY787" t="s">
        <v>106</v>
      </c>
      <c r="AZ787" t="s">
        <v>92</v>
      </c>
      <c r="BA787" t="s">
        <v>107</v>
      </c>
      <c r="BB787" t="s">
        <v>3186</v>
      </c>
      <c r="BC787" t="s">
        <v>1186</v>
      </c>
      <c r="BD787" s="1">
        <v>45110</v>
      </c>
      <c r="BE787" t="s">
        <v>96</v>
      </c>
      <c r="BG787" t="s">
        <v>1187</v>
      </c>
      <c r="BI787" t="s">
        <v>98</v>
      </c>
      <c r="BJ787" t="s">
        <v>3187</v>
      </c>
      <c r="BL787" t="s">
        <v>412</v>
      </c>
    </row>
    <row r="788" spans="1:64" hidden="1" x14ac:dyDescent="0.2">
      <c r="A788">
        <v>239</v>
      </c>
      <c r="B788">
        <v>4403382399</v>
      </c>
      <c r="C788" t="s">
        <v>101</v>
      </c>
      <c r="D788" t="s">
        <v>3188</v>
      </c>
      <c r="E788" t="s">
        <v>65</v>
      </c>
      <c r="F788" t="s">
        <v>66</v>
      </c>
      <c r="G788" t="s">
        <v>67</v>
      </c>
      <c r="H788" t="s">
        <v>68</v>
      </c>
      <c r="I788" t="s">
        <v>176</v>
      </c>
      <c r="J788" t="s">
        <v>773</v>
      </c>
      <c r="K788" t="s">
        <v>774</v>
      </c>
      <c r="M788" t="s">
        <v>72</v>
      </c>
      <c r="N788" t="s">
        <v>775</v>
      </c>
      <c r="O788" t="s">
        <v>774</v>
      </c>
      <c r="P788" t="s">
        <v>776</v>
      </c>
      <c r="Q788" t="s">
        <v>75</v>
      </c>
      <c r="R788" t="s">
        <v>3174</v>
      </c>
      <c r="S788" t="s">
        <v>1584</v>
      </c>
      <c r="T788" t="s">
        <v>78</v>
      </c>
      <c r="U788" t="s">
        <v>1822</v>
      </c>
      <c r="V788" t="s">
        <v>80</v>
      </c>
      <c r="W788" s="1">
        <v>45110</v>
      </c>
      <c r="X788" t="s">
        <v>1859</v>
      </c>
      <c r="Y788" t="s">
        <v>3175</v>
      </c>
      <c r="Z788" t="s">
        <v>83</v>
      </c>
      <c r="AA788">
        <v>1</v>
      </c>
      <c r="AB788" t="s">
        <v>1337</v>
      </c>
      <c r="AD788" t="s">
        <v>1681</v>
      </c>
      <c r="AE788" t="s">
        <v>145</v>
      </c>
      <c r="AF788" t="s">
        <v>402</v>
      </c>
      <c r="AG788" t="s">
        <v>3177</v>
      </c>
      <c r="AH788" t="s">
        <v>3181</v>
      </c>
      <c r="AI788" t="s">
        <v>90</v>
      </c>
      <c r="AJ788">
        <v>32.422648000000002</v>
      </c>
      <c r="AK788">
        <v>-110.734174</v>
      </c>
      <c r="AL788">
        <v>3</v>
      </c>
      <c r="AN788">
        <v>2407</v>
      </c>
      <c r="AP788">
        <v>2407</v>
      </c>
      <c r="AQ788">
        <v>2430.4372669999998</v>
      </c>
      <c r="AT788">
        <v>3</v>
      </c>
      <c r="AU788">
        <v>7</v>
      </c>
      <c r="AV788">
        <v>2023</v>
      </c>
      <c r="AW788">
        <v>2438447</v>
      </c>
      <c r="AX788">
        <v>2438447</v>
      </c>
      <c r="AY788" t="s">
        <v>106</v>
      </c>
      <c r="AZ788" t="s">
        <v>92</v>
      </c>
      <c r="BA788" t="s">
        <v>107</v>
      </c>
      <c r="BB788" t="s">
        <v>3189</v>
      </c>
      <c r="BC788" t="s">
        <v>1186</v>
      </c>
      <c r="BD788" s="1">
        <v>45110</v>
      </c>
      <c r="BE788" t="s">
        <v>96</v>
      </c>
      <c r="BG788" t="s">
        <v>1187</v>
      </c>
      <c r="BI788" t="s">
        <v>98</v>
      </c>
      <c r="BJ788" t="s">
        <v>3190</v>
      </c>
      <c r="BL788" t="s">
        <v>412</v>
      </c>
    </row>
    <row r="789" spans="1:64" hidden="1" x14ac:dyDescent="0.2">
      <c r="A789">
        <v>91</v>
      </c>
      <c r="B789">
        <v>4403382549</v>
      </c>
      <c r="C789" t="s">
        <v>101</v>
      </c>
      <c r="D789" t="s">
        <v>3191</v>
      </c>
      <c r="E789" t="s">
        <v>65</v>
      </c>
      <c r="F789" t="s">
        <v>66</v>
      </c>
      <c r="G789" t="s">
        <v>67</v>
      </c>
      <c r="H789" t="s">
        <v>68</v>
      </c>
      <c r="I789" t="s">
        <v>176</v>
      </c>
      <c r="J789" t="s">
        <v>773</v>
      </c>
      <c r="K789" t="s">
        <v>774</v>
      </c>
      <c r="M789" t="s">
        <v>72</v>
      </c>
      <c r="N789" t="s">
        <v>775</v>
      </c>
      <c r="O789" t="s">
        <v>774</v>
      </c>
      <c r="P789" t="s">
        <v>776</v>
      </c>
      <c r="Q789" t="s">
        <v>75</v>
      </c>
      <c r="R789" t="s">
        <v>3174</v>
      </c>
      <c r="S789" t="s">
        <v>1584</v>
      </c>
      <c r="T789" t="s">
        <v>78</v>
      </c>
      <c r="U789" t="s">
        <v>1822</v>
      </c>
      <c r="V789" t="s">
        <v>80</v>
      </c>
      <c r="W789" s="1">
        <v>45110</v>
      </c>
      <c r="X789" t="s">
        <v>1859</v>
      </c>
      <c r="Y789" t="s">
        <v>3175</v>
      </c>
      <c r="Z789" t="s">
        <v>83</v>
      </c>
      <c r="AA789">
        <v>1</v>
      </c>
      <c r="AB789" t="s">
        <v>367</v>
      </c>
      <c r="AD789" t="s">
        <v>104</v>
      </c>
      <c r="AE789" t="s">
        <v>145</v>
      </c>
      <c r="AF789" t="s">
        <v>402</v>
      </c>
      <c r="AG789" t="s">
        <v>3177</v>
      </c>
      <c r="AH789" t="s">
        <v>3181</v>
      </c>
      <c r="AI789" t="s">
        <v>90</v>
      </c>
      <c r="AJ789">
        <v>32.422648000000002</v>
      </c>
      <c r="AK789">
        <v>-110.734174</v>
      </c>
      <c r="AL789">
        <v>3</v>
      </c>
      <c r="AN789">
        <v>2407</v>
      </c>
      <c r="AP789">
        <v>2407</v>
      </c>
      <c r="AQ789">
        <v>2430.4372669999998</v>
      </c>
      <c r="AT789">
        <v>3</v>
      </c>
      <c r="AU789">
        <v>7</v>
      </c>
      <c r="AV789">
        <v>2023</v>
      </c>
      <c r="AW789">
        <v>2438447</v>
      </c>
      <c r="AX789">
        <v>2438447</v>
      </c>
      <c r="AY789" t="s">
        <v>106</v>
      </c>
      <c r="AZ789" t="s">
        <v>92</v>
      </c>
      <c r="BA789" t="s">
        <v>107</v>
      </c>
      <c r="BB789" t="s">
        <v>3192</v>
      </c>
      <c r="BC789" t="s">
        <v>1186</v>
      </c>
      <c r="BD789" s="1">
        <v>45110</v>
      </c>
      <c r="BE789" t="s">
        <v>96</v>
      </c>
      <c r="BG789" t="s">
        <v>1187</v>
      </c>
      <c r="BI789" t="s">
        <v>98</v>
      </c>
      <c r="BJ789" t="s">
        <v>1795</v>
      </c>
      <c r="BL789" t="s">
        <v>412</v>
      </c>
    </row>
    <row r="790" spans="1:64" hidden="1" x14ac:dyDescent="0.2">
      <c r="A790">
        <v>93</v>
      </c>
      <c r="B790">
        <v>4403382547</v>
      </c>
      <c r="C790" t="s">
        <v>101</v>
      </c>
      <c r="D790" t="s">
        <v>3193</v>
      </c>
      <c r="E790" t="s">
        <v>65</v>
      </c>
      <c r="F790" t="s">
        <v>66</v>
      </c>
      <c r="G790" t="s">
        <v>67</v>
      </c>
      <c r="H790" t="s">
        <v>68</v>
      </c>
      <c r="I790" t="s">
        <v>176</v>
      </c>
      <c r="J790" t="s">
        <v>773</v>
      </c>
      <c r="K790" t="s">
        <v>774</v>
      </c>
      <c r="M790" t="s">
        <v>72</v>
      </c>
      <c r="N790" t="s">
        <v>775</v>
      </c>
      <c r="O790" t="s">
        <v>774</v>
      </c>
      <c r="P790" t="s">
        <v>776</v>
      </c>
      <c r="Q790" t="s">
        <v>75</v>
      </c>
      <c r="R790" t="s">
        <v>3174</v>
      </c>
      <c r="S790" t="s">
        <v>1584</v>
      </c>
      <c r="T790" t="s">
        <v>78</v>
      </c>
      <c r="U790" t="s">
        <v>1822</v>
      </c>
      <c r="V790" t="s">
        <v>80</v>
      </c>
      <c r="W790" s="1">
        <v>45110</v>
      </c>
      <c r="X790" t="s">
        <v>1859</v>
      </c>
      <c r="Y790" t="s">
        <v>3175</v>
      </c>
      <c r="Z790" t="s">
        <v>83</v>
      </c>
      <c r="AA790">
        <v>1</v>
      </c>
      <c r="AB790" t="s">
        <v>367</v>
      </c>
      <c r="AD790" t="s">
        <v>116</v>
      </c>
      <c r="AE790" t="s">
        <v>145</v>
      </c>
      <c r="AF790" t="s">
        <v>402</v>
      </c>
      <c r="AG790" t="s">
        <v>3177</v>
      </c>
      <c r="AH790" t="s">
        <v>3181</v>
      </c>
      <c r="AI790" t="s">
        <v>90</v>
      </c>
      <c r="AJ790">
        <v>32.422648000000002</v>
      </c>
      <c r="AK790">
        <v>-110.734174</v>
      </c>
      <c r="AL790">
        <v>3</v>
      </c>
      <c r="AN790">
        <v>2407</v>
      </c>
      <c r="AP790">
        <v>2407</v>
      </c>
      <c r="AQ790">
        <v>2430.4372669999998</v>
      </c>
      <c r="AT790">
        <v>3</v>
      </c>
      <c r="AU790">
        <v>7</v>
      </c>
      <c r="AV790">
        <v>2023</v>
      </c>
      <c r="AW790">
        <v>2438447</v>
      </c>
      <c r="AX790">
        <v>2438447</v>
      </c>
      <c r="AY790" t="s">
        <v>106</v>
      </c>
      <c r="AZ790" t="s">
        <v>92</v>
      </c>
      <c r="BA790" t="s">
        <v>107</v>
      </c>
      <c r="BB790" t="s">
        <v>3194</v>
      </c>
      <c r="BC790" t="s">
        <v>1186</v>
      </c>
      <c r="BD790" s="1">
        <v>45110</v>
      </c>
      <c r="BE790" t="s">
        <v>96</v>
      </c>
      <c r="BG790" t="s">
        <v>1187</v>
      </c>
      <c r="BI790" t="s">
        <v>98</v>
      </c>
      <c r="BJ790" t="s">
        <v>1815</v>
      </c>
      <c r="BL790" t="s">
        <v>412</v>
      </c>
    </row>
    <row r="791" spans="1:64" hidden="1" x14ac:dyDescent="0.2">
      <c r="A791">
        <v>95</v>
      </c>
      <c r="B791">
        <v>4403382545</v>
      </c>
      <c r="C791" t="s">
        <v>101</v>
      </c>
      <c r="D791" t="s">
        <v>3195</v>
      </c>
      <c r="E791" t="s">
        <v>65</v>
      </c>
      <c r="F791" t="s">
        <v>66</v>
      </c>
      <c r="G791" t="s">
        <v>67</v>
      </c>
      <c r="H791" t="s">
        <v>68</v>
      </c>
      <c r="I791" t="s">
        <v>176</v>
      </c>
      <c r="J791" t="s">
        <v>773</v>
      </c>
      <c r="K791" t="s">
        <v>774</v>
      </c>
      <c r="M791" t="s">
        <v>72</v>
      </c>
      <c r="N791" t="s">
        <v>775</v>
      </c>
      <c r="O791" t="s">
        <v>774</v>
      </c>
      <c r="P791" t="s">
        <v>776</v>
      </c>
      <c r="Q791" t="s">
        <v>75</v>
      </c>
      <c r="R791" t="s">
        <v>3174</v>
      </c>
      <c r="S791" t="s">
        <v>1584</v>
      </c>
      <c r="T791" t="s">
        <v>78</v>
      </c>
      <c r="U791" t="s">
        <v>1822</v>
      </c>
      <c r="V791" t="s">
        <v>80</v>
      </c>
      <c r="W791" s="1">
        <v>45110</v>
      </c>
      <c r="X791" t="s">
        <v>1859</v>
      </c>
      <c r="Y791" t="s">
        <v>3175</v>
      </c>
      <c r="Z791" t="s">
        <v>83</v>
      </c>
      <c r="AA791">
        <v>1</v>
      </c>
      <c r="AB791" t="s">
        <v>367</v>
      </c>
      <c r="AD791" t="s">
        <v>112</v>
      </c>
      <c r="AE791" t="s">
        <v>145</v>
      </c>
      <c r="AF791" t="s">
        <v>402</v>
      </c>
      <c r="AG791" t="s">
        <v>3177</v>
      </c>
      <c r="AH791" t="s">
        <v>3181</v>
      </c>
      <c r="AI791" t="s">
        <v>90</v>
      </c>
      <c r="AJ791">
        <v>32.422648000000002</v>
      </c>
      <c r="AK791">
        <v>-110.734174</v>
      </c>
      <c r="AL791">
        <v>3</v>
      </c>
      <c r="AN791">
        <v>2407</v>
      </c>
      <c r="AP791">
        <v>2407</v>
      </c>
      <c r="AQ791">
        <v>2430.4372669999998</v>
      </c>
      <c r="AT791">
        <v>3</v>
      </c>
      <c r="AU791">
        <v>7</v>
      </c>
      <c r="AV791">
        <v>2023</v>
      </c>
      <c r="AW791">
        <v>2438447</v>
      </c>
      <c r="AX791">
        <v>2438447</v>
      </c>
      <c r="AY791" t="s">
        <v>106</v>
      </c>
      <c r="AZ791" t="s">
        <v>92</v>
      </c>
      <c r="BA791" t="s">
        <v>107</v>
      </c>
      <c r="BB791" t="s">
        <v>3196</v>
      </c>
      <c r="BC791" t="s">
        <v>1186</v>
      </c>
      <c r="BD791" s="1">
        <v>45110</v>
      </c>
      <c r="BE791" t="s">
        <v>96</v>
      </c>
      <c r="BG791" t="s">
        <v>1187</v>
      </c>
      <c r="BI791" t="s">
        <v>98</v>
      </c>
      <c r="BJ791" t="s">
        <v>1815</v>
      </c>
      <c r="BL791" t="s">
        <v>412</v>
      </c>
    </row>
    <row r="792" spans="1:64" hidden="1" x14ac:dyDescent="0.2">
      <c r="A792">
        <v>30</v>
      </c>
      <c r="B792">
        <v>4403382610</v>
      </c>
      <c r="C792" t="s">
        <v>101</v>
      </c>
      <c r="D792" t="s">
        <v>3480</v>
      </c>
      <c r="E792" t="s">
        <v>65</v>
      </c>
      <c r="F792" t="s">
        <v>66</v>
      </c>
      <c r="G792" t="s">
        <v>67</v>
      </c>
      <c r="H792" t="s">
        <v>68</v>
      </c>
      <c r="I792" t="s">
        <v>176</v>
      </c>
      <c r="J792" t="s">
        <v>1173</v>
      </c>
      <c r="K792" t="s">
        <v>1174</v>
      </c>
      <c r="M792" t="s">
        <v>72</v>
      </c>
      <c r="N792" t="s">
        <v>1175</v>
      </c>
      <c r="O792" t="s">
        <v>1174</v>
      </c>
      <c r="P792" t="s">
        <v>1176</v>
      </c>
      <c r="Q792" t="s">
        <v>75</v>
      </c>
      <c r="R792" t="s">
        <v>3174</v>
      </c>
      <c r="S792" t="s">
        <v>3481</v>
      </c>
      <c r="T792" t="s">
        <v>78</v>
      </c>
      <c r="U792" t="s">
        <v>1822</v>
      </c>
      <c r="V792" t="s">
        <v>80</v>
      </c>
      <c r="W792" s="1">
        <v>45110</v>
      </c>
      <c r="X792" t="s">
        <v>1859</v>
      </c>
      <c r="Y792" t="s">
        <v>3482</v>
      </c>
      <c r="Z792" t="s">
        <v>83</v>
      </c>
      <c r="AA792">
        <v>1</v>
      </c>
      <c r="AB792" t="s">
        <v>367</v>
      </c>
      <c r="AC792">
        <v>0</v>
      </c>
      <c r="AD792" t="s">
        <v>128</v>
      </c>
      <c r="AE792" t="s">
        <v>145</v>
      </c>
      <c r="AF792" t="s">
        <v>402</v>
      </c>
      <c r="AG792" t="s">
        <v>344</v>
      </c>
      <c r="AI792" t="s">
        <v>90</v>
      </c>
      <c r="AJ792">
        <v>32.424501999999997</v>
      </c>
      <c r="AK792">
        <v>-110.738051</v>
      </c>
      <c r="AN792">
        <v>2371</v>
      </c>
      <c r="AP792">
        <v>2371</v>
      </c>
      <c r="AQ792">
        <v>2393.0961940000002</v>
      </c>
      <c r="AT792">
        <v>3</v>
      </c>
      <c r="AU792">
        <v>7</v>
      </c>
      <c r="AV792">
        <v>2023</v>
      </c>
      <c r="AW792">
        <v>2437874</v>
      </c>
      <c r="AX792">
        <v>2437874</v>
      </c>
      <c r="AY792" t="s">
        <v>106</v>
      </c>
      <c r="AZ792" t="s">
        <v>92</v>
      </c>
      <c r="BA792" t="s">
        <v>107</v>
      </c>
      <c r="BB792" t="s">
        <v>3483</v>
      </c>
      <c r="BC792" t="s">
        <v>1186</v>
      </c>
      <c r="BD792" s="1">
        <v>45110</v>
      </c>
      <c r="BE792" t="s">
        <v>96</v>
      </c>
      <c r="BG792" t="s">
        <v>1187</v>
      </c>
      <c r="BI792" t="s">
        <v>98</v>
      </c>
      <c r="BJ792" t="s">
        <v>3484</v>
      </c>
      <c r="BK792" t="s">
        <v>365</v>
      </c>
      <c r="BL792" t="s">
        <v>110</v>
      </c>
    </row>
    <row r="793" spans="1:64" x14ac:dyDescent="0.2">
      <c r="A793">
        <v>1437</v>
      </c>
      <c r="B793">
        <v>4022922308</v>
      </c>
      <c r="C793" t="s">
        <v>63</v>
      </c>
      <c r="D793" t="s">
        <v>4500</v>
      </c>
      <c r="E793" t="s">
        <v>65</v>
      </c>
      <c r="F793" t="s">
        <v>66</v>
      </c>
      <c r="G793" t="s">
        <v>67</v>
      </c>
      <c r="H793" t="s">
        <v>68</v>
      </c>
      <c r="I793" t="s">
        <v>176</v>
      </c>
      <c r="J793" t="s">
        <v>177</v>
      </c>
      <c r="K793" t="s">
        <v>178</v>
      </c>
      <c r="M793" t="s">
        <v>72</v>
      </c>
      <c r="N793" t="s">
        <v>179</v>
      </c>
      <c r="O793" t="s">
        <v>178</v>
      </c>
      <c r="P793" t="s">
        <v>180</v>
      </c>
      <c r="Q793" t="s">
        <v>75</v>
      </c>
      <c r="R793" t="s">
        <v>4501</v>
      </c>
      <c r="S793" t="s">
        <v>3734</v>
      </c>
      <c r="T793" t="s">
        <v>78</v>
      </c>
      <c r="U793" t="s">
        <v>3817</v>
      </c>
      <c r="V793" t="s">
        <v>80</v>
      </c>
      <c r="W793" s="1">
        <v>44534</v>
      </c>
      <c r="X793" t="s">
        <v>4502</v>
      </c>
      <c r="Y793" t="s">
        <v>4503</v>
      </c>
      <c r="Z793" t="s">
        <v>83</v>
      </c>
      <c r="AA793">
        <v>1</v>
      </c>
      <c r="AB793" t="s">
        <v>4504</v>
      </c>
      <c r="AC793">
        <v>1</v>
      </c>
      <c r="AD793" s="6" t="s">
        <v>85</v>
      </c>
      <c r="AE793" s="6" t="s">
        <v>86</v>
      </c>
      <c r="AF793" s="6" t="s">
        <v>281</v>
      </c>
      <c r="AG793" s="6" t="s">
        <v>4505</v>
      </c>
      <c r="AH793" s="6"/>
      <c r="AI793" s="6" t="s">
        <v>90</v>
      </c>
      <c r="AJ793" s="6">
        <v>32.337152000000003</v>
      </c>
      <c r="AK793" s="6">
        <v>-110.72058</v>
      </c>
      <c r="AL793" s="6">
        <v>3</v>
      </c>
      <c r="AM793" s="6"/>
      <c r="AN793" s="6">
        <v>1467</v>
      </c>
      <c r="AO793" s="6"/>
      <c r="AP793" s="6">
        <v>1467</v>
      </c>
      <c r="AQ793" s="6">
        <v>1474.6702479999999</v>
      </c>
      <c r="AR793" s="6"/>
      <c r="AS793" s="6"/>
      <c r="AT793" s="6">
        <v>4</v>
      </c>
      <c r="AU793" s="6">
        <v>12</v>
      </c>
      <c r="AV793" s="6">
        <v>2021</v>
      </c>
      <c r="AW793" s="6">
        <v>2438038</v>
      </c>
      <c r="AX793" s="6">
        <v>2438038</v>
      </c>
      <c r="AY793" s="6" t="s">
        <v>91</v>
      </c>
      <c r="AZ793" t="s">
        <v>92</v>
      </c>
      <c r="BA793" t="s">
        <v>93</v>
      </c>
      <c r="BB793" t="s">
        <v>4506</v>
      </c>
      <c r="BC793" t="s">
        <v>1186</v>
      </c>
      <c r="BE793" t="s">
        <v>96</v>
      </c>
      <c r="BG793" t="s">
        <v>4507</v>
      </c>
      <c r="BI793" t="s">
        <v>98</v>
      </c>
      <c r="BJ793" t="s">
        <v>4508</v>
      </c>
      <c r="BL793" t="s">
        <v>407</v>
      </c>
    </row>
    <row r="794" spans="1:64" hidden="1" x14ac:dyDescent="0.2">
      <c r="A794">
        <v>254</v>
      </c>
      <c r="B794">
        <v>4403382384</v>
      </c>
      <c r="C794" t="s">
        <v>101</v>
      </c>
      <c r="D794" t="s">
        <v>3203</v>
      </c>
      <c r="E794" t="s">
        <v>65</v>
      </c>
      <c r="F794" t="s">
        <v>66</v>
      </c>
      <c r="G794" t="s">
        <v>67</v>
      </c>
      <c r="H794" t="s">
        <v>68</v>
      </c>
      <c r="I794" t="s">
        <v>176</v>
      </c>
      <c r="J794" t="s">
        <v>773</v>
      </c>
      <c r="K794" t="s">
        <v>774</v>
      </c>
      <c r="M794" t="s">
        <v>72</v>
      </c>
      <c r="N794" t="s">
        <v>775</v>
      </c>
      <c r="O794" t="s">
        <v>774</v>
      </c>
      <c r="P794" t="s">
        <v>776</v>
      </c>
      <c r="Q794" t="s">
        <v>75</v>
      </c>
      <c r="R794" t="s">
        <v>3174</v>
      </c>
      <c r="S794" t="s">
        <v>1584</v>
      </c>
      <c r="T794" t="s">
        <v>78</v>
      </c>
      <c r="U794" t="s">
        <v>1822</v>
      </c>
      <c r="V794" t="s">
        <v>80</v>
      </c>
      <c r="W794" s="1">
        <v>45110</v>
      </c>
      <c r="X794" t="s">
        <v>1859</v>
      </c>
      <c r="Y794" t="s">
        <v>3175</v>
      </c>
      <c r="Z794" t="s">
        <v>83</v>
      </c>
      <c r="AA794">
        <v>1</v>
      </c>
      <c r="AB794" t="s">
        <v>367</v>
      </c>
      <c r="AD794" t="s">
        <v>3204</v>
      </c>
      <c r="AE794" t="s">
        <v>145</v>
      </c>
      <c r="AF794" t="s">
        <v>402</v>
      </c>
      <c r="AG794" t="s">
        <v>3177</v>
      </c>
      <c r="AH794" t="s">
        <v>3201</v>
      </c>
      <c r="AI794" t="s">
        <v>90</v>
      </c>
      <c r="AJ794">
        <v>32.422648000000002</v>
      </c>
      <c r="AK794">
        <v>-110.734174</v>
      </c>
      <c r="AL794">
        <v>3</v>
      </c>
      <c r="AN794">
        <v>2407</v>
      </c>
      <c r="AP794">
        <v>2407</v>
      </c>
      <c r="AQ794">
        <v>2430.4372669999998</v>
      </c>
      <c r="AT794">
        <v>3</v>
      </c>
      <c r="AU794">
        <v>7</v>
      </c>
      <c r="AV794">
        <v>2023</v>
      </c>
      <c r="AW794">
        <v>2438447</v>
      </c>
      <c r="AX794">
        <v>2438447</v>
      </c>
      <c r="AY794" t="s">
        <v>106</v>
      </c>
      <c r="AZ794" t="s">
        <v>92</v>
      </c>
      <c r="BA794" t="s">
        <v>107</v>
      </c>
      <c r="BB794" t="s">
        <v>3205</v>
      </c>
      <c r="BC794" t="s">
        <v>1186</v>
      </c>
      <c r="BD794" s="1">
        <v>45110</v>
      </c>
      <c r="BE794" t="s">
        <v>96</v>
      </c>
      <c r="BG794" t="s">
        <v>1187</v>
      </c>
      <c r="BI794" t="s">
        <v>98</v>
      </c>
      <c r="BJ794" t="s">
        <v>3206</v>
      </c>
      <c r="BL794" t="s">
        <v>412</v>
      </c>
    </row>
    <row r="795" spans="1:64" hidden="1" x14ac:dyDescent="0.2">
      <c r="A795">
        <v>256</v>
      </c>
      <c r="B795">
        <v>4403382382</v>
      </c>
      <c r="C795" t="s">
        <v>101</v>
      </c>
      <c r="D795" t="s">
        <v>3207</v>
      </c>
      <c r="E795" t="s">
        <v>65</v>
      </c>
      <c r="F795" t="s">
        <v>66</v>
      </c>
      <c r="G795" t="s">
        <v>67</v>
      </c>
      <c r="H795" t="s">
        <v>68</v>
      </c>
      <c r="I795" t="s">
        <v>176</v>
      </c>
      <c r="J795" t="s">
        <v>773</v>
      </c>
      <c r="K795" t="s">
        <v>774</v>
      </c>
      <c r="M795" t="s">
        <v>72</v>
      </c>
      <c r="N795" t="s">
        <v>775</v>
      </c>
      <c r="O795" t="s">
        <v>774</v>
      </c>
      <c r="P795" t="s">
        <v>776</v>
      </c>
      <c r="Q795" t="s">
        <v>75</v>
      </c>
      <c r="R795" t="s">
        <v>3174</v>
      </c>
      <c r="S795" t="s">
        <v>1584</v>
      </c>
      <c r="T795" t="s">
        <v>78</v>
      </c>
      <c r="U795" t="s">
        <v>1822</v>
      </c>
      <c r="V795" t="s">
        <v>80</v>
      </c>
      <c r="W795" s="1">
        <v>45110</v>
      </c>
      <c r="X795" t="s">
        <v>1859</v>
      </c>
      <c r="Y795" t="s">
        <v>3175</v>
      </c>
      <c r="Z795" t="s">
        <v>83</v>
      </c>
      <c r="AA795">
        <v>1</v>
      </c>
      <c r="AB795" t="s">
        <v>1337</v>
      </c>
      <c r="AD795" t="s">
        <v>1693</v>
      </c>
      <c r="AE795" t="s">
        <v>145</v>
      </c>
      <c r="AF795" t="s">
        <v>402</v>
      </c>
      <c r="AG795" t="s">
        <v>3177</v>
      </c>
      <c r="AH795" t="s">
        <v>3181</v>
      </c>
      <c r="AI795" t="s">
        <v>90</v>
      </c>
      <c r="AJ795">
        <v>32.422648000000002</v>
      </c>
      <c r="AK795">
        <v>-110.734174</v>
      </c>
      <c r="AL795">
        <v>3</v>
      </c>
      <c r="AN795">
        <v>2407</v>
      </c>
      <c r="AP795">
        <v>2407</v>
      </c>
      <c r="AQ795">
        <v>2430.4372669999998</v>
      </c>
      <c r="AT795">
        <v>3</v>
      </c>
      <c r="AU795">
        <v>7</v>
      </c>
      <c r="AV795">
        <v>2023</v>
      </c>
      <c r="AW795">
        <v>2438447</v>
      </c>
      <c r="AX795">
        <v>2438447</v>
      </c>
      <c r="AY795" t="s">
        <v>106</v>
      </c>
      <c r="AZ795" t="s">
        <v>92</v>
      </c>
      <c r="BA795" t="s">
        <v>107</v>
      </c>
      <c r="BB795" t="s">
        <v>3208</v>
      </c>
      <c r="BC795" t="s">
        <v>1186</v>
      </c>
      <c r="BD795" s="1">
        <v>45110</v>
      </c>
      <c r="BE795" t="s">
        <v>96</v>
      </c>
      <c r="BG795" t="s">
        <v>1187</v>
      </c>
      <c r="BI795" t="s">
        <v>98</v>
      </c>
      <c r="BJ795" t="s">
        <v>3209</v>
      </c>
      <c r="BL795" t="s">
        <v>412</v>
      </c>
    </row>
    <row r="796" spans="1:64" hidden="1" x14ac:dyDescent="0.2">
      <c r="A796">
        <v>233</v>
      </c>
      <c r="B796">
        <v>4403382407</v>
      </c>
      <c r="C796" t="s">
        <v>101</v>
      </c>
      <c r="D796" t="s">
        <v>3210</v>
      </c>
      <c r="E796" t="s">
        <v>65</v>
      </c>
      <c r="F796" t="s">
        <v>66</v>
      </c>
      <c r="G796" t="s">
        <v>67</v>
      </c>
      <c r="H796" t="s">
        <v>68</v>
      </c>
      <c r="I796" t="s">
        <v>176</v>
      </c>
      <c r="J796" t="s">
        <v>773</v>
      </c>
      <c r="K796" t="s">
        <v>774</v>
      </c>
      <c r="M796" t="s">
        <v>72</v>
      </c>
      <c r="N796" t="s">
        <v>775</v>
      </c>
      <c r="O796" t="s">
        <v>774</v>
      </c>
      <c r="P796" t="s">
        <v>776</v>
      </c>
      <c r="Q796" t="s">
        <v>75</v>
      </c>
      <c r="R796" t="s">
        <v>3174</v>
      </c>
      <c r="S796" t="s">
        <v>1584</v>
      </c>
      <c r="T796" t="s">
        <v>78</v>
      </c>
      <c r="U796" t="s">
        <v>1822</v>
      </c>
      <c r="V796" t="s">
        <v>80</v>
      </c>
      <c r="W796" s="1">
        <v>45110</v>
      </c>
      <c r="X796" t="s">
        <v>1859</v>
      </c>
      <c r="Y796" t="s">
        <v>3175</v>
      </c>
      <c r="Z796" t="s">
        <v>83</v>
      </c>
      <c r="AA796">
        <v>1</v>
      </c>
      <c r="AB796" t="s">
        <v>367</v>
      </c>
      <c r="AD796" t="s">
        <v>123</v>
      </c>
      <c r="AE796" t="s">
        <v>145</v>
      </c>
      <c r="AF796" t="s">
        <v>402</v>
      </c>
      <c r="AG796" t="s">
        <v>3177</v>
      </c>
      <c r="AH796" t="s">
        <v>3181</v>
      </c>
      <c r="AI796" t="s">
        <v>90</v>
      </c>
      <c r="AJ796">
        <v>32.422648000000002</v>
      </c>
      <c r="AK796">
        <v>-110.734174</v>
      </c>
      <c r="AL796">
        <v>3</v>
      </c>
      <c r="AN796">
        <v>2407</v>
      </c>
      <c r="AP796">
        <v>2407</v>
      </c>
      <c r="AQ796">
        <v>2430.4372669999998</v>
      </c>
      <c r="AT796">
        <v>3</v>
      </c>
      <c r="AU796">
        <v>7</v>
      </c>
      <c r="AV796">
        <v>2023</v>
      </c>
      <c r="AW796">
        <v>2438447</v>
      </c>
      <c r="AX796">
        <v>2438447</v>
      </c>
      <c r="AY796" t="s">
        <v>106</v>
      </c>
      <c r="AZ796" t="s">
        <v>92</v>
      </c>
      <c r="BA796" t="s">
        <v>107</v>
      </c>
      <c r="BB796" t="s">
        <v>3211</v>
      </c>
      <c r="BC796" t="s">
        <v>1186</v>
      </c>
      <c r="BD796" s="1">
        <v>45110</v>
      </c>
      <c r="BE796" t="s">
        <v>96</v>
      </c>
      <c r="BG796" t="s">
        <v>1187</v>
      </c>
      <c r="BI796" t="s">
        <v>98</v>
      </c>
      <c r="BJ796" t="s">
        <v>3187</v>
      </c>
      <c r="BL796" t="s">
        <v>412</v>
      </c>
    </row>
    <row r="797" spans="1:64" hidden="1" x14ac:dyDescent="0.2">
      <c r="A797">
        <v>258</v>
      </c>
      <c r="B797">
        <v>4403382380</v>
      </c>
      <c r="C797" t="s">
        <v>101</v>
      </c>
      <c r="D797" t="s">
        <v>3220</v>
      </c>
      <c r="E797" t="s">
        <v>65</v>
      </c>
      <c r="F797" t="s">
        <v>66</v>
      </c>
      <c r="G797" t="s">
        <v>67</v>
      </c>
      <c r="H797" t="s">
        <v>68</v>
      </c>
      <c r="I797" t="s">
        <v>176</v>
      </c>
      <c r="J797" t="s">
        <v>177</v>
      </c>
      <c r="K797" t="s">
        <v>1817</v>
      </c>
      <c r="M797" t="s">
        <v>72</v>
      </c>
      <c r="N797" t="s">
        <v>1818</v>
      </c>
      <c r="O797" t="s">
        <v>1817</v>
      </c>
      <c r="P797" t="s">
        <v>1819</v>
      </c>
      <c r="Q797" t="s">
        <v>75</v>
      </c>
      <c r="R797" t="s">
        <v>3174</v>
      </c>
      <c r="S797" t="s">
        <v>3221</v>
      </c>
      <c r="T797" t="s">
        <v>78</v>
      </c>
      <c r="U797" t="s">
        <v>1822</v>
      </c>
      <c r="V797" t="s">
        <v>80</v>
      </c>
      <c r="W797" s="1">
        <v>45110</v>
      </c>
      <c r="X797" t="s">
        <v>1859</v>
      </c>
      <c r="Y797" t="s">
        <v>3213</v>
      </c>
      <c r="Z797" t="s">
        <v>83</v>
      </c>
      <c r="AA797">
        <v>1</v>
      </c>
      <c r="AB797" t="s">
        <v>367</v>
      </c>
      <c r="AD797" t="s">
        <v>104</v>
      </c>
      <c r="AE797" t="s">
        <v>145</v>
      </c>
      <c r="AF797" t="s">
        <v>359</v>
      </c>
      <c r="AG797" t="s">
        <v>3217</v>
      </c>
      <c r="AH797" t="s">
        <v>3222</v>
      </c>
      <c r="AI797" t="s">
        <v>90</v>
      </c>
      <c r="AJ797">
        <v>32.424909</v>
      </c>
      <c r="AK797">
        <v>-110.73885</v>
      </c>
      <c r="AN797">
        <v>2368</v>
      </c>
      <c r="AP797">
        <v>2368</v>
      </c>
      <c r="AQ797">
        <v>2386.7331989999998</v>
      </c>
      <c r="AT797">
        <v>3</v>
      </c>
      <c r="AU797">
        <v>7</v>
      </c>
      <c r="AV797">
        <v>2023</v>
      </c>
      <c r="AW797">
        <v>2437967</v>
      </c>
      <c r="AX797">
        <v>2437967</v>
      </c>
      <c r="AY797" t="s">
        <v>106</v>
      </c>
      <c r="AZ797" t="s">
        <v>92</v>
      </c>
      <c r="BA797" t="s">
        <v>107</v>
      </c>
      <c r="BB797" t="s">
        <v>3223</v>
      </c>
      <c r="BC797" t="s">
        <v>1186</v>
      </c>
      <c r="BD797" s="1">
        <v>45110</v>
      </c>
      <c r="BE797" t="s">
        <v>96</v>
      </c>
      <c r="BG797" t="s">
        <v>1187</v>
      </c>
      <c r="BI797" t="s">
        <v>98</v>
      </c>
      <c r="BJ797" t="s">
        <v>3005</v>
      </c>
      <c r="BL797" t="s">
        <v>110</v>
      </c>
    </row>
    <row r="798" spans="1:64" hidden="1" x14ac:dyDescent="0.2">
      <c r="A798">
        <v>12</v>
      </c>
      <c r="B798">
        <v>4403382628</v>
      </c>
      <c r="C798" t="s">
        <v>101</v>
      </c>
      <c r="D798" t="s">
        <v>3494</v>
      </c>
      <c r="E798" t="s">
        <v>65</v>
      </c>
      <c r="F798" t="s">
        <v>66</v>
      </c>
      <c r="G798" t="s">
        <v>67</v>
      </c>
      <c r="H798" t="s">
        <v>68</v>
      </c>
      <c r="I798" t="s">
        <v>176</v>
      </c>
      <c r="J798" t="s">
        <v>177</v>
      </c>
      <c r="K798" t="s">
        <v>1817</v>
      </c>
      <c r="M798" t="s">
        <v>72</v>
      </c>
      <c r="N798" t="s">
        <v>1818</v>
      </c>
      <c r="O798" t="s">
        <v>1817</v>
      </c>
      <c r="P798" t="s">
        <v>1819</v>
      </c>
      <c r="Q798" t="s">
        <v>75</v>
      </c>
      <c r="R798" t="s">
        <v>3174</v>
      </c>
      <c r="S798" t="s">
        <v>598</v>
      </c>
      <c r="T798" t="s">
        <v>78</v>
      </c>
      <c r="U798" t="s">
        <v>1822</v>
      </c>
      <c r="V798" t="s">
        <v>80</v>
      </c>
      <c r="W798" s="1">
        <v>45110</v>
      </c>
      <c r="X798" t="s">
        <v>1859</v>
      </c>
      <c r="Y798" t="s">
        <v>3490</v>
      </c>
      <c r="Z798" t="s">
        <v>83</v>
      </c>
      <c r="AA798">
        <v>1</v>
      </c>
      <c r="AB798" t="s">
        <v>367</v>
      </c>
      <c r="AC798">
        <v>0</v>
      </c>
      <c r="AD798" t="s">
        <v>128</v>
      </c>
      <c r="AE798" t="s">
        <v>145</v>
      </c>
      <c r="AF798" t="s">
        <v>359</v>
      </c>
      <c r="AG798" t="s">
        <v>1526</v>
      </c>
      <c r="AI798" t="s">
        <v>90</v>
      </c>
      <c r="AJ798">
        <v>32.425533999999999</v>
      </c>
      <c r="AK798">
        <v>-110.73963000000001</v>
      </c>
      <c r="AN798">
        <v>2360</v>
      </c>
      <c r="AP798">
        <v>2360</v>
      </c>
      <c r="AQ798">
        <v>2378.2147249999998</v>
      </c>
      <c r="AT798">
        <v>3</v>
      </c>
      <c r="AU798">
        <v>7</v>
      </c>
      <c r="AV798">
        <v>2023</v>
      </c>
      <c r="AW798">
        <v>2437967</v>
      </c>
      <c r="AX798">
        <v>2437967</v>
      </c>
      <c r="AY798" t="s">
        <v>106</v>
      </c>
      <c r="AZ798" t="s">
        <v>92</v>
      </c>
      <c r="BA798" t="s">
        <v>107</v>
      </c>
      <c r="BB798" t="s">
        <v>3495</v>
      </c>
      <c r="BC798" t="s">
        <v>1186</v>
      </c>
      <c r="BD798" s="1">
        <v>45110</v>
      </c>
      <c r="BE798" t="s">
        <v>96</v>
      </c>
      <c r="BG798" t="s">
        <v>1187</v>
      </c>
      <c r="BI798" t="s">
        <v>98</v>
      </c>
      <c r="BJ798" t="s">
        <v>3496</v>
      </c>
      <c r="BL798" t="s">
        <v>110</v>
      </c>
    </row>
    <row r="799" spans="1:64" x14ac:dyDescent="0.2">
      <c r="A799">
        <v>1427</v>
      </c>
      <c r="B799">
        <v>4022922318</v>
      </c>
      <c r="C799" t="s">
        <v>63</v>
      </c>
      <c r="D799" t="s">
        <v>4558</v>
      </c>
      <c r="E799" t="s">
        <v>65</v>
      </c>
      <c r="F799" t="s">
        <v>66</v>
      </c>
      <c r="G799" t="s">
        <v>67</v>
      </c>
      <c r="H799" t="s">
        <v>68</v>
      </c>
      <c r="I799" t="s">
        <v>176</v>
      </c>
      <c r="J799" t="s">
        <v>177</v>
      </c>
      <c r="K799" t="s">
        <v>178</v>
      </c>
      <c r="M799" t="s">
        <v>72</v>
      </c>
      <c r="N799" t="s">
        <v>179</v>
      </c>
      <c r="O799" t="s">
        <v>178</v>
      </c>
      <c r="P799" t="s">
        <v>180</v>
      </c>
      <c r="Q799" t="s">
        <v>75</v>
      </c>
      <c r="R799" t="s">
        <v>4501</v>
      </c>
      <c r="S799" t="s">
        <v>3767</v>
      </c>
      <c r="T799" t="s">
        <v>78</v>
      </c>
      <c r="U799" t="s">
        <v>3817</v>
      </c>
      <c r="V799" t="s">
        <v>80</v>
      </c>
      <c r="W799" s="1">
        <v>44534</v>
      </c>
      <c r="X799" t="s">
        <v>4502</v>
      </c>
      <c r="Y799" t="s">
        <v>4559</v>
      </c>
      <c r="Z799" t="s">
        <v>83</v>
      </c>
      <c r="AA799">
        <v>1</v>
      </c>
      <c r="AB799" t="s">
        <v>4560</v>
      </c>
      <c r="AC799">
        <v>1</v>
      </c>
      <c r="AD799" s="6" t="s">
        <v>85</v>
      </c>
      <c r="AE799" s="6" t="s">
        <v>86</v>
      </c>
      <c r="AF799" s="6" t="s">
        <v>146</v>
      </c>
      <c r="AG799" s="6" t="s">
        <v>4561</v>
      </c>
      <c r="AH799" s="6"/>
      <c r="AI799" s="6" t="s">
        <v>90</v>
      </c>
      <c r="AJ799" s="6">
        <v>32.337234000000002</v>
      </c>
      <c r="AK799" s="6">
        <v>-110.720839</v>
      </c>
      <c r="AL799" s="6">
        <v>3</v>
      </c>
      <c r="AM799" s="6"/>
      <c r="AN799" s="6">
        <v>1466</v>
      </c>
      <c r="AO799" s="6"/>
      <c r="AP799" s="6">
        <v>1466</v>
      </c>
      <c r="AQ799" s="6">
        <v>1471.277135</v>
      </c>
      <c r="AR799" s="6"/>
      <c r="AS799" s="6"/>
      <c r="AT799" s="6">
        <v>4</v>
      </c>
      <c r="AU799" s="6">
        <v>12</v>
      </c>
      <c r="AV799" s="6">
        <v>2021</v>
      </c>
      <c r="AW799" s="6">
        <v>2438038</v>
      </c>
      <c r="AX799" s="6">
        <v>2438038</v>
      </c>
      <c r="AY799" s="6" t="s">
        <v>91</v>
      </c>
      <c r="AZ799" t="s">
        <v>92</v>
      </c>
      <c r="BA799" t="s">
        <v>93</v>
      </c>
      <c r="BB799" t="s">
        <v>4562</v>
      </c>
      <c r="BC799" t="s">
        <v>1186</v>
      </c>
      <c r="BE799" t="s">
        <v>96</v>
      </c>
      <c r="BG799" t="s">
        <v>4507</v>
      </c>
      <c r="BI799" t="s">
        <v>98</v>
      </c>
      <c r="BJ799" t="s">
        <v>4563</v>
      </c>
      <c r="BL799" t="s">
        <v>407</v>
      </c>
    </row>
    <row r="800" spans="1:64" hidden="1" x14ac:dyDescent="0.2">
      <c r="A800">
        <v>276</v>
      </c>
      <c r="B800">
        <v>4403382362</v>
      </c>
      <c r="C800" t="s">
        <v>101</v>
      </c>
      <c r="D800" t="s">
        <v>3230</v>
      </c>
      <c r="E800" t="s">
        <v>65</v>
      </c>
      <c r="F800" t="s">
        <v>66</v>
      </c>
      <c r="G800" t="s">
        <v>67</v>
      </c>
      <c r="H800" t="s">
        <v>68</v>
      </c>
      <c r="I800" t="s">
        <v>176</v>
      </c>
      <c r="J800" t="s">
        <v>177</v>
      </c>
      <c r="K800" t="s">
        <v>1817</v>
      </c>
      <c r="M800" t="s">
        <v>72</v>
      </c>
      <c r="N800" t="s">
        <v>1818</v>
      </c>
      <c r="O800" t="s">
        <v>1817</v>
      </c>
      <c r="P800" t="s">
        <v>1819</v>
      </c>
      <c r="Q800" t="s">
        <v>75</v>
      </c>
      <c r="R800" t="s">
        <v>3174</v>
      </c>
      <c r="S800" t="s">
        <v>3221</v>
      </c>
      <c r="T800" t="s">
        <v>78</v>
      </c>
      <c r="U800" t="s">
        <v>1822</v>
      </c>
      <c r="V800" t="s">
        <v>80</v>
      </c>
      <c r="W800" s="1">
        <v>45110</v>
      </c>
      <c r="X800" t="s">
        <v>1859</v>
      </c>
      <c r="Y800" t="s">
        <v>3213</v>
      </c>
      <c r="Z800" t="s">
        <v>83</v>
      </c>
      <c r="AA800">
        <v>1</v>
      </c>
      <c r="AB800" t="s">
        <v>367</v>
      </c>
      <c r="AD800" t="s">
        <v>112</v>
      </c>
      <c r="AE800" t="s">
        <v>145</v>
      </c>
      <c r="AF800" t="s">
        <v>359</v>
      </c>
      <c r="AG800" t="s">
        <v>3217</v>
      </c>
      <c r="AH800" t="s">
        <v>3222</v>
      </c>
      <c r="AI800" t="s">
        <v>90</v>
      </c>
      <c r="AJ800">
        <v>32.424909</v>
      </c>
      <c r="AK800">
        <v>-110.73885</v>
      </c>
      <c r="AN800">
        <v>2368</v>
      </c>
      <c r="AP800">
        <v>2368</v>
      </c>
      <c r="AQ800">
        <v>2386.7331989999998</v>
      </c>
      <c r="AT800">
        <v>3</v>
      </c>
      <c r="AU800">
        <v>7</v>
      </c>
      <c r="AV800">
        <v>2023</v>
      </c>
      <c r="AW800">
        <v>2437967</v>
      </c>
      <c r="AX800">
        <v>2437967</v>
      </c>
      <c r="AY800" t="s">
        <v>106</v>
      </c>
      <c r="AZ800" t="s">
        <v>92</v>
      </c>
      <c r="BA800" t="s">
        <v>107</v>
      </c>
      <c r="BB800" t="s">
        <v>3231</v>
      </c>
      <c r="BC800" t="s">
        <v>1186</v>
      </c>
      <c r="BD800" s="1">
        <v>45110</v>
      </c>
      <c r="BE800" t="s">
        <v>96</v>
      </c>
      <c r="BG800" t="s">
        <v>1187</v>
      </c>
      <c r="BI800" t="s">
        <v>98</v>
      </c>
      <c r="BJ800" t="s">
        <v>3029</v>
      </c>
      <c r="BL800" t="s">
        <v>110</v>
      </c>
    </row>
    <row r="801" spans="1:64" hidden="1" x14ac:dyDescent="0.2">
      <c r="A801">
        <v>277</v>
      </c>
      <c r="B801">
        <v>4403382361</v>
      </c>
      <c r="C801" t="s">
        <v>101</v>
      </c>
      <c r="D801" t="s">
        <v>3232</v>
      </c>
      <c r="E801" t="s">
        <v>65</v>
      </c>
      <c r="F801" t="s">
        <v>66</v>
      </c>
      <c r="G801" t="s">
        <v>67</v>
      </c>
      <c r="H801" t="s">
        <v>68</v>
      </c>
      <c r="I801" t="s">
        <v>176</v>
      </c>
      <c r="J801" t="s">
        <v>177</v>
      </c>
      <c r="K801" t="s">
        <v>1817</v>
      </c>
      <c r="M801" t="s">
        <v>72</v>
      </c>
      <c r="N801" t="s">
        <v>1818</v>
      </c>
      <c r="O801" t="s">
        <v>1817</v>
      </c>
      <c r="P801" t="s">
        <v>1819</v>
      </c>
      <c r="Q801" t="s">
        <v>75</v>
      </c>
      <c r="R801" t="s">
        <v>3174</v>
      </c>
      <c r="S801" t="s">
        <v>3221</v>
      </c>
      <c r="T801" t="s">
        <v>78</v>
      </c>
      <c r="U801" t="s">
        <v>1822</v>
      </c>
      <c r="V801" t="s">
        <v>80</v>
      </c>
      <c r="W801" s="1">
        <v>45110</v>
      </c>
      <c r="X801" t="s">
        <v>1859</v>
      </c>
      <c r="Y801" t="s">
        <v>3213</v>
      </c>
      <c r="Z801" t="s">
        <v>83</v>
      </c>
      <c r="AA801">
        <v>1</v>
      </c>
      <c r="AB801" t="s">
        <v>367</v>
      </c>
      <c r="AD801" t="s">
        <v>123</v>
      </c>
      <c r="AE801" t="s">
        <v>145</v>
      </c>
      <c r="AF801" t="s">
        <v>359</v>
      </c>
      <c r="AG801" t="s">
        <v>3217</v>
      </c>
      <c r="AH801" t="s">
        <v>3222</v>
      </c>
      <c r="AI801" t="s">
        <v>90</v>
      </c>
      <c r="AJ801">
        <v>32.424909</v>
      </c>
      <c r="AK801">
        <v>-110.73885</v>
      </c>
      <c r="AN801">
        <v>2368</v>
      </c>
      <c r="AP801">
        <v>2368</v>
      </c>
      <c r="AQ801">
        <v>2386.7331989999998</v>
      </c>
      <c r="AT801">
        <v>3</v>
      </c>
      <c r="AU801">
        <v>7</v>
      </c>
      <c r="AV801">
        <v>2023</v>
      </c>
      <c r="AW801">
        <v>2437967</v>
      </c>
      <c r="AX801">
        <v>2437967</v>
      </c>
      <c r="AY801" t="s">
        <v>106</v>
      </c>
      <c r="AZ801" t="s">
        <v>92</v>
      </c>
      <c r="BA801" t="s">
        <v>107</v>
      </c>
      <c r="BB801" t="s">
        <v>3233</v>
      </c>
      <c r="BC801" t="s">
        <v>1186</v>
      </c>
      <c r="BD801" s="1">
        <v>45110</v>
      </c>
      <c r="BE801" t="s">
        <v>96</v>
      </c>
      <c r="BG801" t="s">
        <v>1187</v>
      </c>
      <c r="BI801" t="s">
        <v>98</v>
      </c>
      <c r="BJ801" t="s">
        <v>2907</v>
      </c>
      <c r="BL801" t="s">
        <v>110</v>
      </c>
    </row>
    <row r="802" spans="1:64" hidden="1" x14ac:dyDescent="0.2">
      <c r="A802">
        <v>279</v>
      </c>
      <c r="B802">
        <v>4403382359</v>
      </c>
      <c r="C802" t="s">
        <v>101</v>
      </c>
      <c r="D802" t="s">
        <v>3234</v>
      </c>
      <c r="E802" t="s">
        <v>65</v>
      </c>
      <c r="F802" t="s">
        <v>66</v>
      </c>
      <c r="G802" t="s">
        <v>67</v>
      </c>
      <c r="H802" t="s">
        <v>68</v>
      </c>
      <c r="I802" t="s">
        <v>176</v>
      </c>
      <c r="J802" t="s">
        <v>177</v>
      </c>
      <c r="K802" t="s">
        <v>1817</v>
      </c>
      <c r="M802" t="s">
        <v>72</v>
      </c>
      <c r="N802" t="s">
        <v>1818</v>
      </c>
      <c r="O802" t="s">
        <v>1817</v>
      </c>
      <c r="P802" t="s">
        <v>1819</v>
      </c>
      <c r="Q802" t="s">
        <v>75</v>
      </c>
      <c r="R802" t="s">
        <v>3174</v>
      </c>
      <c r="S802" t="s">
        <v>3221</v>
      </c>
      <c r="T802" t="s">
        <v>78</v>
      </c>
      <c r="U802" t="s">
        <v>1822</v>
      </c>
      <c r="V802" t="s">
        <v>80</v>
      </c>
      <c r="W802" s="1">
        <v>45110</v>
      </c>
      <c r="X802" t="s">
        <v>1859</v>
      </c>
      <c r="Y802" t="s">
        <v>3213</v>
      </c>
      <c r="Z802" t="s">
        <v>83</v>
      </c>
      <c r="AA802">
        <v>1</v>
      </c>
      <c r="AB802" t="s">
        <v>367</v>
      </c>
      <c r="AD802" t="s">
        <v>139</v>
      </c>
      <c r="AE802" t="s">
        <v>145</v>
      </c>
      <c r="AF802" t="s">
        <v>359</v>
      </c>
      <c r="AG802" t="s">
        <v>3217</v>
      </c>
      <c r="AH802" t="s">
        <v>3222</v>
      </c>
      <c r="AI802" t="s">
        <v>90</v>
      </c>
      <c r="AJ802">
        <v>32.424909</v>
      </c>
      <c r="AK802">
        <v>-110.73885</v>
      </c>
      <c r="AN802">
        <v>2368</v>
      </c>
      <c r="AP802">
        <v>2368</v>
      </c>
      <c r="AQ802">
        <v>2386.7331989999998</v>
      </c>
      <c r="AT802">
        <v>3</v>
      </c>
      <c r="AU802">
        <v>7</v>
      </c>
      <c r="AV802">
        <v>2023</v>
      </c>
      <c r="AW802">
        <v>2437967</v>
      </c>
      <c r="AX802">
        <v>2437967</v>
      </c>
      <c r="AY802" t="s">
        <v>106</v>
      </c>
      <c r="AZ802" t="s">
        <v>92</v>
      </c>
      <c r="BA802" t="s">
        <v>107</v>
      </c>
      <c r="BB802" t="s">
        <v>3235</v>
      </c>
      <c r="BC802" t="s">
        <v>1186</v>
      </c>
      <c r="BD802" s="1">
        <v>45110</v>
      </c>
      <c r="BE802" t="s">
        <v>96</v>
      </c>
      <c r="BG802" t="s">
        <v>1187</v>
      </c>
      <c r="BI802" t="s">
        <v>98</v>
      </c>
      <c r="BJ802" t="s">
        <v>2913</v>
      </c>
      <c r="BL802" t="s">
        <v>110</v>
      </c>
    </row>
    <row r="803" spans="1:64" hidden="1" x14ac:dyDescent="0.2">
      <c r="A803">
        <v>282</v>
      </c>
      <c r="B803">
        <v>4403382356</v>
      </c>
      <c r="C803" t="s">
        <v>101</v>
      </c>
      <c r="D803" t="s">
        <v>3236</v>
      </c>
      <c r="E803" t="s">
        <v>65</v>
      </c>
      <c r="F803" t="s">
        <v>66</v>
      </c>
      <c r="G803" t="s">
        <v>67</v>
      </c>
      <c r="H803" t="s">
        <v>68</v>
      </c>
      <c r="I803" t="s">
        <v>176</v>
      </c>
      <c r="J803" t="s">
        <v>177</v>
      </c>
      <c r="K803" t="s">
        <v>1817</v>
      </c>
      <c r="M803" t="s">
        <v>72</v>
      </c>
      <c r="N803" t="s">
        <v>1818</v>
      </c>
      <c r="O803" t="s">
        <v>1817</v>
      </c>
      <c r="P803" t="s">
        <v>1819</v>
      </c>
      <c r="Q803" t="s">
        <v>75</v>
      </c>
      <c r="R803" t="s">
        <v>3174</v>
      </c>
      <c r="S803" t="s">
        <v>3221</v>
      </c>
      <c r="T803" t="s">
        <v>78</v>
      </c>
      <c r="U803" t="s">
        <v>1822</v>
      </c>
      <c r="V803" t="s">
        <v>80</v>
      </c>
      <c r="W803" s="1">
        <v>45110</v>
      </c>
      <c r="X803" t="s">
        <v>1859</v>
      </c>
      <c r="Y803" t="s">
        <v>3213</v>
      </c>
      <c r="Z803" t="s">
        <v>83</v>
      </c>
      <c r="AA803">
        <v>1</v>
      </c>
      <c r="AB803" t="s">
        <v>372</v>
      </c>
      <c r="AD803" t="s">
        <v>134</v>
      </c>
      <c r="AE803" t="s">
        <v>145</v>
      </c>
      <c r="AF803" t="s">
        <v>359</v>
      </c>
      <c r="AG803" t="s">
        <v>3217</v>
      </c>
      <c r="AH803" t="s">
        <v>3237</v>
      </c>
      <c r="AI803" t="s">
        <v>90</v>
      </c>
      <c r="AJ803">
        <v>32.424909</v>
      </c>
      <c r="AK803">
        <v>-110.73885</v>
      </c>
      <c r="AN803">
        <v>2368</v>
      </c>
      <c r="AP803">
        <v>2368</v>
      </c>
      <c r="AQ803">
        <v>2386.7331989999998</v>
      </c>
      <c r="AT803">
        <v>3</v>
      </c>
      <c r="AU803">
        <v>7</v>
      </c>
      <c r="AV803">
        <v>2023</v>
      </c>
      <c r="AW803">
        <v>2437967</v>
      </c>
      <c r="AX803">
        <v>2437967</v>
      </c>
      <c r="AY803" t="s">
        <v>106</v>
      </c>
      <c r="AZ803" t="s">
        <v>92</v>
      </c>
      <c r="BA803" t="s">
        <v>107</v>
      </c>
      <c r="BB803" t="s">
        <v>3238</v>
      </c>
      <c r="BC803" t="s">
        <v>1186</v>
      </c>
      <c r="BD803" s="1">
        <v>45110</v>
      </c>
      <c r="BE803" t="s">
        <v>96</v>
      </c>
      <c r="BG803" t="s">
        <v>1187</v>
      </c>
      <c r="BI803" t="s">
        <v>98</v>
      </c>
      <c r="BJ803" t="s">
        <v>2913</v>
      </c>
      <c r="BL803" t="s">
        <v>110</v>
      </c>
    </row>
    <row r="804" spans="1:64" hidden="1" x14ac:dyDescent="0.2">
      <c r="A804">
        <v>285</v>
      </c>
      <c r="B804">
        <v>4403382353</v>
      </c>
      <c r="C804" t="s">
        <v>101</v>
      </c>
      <c r="D804" t="s">
        <v>3239</v>
      </c>
      <c r="E804" t="s">
        <v>65</v>
      </c>
      <c r="F804" t="s">
        <v>66</v>
      </c>
      <c r="G804" t="s">
        <v>67</v>
      </c>
      <c r="H804" t="s">
        <v>68</v>
      </c>
      <c r="I804" t="s">
        <v>176</v>
      </c>
      <c r="J804" t="s">
        <v>177</v>
      </c>
      <c r="K804" t="s">
        <v>1817</v>
      </c>
      <c r="M804" t="s">
        <v>72</v>
      </c>
      <c r="N804" t="s">
        <v>1818</v>
      </c>
      <c r="O804" t="s">
        <v>1817</v>
      </c>
      <c r="P804" t="s">
        <v>1819</v>
      </c>
      <c r="Q804" t="s">
        <v>75</v>
      </c>
      <c r="R804" t="s">
        <v>3174</v>
      </c>
      <c r="S804" t="s">
        <v>3221</v>
      </c>
      <c r="T804" t="s">
        <v>78</v>
      </c>
      <c r="U804" t="s">
        <v>1822</v>
      </c>
      <c r="V804" t="s">
        <v>80</v>
      </c>
      <c r="W804" s="1">
        <v>45110</v>
      </c>
      <c r="X804" t="s">
        <v>1859</v>
      </c>
      <c r="Y804" t="s">
        <v>3213</v>
      </c>
      <c r="Z804" t="s">
        <v>83</v>
      </c>
      <c r="AA804">
        <v>1</v>
      </c>
      <c r="AB804" t="s">
        <v>434</v>
      </c>
      <c r="AD804" t="s">
        <v>378</v>
      </c>
      <c r="AE804" t="s">
        <v>145</v>
      </c>
      <c r="AF804" t="s">
        <v>359</v>
      </c>
      <c r="AG804" t="s">
        <v>3217</v>
      </c>
      <c r="AH804" t="s">
        <v>3222</v>
      </c>
      <c r="AI804" t="s">
        <v>90</v>
      </c>
      <c r="AJ804">
        <v>32.424909</v>
      </c>
      <c r="AK804">
        <v>-110.73885</v>
      </c>
      <c r="AN804">
        <v>2368</v>
      </c>
      <c r="AP804">
        <v>2368</v>
      </c>
      <c r="AQ804">
        <v>2386.7331989999998</v>
      </c>
      <c r="AT804">
        <v>3</v>
      </c>
      <c r="AU804">
        <v>7</v>
      </c>
      <c r="AV804">
        <v>2023</v>
      </c>
      <c r="AW804">
        <v>2437967</v>
      </c>
      <c r="AX804">
        <v>2437967</v>
      </c>
      <c r="AY804" t="s">
        <v>106</v>
      </c>
      <c r="AZ804" t="s">
        <v>92</v>
      </c>
      <c r="BA804" t="s">
        <v>107</v>
      </c>
      <c r="BB804" t="s">
        <v>3240</v>
      </c>
      <c r="BC804" t="s">
        <v>1186</v>
      </c>
      <c r="BD804" s="1">
        <v>45110</v>
      </c>
      <c r="BE804" t="s">
        <v>96</v>
      </c>
      <c r="BG804" t="s">
        <v>1187</v>
      </c>
      <c r="BI804" t="s">
        <v>98</v>
      </c>
      <c r="BJ804" t="s">
        <v>2913</v>
      </c>
      <c r="BL804" t="s">
        <v>110</v>
      </c>
    </row>
    <row r="805" spans="1:64" hidden="1" x14ac:dyDescent="0.2">
      <c r="A805">
        <v>261</v>
      </c>
      <c r="B805">
        <v>4403382377</v>
      </c>
      <c r="C805" t="s">
        <v>101</v>
      </c>
      <c r="D805" t="s">
        <v>3241</v>
      </c>
      <c r="E805" t="s">
        <v>65</v>
      </c>
      <c r="F805" t="s">
        <v>66</v>
      </c>
      <c r="G805" t="s">
        <v>67</v>
      </c>
      <c r="H805" t="s">
        <v>68</v>
      </c>
      <c r="I805" t="s">
        <v>176</v>
      </c>
      <c r="J805" t="s">
        <v>177</v>
      </c>
      <c r="K805" t="s">
        <v>1817</v>
      </c>
      <c r="M805" t="s">
        <v>72</v>
      </c>
      <c r="N805" t="s">
        <v>1818</v>
      </c>
      <c r="O805" t="s">
        <v>1817</v>
      </c>
      <c r="P805" t="s">
        <v>1819</v>
      </c>
      <c r="Q805" t="s">
        <v>75</v>
      </c>
      <c r="R805" t="s">
        <v>3174</v>
      </c>
      <c r="S805" t="s">
        <v>3221</v>
      </c>
      <c r="T805" t="s">
        <v>78</v>
      </c>
      <c r="U805" t="s">
        <v>1822</v>
      </c>
      <c r="V805" t="s">
        <v>80</v>
      </c>
      <c r="W805" s="1">
        <v>45110</v>
      </c>
      <c r="X805" t="s">
        <v>1859</v>
      </c>
      <c r="Y805" t="s">
        <v>3213</v>
      </c>
      <c r="Z805" t="s">
        <v>83</v>
      </c>
      <c r="AA805">
        <v>1</v>
      </c>
      <c r="AB805" t="s">
        <v>367</v>
      </c>
      <c r="AD805" t="s">
        <v>116</v>
      </c>
      <c r="AE805" t="s">
        <v>145</v>
      </c>
      <c r="AF805" t="s">
        <v>359</v>
      </c>
      <c r="AG805" t="s">
        <v>3217</v>
      </c>
      <c r="AH805" t="s">
        <v>3222</v>
      </c>
      <c r="AI805" t="s">
        <v>90</v>
      </c>
      <c r="AJ805">
        <v>32.424909</v>
      </c>
      <c r="AK805">
        <v>-110.73885</v>
      </c>
      <c r="AN805">
        <v>2368</v>
      </c>
      <c r="AP805">
        <v>2368</v>
      </c>
      <c r="AQ805">
        <v>2386.7331989999998</v>
      </c>
      <c r="AT805">
        <v>3</v>
      </c>
      <c r="AU805">
        <v>7</v>
      </c>
      <c r="AV805">
        <v>2023</v>
      </c>
      <c r="AW805">
        <v>2437967</v>
      </c>
      <c r="AX805">
        <v>2437967</v>
      </c>
      <c r="AY805" t="s">
        <v>106</v>
      </c>
      <c r="AZ805" t="s">
        <v>92</v>
      </c>
      <c r="BA805" t="s">
        <v>107</v>
      </c>
      <c r="BB805" t="s">
        <v>3242</v>
      </c>
      <c r="BC805" t="s">
        <v>1186</v>
      </c>
      <c r="BD805" s="1">
        <v>45110</v>
      </c>
      <c r="BE805" t="s">
        <v>96</v>
      </c>
      <c r="BG805" t="s">
        <v>1187</v>
      </c>
      <c r="BI805" t="s">
        <v>98</v>
      </c>
      <c r="BJ805" t="s">
        <v>3243</v>
      </c>
      <c r="BL805" t="s">
        <v>110</v>
      </c>
    </row>
    <row r="806" spans="1:64" hidden="1" x14ac:dyDescent="0.2">
      <c r="A806">
        <v>312</v>
      </c>
      <c r="B806">
        <v>4403382326</v>
      </c>
      <c r="C806" t="s">
        <v>101</v>
      </c>
      <c r="D806" t="s">
        <v>3252</v>
      </c>
      <c r="E806" t="s">
        <v>65</v>
      </c>
      <c r="F806" t="s">
        <v>66</v>
      </c>
      <c r="G806" t="s">
        <v>67</v>
      </c>
      <c r="H806" t="s">
        <v>68</v>
      </c>
      <c r="I806" t="s">
        <v>176</v>
      </c>
      <c r="J806" t="s">
        <v>177</v>
      </c>
      <c r="K806" t="s">
        <v>1817</v>
      </c>
      <c r="M806" t="s">
        <v>72</v>
      </c>
      <c r="N806" t="s">
        <v>1818</v>
      </c>
      <c r="O806" t="s">
        <v>1817</v>
      </c>
      <c r="P806" t="s">
        <v>1819</v>
      </c>
      <c r="Q806" t="s">
        <v>75</v>
      </c>
      <c r="R806" t="s">
        <v>3174</v>
      </c>
      <c r="S806" t="s">
        <v>3245</v>
      </c>
      <c r="T806" t="s">
        <v>78</v>
      </c>
      <c r="U806" t="s">
        <v>1822</v>
      </c>
      <c r="V806" t="s">
        <v>80</v>
      </c>
      <c r="W806" s="1">
        <v>45110</v>
      </c>
      <c r="X806" t="s">
        <v>1859</v>
      </c>
      <c r="Y806" t="s">
        <v>3246</v>
      </c>
      <c r="Z806" t="s">
        <v>83</v>
      </c>
      <c r="AA806">
        <v>1</v>
      </c>
      <c r="AB806" t="s">
        <v>372</v>
      </c>
      <c r="AD806" t="s">
        <v>134</v>
      </c>
      <c r="AE806" t="s">
        <v>145</v>
      </c>
      <c r="AF806" t="s">
        <v>402</v>
      </c>
      <c r="AG806" t="s">
        <v>3248</v>
      </c>
      <c r="AH806" t="s">
        <v>3253</v>
      </c>
      <c r="AI806" t="s">
        <v>90</v>
      </c>
      <c r="AJ806">
        <v>32.422624999999996</v>
      </c>
      <c r="AK806">
        <v>-110.73399999999999</v>
      </c>
      <c r="AL806">
        <v>3</v>
      </c>
      <c r="AN806">
        <v>2407</v>
      </c>
      <c r="AP806">
        <v>2407</v>
      </c>
      <c r="AQ806">
        <v>2428.2800000000002</v>
      </c>
      <c r="AT806">
        <v>3</v>
      </c>
      <c r="AU806">
        <v>7</v>
      </c>
      <c r="AV806">
        <v>2023</v>
      </c>
      <c r="AW806">
        <v>2437967</v>
      </c>
      <c r="AX806">
        <v>2437967</v>
      </c>
      <c r="AY806" t="s">
        <v>106</v>
      </c>
      <c r="AZ806" t="s">
        <v>92</v>
      </c>
      <c r="BA806" t="s">
        <v>107</v>
      </c>
      <c r="BB806" t="s">
        <v>3254</v>
      </c>
      <c r="BC806" t="s">
        <v>1186</v>
      </c>
      <c r="BD806" s="1">
        <v>45110</v>
      </c>
      <c r="BE806" t="s">
        <v>96</v>
      </c>
      <c r="BG806" t="s">
        <v>1187</v>
      </c>
      <c r="BI806" t="s">
        <v>98</v>
      </c>
      <c r="BJ806" t="s">
        <v>2947</v>
      </c>
      <c r="BL806" t="s">
        <v>412</v>
      </c>
    </row>
    <row r="807" spans="1:64" hidden="1" x14ac:dyDescent="0.2">
      <c r="A807">
        <v>18</v>
      </c>
      <c r="B807">
        <v>4403382622</v>
      </c>
      <c r="C807" t="s">
        <v>101</v>
      </c>
      <c r="D807" t="s">
        <v>3501</v>
      </c>
      <c r="E807" t="s">
        <v>65</v>
      </c>
      <c r="F807" t="s">
        <v>66</v>
      </c>
      <c r="G807" t="s">
        <v>67</v>
      </c>
      <c r="H807" t="s">
        <v>68</v>
      </c>
      <c r="I807" t="s">
        <v>176</v>
      </c>
      <c r="J807" t="s">
        <v>177</v>
      </c>
      <c r="K807" t="s">
        <v>1817</v>
      </c>
      <c r="M807" t="s">
        <v>72</v>
      </c>
      <c r="N807" t="s">
        <v>1818</v>
      </c>
      <c r="O807" t="s">
        <v>1817</v>
      </c>
      <c r="P807" t="s">
        <v>1819</v>
      </c>
      <c r="Q807" t="s">
        <v>75</v>
      </c>
      <c r="R807" t="s">
        <v>3174</v>
      </c>
      <c r="S807" t="s">
        <v>558</v>
      </c>
      <c r="T807" t="s">
        <v>78</v>
      </c>
      <c r="U807" t="s">
        <v>1822</v>
      </c>
      <c r="V807" t="s">
        <v>80</v>
      </c>
      <c r="W807" s="1">
        <v>45110</v>
      </c>
      <c r="X807" t="s">
        <v>1859</v>
      </c>
      <c r="Y807" t="s">
        <v>3498</v>
      </c>
      <c r="Z807" t="s">
        <v>83</v>
      </c>
      <c r="AA807">
        <v>1</v>
      </c>
      <c r="AB807" t="s">
        <v>367</v>
      </c>
      <c r="AC807">
        <v>0</v>
      </c>
      <c r="AD807" t="s">
        <v>128</v>
      </c>
      <c r="AE807" t="s">
        <v>86</v>
      </c>
      <c r="AF807" t="s">
        <v>359</v>
      </c>
      <c r="AG807" t="s">
        <v>1803</v>
      </c>
      <c r="AI807" t="s">
        <v>90</v>
      </c>
      <c r="AJ807">
        <v>32.422609999999999</v>
      </c>
      <c r="AK807">
        <v>-110.73367500000001</v>
      </c>
      <c r="AN807">
        <v>2412</v>
      </c>
      <c r="AP807">
        <v>2412</v>
      </c>
      <c r="AQ807">
        <v>2423.72876</v>
      </c>
      <c r="AT807">
        <v>3</v>
      </c>
      <c r="AU807">
        <v>7</v>
      </c>
      <c r="AV807">
        <v>2023</v>
      </c>
      <c r="AW807">
        <v>2437967</v>
      </c>
      <c r="AX807">
        <v>2437967</v>
      </c>
      <c r="AY807" t="s">
        <v>106</v>
      </c>
      <c r="AZ807" t="s">
        <v>92</v>
      </c>
      <c r="BA807" t="s">
        <v>107</v>
      </c>
      <c r="BB807" t="s">
        <v>3502</v>
      </c>
      <c r="BC807" t="s">
        <v>1186</v>
      </c>
      <c r="BD807" s="1">
        <v>45110</v>
      </c>
      <c r="BE807" t="s">
        <v>96</v>
      </c>
      <c r="BG807" t="s">
        <v>1187</v>
      </c>
      <c r="BI807" t="s">
        <v>98</v>
      </c>
      <c r="BJ807" t="s">
        <v>3496</v>
      </c>
      <c r="BL807" t="s">
        <v>412</v>
      </c>
    </row>
    <row r="808" spans="1:64" hidden="1" x14ac:dyDescent="0.2">
      <c r="A808">
        <v>267</v>
      </c>
      <c r="B808">
        <v>4403382371</v>
      </c>
      <c r="C808" t="s">
        <v>101</v>
      </c>
      <c r="D808" t="s">
        <v>3258</v>
      </c>
      <c r="E808" t="s">
        <v>65</v>
      </c>
      <c r="F808" t="s">
        <v>66</v>
      </c>
      <c r="G808" t="s">
        <v>67</v>
      </c>
      <c r="H808" t="s">
        <v>68</v>
      </c>
      <c r="I808" t="s">
        <v>176</v>
      </c>
      <c r="J808" t="s">
        <v>177</v>
      </c>
      <c r="K808" t="s">
        <v>1817</v>
      </c>
      <c r="M808" t="s">
        <v>72</v>
      </c>
      <c r="N808" t="s">
        <v>1818</v>
      </c>
      <c r="O808" t="s">
        <v>1817</v>
      </c>
      <c r="P808" t="s">
        <v>1819</v>
      </c>
      <c r="Q808" t="s">
        <v>75</v>
      </c>
      <c r="R808" t="s">
        <v>3174</v>
      </c>
      <c r="S808" t="s">
        <v>3245</v>
      </c>
      <c r="T808" t="s">
        <v>78</v>
      </c>
      <c r="U808" t="s">
        <v>1822</v>
      </c>
      <c r="V808" t="s">
        <v>80</v>
      </c>
      <c r="W808" s="1">
        <v>45110</v>
      </c>
      <c r="X808" t="s">
        <v>1859</v>
      </c>
      <c r="Y808" t="s">
        <v>3246</v>
      </c>
      <c r="Z808" t="s">
        <v>83</v>
      </c>
      <c r="AA808">
        <v>1</v>
      </c>
      <c r="AB808" t="s">
        <v>367</v>
      </c>
      <c r="AD808" t="s">
        <v>1319</v>
      </c>
      <c r="AE808" t="s">
        <v>145</v>
      </c>
      <c r="AF808" t="s">
        <v>402</v>
      </c>
      <c r="AG808" t="s">
        <v>3248</v>
      </c>
      <c r="AH808" t="s">
        <v>3259</v>
      </c>
      <c r="AI808" t="s">
        <v>90</v>
      </c>
      <c r="AJ808">
        <v>32.422624999999996</v>
      </c>
      <c r="AK808">
        <v>-110.73399999999999</v>
      </c>
      <c r="AL808">
        <v>3</v>
      </c>
      <c r="AN808">
        <v>2407</v>
      </c>
      <c r="AP808">
        <v>2407</v>
      </c>
      <c r="AQ808">
        <v>2428.2800000000002</v>
      </c>
      <c r="AT808">
        <v>3</v>
      </c>
      <c r="AU808">
        <v>7</v>
      </c>
      <c r="AV808">
        <v>2023</v>
      </c>
      <c r="AW808">
        <v>2437967</v>
      </c>
      <c r="AX808">
        <v>2437967</v>
      </c>
      <c r="AY808" t="s">
        <v>106</v>
      </c>
      <c r="AZ808" t="s">
        <v>92</v>
      </c>
      <c r="BA808" t="s">
        <v>107</v>
      </c>
      <c r="BB808" t="s">
        <v>3260</v>
      </c>
      <c r="BC808" t="s">
        <v>1186</v>
      </c>
      <c r="BD808" s="1">
        <v>45110</v>
      </c>
      <c r="BE808" t="s">
        <v>96</v>
      </c>
      <c r="BG808" t="s">
        <v>1187</v>
      </c>
      <c r="BI808" t="s">
        <v>98</v>
      </c>
      <c r="BJ808" t="s">
        <v>3005</v>
      </c>
      <c r="BL808" t="s">
        <v>412</v>
      </c>
    </row>
    <row r="809" spans="1:64" hidden="1" x14ac:dyDescent="0.2">
      <c r="A809">
        <v>270</v>
      </c>
      <c r="B809">
        <v>4403382368</v>
      </c>
      <c r="C809" t="s">
        <v>101</v>
      </c>
      <c r="D809" t="s">
        <v>3261</v>
      </c>
      <c r="E809" t="s">
        <v>65</v>
      </c>
      <c r="F809" t="s">
        <v>66</v>
      </c>
      <c r="G809" t="s">
        <v>67</v>
      </c>
      <c r="H809" t="s">
        <v>68</v>
      </c>
      <c r="I809" t="s">
        <v>176</v>
      </c>
      <c r="J809" t="s">
        <v>177</v>
      </c>
      <c r="K809" t="s">
        <v>1817</v>
      </c>
      <c r="M809" t="s">
        <v>72</v>
      </c>
      <c r="N809" t="s">
        <v>1818</v>
      </c>
      <c r="O809" t="s">
        <v>1817</v>
      </c>
      <c r="P809" t="s">
        <v>1819</v>
      </c>
      <c r="Q809" t="s">
        <v>75</v>
      </c>
      <c r="R809" t="s">
        <v>3174</v>
      </c>
      <c r="S809" t="s">
        <v>3245</v>
      </c>
      <c r="T809" t="s">
        <v>78</v>
      </c>
      <c r="U809" t="s">
        <v>1822</v>
      </c>
      <c r="V809" t="s">
        <v>80</v>
      </c>
      <c r="W809" s="1">
        <v>45110</v>
      </c>
      <c r="X809" t="s">
        <v>1859</v>
      </c>
      <c r="Y809" t="s">
        <v>3246</v>
      </c>
      <c r="Z809" t="s">
        <v>83</v>
      </c>
      <c r="AA809">
        <v>1</v>
      </c>
      <c r="AB809" t="s">
        <v>367</v>
      </c>
      <c r="AD809" t="s">
        <v>104</v>
      </c>
      <c r="AE809" t="s">
        <v>145</v>
      </c>
      <c r="AF809" t="s">
        <v>402</v>
      </c>
      <c r="AG809" t="s">
        <v>3248</v>
      </c>
      <c r="AH809" t="s">
        <v>3262</v>
      </c>
      <c r="AI809" t="s">
        <v>90</v>
      </c>
      <c r="AJ809">
        <v>32.422624999999996</v>
      </c>
      <c r="AK809">
        <v>-110.73399999999999</v>
      </c>
      <c r="AL809">
        <v>3</v>
      </c>
      <c r="AN809">
        <v>2407</v>
      </c>
      <c r="AP809">
        <v>2407</v>
      </c>
      <c r="AQ809">
        <v>2428.2800000000002</v>
      </c>
      <c r="AT809">
        <v>3</v>
      </c>
      <c r="AU809">
        <v>7</v>
      </c>
      <c r="AV809">
        <v>2023</v>
      </c>
      <c r="AW809">
        <v>2437967</v>
      </c>
      <c r="AX809">
        <v>2437967</v>
      </c>
      <c r="AY809" t="s">
        <v>106</v>
      </c>
      <c r="AZ809" t="s">
        <v>92</v>
      </c>
      <c r="BA809" t="s">
        <v>107</v>
      </c>
      <c r="BB809" t="s">
        <v>3263</v>
      </c>
      <c r="BC809" t="s">
        <v>1186</v>
      </c>
      <c r="BD809" s="1">
        <v>45110</v>
      </c>
      <c r="BE809" t="s">
        <v>96</v>
      </c>
      <c r="BG809" t="s">
        <v>1187</v>
      </c>
      <c r="BI809" t="s">
        <v>98</v>
      </c>
      <c r="BJ809" t="s">
        <v>3029</v>
      </c>
      <c r="BL809" t="s">
        <v>412</v>
      </c>
    </row>
    <row r="810" spans="1:64" hidden="1" x14ac:dyDescent="0.2">
      <c r="A810">
        <v>303</v>
      </c>
      <c r="B810">
        <v>4403382335</v>
      </c>
      <c r="C810" t="s">
        <v>101</v>
      </c>
      <c r="D810" t="s">
        <v>3264</v>
      </c>
      <c r="E810" t="s">
        <v>65</v>
      </c>
      <c r="F810" t="s">
        <v>66</v>
      </c>
      <c r="G810" t="s">
        <v>67</v>
      </c>
      <c r="H810" t="s">
        <v>68</v>
      </c>
      <c r="I810" t="s">
        <v>176</v>
      </c>
      <c r="J810" t="s">
        <v>177</v>
      </c>
      <c r="K810" t="s">
        <v>1817</v>
      </c>
      <c r="M810" t="s">
        <v>72</v>
      </c>
      <c r="N810" t="s">
        <v>1818</v>
      </c>
      <c r="O810" t="s">
        <v>1817</v>
      </c>
      <c r="P810" t="s">
        <v>1819</v>
      </c>
      <c r="Q810" t="s">
        <v>75</v>
      </c>
      <c r="R810" t="s">
        <v>3174</v>
      </c>
      <c r="S810" t="s">
        <v>3245</v>
      </c>
      <c r="T810" t="s">
        <v>78</v>
      </c>
      <c r="U810" t="s">
        <v>1822</v>
      </c>
      <c r="V810" t="s">
        <v>80</v>
      </c>
      <c r="W810" s="1">
        <v>45110</v>
      </c>
      <c r="X810" t="s">
        <v>1859</v>
      </c>
      <c r="Y810" t="s">
        <v>3246</v>
      </c>
      <c r="Z810" t="s">
        <v>83</v>
      </c>
      <c r="AA810">
        <v>1</v>
      </c>
      <c r="AB810" t="s">
        <v>367</v>
      </c>
      <c r="AD810" t="s">
        <v>116</v>
      </c>
      <c r="AE810" t="s">
        <v>145</v>
      </c>
      <c r="AF810" t="s">
        <v>402</v>
      </c>
      <c r="AG810" t="s">
        <v>3248</v>
      </c>
      <c r="AH810" t="s">
        <v>3262</v>
      </c>
      <c r="AI810" t="s">
        <v>90</v>
      </c>
      <c r="AJ810">
        <v>32.422624999999996</v>
      </c>
      <c r="AK810">
        <v>-110.73399999999999</v>
      </c>
      <c r="AL810">
        <v>3</v>
      </c>
      <c r="AN810">
        <v>2407</v>
      </c>
      <c r="AP810">
        <v>2407</v>
      </c>
      <c r="AQ810">
        <v>2428.2800000000002</v>
      </c>
      <c r="AT810">
        <v>3</v>
      </c>
      <c r="AU810">
        <v>7</v>
      </c>
      <c r="AV810">
        <v>2023</v>
      </c>
      <c r="AW810">
        <v>2437967</v>
      </c>
      <c r="AX810">
        <v>2437967</v>
      </c>
      <c r="AY810" t="s">
        <v>106</v>
      </c>
      <c r="AZ810" t="s">
        <v>92</v>
      </c>
      <c r="BA810" t="s">
        <v>107</v>
      </c>
      <c r="BB810" t="s">
        <v>3265</v>
      </c>
      <c r="BC810" t="s">
        <v>1186</v>
      </c>
      <c r="BD810" s="1">
        <v>45110</v>
      </c>
      <c r="BE810" t="s">
        <v>96</v>
      </c>
      <c r="BG810" t="s">
        <v>1187</v>
      </c>
      <c r="BI810" t="s">
        <v>98</v>
      </c>
      <c r="BJ810" t="s">
        <v>2885</v>
      </c>
      <c r="BL810" t="s">
        <v>412</v>
      </c>
    </row>
    <row r="811" spans="1:64" hidden="1" x14ac:dyDescent="0.2">
      <c r="A811">
        <v>304</v>
      </c>
      <c r="B811">
        <v>4403382334</v>
      </c>
      <c r="C811" t="s">
        <v>101</v>
      </c>
      <c r="D811" t="s">
        <v>3266</v>
      </c>
      <c r="E811" t="s">
        <v>65</v>
      </c>
      <c r="F811" t="s">
        <v>66</v>
      </c>
      <c r="G811" t="s">
        <v>67</v>
      </c>
      <c r="H811" t="s">
        <v>68</v>
      </c>
      <c r="I811" t="s">
        <v>176</v>
      </c>
      <c r="J811" t="s">
        <v>177</v>
      </c>
      <c r="K811" t="s">
        <v>1817</v>
      </c>
      <c r="M811" t="s">
        <v>72</v>
      </c>
      <c r="N811" t="s">
        <v>1818</v>
      </c>
      <c r="O811" t="s">
        <v>1817</v>
      </c>
      <c r="P811" t="s">
        <v>1819</v>
      </c>
      <c r="Q811" t="s">
        <v>75</v>
      </c>
      <c r="R811" t="s">
        <v>3174</v>
      </c>
      <c r="S811" t="s">
        <v>3245</v>
      </c>
      <c r="T811" t="s">
        <v>78</v>
      </c>
      <c r="U811" t="s">
        <v>1822</v>
      </c>
      <c r="V811" t="s">
        <v>80</v>
      </c>
      <c r="W811" s="1">
        <v>45110</v>
      </c>
      <c r="X811" t="s">
        <v>1859</v>
      </c>
      <c r="Y811" t="s">
        <v>3246</v>
      </c>
      <c r="Z811" t="s">
        <v>83</v>
      </c>
      <c r="AA811">
        <v>1</v>
      </c>
      <c r="AB811" t="s">
        <v>367</v>
      </c>
      <c r="AD811" t="s">
        <v>112</v>
      </c>
      <c r="AE811" t="s">
        <v>145</v>
      </c>
      <c r="AF811" t="s">
        <v>402</v>
      </c>
      <c r="AG811" t="s">
        <v>3248</v>
      </c>
      <c r="AH811" t="s">
        <v>3262</v>
      </c>
      <c r="AI811" t="s">
        <v>90</v>
      </c>
      <c r="AJ811">
        <v>32.422624999999996</v>
      </c>
      <c r="AK811">
        <v>-110.73399999999999</v>
      </c>
      <c r="AL811">
        <v>3</v>
      </c>
      <c r="AN811">
        <v>2407</v>
      </c>
      <c r="AP811">
        <v>2407</v>
      </c>
      <c r="AQ811">
        <v>2428.2800000000002</v>
      </c>
      <c r="AT811">
        <v>3</v>
      </c>
      <c r="AU811">
        <v>7</v>
      </c>
      <c r="AV811">
        <v>2023</v>
      </c>
      <c r="AW811">
        <v>2437967</v>
      </c>
      <c r="AX811">
        <v>2437967</v>
      </c>
      <c r="AY811" t="s">
        <v>106</v>
      </c>
      <c r="AZ811" t="s">
        <v>92</v>
      </c>
      <c r="BA811" t="s">
        <v>107</v>
      </c>
      <c r="BB811" t="s">
        <v>3267</v>
      </c>
      <c r="BC811" t="s">
        <v>1186</v>
      </c>
      <c r="BD811" s="1">
        <v>45110</v>
      </c>
      <c r="BE811" t="s">
        <v>96</v>
      </c>
      <c r="BG811" t="s">
        <v>1187</v>
      </c>
      <c r="BI811" t="s">
        <v>98</v>
      </c>
      <c r="BJ811" t="s">
        <v>2913</v>
      </c>
      <c r="BL811" t="s">
        <v>412</v>
      </c>
    </row>
    <row r="812" spans="1:64" hidden="1" x14ac:dyDescent="0.2">
      <c r="A812">
        <v>306</v>
      </c>
      <c r="B812">
        <v>4403382332</v>
      </c>
      <c r="C812" t="s">
        <v>101</v>
      </c>
      <c r="D812" t="s">
        <v>3268</v>
      </c>
      <c r="E812" t="s">
        <v>65</v>
      </c>
      <c r="F812" t="s">
        <v>66</v>
      </c>
      <c r="G812" t="s">
        <v>67</v>
      </c>
      <c r="H812" t="s">
        <v>68</v>
      </c>
      <c r="I812" t="s">
        <v>176</v>
      </c>
      <c r="J812" t="s">
        <v>177</v>
      </c>
      <c r="K812" t="s">
        <v>1817</v>
      </c>
      <c r="M812" t="s">
        <v>72</v>
      </c>
      <c r="N812" t="s">
        <v>1818</v>
      </c>
      <c r="O812" t="s">
        <v>1817</v>
      </c>
      <c r="P812" t="s">
        <v>1819</v>
      </c>
      <c r="Q812" t="s">
        <v>75</v>
      </c>
      <c r="R812" t="s">
        <v>3174</v>
      </c>
      <c r="S812" t="s">
        <v>3245</v>
      </c>
      <c r="T812" t="s">
        <v>78</v>
      </c>
      <c r="U812" t="s">
        <v>1822</v>
      </c>
      <c r="V812" t="s">
        <v>80</v>
      </c>
      <c r="W812" s="1">
        <v>45110</v>
      </c>
      <c r="X812" t="s">
        <v>1859</v>
      </c>
      <c r="Y812" t="s">
        <v>3246</v>
      </c>
      <c r="Z812" t="s">
        <v>83</v>
      </c>
      <c r="AA812">
        <v>1</v>
      </c>
      <c r="AB812" t="s">
        <v>367</v>
      </c>
      <c r="AD812" t="s">
        <v>123</v>
      </c>
      <c r="AE812" t="s">
        <v>145</v>
      </c>
      <c r="AF812" t="s">
        <v>402</v>
      </c>
      <c r="AG812" t="s">
        <v>3248</v>
      </c>
      <c r="AH812" t="s">
        <v>3262</v>
      </c>
      <c r="AI812" t="s">
        <v>90</v>
      </c>
      <c r="AJ812">
        <v>32.422624999999996</v>
      </c>
      <c r="AK812">
        <v>-110.73399999999999</v>
      </c>
      <c r="AL812">
        <v>3</v>
      </c>
      <c r="AN812">
        <v>2407</v>
      </c>
      <c r="AP812">
        <v>2407</v>
      </c>
      <c r="AQ812">
        <v>2428.2800000000002</v>
      </c>
      <c r="AT812">
        <v>3</v>
      </c>
      <c r="AU812">
        <v>7</v>
      </c>
      <c r="AV812">
        <v>2023</v>
      </c>
      <c r="AW812">
        <v>2437967</v>
      </c>
      <c r="AX812">
        <v>2437967</v>
      </c>
      <c r="AY812" t="s">
        <v>106</v>
      </c>
      <c r="AZ812" t="s">
        <v>92</v>
      </c>
      <c r="BA812" t="s">
        <v>107</v>
      </c>
      <c r="BB812" t="s">
        <v>3269</v>
      </c>
      <c r="BC812" t="s">
        <v>1186</v>
      </c>
      <c r="BD812" s="1">
        <v>45110</v>
      </c>
      <c r="BE812" t="s">
        <v>96</v>
      </c>
      <c r="BG812" t="s">
        <v>1187</v>
      </c>
      <c r="BI812" t="s">
        <v>98</v>
      </c>
      <c r="BJ812" t="s">
        <v>3270</v>
      </c>
      <c r="BL812" t="s">
        <v>412</v>
      </c>
    </row>
    <row r="813" spans="1:64" hidden="1" x14ac:dyDescent="0.2">
      <c r="A813">
        <v>309</v>
      </c>
      <c r="B813">
        <v>4403382329</v>
      </c>
      <c r="C813" t="s">
        <v>101</v>
      </c>
      <c r="D813" t="s">
        <v>3271</v>
      </c>
      <c r="E813" t="s">
        <v>65</v>
      </c>
      <c r="F813" t="s">
        <v>66</v>
      </c>
      <c r="G813" t="s">
        <v>67</v>
      </c>
      <c r="H813" t="s">
        <v>68</v>
      </c>
      <c r="I813" t="s">
        <v>176</v>
      </c>
      <c r="J813" t="s">
        <v>177</v>
      </c>
      <c r="K813" t="s">
        <v>1817</v>
      </c>
      <c r="M813" t="s">
        <v>72</v>
      </c>
      <c r="N813" t="s">
        <v>1818</v>
      </c>
      <c r="O813" t="s">
        <v>1817</v>
      </c>
      <c r="P813" t="s">
        <v>1819</v>
      </c>
      <c r="Q813" t="s">
        <v>75</v>
      </c>
      <c r="R813" t="s">
        <v>3174</v>
      </c>
      <c r="S813" t="s">
        <v>3245</v>
      </c>
      <c r="T813" t="s">
        <v>78</v>
      </c>
      <c r="U813" t="s">
        <v>1822</v>
      </c>
      <c r="V813" t="s">
        <v>80</v>
      </c>
      <c r="W813" s="1">
        <v>45110</v>
      </c>
      <c r="X813" t="s">
        <v>1859</v>
      </c>
      <c r="Y813" t="s">
        <v>3246</v>
      </c>
      <c r="Z813" t="s">
        <v>83</v>
      </c>
      <c r="AA813">
        <v>1</v>
      </c>
      <c r="AB813" t="s">
        <v>367</v>
      </c>
      <c r="AD813" t="s">
        <v>139</v>
      </c>
      <c r="AE813" t="s">
        <v>145</v>
      </c>
      <c r="AF813" t="s">
        <v>402</v>
      </c>
      <c r="AG813" t="s">
        <v>3248</v>
      </c>
      <c r="AH813" t="s">
        <v>3262</v>
      </c>
      <c r="AI813" t="s">
        <v>90</v>
      </c>
      <c r="AJ813">
        <v>32.422624999999996</v>
      </c>
      <c r="AK813">
        <v>-110.73399999999999</v>
      </c>
      <c r="AL813">
        <v>3</v>
      </c>
      <c r="AN813">
        <v>2407</v>
      </c>
      <c r="AP813">
        <v>2407</v>
      </c>
      <c r="AQ813">
        <v>2428.2800000000002</v>
      </c>
      <c r="AT813">
        <v>3</v>
      </c>
      <c r="AU813">
        <v>7</v>
      </c>
      <c r="AV813">
        <v>2023</v>
      </c>
      <c r="AW813">
        <v>2437967</v>
      </c>
      <c r="AX813">
        <v>2437967</v>
      </c>
      <c r="AY813" t="s">
        <v>106</v>
      </c>
      <c r="AZ813" t="s">
        <v>92</v>
      </c>
      <c r="BA813" t="s">
        <v>107</v>
      </c>
      <c r="BB813" t="s">
        <v>3272</v>
      </c>
      <c r="BC813" t="s">
        <v>1186</v>
      </c>
      <c r="BD813" s="1">
        <v>45110</v>
      </c>
      <c r="BE813" t="s">
        <v>96</v>
      </c>
      <c r="BG813" t="s">
        <v>1187</v>
      </c>
      <c r="BI813" t="s">
        <v>98</v>
      </c>
      <c r="BJ813" t="s">
        <v>2940</v>
      </c>
      <c r="BL813" t="s">
        <v>412</v>
      </c>
    </row>
    <row r="814" spans="1:64" hidden="1" x14ac:dyDescent="0.2">
      <c r="A814">
        <v>231</v>
      </c>
      <c r="B814">
        <v>4403382409</v>
      </c>
      <c r="C814" t="s">
        <v>101</v>
      </c>
      <c r="D814" t="s">
        <v>3280</v>
      </c>
      <c r="E814" t="s">
        <v>65</v>
      </c>
      <c r="F814" t="s">
        <v>66</v>
      </c>
      <c r="G814" t="s">
        <v>67</v>
      </c>
      <c r="H814" t="s">
        <v>68</v>
      </c>
      <c r="I814" t="s">
        <v>176</v>
      </c>
      <c r="J814" t="s">
        <v>177</v>
      </c>
      <c r="K814" t="s">
        <v>178</v>
      </c>
      <c r="M814" t="s">
        <v>72</v>
      </c>
      <c r="N814" t="s">
        <v>179</v>
      </c>
      <c r="O814" t="s">
        <v>178</v>
      </c>
      <c r="P814" t="s">
        <v>180</v>
      </c>
      <c r="Q814" t="s">
        <v>75</v>
      </c>
      <c r="R814" t="s">
        <v>3174</v>
      </c>
      <c r="S814" t="s">
        <v>3274</v>
      </c>
      <c r="T814" t="s">
        <v>78</v>
      </c>
      <c r="U814" t="s">
        <v>1822</v>
      </c>
      <c r="V814" t="s">
        <v>80</v>
      </c>
      <c r="W814" s="1">
        <v>45110</v>
      </c>
      <c r="X814" t="s">
        <v>1859</v>
      </c>
      <c r="Y814" t="s">
        <v>3275</v>
      </c>
      <c r="Z814" t="s">
        <v>83</v>
      </c>
      <c r="AA814">
        <v>1</v>
      </c>
      <c r="AB814" t="s">
        <v>367</v>
      </c>
      <c r="AD814" t="s">
        <v>104</v>
      </c>
      <c r="AE814" t="s">
        <v>145</v>
      </c>
      <c r="AF814" t="s">
        <v>402</v>
      </c>
      <c r="AG814" t="s">
        <v>3277</v>
      </c>
      <c r="AH814" t="s">
        <v>3281</v>
      </c>
      <c r="AI814" t="s">
        <v>90</v>
      </c>
      <c r="AJ814">
        <v>32.424762000000001</v>
      </c>
      <c r="AK814">
        <v>-110.738646</v>
      </c>
      <c r="AN814">
        <v>2367</v>
      </c>
      <c r="AP814">
        <v>2367</v>
      </c>
      <c r="AQ814">
        <v>2387.4999990000001</v>
      </c>
      <c r="AT814">
        <v>3</v>
      </c>
      <c r="AU814">
        <v>7</v>
      </c>
      <c r="AV814">
        <v>2023</v>
      </c>
      <c r="AW814">
        <v>2438038</v>
      </c>
      <c r="AX814">
        <v>2438038</v>
      </c>
      <c r="AY814" t="s">
        <v>106</v>
      </c>
      <c r="AZ814" t="s">
        <v>92</v>
      </c>
      <c r="BA814" t="s">
        <v>107</v>
      </c>
      <c r="BB814" t="s">
        <v>3282</v>
      </c>
      <c r="BC814" t="s">
        <v>1186</v>
      </c>
      <c r="BD814" s="1">
        <v>45110</v>
      </c>
      <c r="BE814" t="s">
        <v>96</v>
      </c>
      <c r="BG814" t="s">
        <v>1187</v>
      </c>
      <c r="BI814" t="s">
        <v>98</v>
      </c>
      <c r="BJ814" t="s">
        <v>3283</v>
      </c>
      <c r="BL814" t="s">
        <v>110</v>
      </c>
    </row>
    <row r="815" spans="1:64" hidden="1" x14ac:dyDescent="0.2">
      <c r="A815">
        <v>315</v>
      </c>
      <c r="B815">
        <v>4403382323</v>
      </c>
      <c r="C815" t="s">
        <v>101</v>
      </c>
      <c r="D815" t="s">
        <v>3284</v>
      </c>
      <c r="E815" t="s">
        <v>65</v>
      </c>
      <c r="F815" t="s">
        <v>66</v>
      </c>
      <c r="G815" t="s">
        <v>67</v>
      </c>
      <c r="H815" t="s">
        <v>68</v>
      </c>
      <c r="I815" t="s">
        <v>176</v>
      </c>
      <c r="J815" t="s">
        <v>177</v>
      </c>
      <c r="K815" t="s">
        <v>178</v>
      </c>
      <c r="M815" t="s">
        <v>72</v>
      </c>
      <c r="N815" t="s">
        <v>179</v>
      </c>
      <c r="O815" t="s">
        <v>178</v>
      </c>
      <c r="P815" t="s">
        <v>180</v>
      </c>
      <c r="Q815" t="s">
        <v>75</v>
      </c>
      <c r="R815" t="s">
        <v>3174</v>
      </c>
      <c r="S815" t="s">
        <v>3274</v>
      </c>
      <c r="T815" t="s">
        <v>78</v>
      </c>
      <c r="U815" t="s">
        <v>1822</v>
      </c>
      <c r="V815" t="s">
        <v>80</v>
      </c>
      <c r="W815" s="1">
        <v>45110</v>
      </c>
      <c r="X815" t="s">
        <v>1859</v>
      </c>
      <c r="Y815" t="s">
        <v>3275</v>
      </c>
      <c r="Z815" t="s">
        <v>83</v>
      </c>
      <c r="AA815">
        <v>1</v>
      </c>
      <c r="AB815" t="s">
        <v>372</v>
      </c>
      <c r="AD815" t="s">
        <v>134</v>
      </c>
      <c r="AE815" t="s">
        <v>145</v>
      </c>
      <c r="AF815" t="s">
        <v>402</v>
      </c>
      <c r="AG815" t="s">
        <v>3277</v>
      </c>
      <c r="AH815" t="s">
        <v>3285</v>
      </c>
      <c r="AI815" t="s">
        <v>90</v>
      </c>
      <c r="AJ815">
        <v>32.424762000000001</v>
      </c>
      <c r="AK815">
        <v>-110.738646</v>
      </c>
      <c r="AN815">
        <v>2367</v>
      </c>
      <c r="AP815">
        <v>2367</v>
      </c>
      <c r="AQ815">
        <v>2387.4999990000001</v>
      </c>
      <c r="AT815">
        <v>3</v>
      </c>
      <c r="AU815">
        <v>7</v>
      </c>
      <c r="AV815">
        <v>2023</v>
      </c>
      <c r="AW815">
        <v>2438038</v>
      </c>
      <c r="AX815">
        <v>2438038</v>
      </c>
      <c r="AY815" t="s">
        <v>106</v>
      </c>
      <c r="AZ815" t="s">
        <v>92</v>
      </c>
      <c r="BA815" t="s">
        <v>107</v>
      </c>
      <c r="BB815" t="s">
        <v>3286</v>
      </c>
      <c r="BC815" t="s">
        <v>1186</v>
      </c>
      <c r="BD815" s="1">
        <v>45110</v>
      </c>
      <c r="BE815" t="s">
        <v>96</v>
      </c>
      <c r="BG815" t="s">
        <v>1187</v>
      </c>
      <c r="BI815" t="s">
        <v>98</v>
      </c>
      <c r="BJ815" t="s">
        <v>2947</v>
      </c>
      <c r="BL815" t="s">
        <v>110</v>
      </c>
    </row>
    <row r="816" spans="1:64" hidden="1" x14ac:dyDescent="0.2">
      <c r="A816">
        <v>288</v>
      </c>
      <c r="B816">
        <v>4403382350</v>
      </c>
      <c r="C816" t="s">
        <v>101</v>
      </c>
      <c r="D816" t="s">
        <v>3287</v>
      </c>
      <c r="E816" t="s">
        <v>65</v>
      </c>
      <c r="F816" t="s">
        <v>66</v>
      </c>
      <c r="G816" t="s">
        <v>67</v>
      </c>
      <c r="H816" t="s">
        <v>68</v>
      </c>
      <c r="I816" t="s">
        <v>176</v>
      </c>
      <c r="J816" t="s">
        <v>177</v>
      </c>
      <c r="K816" t="s">
        <v>178</v>
      </c>
      <c r="M816" t="s">
        <v>72</v>
      </c>
      <c r="N816" t="s">
        <v>179</v>
      </c>
      <c r="O816" t="s">
        <v>178</v>
      </c>
      <c r="P816" t="s">
        <v>180</v>
      </c>
      <c r="Q816" t="s">
        <v>75</v>
      </c>
      <c r="R816" t="s">
        <v>3174</v>
      </c>
      <c r="S816" t="s">
        <v>3274</v>
      </c>
      <c r="T816" t="s">
        <v>78</v>
      </c>
      <c r="U816" t="s">
        <v>1822</v>
      </c>
      <c r="V816" t="s">
        <v>80</v>
      </c>
      <c r="W816" s="1">
        <v>45110</v>
      </c>
      <c r="X816" t="s">
        <v>1859</v>
      </c>
      <c r="Y816" t="s">
        <v>3275</v>
      </c>
      <c r="Z816" t="s">
        <v>83</v>
      </c>
      <c r="AA816">
        <v>1</v>
      </c>
      <c r="AB816" t="s">
        <v>367</v>
      </c>
      <c r="AD816" t="s">
        <v>116</v>
      </c>
      <c r="AE816" t="s">
        <v>145</v>
      </c>
      <c r="AF816" t="s">
        <v>402</v>
      </c>
      <c r="AG816" t="s">
        <v>3277</v>
      </c>
      <c r="AH816" t="s">
        <v>3281</v>
      </c>
      <c r="AI816" t="s">
        <v>90</v>
      </c>
      <c r="AJ816">
        <v>32.424762000000001</v>
      </c>
      <c r="AK816">
        <v>-110.738646</v>
      </c>
      <c r="AN816">
        <v>2367</v>
      </c>
      <c r="AP816">
        <v>2367</v>
      </c>
      <c r="AQ816">
        <v>2387.4999990000001</v>
      </c>
      <c r="AT816">
        <v>3</v>
      </c>
      <c r="AU816">
        <v>7</v>
      </c>
      <c r="AV816">
        <v>2023</v>
      </c>
      <c r="AW816">
        <v>2438038</v>
      </c>
      <c r="AX816">
        <v>2438038</v>
      </c>
      <c r="AY816" t="s">
        <v>106</v>
      </c>
      <c r="AZ816" t="s">
        <v>92</v>
      </c>
      <c r="BA816" t="s">
        <v>107</v>
      </c>
      <c r="BB816" t="s">
        <v>3288</v>
      </c>
      <c r="BC816" t="s">
        <v>1186</v>
      </c>
      <c r="BD816" s="1">
        <v>45110</v>
      </c>
      <c r="BE816" t="s">
        <v>96</v>
      </c>
      <c r="BG816" t="s">
        <v>1187</v>
      </c>
      <c r="BI816" t="s">
        <v>98</v>
      </c>
      <c r="BJ816" t="s">
        <v>2924</v>
      </c>
      <c r="BL816" t="s">
        <v>110</v>
      </c>
    </row>
    <row r="817" spans="1:64" hidden="1" x14ac:dyDescent="0.2">
      <c r="A817">
        <v>291</v>
      </c>
      <c r="B817">
        <v>4403382347</v>
      </c>
      <c r="C817" t="s">
        <v>101</v>
      </c>
      <c r="D817" t="s">
        <v>3289</v>
      </c>
      <c r="E817" t="s">
        <v>65</v>
      </c>
      <c r="F817" t="s">
        <v>66</v>
      </c>
      <c r="G817" t="s">
        <v>67</v>
      </c>
      <c r="H817" t="s">
        <v>68</v>
      </c>
      <c r="I817" t="s">
        <v>176</v>
      </c>
      <c r="J817" t="s">
        <v>177</v>
      </c>
      <c r="K817" t="s">
        <v>178</v>
      </c>
      <c r="M817" t="s">
        <v>72</v>
      </c>
      <c r="N817" t="s">
        <v>179</v>
      </c>
      <c r="O817" t="s">
        <v>178</v>
      </c>
      <c r="P817" t="s">
        <v>180</v>
      </c>
      <c r="Q817" t="s">
        <v>75</v>
      </c>
      <c r="R817" t="s">
        <v>3174</v>
      </c>
      <c r="S817" t="s">
        <v>3274</v>
      </c>
      <c r="T817" t="s">
        <v>78</v>
      </c>
      <c r="U817" t="s">
        <v>1822</v>
      </c>
      <c r="V817" t="s">
        <v>80</v>
      </c>
      <c r="W817" s="1">
        <v>45110</v>
      </c>
      <c r="X817" t="s">
        <v>1859</v>
      </c>
      <c r="Y817" t="s">
        <v>3275</v>
      </c>
      <c r="Z817" t="s">
        <v>83</v>
      </c>
      <c r="AA817">
        <v>1</v>
      </c>
      <c r="AB817" t="s">
        <v>367</v>
      </c>
      <c r="AD817" t="s">
        <v>112</v>
      </c>
      <c r="AE817" t="s">
        <v>145</v>
      </c>
      <c r="AF817" t="s">
        <v>402</v>
      </c>
      <c r="AG817" t="s">
        <v>3277</v>
      </c>
      <c r="AH817" t="s">
        <v>3281</v>
      </c>
      <c r="AI817" t="s">
        <v>90</v>
      </c>
      <c r="AJ817">
        <v>32.424762000000001</v>
      </c>
      <c r="AK817">
        <v>-110.738646</v>
      </c>
      <c r="AN817">
        <v>2367</v>
      </c>
      <c r="AP817">
        <v>2367</v>
      </c>
      <c r="AQ817">
        <v>2387.4999990000001</v>
      </c>
      <c r="AT817">
        <v>3</v>
      </c>
      <c r="AU817">
        <v>7</v>
      </c>
      <c r="AV817">
        <v>2023</v>
      </c>
      <c r="AW817">
        <v>2438038</v>
      </c>
      <c r="AX817">
        <v>2438038</v>
      </c>
      <c r="AY817" t="s">
        <v>106</v>
      </c>
      <c r="AZ817" t="s">
        <v>92</v>
      </c>
      <c r="BA817" t="s">
        <v>107</v>
      </c>
      <c r="BB817" t="s">
        <v>3290</v>
      </c>
      <c r="BC817" t="s">
        <v>1186</v>
      </c>
      <c r="BD817" s="1">
        <v>45110</v>
      </c>
      <c r="BE817" t="s">
        <v>96</v>
      </c>
      <c r="BG817" t="s">
        <v>1187</v>
      </c>
      <c r="BI817" t="s">
        <v>98</v>
      </c>
      <c r="BJ817" t="s">
        <v>3291</v>
      </c>
      <c r="BL817" t="s">
        <v>110</v>
      </c>
    </row>
    <row r="818" spans="1:64" hidden="1" x14ac:dyDescent="0.2">
      <c r="A818">
        <v>294</v>
      </c>
      <c r="B818">
        <v>4403382344</v>
      </c>
      <c r="C818" t="s">
        <v>101</v>
      </c>
      <c r="D818" t="s">
        <v>3292</v>
      </c>
      <c r="E818" t="s">
        <v>65</v>
      </c>
      <c r="F818" t="s">
        <v>66</v>
      </c>
      <c r="G818" t="s">
        <v>67</v>
      </c>
      <c r="H818" t="s">
        <v>68</v>
      </c>
      <c r="I818" t="s">
        <v>176</v>
      </c>
      <c r="J818" t="s">
        <v>177</v>
      </c>
      <c r="K818" t="s">
        <v>178</v>
      </c>
      <c r="M818" t="s">
        <v>72</v>
      </c>
      <c r="N818" t="s">
        <v>179</v>
      </c>
      <c r="O818" t="s">
        <v>178</v>
      </c>
      <c r="P818" t="s">
        <v>180</v>
      </c>
      <c r="Q818" t="s">
        <v>75</v>
      </c>
      <c r="R818" t="s">
        <v>3174</v>
      </c>
      <c r="S818" t="s">
        <v>3274</v>
      </c>
      <c r="T818" t="s">
        <v>78</v>
      </c>
      <c r="U818" t="s">
        <v>1822</v>
      </c>
      <c r="V818" t="s">
        <v>80</v>
      </c>
      <c r="W818" s="1">
        <v>45110</v>
      </c>
      <c r="X818" t="s">
        <v>1859</v>
      </c>
      <c r="Y818" t="s">
        <v>3275</v>
      </c>
      <c r="Z818" t="s">
        <v>83</v>
      </c>
      <c r="AA818">
        <v>1</v>
      </c>
      <c r="AB818" t="s">
        <v>367</v>
      </c>
      <c r="AD818" t="s">
        <v>123</v>
      </c>
      <c r="AE818" t="s">
        <v>145</v>
      </c>
      <c r="AF818" t="s">
        <v>402</v>
      </c>
      <c r="AG818" t="s">
        <v>3277</v>
      </c>
      <c r="AH818" t="s">
        <v>3281</v>
      </c>
      <c r="AI818" t="s">
        <v>90</v>
      </c>
      <c r="AJ818">
        <v>32.424762000000001</v>
      </c>
      <c r="AK818">
        <v>-110.738646</v>
      </c>
      <c r="AN818">
        <v>2367</v>
      </c>
      <c r="AP818">
        <v>2367</v>
      </c>
      <c r="AQ818">
        <v>2387.4999990000001</v>
      </c>
      <c r="AT818">
        <v>3</v>
      </c>
      <c r="AU818">
        <v>7</v>
      </c>
      <c r="AV818">
        <v>2023</v>
      </c>
      <c r="AW818">
        <v>2438038</v>
      </c>
      <c r="AX818">
        <v>2438038</v>
      </c>
      <c r="AY818" t="s">
        <v>106</v>
      </c>
      <c r="AZ818" t="s">
        <v>92</v>
      </c>
      <c r="BA818" t="s">
        <v>107</v>
      </c>
      <c r="BB818" t="s">
        <v>3293</v>
      </c>
      <c r="BC818" t="s">
        <v>1186</v>
      </c>
      <c r="BD818" s="1">
        <v>45110</v>
      </c>
      <c r="BE818" t="s">
        <v>96</v>
      </c>
      <c r="BG818" t="s">
        <v>1187</v>
      </c>
      <c r="BI818" t="s">
        <v>98</v>
      </c>
      <c r="BJ818" t="s">
        <v>3029</v>
      </c>
      <c r="BL818" t="s">
        <v>110</v>
      </c>
    </row>
    <row r="819" spans="1:64" hidden="1" x14ac:dyDescent="0.2">
      <c r="A819">
        <v>297</v>
      </c>
      <c r="B819">
        <v>4403382341</v>
      </c>
      <c r="C819" t="s">
        <v>101</v>
      </c>
      <c r="D819" t="s">
        <v>3294</v>
      </c>
      <c r="E819" t="s">
        <v>65</v>
      </c>
      <c r="F819" t="s">
        <v>66</v>
      </c>
      <c r="G819" t="s">
        <v>67</v>
      </c>
      <c r="H819" t="s">
        <v>68</v>
      </c>
      <c r="I819" t="s">
        <v>176</v>
      </c>
      <c r="J819" t="s">
        <v>177</v>
      </c>
      <c r="K819" t="s">
        <v>178</v>
      </c>
      <c r="M819" t="s">
        <v>72</v>
      </c>
      <c r="N819" t="s">
        <v>179</v>
      </c>
      <c r="O819" t="s">
        <v>178</v>
      </c>
      <c r="P819" t="s">
        <v>180</v>
      </c>
      <c r="Q819" t="s">
        <v>75</v>
      </c>
      <c r="R819" t="s">
        <v>3174</v>
      </c>
      <c r="S819" t="s">
        <v>3274</v>
      </c>
      <c r="T819" t="s">
        <v>78</v>
      </c>
      <c r="U819" t="s">
        <v>1822</v>
      </c>
      <c r="V819" t="s">
        <v>80</v>
      </c>
      <c r="W819" s="1">
        <v>45110</v>
      </c>
      <c r="X819" t="s">
        <v>1859</v>
      </c>
      <c r="Y819" t="s">
        <v>3275</v>
      </c>
      <c r="Z819" t="s">
        <v>83</v>
      </c>
      <c r="AA819">
        <v>1</v>
      </c>
      <c r="AB819" t="s">
        <v>367</v>
      </c>
      <c r="AD819" t="s">
        <v>139</v>
      </c>
      <c r="AE819" t="s">
        <v>145</v>
      </c>
      <c r="AF819" t="s">
        <v>402</v>
      </c>
      <c r="AG819" t="s">
        <v>3277</v>
      </c>
      <c r="AH819" t="s">
        <v>3281</v>
      </c>
      <c r="AI819" t="s">
        <v>90</v>
      </c>
      <c r="AJ819">
        <v>32.424762000000001</v>
      </c>
      <c r="AK819">
        <v>-110.738646</v>
      </c>
      <c r="AN819">
        <v>2367</v>
      </c>
      <c r="AP819">
        <v>2367</v>
      </c>
      <c r="AQ819">
        <v>2387.4999990000001</v>
      </c>
      <c r="AT819">
        <v>3</v>
      </c>
      <c r="AU819">
        <v>7</v>
      </c>
      <c r="AV819">
        <v>2023</v>
      </c>
      <c r="AW819">
        <v>2438038</v>
      </c>
      <c r="AX819">
        <v>2438038</v>
      </c>
      <c r="AY819" t="s">
        <v>106</v>
      </c>
      <c r="AZ819" t="s">
        <v>92</v>
      </c>
      <c r="BA819" t="s">
        <v>107</v>
      </c>
      <c r="BB819" t="s">
        <v>3295</v>
      </c>
      <c r="BC819" t="s">
        <v>1186</v>
      </c>
      <c r="BD819" s="1">
        <v>45110</v>
      </c>
      <c r="BE819" t="s">
        <v>96</v>
      </c>
      <c r="BG819" t="s">
        <v>1187</v>
      </c>
      <c r="BI819" t="s">
        <v>98</v>
      </c>
      <c r="BJ819" t="s">
        <v>2924</v>
      </c>
      <c r="BL819" t="s">
        <v>110</v>
      </c>
    </row>
    <row r="820" spans="1:64" hidden="1" x14ac:dyDescent="0.2">
      <c r="A820">
        <v>24</v>
      </c>
      <c r="B820">
        <v>4403382616</v>
      </c>
      <c r="C820" t="s">
        <v>101</v>
      </c>
      <c r="D820" t="s">
        <v>3509</v>
      </c>
      <c r="E820" t="s">
        <v>65</v>
      </c>
      <c r="F820" t="s">
        <v>66</v>
      </c>
      <c r="G820" t="s">
        <v>67</v>
      </c>
      <c r="H820" t="s">
        <v>68</v>
      </c>
      <c r="I820" t="s">
        <v>176</v>
      </c>
      <c r="J820" t="s">
        <v>177</v>
      </c>
      <c r="K820" t="s">
        <v>1817</v>
      </c>
      <c r="M820" t="s">
        <v>72</v>
      </c>
      <c r="N820" t="s">
        <v>1818</v>
      </c>
      <c r="O820" t="s">
        <v>1817</v>
      </c>
      <c r="P820" t="s">
        <v>1819</v>
      </c>
      <c r="Q820" t="s">
        <v>75</v>
      </c>
      <c r="R820" t="s">
        <v>3174</v>
      </c>
      <c r="S820" t="s">
        <v>1565</v>
      </c>
      <c r="T820" t="s">
        <v>78</v>
      </c>
      <c r="U820" t="s">
        <v>1822</v>
      </c>
      <c r="V820" t="s">
        <v>80</v>
      </c>
      <c r="W820" s="1">
        <v>45110</v>
      </c>
      <c r="X820" t="s">
        <v>1859</v>
      </c>
      <c r="Y820" t="s">
        <v>3504</v>
      </c>
      <c r="Z820" t="s">
        <v>83</v>
      </c>
      <c r="AA820">
        <v>1</v>
      </c>
      <c r="AB820" t="s">
        <v>367</v>
      </c>
      <c r="AC820">
        <v>0</v>
      </c>
      <c r="AD820" t="s">
        <v>128</v>
      </c>
      <c r="AE820" t="s">
        <v>86</v>
      </c>
      <c r="AF820" t="s">
        <v>402</v>
      </c>
      <c r="AG820" t="s">
        <v>3506</v>
      </c>
      <c r="AI820" t="s">
        <v>90</v>
      </c>
      <c r="AJ820">
        <v>32.425230999999997</v>
      </c>
      <c r="AK820">
        <v>-110.73912300000001</v>
      </c>
      <c r="AN820">
        <v>2366</v>
      </c>
      <c r="AP820">
        <v>2366</v>
      </c>
      <c r="AQ820">
        <v>2379.9743669999998</v>
      </c>
      <c r="AT820">
        <v>3</v>
      </c>
      <c r="AU820">
        <v>7</v>
      </c>
      <c r="AV820">
        <v>2023</v>
      </c>
      <c r="AW820">
        <v>2437967</v>
      </c>
      <c r="AX820">
        <v>2437967</v>
      </c>
      <c r="AY820" t="s">
        <v>106</v>
      </c>
      <c r="AZ820" t="s">
        <v>92</v>
      </c>
      <c r="BA820" t="s">
        <v>107</v>
      </c>
      <c r="BB820" t="s">
        <v>3510</v>
      </c>
      <c r="BC820" t="s">
        <v>1186</v>
      </c>
      <c r="BD820" s="1">
        <v>45110</v>
      </c>
      <c r="BE820" t="s">
        <v>96</v>
      </c>
      <c r="BG820" t="s">
        <v>1187</v>
      </c>
      <c r="BI820" t="s">
        <v>98</v>
      </c>
      <c r="BJ820" t="s">
        <v>3493</v>
      </c>
      <c r="BL820" t="s">
        <v>110</v>
      </c>
    </row>
    <row r="821" spans="1:64" x14ac:dyDescent="0.2">
      <c r="A821">
        <v>1431</v>
      </c>
      <c r="B821">
        <v>4022922314</v>
      </c>
      <c r="C821" t="s">
        <v>63</v>
      </c>
      <c r="D821" t="s">
        <v>4608</v>
      </c>
      <c r="E821" t="s">
        <v>65</v>
      </c>
      <c r="F821" t="s">
        <v>66</v>
      </c>
      <c r="G821" t="s">
        <v>67</v>
      </c>
      <c r="H821" t="s">
        <v>68</v>
      </c>
      <c r="I821" t="s">
        <v>69</v>
      </c>
      <c r="J821" t="s">
        <v>70</v>
      </c>
      <c r="K821" t="s">
        <v>4195</v>
      </c>
      <c r="M821" t="s">
        <v>72</v>
      </c>
      <c r="N821" t="s">
        <v>4196</v>
      </c>
      <c r="O821" t="s">
        <v>4195</v>
      </c>
      <c r="P821" t="s">
        <v>4197</v>
      </c>
      <c r="Q821" t="s">
        <v>75</v>
      </c>
      <c r="R821" t="s">
        <v>4501</v>
      </c>
      <c r="S821" t="s">
        <v>4609</v>
      </c>
      <c r="T821" t="s">
        <v>78</v>
      </c>
      <c r="U821" t="s">
        <v>3817</v>
      </c>
      <c r="V821" t="s">
        <v>80</v>
      </c>
      <c r="W821" s="1">
        <v>44534</v>
      </c>
      <c r="X821" t="s">
        <v>4502</v>
      </c>
      <c r="Y821" t="s">
        <v>4610</v>
      </c>
      <c r="Z821" t="s">
        <v>83</v>
      </c>
      <c r="AA821">
        <v>1</v>
      </c>
      <c r="AB821" t="s">
        <v>4611</v>
      </c>
      <c r="AC821">
        <v>1</v>
      </c>
      <c r="AD821" s="6" t="s">
        <v>85</v>
      </c>
      <c r="AE821" s="6" t="s">
        <v>145</v>
      </c>
      <c r="AF821" s="6" t="s">
        <v>146</v>
      </c>
      <c r="AG821" s="6" t="s">
        <v>4612</v>
      </c>
      <c r="AH821" s="6"/>
      <c r="AI821" s="6" t="s">
        <v>90</v>
      </c>
      <c r="AJ821" s="6">
        <v>32.337581999999998</v>
      </c>
      <c r="AK821" s="6">
        <v>-110.720142</v>
      </c>
      <c r="AL821" s="6">
        <v>3</v>
      </c>
      <c r="AM821" s="6"/>
      <c r="AN821" s="6">
        <v>1475</v>
      </c>
      <c r="AO821" s="6"/>
      <c r="AP821" s="6">
        <v>1475</v>
      </c>
      <c r="AQ821" s="6">
        <v>1484.8719169999999</v>
      </c>
      <c r="AR821" s="6"/>
      <c r="AS821" s="6"/>
      <c r="AT821" s="6">
        <v>4</v>
      </c>
      <c r="AU821" s="6">
        <v>12</v>
      </c>
      <c r="AV821" s="6">
        <v>2021</v>
      </c>
      <c r="AW821" s="6">
        <v>2439589</v>
      </c>
      <c r="AX821" s="6">
        <v>2439589</v>
      </c>
      <c r="AY821" s="6" t="s">
        <v>91</v>
      </c>
      <c r="AZ821" t="s">
        <v>92</v>
      </c>
      <c r="BA821" t="s">
        <v>93</v>
      </c>
      <c r="BB821" t="s">
        <v>4613</v>
      </c>
      <c r="BC821" t="s">
        <v>1186</v>
      </c>
      <c r="BE821" t="s">
        <v>96</v>
      </c>
      <c r="BG821" t="s">
        <v>4507</v>
      </c>
      <c r="BI821" t="s">
        <v>98</v>
      </c>
      <c r="BJ821" t="s">
        <v>4614</v>
      </c>
      <c r="BL821" t="s">
        <v>407</v>
      </c>
    </row>
    <row r="822" spans="1:64" hidden="1" x14ac:dyDescent="0.2">
      <c r="A822">
        <v>27</v>
      </c>
      <c r="B822">
        <v>4403382613</v>
      </c>
      <c r="C822" t="s">
        <v>101</v>
      </c>
      <c r="D822" t="s">
        <v>3511</v>
      </c>
      <c r="E822" t="s">
        <v>65</v>
      </c>
      <c r="F822" t="s">
        <v>66</v>
      </c>
      <c r="G822" t="s">
        <v>67</v>
      </c>
      <c r="H822" t="s">
        <v>68</v>
      </c>
      <c r="I822" t="s">
        <v>176</v>
      </c>
      <c r="J822" t="s">
        <v>177</v>
      </c>
      <c r="K822" t="s">
        <v>1817</v>
      </c>
      <c r="M822" t="s">
        <v>72</v>
      </c>
      <c r="N822" t="s">
        <v>1818</v>
      </c>
      <c r="O822" t="s">
        <v>1817</v>
      </c>
      <c r="P822" t="s">
        <v>1819</v>
      </c>
      <c r="Q822" t="s">
        <v>75</v>
      </c>
      <c r="R822" t="s">
        <v>3174</v>
      </c>
      <c r="S822" t="s">
        <v>494</v>
      </c>
      <c r="T822" t="s">
        <v>78</v>
      </c>
      <c r="U822" t="s">
        <v>1822</v>
      </c>
      <c r="V822" t="s">
        <v>80</v>
      </c>
      <c r="W822" s="1">
        <v>45110</v>
      </c>
      <c r="X822" t="s">
        <v>1859</v>
      </c>
      <c r="Y822" t="s">
        <v>3512</v>
      </c>
      <c r="Z822" t="s">
        <v>83</v>
      </c>
      <c r="AA822">
        <v>1</v>
      </c>
      <c r="AB822" t="s">
        <v>367</v>
      </c>
      <c r="AC822">
        <v>0</v>
      </c>
      <c r="AD822" t="s">
        <v>128</v>
      </c>
      <c r="AE822" t="s">
        <v>86</v>
      </c>
      <c r="AF822" t="s">
        <v>359</v>
      </c>
      <c r="AG822" t="s">
        <v>3513</v>
      </c>
      <c r="AI822" t="s">
        <v>90</v>
      </c>
      <c r="AJ822">
        <v>32.422662000000003</v>
      </c>
      <c r="AK822">
        <v>-110.733885</v>
      </c>
      <c r="AN822">
        <v>2408</v>
      </c>
      <c r="AP822">
        <v>2408</v>
      </c>
      <c r="AQ822">
        <v>2423.6232949999999</v>
      </c>
      <c r="AT822">
        <v>3</v>
      </c>
      <c r="AU822">
        <v>7</v>
      </c>
      <c r="AV822">
        <v>2023</v>
      </c>
      <c r="AW822">
        <v>2437967</v>
      </c>
      <c r="AX822">
        <v>2437967</v>
      </c>
      <c r="AY822" t="s">
        <v>106</v>
      </c>
      <c r="AZ822" t="s">
        <v>92</v>
      </c>
      <c r="BA822" t="s">
        <v>107</v>
      </c>
      <c r="BB822" t="s">
        <v>3514</v>
      </c>
      <c r="BC822" t="s">
        <v>1186</v>
      </c>
      <c r="BD822" s="1">
        <v>45110</v>
      </c>
      <c r="BE822" t="s">
        <v>96</v>
      </c>
      <c r="BG822" t="s">
        <v>1187</v>
      </c>
      <c r="BI822" t="s">
        <v>98</v>
      </c>
      <c r="BJ822" t="s">
        <v>3484</v>
      </c>
      <c r="BK822" t="s">
        <v>365</v>
      </c>
      <c r="BL822" t="s">
        <v>412</v>
      </c>
    </row>
    <row r="823" spans="1:64" hidden="1" x14ac:dyDescent="0.2">
      <c r="A823">
        <v>232</v>
      </c>
      <c r="B823">
        <v>4403382408</v>
      </c>
      <c r="C823" t="s">
        <v>101</v>
      </c>
      <c r="D823" t="s">
        <v>3312</v>
      </c>
      <c r="E823" t="s">
        <v>65</v>
      </c>
      <c r="F823" t="s">
        <v>66</v>
      </c>
      <c r="G823" t="s">
        <v>67</v>
      </c>
      <c r="H823" t="s">
        <v>68</v>
      </c>
      <c r="I823" t="s">
        <v>176</v>
      </c>
      <c r="J823" t="s">
        <v>177</v>
      </c>
      <c r="K823" t="s">
        <v>1817</v>
      </c>
      <c r="M823" t="s">
        <v>72</v>
      </c>
      <c r="N823" t="s">
        <v>1856</v>
      </c>
      <c r="O823" t="s">
        <v>1817</v>
      </c>
      <c r="P823" t="s">
        <v>1857</v>
      </c>
      <c r="Q823" t="s">
        <v>75</v>
      </c>
      <c r="R823" t="s">
        <v>3174</v>
      </c>
      <c r="S823" t="s">
        <v>1751</v>
      </c>
      <c r="T823" t="s">
        <v>78</v>
      </c>
      <c r="U823" t="s">
        <v>1822</v>
      </c>
      <c r="V823" t="s">
        <v>80</v>
      </c>
      <c r="W823" s="1">
        <v>45110</v>
      </c>
      <c r="X823" t="s">
        <v>1859</v>
      </c>
      <c r="Y823" t="s">
        <v>3303</v>
      </c>
      <c r="Z823" t="s">
        <v>83</v>
      </c>
      <c r="AA823">
        <v>1</v>
      </c>
      <c r="AB823" t="s">
        <v>372</v>
      </c>
      <c r="AD823" t="s">
        <v>134</v>
      </c>
      <c r="AE823" t="s">
        <v>86</v>
      </c>
      <c r="AF823" t="s">
        <v>402</v>
      </c>
      <c r="AG823" t="s">
        <v>3305</v>
      </c>
      <c r="AH823" t="s">
        <v>3313</v>
      </c>
      <c r="AI823" t="s">
        <v>90</v>
      </c>
      <c r="AJ823">
        <v>32.424745999999999</v>
      </c>
      <c r="AK823">
        <v>-110.738766</v>
      </c>
      <c r="AN823">
        <v>2368</v>
      </c>
      <c r="AP823">
        <v>2368</v>
      </c>
      <c r="AQ823">
        <v>2389.6311989999999</v>
      </c>
      <c r="AT823">
        <v>3</v>
      </c>
      <c r="AU823">
        <v>7</v>
      </c>
      <c r="AV823">
        <v>2023</v>
      </c>
      <c r="AW823">
        <v>2438019</v>
      </c>
      <c r="AX823">
        <v>2438019</v>
      </c>
      <c r="AY823" t="s">
        <v>106</v>
      </c>
      <c r="AZ823" t="s">
        <v>92</v>
      </c>
      <c r="BA823" t="s">
        <v>107</v>
      </c>
      <c r="BB823" t="s">
        <v>3314</v>
      </c>
      <c r="BC823" t="s">
        <v>1186</v>
      </c>
      <c r="BD823" s="1">
        <v>45110</v>
      </c>
      <c r="BE823" t="s">
        <v>96</v>
      </c>
      <c r="BG823" t="s">
        <v>1187</v>
      </c>
      <c r="BI823" t="s">
        <v>98</v>
      </c>
      <c r="BJ823" t="s">
        <v>3315</v>
      </c>
      <c r="BL823" t="s">
        <v>110</v>
      </c>
    </row>
    <row r="824" spans="1:64" hidden="1" x14ac:dyDescent="0.2">
      <c r="A824">
        <v>223</v>
      </c>
      <c r="B824">
        <v>4403382417</v>
      </c>
      <c r="C824" t="s">
        <v>101</v>
      </c>
      <c r="D824" t="s">
        <v>3316</v>
      </c>
      <c r="E824" t="s">
        <v>65</v>
      </c>
      <c r="F824" t="s">
        <v>66</v>
      </c>
      <c r="G824" t="s">
        <v>67</v>
      </c>
      <c r="H824" t="s">
        <v>68</v>
      </c>
      <c r="I824" t="s">
        <v>176</v>
      </c>
      <c r="J824" t="s">
        <v>177</v>
      </c>
      <c r="K824" t="s">
        <v>1817</v>
      </c>
      <c r="M824" t="s">
        <v>72</v>
      </c>
      <c r="N824" t="s">
        <v>1856</v>
      </c>
      <c r="O824" t="s">
        <v>1817</v>
      </c>
      <c r="P824" t="s">
        <v>1857</v>
      </c>
      <c r="Q824" t="s">
        <v>75</v>
      </c>
      <c r="R824" t="s">
        <v>3174</v>
      </c>
      <c r="S824" t="s">
        <v>1751</v>
      </c>
      <c r="T824" t="s">
        <v>78</v>
      </c>
      <c r="U824" t="s">
        <v>1822</v>
      </c>
      <c r="V824" t="s">
        <v>80</v>
      </c>
      <c r="W824" s="1">
        <v>45110</v>
      </c>
      <c r="X824" t="s">
        <v>1859</v>
      </c>
      <c r="Y824" t="s">
        <v>3303</v>
      </c>
      <c r="Z824" t="s">
        <v>83</v>
      </c>
      <c r="AA824">
        <v>1</v>
      </c>
      <c r="AB824" t="s">
        <v>367</v>
      </c>
      <c r="AD824" t="s">
        <v>104</v>
      </c>
      <c r="AE824" t="s">
        <v>86</v>
      </c>
      <c r="AF824" t="s">
        <v>402</v>
      </c>
      <c r="AG824" t="s">
        <v>3305</v>
      </c>
      <c r="AH824" t="s">
        <v>3317</v>
      </c>
      <c r="AI824" t="s">
        <v>90</v>
      </c>
      <c r="AJ824">
        <v>32.424745999999999</v>
      </c>
      <c r="AK824">
        <v>-110.738766</v>
      </c>
      <c r="AN824">
        <v>2368</v>
      </c>
      <c r="AP824">
        <v>2368</v>
      </c>
      <c r="AQ824">
        <v>2389.6311989999999</v>
      </c>
      <c r="AT824">
        <v>3</v>
      </c>
      <c r="AU824">
        <v>7</v>
      </c>
      <c r="AV824">
        <v>2023</v>
      </c>
      <c r="AW824">
        <v>2438019</v>
      </c>
      <c r="AX824">
        <v>2438019</v>
      </c>
      <c r="AY824" t="s">
        <v>106</v>
      </c>
      <c r="AZ824" t="s">
        <v>92</v>
      </c>
      <c r="BA824" t="s">
        <v>107</v>
      </c>
      <c r="BB824" t="s">
        <v>3318</v>
      </c>
      <c r="BC824" t="s">
        <v>1186</v>
      </c>
      <c r="BD824" s="1">
        <v>45110</v>
      </c>
      <c r="BE824" t="s">
        <v>96</v>
      </c>
      <c r="BG824" t="s">
        <v>1187</v>
      </c>
      <c r="BI824" t="s">
        <v>98</v>
      </c>
      <c r="BJ824" t="s">
        <v>860</v>
      </c>
      <c r="BL824" t="s">
        <v>110</v>
      </c>
    </row>
    <row r="825" spans="1:64" hidden="1" x14ac:dyDescent="0.2">
      <c r="A825">
        <v>224</v>
      </c>
      <c r="B825">
        <v>4403382416</v>
      </c>
      <c r="C825" t="s">
        <v>101</v>
      </c>
      <c r="D825" t="s">
        <v>3319</v>
      </c>
      <c r="E825" t="s">
        <v>65</v>
      </c>
      <c r="F825" t="s">
        <v>66</v>
      </c>
      <c r="G825" t="s">
        <v>67</v>
      </c>
      <c r="H825" t="s">
        <v>68</v>
      </c>
      <c r="I825" t="s">
        <v>176</v>
      </c>
      <c r="J825" t="s">
        <v>177</v>
      </c>
      <c r="K825" t="s">
        <v>1817</v>
      </c>
      <c r="M825" t="s">
        <v>72</v>
      </c>
      <c r="N825" t="s">
        <v>1856</v>
      </c>
      <c r="O825" t="s">
        <v>1817</v>
      </c>
      <c r="P825" t="s">
        <v>1857</v>
      </c>
      <c r="Q825" t="s">
        <v>75</v>
      </c>
      <c r="R825" t="s">
        <v>3174</v>
      </c>
      <c r="S825" t="s">
        <v>1751</v>
      </c>
      <c r="T825" t="s">
        <v>78</v>
      </c>
      <c r="U825" t="s">
        <v>1822</v>
      </c>
      <c r="V825" t="s">
        <v>80</v>
      </c>
      <c r="W825" s="1">
        <v>45110</v>
      </c>
      <c r="X825" t="s">
        <v>1859</v>
      </c>
      <c r="Y825" t="s">
        <v>3303</v>
      </c>
      <c r="Z825" t="s">
        <v>83</v>
      </c>
      <c r="AA825">
        <v>1</v>
      </c>
      <c r="AB825" t="s">
        <v>367</v>
      </c>
      <c r="AD825" t="s">
        <v>116</v>
      </c>
      <c r="AE825" t="s">
        <v>86</v>
      </c>
      <c r="AF825" t="s">
        <v>402</v>
      </c>
      <c r="AG825" t="s">
        <v>3305</v>
      </c>
      <c r="AH825" t="s">
        <v>3317</v>
      </c>
      <c r="AI825" t="s">
        <v>90</v>
      </c>
      <c r="AJ825">
        <v>32.424745999999999</v>
      </c>
      <c r="AK825">
        <v>-110.738766</v>
      </c>
      <c r="AN825">
        <v>2368</v>
      </c>
      <c r="AP825">
        <v>2368</v>
      </c>
      <c r="AQ825">
        <v>2389.6311989999999</v>
      </c>
      <c r="AT825">
        <v>3</v>
      </c>
      <c r="AU825">
        <v>7</v>
      </c>
      <c r="AV825">
        <v>2023</v>
      </c>
      <c r="AW825">
        <v>2438019</v>
      </c>
      <c r="AX825">
        <v>2438019</v>
      </c>
      <c r="AY825" t="s">
        <v>106</v>
      </c>
      <c r="AZ825" t="s">
        <v>92</v>
      </c>
      <c r="BA825" t="s">
        <v>107</v>
      </c>
      <c r="BB825" t="s">
        <v>3320</v>
      </c>
      <c r="BC825" t="s">
        <v>1186</v>
      </c>
      <c r="BD825" s="1">
        <v>45110</v>
      </c>
      <c r="BE825" t="s">
        <v>96</v>
      </c>
      <c r="BG825" t="s">
        <v>1187</v>
      </c>
      <c r="BI825" t="s">
        <v>98</v>
      </c>
      <c r="BJ825" t="s">
        <v>3321</v>
      </c>
      <c r="BL825" t="s">
        <v>110</v>
      </c>
    </row>
    <row r="826" spans="1:64" hidden="1" x14ac:dyDescent="0.2">
      <c r="A826">
        <v>225</v>
      </c>
      <c r="B826">
        <v>4403382415</v>
      </c>
      <c r="C826" t="s">
        <v>101</v>
      </c>
      <c r="D826" t="s">
        <v>3322</v>
      </c>
      <c r="E826" t="s">
        <v>65</v>
      </c>
      <c r="F826" t="s">
        <v>66</v>
      </c>
      <c r="G826" t="s">
        <v>67</v>
      </c>
      <c r="H826" t="s">
        <v>68</v>
      </c>
      <c r="I826" t="s">
        <v>176</v>
      </c>
      <c r="J826" t="s">
        <v>177</v>
      </c>
      <c r="K826" t="s">
        <v>1817</v>
      </c>
      <c r="M826" t="s">
        <v>72</v>
      </c>
      <c r="N826" t="s">
        <v>1856</v>
      </c>
      <c r="O826" t="s">
        <v>1817</v>
      </c>
      <c r="P826" t="s">
        <v>1857</v>
      </c>
      <c r="Q826" t="s">
        <v>75</v>
      </c>
      <c r="R826" t="s">
        <v>3174</v>
      </c>
      <c r="S826" t="s">
        <v>1751</v>
      </c>
      <c r="T826" t="s">
        <v>78</v>
      </c>
      <c r="U826" t="s">
        <v>1822</v>
      </c>
      <c r="V826" t="s">
        <v>80</v>
      </c>
      <c r="W826" s="1">
        <v>45110</v>
      </c>
      <c r="X826" t="s">
        <v>1859</v>
      </c>
      <c r="Y826" t="s">
        <v>3303</v>
      </c>
      <c r="Z826" t="s">
        <v>83</v>
      </c>
      <c r="AA826">
        <v>1</v>
      </c>
      <c r="AB826" t="s">
        <v>367</v>
      </c>
      <c r="AD826" t="s">
        <v>112</v>
      </c>
      <c r="AE826" t="s">
        <v>86</v>
      </c>
      <c r="AF826" t="s">
        <v>402</v>
      </c>
      <c r="AG826" t="s">
        <v>3305</v>
      </c>
      <c r="AH826" t="s">
        <v>3317</v>
      </c>
      <c r="AI826" t="s">
        <v>90</v>
      </c>
      <c r="AJ826">
        <v>32.424745999999999</v>
      </c>
      <c r="AK826">
        <v>-110.738766</v>
      </c>
      <c r="AN826">
        <v>2368</v>
      </c>
      <c r="AP826">
        <v>2368</v>
      </c>
      <c r="AQ826">
        <v>2389.6311989999999</v>
      </c>
      <c r="AT826">
        <v>3</v>
      </c>
      <c r="AU826">
        <v>7</v>
      </c>
      <c r="AV826">
        <v>2023</v>
      </c>
      <c r="AW826">
        <v>2438019</v>
      </c>
      <c r="AX826">
        <v>2438019</v>
      </c>
      <c r="AY826" t="s">
        <v>106</v>
      </c>
      <c r="AZ826" t="s">
        <v>92</v>
      </c>
      <c r="BA826" t="s">
        <v>107</v>
      </c>
      <c r="BB826" t="s">
        <v>3323</v>
      </c>
      <c r="BC826" t="s">
        <v>1186</v>
      </c>
      <c r="BD826" s="1">
        <v>45110</v>
      </c>
      <c r="BE826" t="s">
        <v>96</v>
      </c>
      <c r="BG826" t="s">
        <v>1187</v>
      </c>
      <c r="BI826" t="s">
        <v>98</v>
      </c>
      <c r="BJ826" t="s">
        <v>3321</v>
      </c>
      <c r="BL826" t="s">
        <v>110</v>
      </c>
    </row>
    <row r="827" spans="1:64" hidden="1" x14ac:dyDescent="0.2">
      <c r="A827">
        <v>226</v>
      </c>
      <c r="B827">
        <v>4403382414</v>
      </c>
      <c r="C827" t="s">
        <v>101</v>
      </c>
      <c r="D827" t="s">
        <v>3324</v>
      </c>
      <c r="E827" t="s">
        <v>65</v>
      </c>
      <c r="F827" t="s">
        <v>66</v>
      </c>
      <c r="G827" t="s">
        <v>67</v>
      </c>
      <c r="H827" t="s">
        <v>68</v>
      </c>
      <c r="I827" t="s">
        <v>176</v>
      </c>
      <c r="J827" t="s">
        <v>177</v>
      </c>
      <c r="K827" t="s">
        <v>1817</v>
      </c>
      <c r="M827" t="s">
        <v>72</v>
      </c>
      <c r="N827" t="s">
        <v>1856</v>
      </c>
      <c r="O827" t="s">
        <v>1817</v>
      </c>
      <c r="P827" t="s">
        <v>1857</v>
      </c>
      <c r="Q827" t="s">
        <v>75</v>
      </c>
      <c r="R827" t="s">
        <v>3174</v>
      </c>
      <c r="S827" t="s">
        <v>1751</v>
      </c>
      <c r="T827" t="s">
        <v>78</v>
      </c>
      <c r="U827" t="s">
        <v>1822</v>
      </c>
      <c r="V827" t="s">
        <v>80</v>
      </c>
      <c r="W827" s="1">
        <v>45110</v>
      </c>
      <c r="X827" t="s">
        <v>1859</v>
      </c>
      <c r="Y827" t="s">
        <v>3303</v>
      </c>
      <c r="Z827" t="s">
        <v>83</v>
      </c>
      <c r="AA827">
        <v>1</v>
      </c>
      <c r="AB827" t="s">
        <v>367</v>
      </c>
      <c r="AD827" t="s">
        <v>123</v>
      </c>
      <c r="AE827" t="s">
        <v>86</v>
      </c>
      <c r="AF827" t="s">
        <v>402</v>
      </c>
      <c r="AG827" t="s">
        <v>3305</v>
      </c>
      <c r="AH827" t="s">
        <v>3317</v>
      </c>
      <c r="AI827" t="s">
        <v>90</v>
      </c>
      <c r="AJ827">
        <v>32.424745999999999</v>
      </c>
      <c r="AK827">
        <v>-110.738766</v>
      </c>
      <c r="AN827">
        <v>2368</v>
      </c>
      <c r="AP827">
        <v>2368</v>
      </c>
      <c r="AQ827">
        <v>2389.6311989999999</v>
      </c>
      <c r="AT827">
        <v>3</v>
      </c>
      <c r="AU827">
        <v>7</v>
      </c>
      <c r="AV827">
        <v>2023</v>
      </c>
      <c r="AW827">
        <v>2438019</v>
      </c>
      <c r="AX827">
        <v>2438019</v>
      </c>
      <c r="AY827" t="s">
        <v>106</v>
      </c>
      <c r="AZ827" t="s">
        <v>92</v>
      </c>
      <c r="BA827" t="s">
        <v>107</v>
      </c>
      <c r="BB827" t="s">
        <v>3325</v>
      </c>
      <c r="BC827" t="s">
        <v>1186</v>
      </c>
      <c r="BD827" s="1">
        <v>45110</v>
      </c>
      <c r="BE827" t="s">
        <v>96</v>
      </c>
      <c r="BG827" t="s">
        <v>1187</v>
      </c>
      <c r="BI827" t="s">
        <v>98</v>
      </c>
      <c r="BJ827" t="s">
        <v>3283</v>
      </c>
      <c r="BL827" t="s">
        <v>110</v>
      </c>
    </row>
    <row r="828" spans="1:64" hidden="1" x14ac:dyDescent="0.2">
      <c r="A828">
        <v>227</v>
      </c>
      <c r="B828">
        <v>4403382413</v>
      </c>
      <c r="C828" t="s">
        <v>101</v>
      </c>
      <c r="D828" t="s">
        <v>3326</v>
      </c>
      <c r="E828" t="s">
        <v>65</v>
      </c>
      <c r="F828" t="s">
        <v>66</v>
      </c>
      <c r="G828" t="s">
        <v>67</v>
      </c>
      <c r="H828" t="s">
        <v>68</v>
      </c>
      <c r="I828" t="s">
        <v>176</v>
      </c>
      <c r="J828" t="s">
        <v>177</v>
      </c>
      <c r="K828" t="s">
        <v>1817</v>
      </c>
      <c r="M828" t="s">
        <v>72</v>
      </c>
      <c r="N828" t="s">
        <v>1856</v>
      </c>
      <c r="O828" t="s">
        <v>1817</v>
      </c>
      <c r="P828" t="s">
        <v>1857</v>
      </c>
      <c r="Q828" t="s">
        <v>75</v>
      </c>
      <c r="R828" t="s">
        <v>3174</v>
      </c>
      <c r="S828" t="s">
        <v>1751</v>
      </c>
      <c r="T828" t="s">
        <v>78</v>
      </c>
      <c r="U828" t="s">
        <v>1822</v>
      </c>
      <c r="V828" t="s">
        <v>80</v>
      </c>
      <c r="W828" s="1">
        <v>45110</v>
      </c>
      <c r="X828" t="s">
        <v>1859</v>
      </c>
      <c r="Y828" t="s">
        <v>3303</v>
      </c>
      <c r="Z828" t="s">
        <v>83</v>
      </c>
      <c r="AA828">
        <v>1</v>
      </c>
      <c r="AB828" t="s">
        <v>367</v>
      </c>
      <c r="AD828" t="s">
        <v>139</v>
      </c>
      <c r="AE828" t="s">
        <v>86</v>
      </c>
      <c r="AF828" t="s">
        <v>402</v>
      </c>
      <c r="AG828" t="s">
        <v>3305</v>
      </c>
      <c r="AH828" t="s">
        <v>3317</v>
      </c>
      <c r="AI828" t="s">
        <v>90</v>
      </c>
      <c r="AJ828">
        <v>32.424745999999999</v>
      </c>
      <c r="AK828">
        <v>-110.738766</v>
      </c>
      <c r="AN828">
        <v>2368</v>
      </c>
      <c r="AP828">
        <v>2368</v>
      </c>
      <c r="AQ828">
        <v>2389.6311989999999</v>
      </c>
      <c r="AT828">
        <v>3</v>
      </c>
      <c r="AU828">
        <v>7</v>
      </c>
      <c r="AV828">
        <v>2023</v>
      </c>
      <c r="AW828">
        <v>2438019</v>
      </c>
      <c r="AX828">
        <v>2438019</v>
      </c>
      <c r="AY828" t="s">
        <v>106</v>
      </c>
      <c r="AZ828" t="s">
        <v>92</v>
      </c>
      <c r="BA828" t="s">
        <v>107</v>
      </c>
      <c r="BB828" t="s">
        <v>3327</v>
      </c>
      <c r="BC828" t="s">
        <v>1186</v>
      </c>
      <c r="BD828" s="1">
        <v>45110</v>
      </c>
      <c r="BE828" t="s">
        <v>96</v>
      </c>
      <c r="BG828" t="s">
        <v>1187</v>
      </c>
      <c r="BI828" t="s">
        <v>98</v>
      </c>
      <c r="BJ828" t="s">
        <v>3283</v>
      </c>
      <c r="BL828" t="s">
        <v>110</v>
      </c>
    </row>
    <row r="829" spans="1:64" hidden="1" x14ac:dyDescent="0.2">
      <c r="A829">
        <v>228</v>
      </c>
      <c r="B829">
        <v>4403382412</v>
      </c>
      <c r="C829" t="s">
        <v>101</v>
      </c>
      <c r="D829" t="s">
        <v>3328</v>
      </c>
      <c r="E829" t="s">
        <v>65</v>
      </c>
      <c r="F829" t="s">
        <v>66</v>
      </c>
      <c r="G829" t="s">
        <v>67</v>
      </c>
      <c r="H829" t="s">
        <v>68</v>
      </c>
      <c r="I829" t="s">
        <v>176</v>
      </c>
      <c r="J829" t="s">
        <v>177</v>
      </c>
      <c r="K829" t="s">
        <v>1817</v>
      </c>
      <c r="M829" t="s">
        <v>72</v>
      </c>
      <c r="N829" t="s">
        <v>1856</v>
      </c>
      <c r="O829" t="s">
        <v>1817</v>
      </c>
      <c r="P829" t="s">
        <v>1857</v>
      </c>
      <c r="Q829" t="s">
        <v>75</v>
      </c>
      <c r="R829" t="s">
        <v>3174</v>
      </c>
      <c r="S829" t="s">
        <v>1751</v>
      </c>
      <c r="T829" t="s">
        <v>78</v>
      </c>
      <c r="U829" t="s">
        <v>1822</v>
      </c>
      <c r="V829" t="s">
        <v>80</v>
      </c>
      <c r="W829" s="1">
        <v>45110</v>
      </c>
      <c r="X829" t="s">
        <v>1859</v>
      </c>
      <c r="Y829" t="s">
        <v>3303</v>
      </c>
      <c r="Z829" t="s">
        <v>83</v>
      </c>
      <c r="AA829">
        <v>1</v>
      </c>
      <c r="AB829" t="s">
        <v>367</v>
      </c>
      <c r="AD829" t="s">
        <v>139</v>
      </c>
      <c r="AE829" t="s">
        <v>86</v>
      </c>
      <c r="AF829" t="s">
        <v>402</v>
      </c>
      <c r="AG829" t="s">
        <v>3305</v>
      </c>
      <c r="AH829" t="s">
        <v>3317</v>
      </c>
      <c r="AI829" t="s">
        <v>90</v>
      </c>
      <c r="AJ829">
        <v>32.424745999999999</v>
      </c>
      <c r="AK829">
        <v>-110.738766</v>
      </c>
      <c r="AN829">
        <v>2368</v>
      </c>
      <c r="AP829">
        <v>2368</v>
      </c>
      <c r="AQ829">
        <v>2389.6311989999999</v>
      </c>
      <c r="AT829">
        <v>3</v>
      </c>
      <c r="AU829">
        <v>7</v>
      </c>
      <c r="AV829">
        <v>2023</v>
      </c>
      <c r="AW829">
        <v>2438019</v>
      </c>
      <c r="AX829">
        <v>2438019</v>
      </c>
      <c r="AY829" t="s">
        <v>106</v>
      </c>
      <c r="AZ829" t="s">
        <v>92</v>
      </c>
      <c r="BA829" t="s">
        <v>107</v>
      </c>
      <c r="BB829" t="s">
        <v>3329</v>
      </c>
      <c r="BC829" t="s">
        <v>1186</v>
      </c>
      <c r="BD829" s="1">
        <v>45110</v>
      </c>
      <c r="BE829" t="s">
        <v>96</v>
      </c>
      <c r="BG829" t="s">
        <v>1187</v>
      </c>
      <c r="BI829" t="s">
        <v>98</v>
      </c>
      <c r="BJ829" t="s">
        <v>3283</v>
      </c>
      <c r="BL829" t="s">
        <v>110</v>
      </c>
    </row>
    <row r="830" spans="1:64" hidden="1" x14ac:dyDescent="0.2">
      <c r="A830">
        <v>106</v>
      </c>
      <c r="B830">
        <v>4403382534</v>
      </c>
      <c r="C830" t="s">
        <v>101</v>
      </c>
      <c r="D830" t="s">
        <v>3337</v>
      </c>
      <c r="E830" t="s">
        <v>65</v>
      </c>
      <c r="F830" t="s">
        <v>66</v>
      </c>
      <c r="G830" t="s">
        <v>67</v>
      </c>
      <c r="H830" t="s">
        <v>68</v>
      </c>
      <c r="I830" t="s">
        <v>176</v>
      </c>
      <c r="J830" t="s">
        <v>177</v>
      </c>
      <c r="K830" t="s">
        <v>178</v>
      </c>
      <c r="M830" t="s">
        <v>72</v>
      </c>
      <c r="N830" t="s">
        <v>179</v>
      </c>
      <c r="O830" t="s">
        <v>178</v>
      </c>
      <c r="P830" t="s">
        <v>180</v>
      </c>
      <c r="Q830" t="s">
        <v>75</v>
      </c>
      <c r="R830" t="s">
        <v>3174</v>
      </c>
      <c r="S830" t="s">
        <v>355</v>
      </c>
      <c r="T830" t="s">
        <v>78</v>
      </c>
      <c r="U830" t="s">
        <v>1822</v>
      </c>
      <c r="V830" t="s">
        <v>80</v>
      </c>
      <c r="W830" s="1">
        <v>45110</v>
      </c>
      <c r="X830" t="s">
        <v>1859</v>
      </c>
      <c r="Y830" t="s">
        <v>3331</v>
      </c>
      <c r="Z830" t="s">
        <v>83</v>
      </c>
      <c r="AA830">
        <v>1</v>
      </c>
      <c r="AB830" t="s">
        <v>367</v>
      </c>
      <c r="AD830" t="s">
        <v>112</v>
      </c>
      <c r="AE830" t="s">
        <v>86</v>
      </c>
      <c r="AF830" t="s">
        <v>610</v>
      </c>
      <c r="AG830" t="s">
        <v>3333</v>
      </c>
      <c r="AH830" t="s">
        <v>3338</v>
      </c>
      <c r="AI830" t="s">
        <v>90</v>
      </c>
      <c r="AJ830">
        <v>32.425854000000001</v>
      </c>
      <c r="AK830">
        <v>-110.74023699999999</v>
      </c>
      <c r="AN830">
        <v>2357</v>
      </c>
      <c r="AP830">
        <v>2357</v>
      </c>
      <c r="AQ830">
        <v>2387.34854</v>
      </c>
      <c r="AT830">
        <v>3</v>
      </c>
      <c r="AU830">
        <v>7</v>
      </c>
      <c r="AV830">
        <v>2023</v>
      </c>
      <c r="AW830">
        <v>2438038</v>
      </c>
      <c r="AX830">
        <v>2438038</v>
      </c>
      <c r="AY830" t="s">
        <v>106</v>
      </c>
      <c r="AZ830" t="s">
        <v>92</v>
      </c>
      <c r="BA830" t="s">
        <v>107</v>
      </c>
      <c r="BB830" t="s">
        <v>3339</v>
      </c>
      <c r="BC830" t="s">
        <v>1186</v>
      </c>
      <c r="BD830" s="1">
        <v>45110</v>
      </c>
      <c r="BE830" t="s">
        <v>96</v>
      </c>
      <c r="BG830" t="s">
        <v>1187</v>
      </c>
      <c r="BI830" t="s">
        <v>98</v>
      </c>
      <c r="BJ830" t="s">
        <v>2257</v>
      </c>
      <c r="BL830" t="s">
        <v>110</v>
      </c>
    </row>
    <row r="831" spans="1:64" hidden="1" x14ac:dyDescent="0.2">
      <c r="A831">
        <v>109</v>
      </c>
      <c r="B831">
        <v>4403382531</v>
      </c>
      <c r="C831" t="s">
        <v>101</v>
      </c>
      <c r="D831" t="s">
        <v>3340</v>
      </c>
      <c r="E831" t="s">
        <v>65</v>
      </c>
      <c r="F831" t="s">
        <v>66</v>
      </c>
      <c r="G831" t="s">
        <v>67</v>
      </c>
      <c r="H831" t="s">
        <v>68</v>
      </c>
      <c r="I831" t="s">
        <v>176</v>
      </c>
      <c r="J831" t="s">
        <v>177</v>
      </c>
      <c r="K831" t="s">
        <v>178</v>
      </c>
      <c r="M831" t="s">
        <v>72</v>
      </c>
      <c r="N831" t="s">
        <v>179</v>
      </c>
      <c r="O831" t="s">
        <v>178</v>
      </c>
      <c r="P831" t="s">
        <v>180</v>
      </c>
      <c r="Q831" t="s">
        <v>75</v>
      </c>
      <c r="R831" t="s">
        <v>3174</v>
      </c>
      <c r="S831" t="s">
        <v>355</v>
      </c>
      <c r="T831" t="s">
        <v>78</v>
      </c>
      <c r="U831" t="s">
        <v>1822</v>
      </c>
      <c r="V831" t="s">
        <v>80</v>
      </c>
      <c r="W831" s="1">
        <v>45110</v>
      </c>
      <c r="X831" t="s">
        <v>1859</v>
      </c>
      <c r="Y831" t="s">
        <v>3331</v>
      </c>
      <c r="Z831" t="s">
        <v>83</v>
      </c>
      <c r="AA831">
        <v>1</v>
      </c>
      <c r="AB831" t="s">
        <v>367</v>
      </c>
      <c r="AD831" t="s">
        <v>139</v>
      </c>
      <c r="AE831" t="s">
        <v>86</v>
      </c>
      <c r="AF831" t="s">
        <v>610</v>
      </c>
      <c r="AG831" t="s">
        <v>3333</v>
      </c>
      <c r="AH831" t="s">
        <v>3338</v>
      </c>
      <c r="AI831" t="s">
        <v>90</v>
      </c>
      <c r="AJ831">
        <v>32.425854000000001</v>
      </c>
      <c r="AK831">
        <v>-110.74023699999999</v>
      </c>
      <c r="AN831">
        <v>2357</v>
      </c>
      <c r="AP831">
        <v>2357</v>
      </c>
      <c r="AQ831">
        <v>2387.34854</v>
      </c>
      <c r="AT831">
        <v>3</v>
      </c>
      <c r="AU831">
        <v>7</v>
      </c>
      <c r="AV831">
        <v>2023</v>
      </c>
      <c r="AW831">
        <v>2438038</v>
      </c>
      <c r="AX831">
        <v>2438038</v>
      </c>
      <c r="AY831" t="s">
        <v>106</v>
      </c>
      <c r="AZ831" t="s">
        <v>92</v>
      </c>
      <c r="BA831" t="s">
        <v>107</v>
      </c>
      <c r="BB831" t="s">
        <v>3341</v>
      </c>
      <c r="BC831" t="s">
        <v>1186</v>
      </c>
      <c r="BD831" s="1">
        <v>45110</v>
      </c>
      <c r="BE831" t="s">
        <v>96</v>
      </c>
      <c r="BG831" t="s">
        <v>1187</v>
      </c>
      <c r="BI831" t="s">
        <v>98</v>
      </c>
      <c r="BJ831" t="s">
        <v>3342</v>
      </c>
      <c r="BL831" t="s">
        <v>110</v>
      </c>
    </row>
    <row r="832" spans="1:64" hidden="1" x14ac:dyDescent="0.2">
      <c r="A832">
        <v>110</v>
      </c>
      <c r="B832">
        <v>4403382530</v>
      </c>
      <c r="C832" t="s">
        <v>101</v>
      </c>
      <c r="D832" t="s">
        <v>3343</v>
      </c>
      <c r="E832" t="s">
        <v>65</v>
      </c>
      <c r="F832" t="s">
        <v>66</v>
      </c>
      <c r="G832" t="s">
        <v>67</v>
      </c>
      <c r="H832" t="s">
        <v>68</v>
      </c>
      <c r="I832" t="s">
        <v>176</v>
      </c>
      <c r="J832" t="s">
        <v>177</v>
      </c>
      <c r="K832" t="s">
        <v>178</v>
      </c>
      <c r="M832" t="s">
        <v>72</v>
      </c>
      <c r="N832" t="s">
        <v>179</v>
      </c>
      <c r="O832" t="s">
        <v>178</v>
      </c>
      <c r="P832" t="s">
        <v>180</v>
      </c>
      <c r="Q832" t="s">
        <v>75</v>
      </c>
      <c r="R832" t="s">
        <v>3174</v>
      </c>
      <c r="S832" t="s">
        <v>355</v>
      </c>
      <c r="T832" t="s">
        <v>78</v>
      </c>
      <c r="U832" t="s">
        <v>1822</v>
      </c>
      <c r="V832" t="s">
        <v>80</v>
      </c>
      <c r="W832" s="1">
        <v>45110</v>
      </c>
      <c r="X832" t="s">
        <v>1859</v>
      </c>
      <c r="Y832" t="s">
        <v>3331</v>
      </c>
      <c r="Z832" t="s">
        <v>83</v>
      </c>
      <c r="AA832">
        <v>1</v>
      </c>
      <c r="AB832" t="s">
        <v>367</v>
      </c>
      <c r="AD832" t="s">
        <v>1706</v>
      </c>
      <c r="AE832" t="s">
        <v>86</v>
      </c>
      <c r="AF832" t="s">
        <v>610</v>
      </c>
      <c r="AG832" t="s">
        <v>3333</v>
      </c>
      <c r="AH832" t="s">
        <v>3338</v>
      </c>
      <c r="AI832" t="s">
        <v>90</v>
      </c>
      <c r="AJ832">
        <v>32.425854000000001</v>
      </c>
      <c r="AK832">
        <v>-110.74023699999999</v>
      </c>
      <c r="AN832">
        <v>2357</v>
      </c>
      <c r="AP832">
        <v>2357</v>
      </c>
      <c r="AQ832">
        <v>2387.34854</v>
      </c>
      <c r="AT832">
        <v>3</v>
      </c>
      <c r="AU832">
        <v>7</v>
      </c>
      <c r="AV832">
        <v>2023</v>
      </c>
      <c r="AW832">
        <v>2438038</v>
      </c>
      <c r="AX832">
        <v>2438038</v>
      </c>
      <c r="AY832" t="s">
        <v>106</v>
      </c>
      <c r="AZ832" t="s">
        <v>92</v>
      </c>
      <c r="BA832" t="s">
        <v>107</v>
      </c>
      <c r="BB832" t="s">
        <v>3344</v>
      </c>
      <c r="BC832" t="s">
        <v>1186</v>
      </c>
      <c r="BD832" s="1">
        <v>45110</v>
      </c>
      <c r="BE832" t="s">
        <v>96</v>
      </c>
      <c r="BG832" t="s">
        <v>1187</v>
      </c>
      <c r="BI832" t="s">
        <v>98</v>
      </c>
      <c r="BJ832" t="s">
        <v>3345</v>
      </c>
      <c r="BL832" t="s">
        <v>110</v>
      </c>
    </row>
    <row r="833" spans="1:64" hidden="1" x14ac:dyDescent="0.2">
      <c r="A833">
        <v>111</v>
      </c>
      <c r="B833">
        <v>4403382529</v>
      </c>
      <c r="C833" t="s">
        <v>101</v>
      </c>
      <c r="D833" t="s">
        <v>3346</v>
      </c>
      <c r="E833" t="s">
        <v>65</v>
      </c>
      <c r="F833" t="s">
        <v>66</v>
      </c>
      <c r="G833" t="s">
        <v>67</v>
      </c>
      <c r="H833" t="s">
        <v>68</v>
      </c>
      <c r="I833" t="s">
        <v>176</v>
      </c>
      <c r="J833" t="s">
        <v>177</v>
      </c>
      <c r="K833" t="s">
        <v>178</v>
      </c>
      <c r="M833" t="s">
        <v>72</v>
      </c>
      <c r="N833" t="s">
        <v>179</v>
      </c>
      <c r="O833" t="s">
        <v>178</v>
      </c>
      <c r="P833" t="s">
        <v>180</v>
      </c>
      <c r="Q833" t="s">
        <v>75</v>
      </c>
      <c r="R833" t="s">
        <v>3174</v>
      </c>
      <c r="S833" t="s">
        <v>355</v>
      </c>
      <c r="T833" t="s">
        <v>78</v>
      </c>
      <c r="U833" t="s">
        <v>1822</v>
      </c>
      <c r="V833" t="s">
        <v>80</v>
      </c>
      <c r="W833" s="1">
        <v>45110</v>
      </c>
      <c r="X833" t="s">
        <v>1859</v>
      </c>
      <c r="Y833" t="s">
        <v>3331</v>
      </c>
      <c r="Z833" t="s">
        <v>83</v>
      </c>
      <c r="AA833">
        <v>1</v>
      </c>
      <c r="AB833" t="s">
        <v>372</v>
      </c>
      <c r="AD833" t="s">
        <v>134</v>
      </c>
      <c r="AE833" t="s">
        <v>86</v>
      </c>
      <c r="AF833" t="s">
        <v>610</v>
      </c>
      <c r="AG833" t="s">
        <v>3333</v>
      </c>
      <c r="AH833" t="s">
        <v>3347</v>
      </c>
      <c r="AI833" t="s">
        <v>90</v>
      </c>
      <c r="AJ833">
        <v>32.425854000000001</v>
      </c>
      <c r="AK833">
        <v>-110.74023699999999</v>
      </c>
      <c r="AN833">
        <v>2357</v>
      </c>
      <c r="AP833">
        <v>2357</v>
      </c>
      <c r="AQ833">
        <v>2387.34854</v>
      </c>
      <c r="AT833">
        <v>3</v>
      </c>
      <c r="AU833">
        <v>7</v>
      </c>
      <c r="AV833">
        <v>2023</v>
      </c>
      <c r="AW833">
        <v>2438038</v>
      </c>
      <c r="AX833">
        <v>2438038</v>
      </c>
      <c r="AY833" t="s">
        <v>106</v>
      </c>
      <c r="AZ833" t="s">
        <v>92</v>
      </c>
      <c r="BA833" t="s">
        <v>107</v>
      </c>
      <c r="BB833" t="s">
        <v>3348</v>
      </c>
      <c r="BC833" t="s">
        <v>1186</v>
      </c>
      <c r="BD833" s="1">
        <v>45110</v>
      </c>
      <c r="BE833" t="s">
        <v>96</v>
      </c>
      <c r="BG833" t="s">
        <v>1187</v>
      </c>
      <c r="BI833" t="s">
        <v>98</v>
      </c>
      <c r="BJ833" t="s">
        <v>3311</v>
      </c>
      <c r="BL833" t="s">
        <v>110</v>
      </c>
    </row>
    <row r="834" spans="1:64" hidden="1" x14ac:dyDescent="0.2">
      <c r="A834">
        <v>112</v>
      </c>
      <c r="B834">
        <v>4403382528</v>
      </c>
      <c r="C834" t="s">
        <v>101</v>
      </c>
      <c r="D834" t="s">
        <v>3349</v>
      </c>
      <c r="E834" t="s">
        <v>65</v>
      </c>
      <c r="F834" t="s">
        <v>66</v>
      </c>
      <c r="G834" t="s">
        <v>67</v>
      </c>
      <c r="H834" t="s">
        <v>68</v>
      </c>
      <c r="I834" t="s">
        <v>176</v>
      </c>
      <c r="J834" t="s">
        <v>177</v>
      </c>
      <c r="K834" t="s">
        <v>178</v>
      </c>
      <c r="M834" t="s">
        <v>72</v>
      </c>
      <c r="N834" t="s">
        <v>179</v>
      </c>
      <c r="O834" t="s">
        <v>178</v>
      </c>
      <c r="P834" t="s">
        <v>180</v>
      </c>
      <c r="Q834" t="s">
        <v>75</v>
      </c>
      <c r="R834" t="s">
        <v>3174</v>
      </c>
      <c r="S834" t="s">
        <v>355</v>
      </c>
      <c r="T834" t="s">
        <v>78</v>
      </c>
      <c r="U834" t="s">
        <v>1822</v>
      </c>
      <c r="V834" t="s">
        <v>80</v>
      </c>
      <c r="W834" s="1">
        <v>45110</v>
      </c>
      <c r="X834" t="s">
        <v>1859</v>
      </c>
      <c r="Y834" t="s">
        <v>3331</v>
      </c>
      <c r="Z834" t="s">
        <v>83</v>
      </c>
      <c r="AA834">
        <v>1</v>
      </c>
      <c r="AB834" t="s">
        <v>434</v>
      </c>
      <c r="AD834" t="s">
        <v>378</v>
      </c>
      <c r="AE834" t="s">
        <v>86</v>
      </c>
      <c r="AF834" t="s">
        <v>610</v>
      </c>
      <c r="AG834" t="s">
        <v>3333</v>
      </c>
      <c r="AH834" t="s">
        <v>3338</v>
      </c>
      <c r="AI834" t="s">
        <v>90</v>
      </c>
      <c r="AJ834">
        <v>32.425854000000001</v>
      </c>
      <c r="AK834">
        <v>-110.74023699999999</v>
      </c>
      <c r="AN834">
        <v>2357</v>
      </c>
      <c r="AP834">
        <v>2357</v>
      </c>
      <c r="AQ834">
        <v>2387.34854</v>
      </c>
      <c r="AT834">
        <v>3</v>
      </c>
      <c r="AU834">
        <v>7</v>
      </c>
      <c r="AV834">
        <v>2023</v>
      </c>
      <c r="AW834">
        <v>2438038</v>
      </c>
      <c r="AX834">
        <v>2438038</v>
      </c>
      <c r="AY834" t="s">
        <v>106</v>
      </c>
      <c r="AZ834" t="s">
        <v>92</v>
      </c>
      <c r="BA834" t="s">
        <v>107</v>
      </c>
      <c r="BB834" t="s">
        <v>3350</v>
      </c>
      <c r="BC834" t="s">
        <v>1186</v>
      </c>
      <c r="BD834" s="1">
        <v>45110</v>
      </c>
      <c r="BE834" t="s">
        <v>96</v>
      </c>
      <c r="BG834" t="s">
        <v>1187</v>
      </c>
      <c r="BI834" t="s">
        <v>98</v>
      </c>
      <c r="BJ834" t="s">
        <v>3342</v>
      </c>
      <c r="BL834" t="s">
        <v>110</v>
      </c>
    </row>
    <row r="835" spans="1:64" hidden="1" x14ac:dyDescent="0.2">
      <c r="A835">
        <v>57</v>
      </c>
      <c r="B835">
        <v>4403382583</v>
      </c>
      <c r="C835" t="s">
        <v>101</v>
      </c>
      <c r="D835" t="s">
        <v>3554</v>
      </c>
      <c r="E835" t="s">
        <v>65</v>
      </c>
      <c r="F835" t="s">
        <v>66</v>
      </c>
      <c r="G835" t="s">
        <v>67</v>
      </c>
      <c r="H835" t="s">
        <v>68</v>
      </c>
      <c r="I835" t="s">
        <v>176</v>
      </c>
      <c r="J835" t="s">
        <v>177</v>
      </c>
      <c r="K835" t="s">
        <v>178</v>
      </c>
      <c r="M835" t="s">
        <v>72</v>
      </c>
      <c r="N835" t="s">
        <v>179</v>
      </c>
      <c r="O835" t="s">
        <v>178</v>
      </c>
      <c r="P835" t="s">
        <v>180</v>
      </c>
      <c r="Q835" t="s">
        <v>75</v>
      </c>
      <c r="R835" t="s">
        <v>3174</v>
      </c>
      <c r="S835" t="s">
        <v>569</v>
      </c>
      <c r="T835" t="s">
        <v>78</v>
      </c>
      <c r="U835" t="s">
        <v>1822</v>
      </c>
      <c r="V835" t="s">
        <v>80</v>
      </c>
      <c r="W835" s="1">
        <v>45110</v>
      </c>
      <c r="X835" t="s">
        <v>1859</v>
      </c>
      <c r="Y835" t="s">
        <v>3550</v>
      </c>
      <c r="Z835" t="s">
        <v>83</v>
      </c>
      <c r="AA835">
        <v>1</v>
      </c>
      <c r="AB835" t="s">
        <v>367</v>
      </c>
      <c r="AC835">
        <v>0</v>
      </c>
      <c r="AD835" t="s">
        <v>128</v>
      </c>
      <c r="AE835" t="s">
        <v>86</v>
      </c>
      <c r="AF835" t="s">
        <v>402</v>
      </c>
      <c r="AG835" t="s">
        <v>3552</v>
      </c>
      <c r="AI835" t="s">
        <v>90</v>
      </c>
      <c r="AJ835">
        <v>32.422609999999999</v>
      </c>
      <c r="AK835">
        <v>-110.73367500000001</v>
      </c>
      <c r="AN835">
        <v>2412</v>
      </c>
      <c r="AP835">
        <v>2412</v>
      </c>
      <c r="AQ835">
        <v>2423.72876</v>
      </c>
      <c r="AT835">
        <v>3</v>
      </c>
      <c r="AU835">
        <v>7</v>
      </c>
      <c r="AV835">
        <v>2023</v>
      </c>
      <c r="AW835">
        <v>2438038</v>
      </c>
      <c r="AX835">
        <v>2438038</v>
      </c>
      <c r="AY835" t="s">
        <v>106</v>
      </c>
      <c r="AZ835" t="s">
        <v>92</v>
      </c>
      <c r="BA835" t="s">
        <v>107</v>
      </c>
      <c r="BB835" t="s">
        <v>3555</v>
      </c>
      <c r="BC835" t="s">
        <v>1186</v>
      </c>
      <c r="BD835" s="1">
        <v>45110</v>
      </c>
      <c r="BE835" t="s">
        <v>96</v>
      </c>
      <c r="BG835" t="s">
        <v>1187</v>
      </c>
      <c r="BI835" t="s">
        <v>98</v>
      </c>
      <c r="BJ835" t="s">
        <v>3556</v>
      </c>
      <c r="BL835" t="s">
        <v>412</v>
      </c>
    </row>
    <row r="836" spans="1:64" hidden="1" x14ac:dyDescent="0.2">
      <c r="A836">
        <v>104</v>
      </c>
      <c r="B836">
        <v>4403382536</v>
      </c>
      <c r="C836" t="s">
        <v>101</v>
      </c>
      <c r="D836" t="s">
        <v>3354</v>
      </c>
      <c r="E836" t="s">
        <v>65</v>
      </c>
      <c r="F836" t="s">
        <v>66</v>
      </c>
      <c r="G836" t="s">
        <v>67</v>
      </c>
      <c r="H836" t="s">
        <v>68</v>
      </c>
      <c r="I836" t="s">
        <v>176</v>
      </c>
      <c r="J836" t="s">
        <v>177</v>
      </c>
      <c r="K836" t="s">
        <v>178</v>
      </c>
      <c r="M836" t="s">
        <v>72</v>
      </c>
      <c r="N836" t="s">
        <v>179</v>
      </c>
      <c r="O836" t="s">
        <v>178</v>
      </c>
      <c r="P836" t="s">
        <v>180</v>
      </c>
      <c r="Q836" t="s">
        <v>75</v>
      </c>
      <c r="R836" t="s">
        <v>3174</v>
      </c>
      <c r="S836" t="s">
        <v>355</v>
      </c>
      <c r="T836" t="s">
        <v>78</v>
      </c>
      <c r="U836" t="s">
        <v>1822</v>
      </c>
      <c r="V836" t="s">
        <v>80</v>
      </c>
      <c r="W836" s="1">
        <v>45110</v>
      </c>
      <c r="X836" t="s">
        <v>1859</v>
      </c>
      <c r="Y836" t="s">
        <v>3331</v>
      </c>
      <c r="Z836" t="s">
        <v>83</v>
      </c>
      <c r="AA836">
        <v>1</v>
      </c>
      <c r="AB836" t="s">
        <v>367</v>
      </c>
      <c r="AD836" t="s">
        <v>104</v>
      </c>
      <c r="AE836" t="s">
        <v>86</v>
      </c>
      <c r="AF836" t="s">
        <v>610</v>
      </c>
      <c r="AG836" t="s">
        <v>3333</v>
      </c>
      <c r="AH836" t="s">
        <v>3338</v>
      </c>
      <c r="AI836" t="s">
        <v>90</v>
      </c>
      <c r="AJ836">
        <v>32.425854000000001</v>
      </c>
      <c r="AK836">
        <v>-110.74023699999999</v>
      </c>
      <c r="AN836">
        <v>2357</v>
      </c>
      <c r="AP836">
        <v>2357</v>
      </c>
      <c r="AQ836">
        <v>2387.34854</v>
      </c>
      <c r="AT836">
        <v>3</v>
      </c>
      <c r="AU836">
        <v>7</v>
      </c>
      <c r="AV836">
        <v>2023</v>
      </c>
      <c r="AW836">
        <v>2438038</v>
      </c>
      <c r="AX836">
        <v>2438038</v>
      </c>
      <c r="AY836" t="s">
        <v>106</v>
      </c>
      <c r="AZ836" t="s">
        <v>92</v>
      </c>
      <c r="BA836" t="s">
        <v>107</v>
      </c>
      <c r="BB836" t="s">
        <v>3355</v>
      </c>
      <c r="BC836" t="s">
        <v>1186</v>
      </c>
      <c r="BD836" s="1">
        <v>45110</v>
      </c>
      <c r="BE836" t="s">
        <v>96</v>
      </c>
      <c r="BG836" t="s">
        <v>1187</v>
      </c>
      <c r="BI836" t="s">
        <v>98</v>
      </c>
      <c r="BJ836" t="s">
        <v>3356</v>
      </c>
      <c r="BL836" t="s">
        <v>110</v>
      </c>
    </row>
    <row r="837" spans="1:64" hidden="1" x14ac:dyDescent="0.2">
      <c r="A837">
        <v>105</v>
      </c>
      <c r="B837">
        <v>4403382535</v>
      </c>
      <c r="C837" t="s">
        <v>101</v>
      </c>
      <c r="D837" t="s">
        <v>3357</v>
      </c>
      <c r="E837" t="s">
        <v>65</v>
      </c>
      <c r="F837" t="s">
        <v>66</v>
      </c>
      <c r="G837" t="s">
        <v>67</v>
      </c>
      <c r="H837" t="s">
        <v>68</v>
      </c>
      <c r="I837" t="s">
        <v>176</v>
      </c>
      <c r="J837" t="s">
        <v>177</v>
      </c>
      <c r="K837" t="s">
        <v>178</v>
      </c>
      <c r="M837" t="s">
        <v>72</v>
      </c>
      <c r="N837" t="s">
        <v>179</v>
      </c>
      <c r="O837" t="s">
        <v>178</v>
      </c>
      <c r="P837" t="s">
        <v>180</v>
      </c>
      <c r="Q837" t="s">
        <v>75</v>
      </c>
      <c r="R837" t="s">
        <v>3174</v>
      </c>
      <c r="S837" t="s">
        <v>355</v>
      </c>
      <c r="T837" t="s">
        <v>78</v>
      </c>
      <c r="U837" t="s">
        <v>1822</v>
      </c>
      <c r="V837" t="s">
        <v>80</v>
      </c>
      <c r="W837" s="1">
        <v>45110</v>
      </c>
      <c r="X837" t="s">
        <v>1859</v>
      </c>
      <c r="Y837" t="s">
        <v>3331</v>
      </c>
      <c r="Z837" t="s">
        <v>83</v>
      </c>
      <c r="AA837">
        <v>1</v>
      </c>
      <c r="AB837" t="s">
        <v>367</v>
      </c>
      <c r="AD837" t="s">
        <v>116</v>
      </c>
      <c r="AE837" t="s">
        <v>86</v>
      </c>
      <c r="AF837" t="s">
        <v>610</v>
      </c>
      <c r="AG837" t="s">
        <v>3333</v>
      </c>
      <c r="AH837" t="s">
        <v>3338</v>
      </c>
      <c r="AI837" t="s">
        <v>90</v>
      </c>
      <c r="AJ837">
        <v>32.425854000000001</v>
      </c>
      <c r="AK837">
        <v>-110.74023699999999</v>
      </c>
      <c r="AN837">
        <v>2357</v>
      </c>
      <c r="AP837">
        <v>2357</v>
      </c>
      <c r="AQ837">
        <v>2387.34854</v>
      </c>
      <c r="AT837">
        <v>3</v>
      </c>
      <c r="AU837">
        <v>7</v>
      </c>
      <c r="AV837">
        <v>2023</v>
      </c>
      <c r="AW837">
        <v>2438038</v>
      </c>
      <c r="AX837">
        <v>2438038</v>
      </c>
      <c r="AY837" t="s">
        <v>106</v>
      </c>
      <c r="AZ837" t="s">
        <v>92</v>
      </c>
      <c r="BA837" t="s">
        <v>107</v>
      </c>
      <c r="BB837" t="s">
        <v>3358</v>
      </c>
      <c r="BC837" t="s">
        <v>1186</v>
      </c>
      <c r="BD837" s="1">
        <v>45110</v>
      </c>
      <c r="BE837" t="s">
        <v>96</v>
      </c>
      <c r="BG837" t="s">
        <v>1187</v>
      </c>
      <c r="BI837" t="s">
        <v>98</v>
      </c>
      <c r="BJ837" t="s">
        <v>3356</v>
      </c>
      <c r="BL837" t="s">
        <v>110</v>
      </c>
    </row>
    <row r="838" spans="1:64" hidden="1" x14ac:dyDescent="0.2">
      <c r="A838">
        <v>107</v>
      </c>
      <c r="B838">
        <v>4403382533</v>
      </c>
      <c r="C838" t="s">
        <v>101</v>
      </c>
      <c r="D838" t="s">
        <v>3359</v>
      </c>
      <c r="E838" t="s">
        <v>65</v>
      </c>
      <c r="F838" t="s">
        <v>66</v>
      </c>
      <c r="G838" t="s">
        <v>67</v>
      </c>
      <c r="H838" t="s">
        <v>68</v>
      </c>
      <c r="I838" t="s">
        <v>176</v>
      </c>
      <c r="J838" t="s">
        <v>177</v>
      </c>
      <c r="K838" t="s">
        <v>178</v>
      </c>
      <c r="M838" t="s">
        <v>72</v>
      </c>
      <c r="N838" t="s">
        <v>179</v>
      </c>
      <c r="O838" t="s">
        <v>178</v>
      </c>
      <c r="P838" t="s">
        <v>180</v>
      </c>
      <c r="Q838" t="s">
        <v>75</v>
      </c>
      <c r="R838" t="s">
        <v>3174</v>
      </c>
      <c r="S838" t="s">
        <v>355</v>
      </c>
      <c r="T838" t="s">
        <v>78</v>
      </c>
      <c r="U838" t="s">
        <v>1822</v>
      </c>
      <c r="V838" t="s">
        <v>80</v>
      </c>
      <c r="W838" s="1">
        <v>45110</v>
      </c>
      <c r="X838" t="s">
        <v>1859</v>
      </c>
      <c r="Y838" t="s">
        <v>3331</v>
      </c>
      <c r="Z838" t="s">
        <v>83</v>
      </c>
      <c r="AA838">
        <v>1</v>
      </c>
      <c r="AB838" t="s">
        <v>367</v>
      </c>
      <c r="AD838" t="s">
        <v>123</v>
      </c>
      <c r="AE838" t="s">
        <v>86</v>
      </c>
      <c r="AF838" t="s">
        <v>610</v>
      </c>
      <c r="AG838" t="s">
        <v>3333</v>
      </c>
      <c r="AH838" t="s">
        <v>3338</v>
      </c>
      <c r="AI838" t="s">
        <v>90</v>
      </c>
      <c r="AJ838">
        <v>32.425854000000001</v>
      </c>
      <c r="AK838">
        <v>-110.74023699999999</v>
      </c>
      <c r="AN838">
        <v>2357</v>
      </c>
      <c r="AP838">
        <v>2357</v>
      </c>
      <c r="AQ838">
        <v>2387.34854</v>
      </c>
      <c r="AT838">
        <v>3</v>
      </c>
      <c r="AU838">
        <v>7</v>
      </c>
      <c r="AV838">
        <v>2023</v>
      </c>
      <c r="AW838">
        <v>2438038</v>
      </c>
      <c r="AX838">
        <v>2438038</v>
      </c>
      <c r="AY838" t="s">
        <v>106</v>
      </c>
      <c r="AZ838" t="s">
        <v>92</v>
      </c>
      <c r="BA838" t="s">
        <v>107</v>
      </c>
      <c r="BB838" t="s">
        <v>3360</v>
      </c>
      <c r="BC838" t="s">
        <v>1186</v>
      </c>
      <c r="BD838" s="1">
        <v>45110</v>
      </c>
      <c r="BE838" t="s">
        <v>96</v>
      </c>
      <c r="BG838" t="s">
        <v>1187</v>
      </c>
      <c r="BI838" t="s">
        <v>98</v>
      </c>
      <c r="BJ838" t="s">
        <v>3361</v>
      </c>
      <c r="BL838" t="s">
        <v>110</v>
      </c>
    </row>
    <row r="839" spans="1:64" hidden="1" x14ac:dyDescent="0.2">
      <c r="A839">
        <v>79</v>
      </c>
      <c r="B839">
        <v>4403382561</v>
      </c>
      <c r="C839" t="s">
        <v>101</v>
      </c>
      <c r="D839" t="s">
        <v>3561</v>
      </c>
      <c r="E839" t="s">
        <v>65</v>
      </c>
      <c r="F839" t="s">
        <v>66</v>
      </c>
      <c r="G839" t="s">
        <v>67</v>
      </c>
      <c r="H839" t="s">
        <v>68</v>
      </c>
      <c r="I839" t="s">
        <v>176</v>
      </c>
      <c r="J839" t="s">
        <v>177</v>
      </c>
      <c r="K839" t="s">
        <v>1817</v>
      </c>
      <c r="M839" t="s">
        <v>72</v>
      </c>
      <c r="N839" t="s">
        <v>1818</v>
      </c>
      <c r="O839" t="s">
        <v>1817</v>
      </c>
      <c r="P839" t="s">
        <v>1819</v>
      </c>
      <c r="Q839" t="s">
        <v>75</v>
      </c>
      <c r="R839" t="s">
        <v>3174</v>
      </c>
      <c r="S839" t="s">
        <v>1472</v>
      </c>
      <c r="T839" t="s">
        <v>78</v>
      </c>
      <c r="U839" t="s">
        <v>1822</v>
      </c>
      <c r="V839" t="s">
        <v>80</v>
      </c>
      <c r="W839" s="1">
        <v>45110</v>
      </c>
      <c r="X839" t="s">
        <v>1859</v>
      </c>
      <c r="Y839" t="s">
        <v>3558</v>
      </c>
      <c r="Z839" t="s">
        <v>83</v>
      </c>
      <c r="AA839">
        <v>1</v>
      </c>
      <c r="AB839" t="s">
        <v>367</v>
      </c>
      <c r="AC839">
        <v>0</v>
      </c>
      <c r="AD839" t="s">
        <v>128</v>
      </c>
      <c r="AE839" t="s">
        <v>145</v>
      </c>
      <c r="AF839" t="s">
        <v>610</v>
      </c>
      <c r="AG839" t="s">
        <v>1526</v>
      </c>
      <c r="AI839" t="s">
        <v>90</v>
      </c>
      <c r="AJ839">
        <v>32.425175000000003</v>
      </c>
      <c r="AK839">
        <v>-110.739165</v>
      </c>
      <c r="AN839">
        <v>2364</v>
      </c>
      <c r="AP839">
        <v>2364</v>
      </c>
      <c r="AQ839">
        <v>2380.976682</v>
      </c>
      <c r="AT839">
        <v>3</v>
      </c>
      <c r="AU839">
        <v>7</v>
      </c>
      <c r="AV839">
        <v>2023</v>
      </c>
      <c r="AW839">
        <v>2437967</v>
      </c>
      <c r="AX839">
        <v>2437967</v>
      </c>
      <c r="AY839" t="s">
        <v>106</v>
      </c>
      <c r="AZ839" t="s">
        <v>92</v>
      </c>
      <c r="BA839" t="s">
        <v>107</v>
      </c>
      <c r="BB839" t="s">
        <v>3562</v>
      </c>
      <c r="BC839" t="s">
        <v>1186</v>
      </c>
      <c r="BD839" s="1">
        <v>45110</v>
      </c>
      <c r="BE839" t="s">
        <v>96</v>
      </c>
      <c r="BG839" t="s">
        <v>1187</v>
      </c>
      <c r="BI839" t="s">
        <v>98</v>
      </c>
      <c r="BJ839" t="s">
        <v>2293</v>
      </c>
      <c r="BL839" t="s">
        <v>110</v>
      </c>
    </row>
    <row r="840" spans="1:64" hidden="1" x14ac:dyDescent="0.2">
      <c r="A840">
        <v>122</v>
      </c>
      <c r="B840">
        <v>4403382518</v>
      </c>
      <c r="C840" t="s">
        <v>101</v>
      </c>
      <c r="D840" t="s">
        <v>3373</v>
      </c>
      <c r="E840" t="s">
        <v>65</v>
      </c>
      <c r="F840" t="s">
        <v>66</v>
      </c>
      <c r="G840" t="s">
        <v>67</v>
      </c>
      <c r="H840" t="s">
        <v>68</v>
      </c>
      <c r="I840" t="s">
        <v>176</v>
      </c>
      <c r="J840" t="s">
        <v>177</v>
      </c>
      <c r="K840" t="s">
        <v>1817</v>
      </c>
      <c r="M840" t="s">
        <v>72</v>
      </c>
      <c r="N840" t="s">
        <v>1818</v>
      </c>
      <c r="O840" t="s">
        <v>1817</v>
      </c>
      <c r="P840" t="s">
        <v>1819</v>
      </c>
      <c r="Q840" t="s">
        <v>75</v>
      </c>
      <c r="R840" t="s">
        <v>3174</v>
      </c>
      <c r="S840" t="s">
        <v>3363</v>
      </c>
      <c r="T840" t="s">
        <v>78</v>
      </c>
      <c r="U840" t="s">
        <v>1822</v>
      </c>
      <c r="V840" t="s">
        <v>80</v>
      </c>
      <c r="W840" s="1">
        <v>45110</v>
      </c>
      <c r="X840" t="s">
        <v>1859</v>
      </c>
      <c r="Y840" t="s">
        <v>3364</v>
      </c>
      <c r="Z840" t="s">
        <v>83</v>
      </c>
      <c r="AA840">
        <v>1</v>
      </c>
      <c r="AB840" t="s">
        <v>367</v>
      </c>
      <c r="AD840" t="s">
        <v>104</v>
      </c>
      <c r="AE840" t="s">
        <v>86</v>
      </c>
      <c r="AF840" t="s">
        <v>402</v>
      </c>
      <c r="AG840" t="s">
        <v>3366</v>
      </c>
      <c r="AH840" t="s">
        <v>3374</v>
      </c>
      <c r="AI840" t="s">
        <v>90</v>
      </c>
      <c r="AJ840">
        <v>32.424312</v>
      </c>
      <c r="AK840">
        <v>-110.737903</v>
      </c>
      <c r="AN840">
        <v>2377</v>
      </c>
      <c r="AP840">
        <v>2377</v>
      </c>
      <c r="AQ840">
        <v>2398.503365</v>
      </c>
      <c r="AT840">
        <v>3</v>
      </c>
      <c r="AU840">
        <v>7</v>
      </c>
      <c r="AV840">
        <v>2023</v>
      </c>
      <c r="AW840">
        <v>2437967</v>
      </c>
      <c r="AX840">
        <v>2437967</v>
      </c>
      <c r="AY840" t="s">
        <v>106</v>
      </c>
      <c r="AZ840" t="s">
        <v>92</v>
      </c>
      <c r="BA840" t="s">
        <v>107</v>
      </c>
      <c r="BB840" t="s">
        <v>3375</v>
      </c>
      <c r="BC840" t="s">
        <v>1186</v>
      </c>
      <c r="BD840" s="1">
        <v>45110</v>
      </c>
      <c r="BE840" t="s">
        <v>96</v>
      </c>
      <c r="BG840" t="s">
        <v>1187</v>
      </c>
      <c r="BI840" t="s">
        <v>98</v>
      </c>
      <c r="BJ840" t="s">
        <v>2396</v>
      </c>
      <c r="BL840" t="s">
        <v>110</v>
      </c>
    </row>
    <row r="841" spans="1:64" hidden="1" x14ac:dyDescent="0.2">
      <c r="A841">
        <v>123</v>
      </c>
      <c r="B841">
        <v>4403382517</v>
      </c>
      <c r="C841" t="s">
        <v>101</v>
      </c>
      <c r="D841" t="s">
        <v>3376</v>
      </c>
      <c r="E841" t="s">
        <v>65</v>
      </c>
      <c r="F841" t="s">
        <v>66</v>
      </c>
      <c r="G841" t="s">
        <v>67</v>
      </c>
      <c r="H841" t="s">
        <v>68</v>
      </c>
      <c r="I841" t="s">
        <v>176</v>
      </c>
      <c r="J841" t="s">
        <v>177</v>
      </c>
      <c r="K841" t="s">
        <v>1817</v>
      </c>
      <c r="M841" t="s">
        <v>72</v>
      </c>
      <c r="N841" t="s">
        <v>1818</v>
      </c>
      <c r="O841" t="s">
        <v>1817</v>
      </c>
      <c r="P841" t="s">
        <v>1819</v>
      </c>
      <c r="Q841" t="s">
        <v>75</v>
      </c>
      <c r="R841" t="s">
        <v>3174</v>
      </c>
      <c r="S841" t="s">
        <v>3363</v>
      </c>
      <c r="T841" t="s">
        <v>78</v>
      </c>
      <c r="U841" t="s">
        <v>1822</v>
      </c>
      <c r="V841" t="s">
        <v>80</v>
      </c>
      <c r="W841" s="1">
        <v>45110</v>
      </c>
      <c r="X841" t="s">
        <v>1859</v>
      </c>
      <c r="Y841" t="s">
        <v>3364</v>
      </c>
      <c r="Z841" t="s">
        <v>83</v>
      </c>
      <c r="AA841">
        <v>1</v>
      </c>
      <c r="AB841" t="s">
        <v>367</v>
      </c>
      <c r="AD841" t="s">
        <v>116</v>
      </c>
      <c r="AE841" t="s">
        <v>86</v>
      </c>
      <c r="AF841" t="s">
        <v>402</v>
      </c>
      <c r="AG841" t="s">
        <v>3366</v>
      </c>
      <c r="AH841" t="s">
        <v>3374</v>
      </c>
      <c r="AI841" t="s">
        <v>90</v>
      </c>
      <c r="AJ841">
        <v>32.424312</v>
      </c>
      <c r="AK841">
        <v>-110.737903</v>
      </c>
      <c r="AN841">
        <v>2377</v>
      </c>
      <c r="AP841">
        <v>2377</v>
      </c>
      <c r="AQ841">
        <v>2398.503365</v>
      </c>
      <c r="AT841">
        <v>3</v>
      </c>
      <c r="AU841">
        <v>7</v>
      </c>
      <c r="AV841">
        <v>2023</v>
      </c>
      <c r="AW841">
        <v>2437967</v>
      </c>
      <c r="AX841">
        <v>2437967</v>
      </c>
      <c r="AY841" t="s">
        <v>106</v>
      </c>
      <c r="AZ841" t="s">
        <v>92</v>
      </c>
      <c r="BA841" t="s">
        <v>107</v>
      </c>
      <c r="BB841" t="s">
        <v>3377</v>
      </c>
      <c r="BC841" t="s">
        <v>1186</v>
      </c>
      <c r="BD841" s="1">
        <v>45110</v>
      </c>
      <c r="BE841" t="s">
        <v>96</v>
      </c>
      <c r="BG841" t="s">
        <v>1187</v>
      </c>
      <c r="BI841" t="s">
        <v>98</v>
      </c>
      <c r="BJ841" t="s">
        <v>2396</v>
      </c>
      <c r="BL841" t="s">
        <v>110</v>
      </c>
    </row>
    <row r="842" spans="1:64" hidden="1" x14ac:dyDescent="0.2">
      <c r="A842">
        <v>125</v>
      </c>
      <c r="B842">
        <v>4403382515</v>
      </c>
      <c r="C842" t="s">
        <v>101</v>
      </c>
      <c r="D842" s="2" t="s">
        <v>3378</v>
      </c>
      <c r="E842" t="s">
        <v>65</v>
      </c>
      <c r="F842" t="s">
        <v>66</v>
      </c>
      <c r="G842" t="s">
        <v>67</v>
      </c>
      <c r="H842" t="s">
        <v>68</v>
      </c>
      <c r="I842" t="s">
        <v>176</v>
      </c>
      <c r="J842" t="s">
        <v>177</v>
      </c>
      <c r="K842" t="s">
        <v>1817</v>
      </c>
      <c r="M842" t="s">
        <v>72</v>
      </c>
      <c r="N842" t="s">
        <v>1818</v>
      </c>
      <c r="O842" t="s">
        <v>1817</v>
      </c>
      <c r="P842" t="s">
        <v>1819</v>
      </c>
      <c r="Q842" t="s">
        <v>75</v>
      </c>
      <c r="R842" t="s">
        <v>3174</v>
      </c>
      <c r="S842" t="s">
        <v>3363</v>
      </c>
      <c r="T842" t="s">
        <v>78</v>
      </c>
      <c r="U842" t="s">
        <v>1822</v>
      </c>
      <c r="V842" t="s">
        <v>80</v>
      </c>
      <c r="W842" s="1">
        <v>45110</v>
      </c>
      <c r="X842" t="s">
        <v>1859</v>
      </c>
      <c r="Y842" t="s">
        <v>3364</v>
      </c>
      <c r="Z842" t="s">
        <v>83</v>
      </c>
      <c r="AA842">
        <v>1</v>
      </c>
      <c r="AB842" t="s">
        <v>367</v>
      </c>
      <c r="AD842" t="s">
        <v>112</v>
      </c>
      <c r="AE842" t="s">
        <v>86</v>
      </c>
      <c r="AF842" t="s">
        <v>402</v>
      </c>
      <c r="AG842" t="s">
        <v>3366</v>
      </c>
      <c r="AH842" t="s">
        <v>3374</v>
      </c>
      <c r="AI842" t="s">
        <v>90</v>
      </c>
      <c r="AJ842">
        <v>32.424312</v>
      </c>
      <c r="AK842">
        <v>-110.737903</v>
      </c>
      <c r="AN842">
        <v>2377</v>
      </c>
      <c r="AP842">
        <v>2377</v>
      </c>
      <c r="AQ842">
        <v>2398.503365</v>
      </c>
      <c r="AT842">
        <v>3</v>
      </c>
      <c r="AU842">
        <v>7</v>
      </c>
      <c r="AV842">
        <v>2023</v>
      </c>
      <c r="AW842">
        <v>2437967</v>
      </c>
      <c r="AX842">
        <v>2437967</v>
      </c>
      <c r="AY842" t="s">
        <v>106</v>
      </c>
      <c r="AZ842" t="s">
        <v>92</v>
      </c>
      <c r="BA842" t="s">
        <v>107</v>
      </c>
      <c r="BB842" t="s">
        <v>3379</v>
      </c>
      <c r="BC842" t="s">
        <v>1186</v>
      </c>
      <c r="BD842" s="1">
        <v>45110</v>
      </c>
      <c r="BE842" t="s">
        <v>96</v>
      </c>
      <c r="BG842" t="s">
        <v>1187</v>
      </c>
      <c r="BI842" t="s">
        <v>98</v>
      </c>
      <c r="BJ842" t="s">
        <v>3380</v>
      </c>
      <c r="BL842" t="s">
        <v>110</v>
      </c>
    </row>
    <row r="843" spans="1:64" hidden="1" x14ac:dyDescent="0.2">
      <c r="A843">
        <v>127</v>
      </c>
      <c r="B843">
        <v>4403382513</v>
      </c>
      <c r="C843" t="s">
        <v>101</v>
      </c>
      <c r="D843" t="s">
        <v>3381</v>
      </c>
      <c r="E843" t="s">
        <v>65</v>
      </c>
      <c r="F843" t="s">
        <v>66</v>
      </c>
      <c r="G843" t="s">
        <v>67</v>
      </c>
      <c r="H843" t="s">
        <v>68</v>
      </c>
      <c r="I843" t="s">
        <v>176</v>
      </c>
      <c r="J843" t="s">
        <v>177</v>
      </c>
      <c r="K843" t="s">
        <v>1817</v>
      </c>
      <c r="M843" t="s">
        <v>72</v>
      </c>
      <c r="N843" t="s">
        <v>1818</v>
      </c>
      <c r="O843" t="s">
        <v>1817</v>
      </c>
      <c r="P843" t="s">
        <v>1819</v>
      </c>
      <c r="Q843" t="s">
        <v>75</v>
      </c>
      <c r="R843" t="s">
        <v>3174</v>
      </c>
      <c r="S843" t="s">
        <v>3363</v>
      </c>
      <c r="T843" t="s">
        <v>78</v>
      </c>
      <c r="U843" t="s">
        <v>1822</v>
      </c>
      <c r="V843" t="s">
        <v>80</v>
      </c>
      <c r="W843" s="1">
        <v>45110</v>
      </c>
      <c r="X843" t="s">
        <v>1859</v>
      </c>
      <c r="Y843" t="s">
        <v>3364</v>
      </c>
      <c r="Z843" t="s">
        <v>83</v>
      </c>
      <c r="AA843">
        <v>1</v>
      </c>
      <c r="AB843" t="s">
        <v>367</v>
      </c>
      <c r="AD843" t="s">
        <v>123</v>
      </c>
      <c r="AE843" t="s">
        <v>86</v>
      </c>
      <c r="AF843" t="s">
        <v>402</v>
      </c>
      <c r="AG843" t="s">
        <v>3366</v>
      </c>
      <c r="AH843" t="s">
        <v>3374</v>
      </c>
      <c r="AI843" t="s">
        <v>90</v>
      </c>
      <c r="AJ843">
        <v>32.424312</v>
      </c>
      <c r="AK843">
        <v>-110.737903</v>
      </c>
      <c r="AN843">
        <v>2377</v>
      </c>
      <c r="AP843">
        <v>2377</v>
      </c>
      <c r="AQ843">
        <v>2398.503365</v>
      </c>
      <c r="AT843">
        <v>3</v>
      </c>
      <c r="AU843">
        <v>7</v>
      </c>
      <c r="AV843">
        <v>2023</v>
      </c>
      <c r="AW843">
        <v>2437967</v>
      </c>
      <c r="AX843">
        <v>2437967</v>
      </c>
      <c r="AY843" t="s">
        <v>106</v>
      </c>
      <c r="AZ843" t="s">
        <v>92</v>
      </c>
      <c r="BA843" t="s">
        <v>107</v>
      </c>
      <c r="BB843" t="s">
        <v>3382</v>
      </c>
      <c r="BC843" t="s">
        <v>1186</v>
      </c>
      <c r="BD843" s="1">
        <v>45110</v>
      </c>
      <c r="BE843" t="s">
        <v>96</v>
      </c>
      <c r="BG843" t="s">
        <v>1187</v>
      </c>
      <c r="BI843" t="s">
        <v>98</v>
      </c>
      <c r="BJ843" t="s">
        <v>2396</v>
      </c>
      <c r="BL843" t="s">
        <v>110</v>
      </c>
    </row>
    <row r="844" spans="1:64" hidden="1" x14ac:dyDescent="0.2">
      <c r="A844">
        <v>129</v>
      </c>
      <c r="B844">
        <v>4403382511</v>
      </c>
      <c r="C844" t="s">
        <v>101</v>
      </c>
      <c r="D844" t="s">
        <v>3383</v>
      </c>
      <c r="E844" t="s">
        <v>65</v>
      </c>
      <c r="F844" t="s">
        <v>66</v>
      </c>
      <c r="G844" t="s">
        <v>67</v>
      </c>
      <c r="H844" t="s">
        <v>68</v>
      </c>
      <c r="I844" t="s">
        <v>176</v>
      </c>
      <c r="J844" t="s">
        <v>177</v>
      </c>
      <c r="K844" t="s">
        <v>1817</v>
      </c>
      <c r="M844" t="s">
        <v>72</v>
      </c>
      <c r="N844" t="s">
        <v>1818</v>
      </c>
      <c r="O844" t="s">
        <v>1817</v>
      </c>
      <c r="P844" t="s">
        <v>1819</v>
      </c>
      <c r="Q844" t="s">
        <v>75</v>
      </c>
      <c r="R844" t="s">
        <v>3174</v>
      </c>
      <c r="S844" t="s">
        <v>3363</v>
      </c>
      <c r="T844" t="s">
        <v>78</v>
      </c>
      <c r="U844" t="s">
        <v>1822</v>
      </c>
      <c r="V844" t="s">
        <v>80</v>
      </c>
      <c r="W844" s="1">
        <v>45110</v>
      </c>
      <c r="X844" t="s">
        <v>1859</v>
      </c>
      <c r="Y844" t="s">
        <v>3364</v>
      </c>
      <c r="Z844" t="s">
        <v>83</v>
      </c>
      <c r="AA844">
        <v>1</v>
      </c>
      <c r="AB844" t="s">
        <v>367</v>
      </c>
      <c r="AD844" t="s">
        <v>139</v>
      </c>
      <c r="AE844" t="s">
        <v>86</v>
      </c>
      <c r="AF844" t="s">
        <v>402</v>
      </c>
      <c r="AG844" t="s">
        <v>3366</v>
      </c>
      <c r="AH844" t="s">
        <v>3374</v>
      </c>
      <c r="AI844" t="s">
        <v>90</v>
      </c>
      <c r="AJ844">
        <v>32.424312</v>
      </c>
      <c r="AK844">
        <v>-110.737903</v>
      </c>
      <c r="AN844">
        <v>2377</v>
      </c>
      <c r="AP844">
        <v>2377</v>
      </c>
      <c r="AQ844">
        <v>2398.503365</v>
      </c>
      <c r="AT844">
        <v>3</v>
      </c>
      <c r="AU844">
        <v>7</v>
      </c>
      <c r="AV844">
        <v>2023</v>
      </c>
      <c r="AW844">
        <v>2437967</v>
      </c>
      <c r="AX844">
        <v>2437967</v>
      </c>
      <c r="AY844" t="s">
        <v>106</v>
      </c>
      <c r="AZ844" t="s">
        <v>92</v>
      </c>
      <c r="BA844" t="s">
        <v>107</v>
      </c>
      <c r="BB844" t="s">
        <v>3384</v>
      </c>
      <c r="BC844" t="s">
        <v>1186</v>
      </c>
      <c r="BD844" s="1">
        <v>45110</v>
      </c>
      <c r="BE844" t="s">
        <v>96</v>
      </c>
      <c r="BG844" t="s">
        <v>1187</v>
      </c>
      <c r="BI844" t="s">
        <v>98</v>
      </c>
      <c r="BJ844" t="s">
        <v>3385</v>
      </c>
      <c r="BL844" t="s">
        <v>110</v>
      </c>
    </row>
    <row r="845" spans="1:64" hidden="1" x14ac:dyDescent="0.2">
      <c r="A845">
        <v>131</v>
      </c>
      <c r="B845">
        <v>4403382509</v>
      </c>
      <c r="C845" t="s">
        <v>101</v>
      </c>
      <c r="D845" t="s">
        <v>3386</v>
      </c>
      <c r="E845" t="s">
        <v>65</v>
      </c>
      <c r="F845" t="s">
        <v>66</v>
      </c>
      <c r="G845" t="s">
        <v>67</v>
      </c>
      <c r="H845" t="s">
        <v>68</v>
      </c>
      <c r="I845" t="s">
        <v>176</v>
      </c>
      <c r="J845" t="s">
        <v>177</v>
      </c>
      <c r="K845" t="s">
        <v>1817</v>
      </c>
      <c r="M845" t="s">
        <v>72</v>
      </c>
      <c r="N845" t="s">
        <v>1818</v>
      </c>
      <c r="O845" t="s">
        <v>1817</v>
      </c>
      <c r="P845" t="s">
        <v>1819</v>
      </c>
      <c r="Q845" t="s">
        <v>75</v>
      </c>
      <c r="R845" t="s">
        <v>3174</v>
      </c>
      <c r="S845" t="s">
        <v>3363</v>
      </c>
      <c r="T845" t="s">
        <v>78</v>
      </c>
      <c r="U845" t="s">
        <v>1822</v>
      </c>
      <c r="V845" t="s">
        <v>80</v>
      </c>
      <c r="W845" s="1">
        <v>45110</v>
      </c>
      <c r="X845" t="s">
        <v>1859</v>
      </c>
      <c r="Y845" t="s">
        <v>3364</v>
      </c>
      <c r="Z845" t="s">
        <v>83</v>
      </c>
      <c r="AA845">
        <v>1</v>
      </c>
      <c r="AB845" t="s">
        <v>372</v>
      </c>
      <c r="AD845" t="s">
        <v>134</v>
      </c>
      <c r="AE845" t="s">
        <v>86</v>
      </c>
      <c r="AF845" t="s">
        <v>402</v>
      </c>
      <c r="AG845" t="s">
        <v>3366</v>
      </c>
      <c r="AH845" t="s">
        <v>3387</v>
      </c>
      <c r="AI845" t="s">
        <v>90</v>
      </c>
      <c r="AJ845">
        <v>32.424312</v>
      </c>
      <c r="AK845">
        <v>-110.737903</v>
      </c>
      <c r="AN845">
        <v>2377</v>
      </c>
      <c r="AP845">
        <v>2377</v>
      </c>
      <c r="AQ845">
        <v>2398.503365</v>
      </c>
      <c r="AT845">
        <v>3</v>
      </c>
      <c r="AU845">
        <v>7</v>
      </c>
      <c r="AV845">
        <v>2023</v>
      </c>
      <c r="AW845">
        <v>2437967</v>
      </c>
      <c r="AX845">
        <v>2437967</v>
      </c>
      <c r="AY845" t="s">
        <v>106</v>
      </c>
      <c r="AZ845" t="s">
        <v>92</v>
      </c>
      <c r="BA845" t="s">
        <v>107</v>
      </c>
      <c r="BB845" t="s">
        <v>3388</v>
      </c>
      <c r="BC845" t="s">
        <v>1186</v>
      </c>
      <c r="BD845" s="1">
        <v>45110</v>
      </c>
      <c r="BE845" t="s">
        <v>96</v>
      </c>
      <c r="BG845" t="s">
        <v>1187</v>
      </c>
      <c r="BI845" t="s">
        <v>98</v>
      </c>
      <c r="BJ845" t="s">
        <v>3389</v>
      </c>
      <c r="BL845" t="s">
        <v>110</v>
      </c>
    </row>
    <row r="846" spans="1:64" hidden="1" x14ac:dyDescent="0.2">
      <c r="A846">
        <v>145</v>
      </c>
      <c r="B846">
        <v>4403382495</v>
      </c>
      <c r="C846" t="s">
        <v>101</v>
      </c>
      <c r="D846" t="s">
        <v>3397</v>
      </c>
      <c r="E846" t="s">
        <v>65</v>
      </c>
      <c r="F846" t="s">
        <v>66</v>
      </c>
      <c r="G846" t="s">
        <v>67</v>
      </c>
      <c r="H846" t="s">
        <v>68</v>
      </c>
      <c r="I846" t="s">
        <v>176</v>
      </c>
      <c r="J846" t="s">
        <v>177</v>
      </c>
      <c r="K846" t="s">
        <v>178</v>
      </c>
      <c r="M846" t="s">
        <v>72</v>
      </c>
      <c r="N846" t="s">
        <v>179</v>
      </c>
      <c r="O846" t="s">
        <v>178</v>
      </c>
      <c r="P846" t="s">
        <v>180</v>
      </c>
      <c r="Q846" t="s">
        <v>75</v>
      </c>
      <c r="R846" t="s">
        <v>3174</v>
      </c>
      <c r="S846" t="s">
        <v>3391</v>
      </c>
      <c r="T846" t="s">
        <v>78</v>
      </c>
      <c r="U846" t="s">
        <v>1822</v>
      </c>
      <c r="V846" t="s">
        <v>80</v>
      </c>
      <c r="W846" s="1">
        <v>45110</v>
      </c>
      <c r="X846" t="s">
        <v>1859</v>
      </c>
      <c r="Y846" t="s">
        <v>3392</v>
      </c>
      <c r="Z846" t="s">
        <v>83</v>
      </c>
      <c r="AA846">
        <v>1</v>
      </c>
      <c r="AB846" t="s">
        <v>372</v>
      </c>
      <c r="AD846" t="s">
        <v>134</v>
      </c>
      <c r="AE846" t="s">
        <v>145</v>
      </c>
      <c r="AF846" t="s">
        <v>402</v>
      </c>
      <c r="AG846" t="s">
        <v>1937</v>
      </c>
      <c r="AH846" t="s">
        <v>3398</v>
      </c>
      <c r="AI846" t="s">
        <v>90</v>
      </c>
      <c r="AJ846">
        <v>32.424565999999999</v>
      </c>
      <c r="AK846">
        <v>-110.738364</v>
      </c>
      <c r="AN846">
        <v>2372</v>
      </c>
      <c r="AP846">
        <v>2372</v>
      </c>
      <c r="AQ846">
        <v>2394.5947120000001</v>
      </c>
      <c r="AT846">
        <v>3</v>
      </c>
      <c r="AU846">
        <v>7</v>
      </c>
      <c r="AV846">
        <v>2023</v>
      </c>
      <c r="AW846">
        <v>2438038</v>
      </c>
      <c r="AX846">
        <v>2438038</v>
      </c>
      <c r="AY846" t="s">
        <v>106</v>
      </c>
      <c r="AZ846" t="s">
        <v>92</v>
      </c>
      <c r="BA846" t="s">
        <v>107</v>
      </c>
      <c r="BB846" t="s">
        <v>3399</v>
      </c>
      <c r="BC846" t="s">
        <v>1186</v>
      </c>
      <c r="BD846" s="1">
        <v>45110</v>
      </c>
      <c r="BE846" t="s">
        <v>96</v>
      </c>
      <c r="BG846" t="s">
        <v>1187</v>
      </c>
      <c r="BI846" t="s">
        <v>98</v>
      </c>
      <c r="BJ846" t="s">
        <v>3400</v>
      </c>
      <c r="BL846" t="s">
        <v>110</v>
      </c>
    </row>
    <row r="847" spans="1:64" hidden="1" x14ac:dyDescent="0.2">
      <c r="A847">
        <v>115</v>
      </c>
      <c r="B847">
        <v>4403382525</v>
      </c>
      <c r="C847" t="s">
        <v>101</v>
      </c>
      <c r="D847" t="s">
        <v>3401</v>
      </c>
      <c r="E847" t="s">
        <v>65</v>
      </c>
      <c r="F847" t="s">
        <v>66</v>
      </c>
      <c r="G847" t="s">
        <v>67</v>
      </c>
      <c r="H847" t="s">
        <v>68</v>
      </c>
      <c r="I847" t="s">
        <v>176</v>
      </c>
      <c r="J847" t="s">
        <v>177</v>
      </c>
      <c r="K847" t="s">
        <v>178</v>
      </c>
      <c r="M847" t="s">
        <v>72</v>
      </c>
      <c r="N847" t="s">
        <v>179</v>
      </c>
      <c r="O847" t="s">
        <v>178</v>
      </c>
      <c r="P847" t="s">
        <v>180</v>
      </c>
      <c r="Q847" t="s">
        <v>75</v>
      </c>
      <c r="R847" t="s">
        <v>3174</v>
      </c>
      <c r="S847" t="s">
        <v>3391</v>
      </c>
      <c r="T847" t="s">
        <v>78</v>
      </c>
      <c r="U847" t="s">
        <v>1822</v>
      </c>
      <c r="V847" t="s">
        <v>80</v>
      </c>
      <c r="W847" s="1">
        <v>45110</v>
      </c>
      <c r="X847" t="s">
        <v>1859</v>
      </c>
      <c r="Y847" t="s">
        <v>3392</v>
      </c>
      <c r="Z847" t="s">
        <v>83</v>
      </c>
      <c r="AA847">
        <v>1</v>
      </c>
      <c r="AB847" t="s">
        <v>367</v>
      </c>
      <c r="AD847" t="s">
        <v>104</v>
      </c>
      <c r="AE847" t="s">
        <v>145</v>
      </c>
      <c r="AF847" t="s">
        <v>402</v>
      </c>
      <c r="AG847" t="s">
        <v>1937</v>
      </c>
      <c r="AH847" t="s">
        <v>3402</v>
      </c>
      <c r="AI847" t="s">
        <v>90</v>
      </c>
      <c r="AJ847">
        <v>32.424565999999999</v>
      </c>
      <c r="AK847">
        <v>-110.738364</v>
      </c>
      <c r="AN847">
        <v>2372</v>
      </c>
      <c r="AP847">
        <v>2372</v>
      </c>
      <c r="AQ847">
        <v>2394.5947120000001</v>
      </c>
      <c r="AT847">
        <v>3</v>
      </c>
      <c r="AU847">
        <v>7</v>
      </c>
      <c r="AV847">
        <v>2023</v>
      </c>
      <c r="AW847">
        <v>2438038</v>
      </c>
      <c r="AX847">
        <v>2438038</v>
      </c>
      <c r="AY847" t="s">
        <v>106</v>
      </c>
      <c r="AZ847" t="s">
        <v>92</v>
      </c>
      <c r="BA847" t="s">
        <v>107</v>
      </c>
      <c r="BB847" t="s">
        <v>3403</v>
      </c>
      <c r="BC847" t="s">
        <v>1186</v>
      </c>
      <c r="BD847" s="1">
        <v>45110</v>
      </c>
      <c r="BE847" t="s">
        <v>96</v>
      </c>
      <c r="BG847" t="s">
        <v>1187</v>
      </c>
      <c r="BI847" t="s">
        <v>98</v>
      </c>
      <c r="BJ847" t="s">
        <v>3404</v>
      </c>
      <c r="BL847" t="s">
        <v>110</v>
      </c>
    </row>
    <row r="848" spans="1:64" hidden="1" x14ac:dyDescent="0.2">
      <c r="A848">
        <v>117</v>
      </c>
      <c r="B848">
        <v>4403382523</v>
      </c>
      <c r="C848" t="s">
        <v>101</v>
      </c>
      <c r="D848" t="s">
        <v>3405</v>
      </c>
      <c r="E848" t="s">
        <v>65</v>
      </c>
      <c r="F848" t="s">
        <v>66</v>
      </c>
      <c r="G848" t="s">
        <v>67</v>
      </c>
      <c r="H848" t="s">
        <v>68</v>
      </c>
      <c r="I848" t="s">
        <v>176</v>
      </c>
      <c r="J848" t="s">
        <v>177</v>
      </c>
      <c r="K848" t="s">
        <v>178</v>
      </c>
      <c r="M848" t="s">
        <v>72</v>
      </c>
      <c r="N848" t="s">
        <v>179</v>
      </c>
      <c r="O848" t="s">
        <v>178</v>
      </c>
      <c r="P848" t="s">
        <v>180</v>
      </c>
      <c r="Q848" t="s">
        <v>75</v>
      </c>
      <c r="R848" t="s">
        <v>3174</v>
      </c>
      <c r="S848" t="s">
        <v>3391</v>
      </c>
      <c r="T848" t="s">
        <v>78</v>
      </c>
      <c r="U848" t="s">
        <v>1822</v>
      </c>
      <c r="V848" t="s">
        <v>80</v>
      </c>
      <c r="W848" s="1">
        <v>45110</v>
      </c>
      <c r="X848" t="s">
        <v>1859</v>
      </c>
      <c r="Y848" t="s">
        <v>3392</v>
      </c>
      <c r="Z848" t="s">
        <v>83</v>
      </c>
      <c r="AA848">
        <v>1</v>
      </c>
      <c r="AB848" t="s">
        <v>367</v>
      </c>
      <c r="AD848" t="s">
        <v>116</v>
      </c>
      <c r="AE848" t="s">
        <v>145</v>
      </c>
      <c r="AF848" t="s">
        <v>402</v>
      </c>
      <c r="AG848" t="s">
        <v>1937</v>
      </c>
      <c r="AH848" t="s">
        <v>3402</v>
      </c>
      <c r="AI848" t="s">
        <v>90</v>
      </c>
      <c r="AJ848">
        <v>32.424565999999999</v>
      </c>
      <c r="AK848">
        <v>-110.738364</v>
      </c>
      <c r="AN848">
        <v>2372</v>
      </c>
      <c r="AP848">
        <v>2372</v>
      </c>
      <c r="AQ848">
        <v>2394.5947120000001</v>
      </c>
      <c r="AT848">
        <v>3</v>
      </c>
      <c r="AU848">
        <v>7</v>
      </c>
      <c r="AV848">
        <v>2023</v>
      </c>
      <c r="AW848">
        <v>2438038</v>
      </c>
      <c r="AX848">
        <v>2438038</v>
      </c>
      <c r="AY848" t="s">
        <v>106</v>
      </c>
      <c r="AZ848" t="s">
        <v>92</v>
      </c>
      <c r="BA848" t="s">
        <v>107</v>
      </c>
      <c r="BB848" t="s">
        <v>3406</v>
      </c>
      <c r="BC848" t="s">
        <v>1186</v>
      </c>
      <c r="BD848" s="1">
        <v>45110</v>
      </c>
      <c r="BE848" t="s">
        <v>96</v>
      </c>
      <c r="BG848" t="s">
        <v>1187</v>
      </c>
      <c r="BI848" t="s">
        <v>98</v>
      </c>
      <c r="BJ848" t="s">
        <v>2493</v>
      </c>
      <c r="BL848" t="s">
        <v>110</v>
      </c>
    </row>
    <row r="849" spans="1:64" hidden="1" x14ac:dyDescent="0.2">
      <c r="A849">
        <v>119</v>
      </c>
      <c r="B849">
        <v>4403382521</v>
      </c>
      <c r="C849" t="s">
        <v>101</v>
      </c>
      <c r="D849" t="s">
        <v>3407</v>
      </c>
      <c r="E849" t="s">
        <v>65</v>
      </c>
      <c r="F849" t="s">
        <v>66</v>
      </c>
      <c r="G849" t="s">
        <v>67</v>
      </c>
      <c r="H849" t="s">
        <v>68</v>
      </c>
      <c r="I849" t="s">
        <v>176</v>
      </c>
      <c r="J849" t="s">
        <v>177</v>
      </c>
      <c r="K849" t="s">
        <v>178</v>
      </c>
      <c r="M849" t="s">
        <v>72</v>
      </c>
      <c r="N849" t="s">
        <v>179</v>
      </c>
      <c r="O849" t="s">
        <v>178</v>
      </c>
      <c r="P849" t="s">
        <v>180</v>
      </c>
      <c r="Q849" t="s">
        <v>75</v>
      </c>
      <c r="R849" t="s">
        <v>3174</v>
      </c>
      <c r="S849" t="s">
        <v>3391</v>
      </c>
      <c r="T849" t="s">
        <v>78</v>
      </c>
      <c r="U849" t="s">
        <v>1822</v>
      </c>
      <c r="V849" t="s">
        <v>80</v>
      </c>
      <c r="W849" s="1">
        <v>45110</v>
      </c>
      <c r="X849" t="s">
        <v>1859</v>
      </c>
      <c r="Y849" t="s">
        <v>3392</v>
      </c>
      <c r="Z849" t="s">
        <v>83</v>
      </c>
      <c r="AA849">
        <v>1</v>
      </c>
      <c r="AB849" t="s">
        <v>367</v>
      </c>
      <c r="AD849" t="s">
        <v>112</v>
      </c>
      <c r="AE849" t="s">
        <v>145</v>
      </c>
      <c r="AF849" t="s">
        <v>402</v>
      </c>
      <c r="AG849" t="s">
        <v>1937</v>
      </c>
      <c r="AH849" t="s">
        <v>3402</v>
      </c>
      <c r="AI849" t="s">
        <v>90</v>
      </c>
      <c r="AJ849">
        <v>32.424565999999999</v>
      </c>
      <c r="AK849">
        <v>-110.738364</v>
      </c>
      <c r="AN849">
        <v>2372</v>
      </c>
      <c r="AP849">
        <v>2372</v>
      </c>
      <c r="AQ849">
        <v>2394.5947120000001</v>
      </c>
      <c r="AT849">
        <v>3</v>
      </c>
      <c r="AU849">
        <v>7</v>
      </c>
      <c r="AV849">
        <v>2023</v>
      </c>
      <c r="AW849">
        <v>2438038</v>
      </c>
      <c r="AX849">
        <v>2438038</v>
      </c>
      <c r="AY849" t="s">
        <v>106</v>
      </c>
      <c r="AZ849" t="s">
        <v>92</v>
      </c>
      <c r="BA849" t="s">
        <v>107</v>
      </c>
      <c r="BB849" t="s">
        <v>3408</v>
      </c>
      <c r="BC849" t="s">
        <v>1186</v>
      </c>
      <c r="BD849" s="1">
        <v>45110</v>
      </c>
      <c r="BE849" t="s">
        <v>96</v>
      </c>
      <c r="BG849" t="s">
        <v>1187</v>
      </c>
      <c r="BI849" t="s">
        <v>98</v>
      </c>
      <c r="BJ849" t="s">
        <v>2493</v>
      </c>
      <c r="BL849" t="s">
        <v>110</v>
      </c>
    </row>
    <row r="850" spans="1:64" hidden="1" x14ac:dyDescent="0.2">
      <c r="A850">
        <v>140</v>
      </c>
      <c r="B850">
        <v>4403382500</v>
      </c>
      <c r="C850" t="s">
        <v>101</v>
      </c>
      <c r="D850" t="s">
        <v>3409</v>
      </c>
      <c r="E850" t="s">
        <v>65</v>
      </c>
      <c r="F850" t="s">
        <v>66</v>
      </c>
      <c r="G850" t="s">
        <v>67</v>
      </c>
      <c r="H850" t="s">
        <v>68</v>
      </c>
      <c r="I850" t="s">
        <v>176</v>
      </c>
      <c r="J850" t="s">
        <v>177</v>
      </c>
      <c r="K850" t="s">
        <v>178</v>
      </c>
      <c r="M850" t="s">
        <v>72</v>
      </c>
      <c r="N850" t="s">
        <v>179</v>
      </c>
      <c r="O850" t="s">
        <v>178</v>
      </c>
      <c r="P850" t="s">
        <v>180</v>
      </c>
      <c r="Q850" t="s">
        <v>75</v>
      </c>
      <c r="R850" t="s">
        <v>3174</v>
      </c>
      <c r="S850" t="s">
        <v>3391</v>
      </c>
      <c r="T850" t="s">
        <v>78</v>
      </c>
      <c r="U850" t="s">
        <v>1822</v>
      </c>
      <c r="V850" t="s">
        <v>80</v>
      </c>
      <c r="W850" s="1">
        <v>45110</v>
      </c>
      <c r="X850" t="s">
        <v>1859</v>
      </c>
      <c r="Y850" t="s">
        <v>3392</v>
      </c>
      <c r="Z850" t="s">
        <v>83</v>
      </c>
      <c r="AA850">
        <v>1</v>
      </c>
      <c r="AB850" t="s">
        <v>367</v>
      </c>
      <c r="AD850" t="s">
        <v>123</v>
      </c>
      <c r="AE850" t="s">
        <v>145</v>
      </c>
      <c r="AF850" t="s">
        <v>402</v>
      </c>
      <c r="AG850" t="s">
        <v>1937</v>
      </c>
      <c r="AH850" t="s">
        <v>3402</v>
      </c>
      <c r="AI850" t="s">
        <v>90</v>
      </c>
      <c r="AJ850">
        <v>32.424565999999999</v>
      </c>
      <c r="AK850">
        <v>-110.738364</v>
      </c>
      <c r="AN850">
        <v>2372</v>
      </c>
      <c r="AP850">
        <v>2372</v>
      </c>
      <c r="AQ850">
        <v>2394.5947120000001</v>
      </c>
      <c r="AT850">
        <v>3</v>
      </c>
      <c r="AU850">
        <v>7</v>
      </c>
      <c r="AV850">
        <v>2023</v>
      </c>
      <c r="AW850">
        <v>2438038</v>
      </c>
      <c r="AX850">
        <v>2438038</v>
      </c>
      <c r="AY850" t="s">
        <v>106</v>
      </c>
      <c r="AZ850" t="s">
        <v>92</v>
      </c>
      <c r="BA850" t="s">
        <v>107</v>
      </c>
      <c r="BB850" t="s">
        <v>3410</v>
      </c>
      <c r="BC850" t="s">
        <v>1186</v>
      </c>
      <c r="BD850" s="1">
        <v>45110</v>
      </c>
      <c r="BE850" t="s">
        <v>96</v>
      </c>
      <c r="BG850" t="s">
        <v>1187</v>
      </c>
      <c r="BI850" t="s">
        <v>98</v>
      </c>
      <c r="BJ850" t="s">
        <v>3411</v>
      </c>
      <c r="BL850" t="s">
        <v>110</v>
      </c>
    </row>
    <row r="851" spans="1:64" hidden="1" x14ac:dyDescent="0.2">
      <c r="A851">
        <v>141</v>
      </c>
      <c r="B851">
        <v>4403382499</v>
      </c>
      <c r="C851" t="s">
        <v>101</v>
      </c>
      <c r="D851" t="s">
        <v>3412</v>
      </c>
      <c r="E851" t="s">
        <v>65</v>
      </c>
      <c r="F851" t="s">
        <v>66</v>
      </c>
      <c r="G851" t="s">
        <v>67</v>
      </c>
      <c r="H851" t="s">
        <v>68</v>
      </c>
      <c r="I851" t="s">
        <v>176</v>
      </c>
      <c r="J851" t="s">
        <v>177</v>
      </c>
      <c r="K851" t="s">
        <v>178</v>
      </c>
      <c r="M851" t="s">
        <v>72</v>
      </c>
      <c r="N851" t="s">
        <v>179</v>
      </c>
      <c r="O851" t="s">
        <v>178</v>
      </c>
      <c r="P851" t="s">
        <v>180</v>
      </c>
      <c r="Q851" t="s">
        <v>75</v>
      </c>
      <c r="R851" t="s">
        <v>3174</v>
      </c>
      <c r="S851" t="s">
        <v>3391</v>
      </c>
      <c r="T851" t="s">
        <v>78</v>
      </c>
      <c r="U851" t="s">
        <v>1822</v>
      </c>
      <c r="V851" t="s">
        <v>80</v>
      </c>
      <c r="W851" s="1">
        <v>45110</v>
      </c>
      <c r="X851" t="s">
        <v>1859</v>
      </c>
      <c r="Y851" t="s">
        <v>3392</v>
      </c>
      <c r="Z851" t="s">
        <v>83</v>
      </c>
      <c r="AA851">
        <v>1</v>
      </c>
      <c r="AB851" t="s">
        <v>367</v>
      </c>
      <c r="AD851" t="s">
        <v>139</v>
      </c>
      <c r="AE851" t="s">
        <v>145</v>
      </c>
      <c r="AF851" t="s">
        <v>402</v>
      </c>
      <c r="AG851" t="s">
        <v>1937</v>
      </c>
      <c r="AH851" t="s">
        <v>3402</v>
      </c>
      <c r="AI851" t="s">
        <v>90</v>
      </c>
      <c r="AJ851">
        <v>32.424565999999999</v>
      </c>
      <c r="AK851">
        <v>-110.738364</v>
      </c>
      <c r="AN851">
        <v>2372</v>
      </c>
      <c r="AP851">
        <v>2372</v>
      </c>
      <c r="AQ851">
        <v>2394.5947120000001</v>
      </c>
      <c r="AT851">
        <v>3</v>
      </c>
      <c r="AU851">
        <v>7</v>
      </c>
      <c r="AV851">
        <v>2023</v>
      </c>
      <c r="AW851">
        <v>2438038</v>
      </c>
      <c r="AX851">
        <v>2438038</v>
      </c>
      <c r="AY851" t="s">
        <v>106</v>
      </c>
      <c r="AZ851" t="s">
        <v>92</v>
      </c>
      <c r="BA851" t="s">
        <v>107</v>
      </c>
      <c r="BB851" t="s">
        <v>3413</v>
      </c>
      <c r="BC851" t="s">
        <v>1186</v>
      </c>
      <c r="BD851" s="1">
        <v>45110</v>
      </c>
      <c r="BE851" t="s">
        <v>96</v>
      </c>
      <c r="BG851" t="s">
        <v>1187</v>
      </c>
      <c r="BI851" t="s">
        <v>98</v>
      </c>
      <c r="BJ851" t="s">
        <v>3411</v>
      </c>
      <c r="BL851" t="s">
        <v>110</v>
      </c>
    </row>
    <row r="852" spans="1:64" x14ac:dyDescent="0.2">
      <c r="A852">
        <v>1417</v>
      </c>
      <c r="B852">
        <v>4022922330</v>
      </c>
      <c r="C852" t="s">
        <v>63</v>
      </c>
      <c r="D852" t="s">
        <v>4633</v>
      </c>
      <c r="E852" t="s">
        <v>65</v>
      </c>
      <c r="F852" t="s">
        <v>66</v>
      </c>
      <c r="G852" t="s">
        <v>67</v>
      </c>
      <c r="H852" t="s">
        <v>68</v>
      </c>
      <c r="I852" t="s">
        <v>69</v>
      </c>
      <c r="J852" t="s">
        <v>70</v>
      </c>
      <c r="K852" t="s">
        <v>4195</v>
      </c>
      <c r="M852" t="s">
        <v>72</v>
      </c>
      <c r="N852" t="s">
        <v>4196</v>
      </c>
      <c r="O852" t="s">
        <v>4195</v>
      </c>
      <c r="P852" t="s">
        <v>4197</v>
      </c>
      <c r="Q852" t="s">
        <v>75</v>
      </c>
      <c r="R852" t="s">
        <v>4501</v>
      </c>
      <c r="S852" t="s">
        <v>3990</v>
      </c>
      <c r="T852" t="s">
        <v>78</v>
      </c>
      <c r="U852" t="s">
        <v>3817</v>
      </c>
      <c r="V852" t="s">
        <v>80</v>
      </c>
      <c r="W852" s="1">
        <v>44534</v>
      </c>
      <c r="X852" t="s">
        <v>4502</v>
      </c>
      <c r="Y852" t="s">
        <v>4634</v>
      </c>
      <c r="Z852" t="s">
        <v>83</v>
      </c>
      <c r="AA852">
        <v>1</v>
      </c>
      <c r="AB852" t="s">
        <v>4635</v>
      </c>
      <c r="AC852">
        <v>1</v>
      </c>
      <c r="AD852" s="6" t="s">
        <v>85</v>
      </c>
      <c r="AE852" s="6" t="s">
        <v>145</v>
      </c>
      <c r="AF852" s="6" t="s">
        <v>610</v>
      </c>
      <c r="AG852" s="6" t="s">
        <v>4636</v>
      </c>
      <c r="AH852" s="6"/>
      <c r="AI852" s="6" t="s">
        <v>90</v>
      </c>
      <c r="AJ852" s="6">
        <v>32.337062000000003</v>
      </c>
      <c r="AK852" s="6">
        <v>-110.721555</v>
      </c>
      <c r="AL852" s="6">
        <v>3</v>
      </c>
      <c r="AM852" s="6"/>
      <c r="AN852" s="6">
        <v>1463</v>
      </c>
      <c r="AO852" s="6"/>
      <c r="AP852" s="6">
        <v>1463</v>
      </c>
      <c r="AQ852" s="6">
        <v>1467.3854739999999</v>
      </c>
      <c r="AR852" s="6"/>
      <c r="AS852" s="6"/>
      <c r="AT852" s="6">
        <v>4</v>
      </c>
      <c r="AU852" s="6">
        <v>12</v>
      </c>
      <c r="AV852" s="6">
        <v>2021</v>
      </c>
      <c r="AW852" s="6">
        <v>2439589</v>
      </c>
      <c r="AX852" s="6">
        <v>2439589</v>
      </c>
      <c r="AY852" s="6" t="s">
        <v>91</v>
      </c>
      <c r="AZ852" t="s">
        <v>92</v>
      </c>
      <c r="BA852" t="s">
        <v>93</v>
      </c>
      <c r="BB852" t="s">
        <v>4637</v>
      </c>
      <c r="BC852" t="s">
        <v>1186</v>
      </c>
      <c r="BE852" t="s">
        <v>96</v>
      </c>
      <c r="BG852" t="s">
        <v>4507</v>
      </c>
      <c r="BI852" t="s">
        <v>98</v>
      </c>
      <c r="BJ852" t="s">
        <v>4638</v>
      </c>
      <c r="BL852" t="s">
        <v>407</v>
      </c>
    </row>
    <row r="853" spans="1:64" hidden="1" x14ac:dyDescent="0.2">
      <c r="A853">
        <v>147</v>
      </c>
      <c r="B853">
        <v>4403382493</v>
      </c>
      <c r="C853" t="s">
        <v>101</v>
      </c>
      <c r="D853" t="s">
        <v>3418</v>
      </c>
      <c r="E853" t="s">
        <v>65</v>
      </c>
      <c r="F853" t="s">
        <v>66</v>
      </c>
      <c r="G853" t="s">
        <v>67</v>
      </c>
      <c r="H853" t="s">
        <v>68</v>
      </c>
      <c r="I853" t="s">
        <v>350</v>
      </c>
      <c r="J853" t="s">
        <v>351</v>
      </c>
      <c r="K853" t="s">
        <v>352</v>
      </c>
      <c r="M853" t="s">
        <v>72</v>
      </c>
      <c r="N853" t="s">
        <v>353</v>
      </c>
      <c r="O853" t="s">
        <v>352</v>
      </c>
      <c r="P853" t="s">
        <v>180</v>
      </c>
      <c r="Q853" t="s">
        <v>75</v>
      </c>
      <c r="R853" t="s">
        <v>3174</v>
      </c>
      <c r="S853" t="s">
        <v>437</v>
      </c>
      <c r="T853" t="s">
        <v>78</v>
      </c>
      <c r="U853" t="s">
        <v>1822</v>
      </c>
      <c r="V853" t="s">
        <v>80</v>
      </c>
      <c r="W853" s="1">
        <v>45110</v>
      </c>
      <c r="X853" t="s">
        <v>1859</v>
      </c>
      <c r="Y853" t="s">
        <v>3419</v>
      </c>
      <c r="Z853" t="s">
        <v>83</v>
      </c>
      <c r="AA853">
        <v>1</v>
      </c>
      <c r="AB853" t="s">
        <v>3420</v>
      </c>
      <c r="AD853" t="s">
        <v>343</v>
      </c>
      <c r="AE853" t="s">
        <v>86</v>
      </c>
      <c r="AF853" t="s">
        <v>402</v>
      </c>
      <c r="AG853" t="s">
        <v>3421</v>
      </c>
      <c r="AI853" t="s">
        <v>90</v>
      </c>
      <c r="AJ853">
        <v>32.422694</v>
      </c>
      <c r="AK853">
        <v>-110.733796</v>
      </c>
      <c r="AN853">
        <v>2411</v>
      </c>
      <c r="AP853">
        <v>2411</v>
      </c>
      <c r="AQ853">
        <v>2420.8542349999998</v>
      </c>
      <c r="AT853">
        <v>3</v>
      </c>
      <c r="AU853">
        <v>7</v>
      </c>
      <c r="AV853">
        <v>2023</v>
      </c>
      <c r="AW853">
        <v>4972385</v>
      </c>
      <c r="AX853">
        <v>2437431</v>
      </c>
      <c r="AY853" t="s">
        <v>106</v>
      </c>
      <c r="AZ853" t="s">
        <v>92</v>
      </c>
      <c r="BA853" t="s">
        <v>107</v>
      </c>
      <c r="BB853" t="s">
        <v>3422</v>
      </c>
      <c r="BC853" t="s">
        <v>1186</v>
      </c>
      <c r="BD853" s="1">
        <v>45110</v>
      </c>
      <c r="BE853" t="s">
        <v>96</v>
      </c>
      <c r="BG853" t="s">
        <v>1187</v>
      </c>
      <c r="BI853" t="s">
        <v>98</v>
      </c>
      <c r="BJ853" t="s">
        <v>3417</v>
      </c>
      <c r="BK853" t="s">
        <v>365</v>
      </c>
      <c r="BL853" t="s">
        <v>412</v>
      </c>
    </row>
    <row r="854" spans="1:64" x14ac:dyDescent="0.2">
      <c r="A854">
        <v>1418</v>
      </c>
      <c r="B854">
        <v>4022922329</v>
      </c>
      <c r="C854" t="s">
        <v>63</v>
      </c>
      <c r="D854" t="s">
        <v>4663</v>
      </c>
      <c r="E854" t="s">
        <v>65</v>
      </c>
      <c r="F854" t="s">
        <v>66</v>
      </c>
      <c r="G854" t="s">
        <v>67</v>
      </c>
      <c r="H854" t="s">
        <v>68</v>
      </c>
      <c r="I854" t="s">
        <v>69</v>
      </c>
      <c r="J854" t="s">
        <v>70</v>
      </c>
      <c r="K854" t="s">
        <v>4195</v>
      </c>
      <c r="M854" t="s">
        <v>72</v>
      </c>
      <c r="N854" t="s">
        <v>4196</v>
      </c>
      <c r="O854" t="s">
        <v>4195</v>
      </c>
      <c r="P854" t="s">
        <v>4197</v>
      </c>
      <c r="Q854" t="s">
        <v>75</v>
      </c>
      <c r="R854" t="s">
        <v>4501</v>
      </c>
      <c r="S854" t="s">
        <v>3804</v>
      </c>
      <c r="T854" t="s">
        <v>78</v>
      </c>
      <c r="U854" t="s">
        <v>3817</v>
      </c>
      <c r="V854" t="s">
        <v>80</v>
      </c>
      <c r="W854" s="1">
        <v>44534</v>
      </c>
      <c r="X854" t="s">
        <v>4502</v>
      </c>
      <c r="Y854" t="s">
        <v>4664</v>
      </c>
      <c r="Z854" t="s">
        <v>83</v>
      </c>
      <c r="AA854">
        <v>1</v>
      </c>
      <c r="AB854" t="s">
        <v>4665</v>
      </c>
      <c r="AC854">
        <v>1</v>
      </c>
      <c r="AD854" s="6" t="s">
        <v>85</v>
      </c>
      <c r="AE854" s="6" t="s">
        <v>86</v>
      </c>
      <c r="AF854" s="6" t="s">
        <v>146</v>
      </c>
      <c r="AG854" s="6" t="s">
        <v>1257</v>
      </c>
      <c r="AH854" s="6" t="s">
        <v>4666</v>
      </c>
      <c r="AI854" s="6" t="s">
        <v>90</v>
      </c>
      <c r="AJ854" s="6">
        <v>32.337280999999997</v>
      </c>
      <c r="AK854" s="6">
        <v>-110.721047</v>
      </c>
      <c r="AL854" s="6">
        <v>3</v>
      </c>
      <c r="AM854" s="6"/>
      <c r="AN854" s="6">
        <v>1464</v>
      </c>
      <c r="AO854" s="6"/>
      <c r="AP854" s="6">
        <v>1464</v>
      </c>
      <c r="AQ854" s="6">
        <v>1470.222438</v>
      </c>
      <c r="AR854" s="6"/>
      <c r="AS854" s="6"/>
      <c r="AT854" s="6">
        <v>4</v>
      </c>
      <c r="AU854" s="6">
        <v>12</v>
      </c>
      <c r="AV854" s="6">
        <v>2021</v>
      </c>
      <c r="AW854" s="6">
        <v>2439589</v>
      </c>
      <c r="AX854" s="6">
        <v>2439589</v>
      </c>
      <c r="AY854" s="6" t="s">
        <v>91</v>
      </c>
      <c r="AZ854" t="s">
        <v>92</v>
      </c>
      <c r="BA854" t="s">
        <v>93</v>
      </c>
      <c r="BB854" t="s">
        <v>4667</v>
      </c>
      <c r="BC854" t="s">
        <v>1186</v>
      </c>
      <c r="BE854" t="s">
        <v>96</v>
      </c>
      <c r="BG854" t="s">
        <v>4507</v>
      </c>
      <c r="BI854" t="s">
        <v>98</v>
      </c>
      <c r="BJ854" t="s">
        <v>4668</v>
      </c>
      <c r="BL854" t="s">
        <v>407</v>
      </c>
    </row>
    <row r="855" spans="1:64" x14ac:dyDescent="0.2">
      <c r="A855">
        <v>1419</v>
      </c>
      <c r="B855">
        <v>4022922328</v>
      </c>
      <c r="C855" t="s">
        <v>63</v>
      </c>
      <c r="D855" t="s">
        <v>4684</v>
      </c>
      <c r="E855" t="s">
        <v>65</v>
      </c>
      <c r="F855" t="s">
        <v>66</v>
      </c>
      <c r="G855" t="s">
        <v>67</v>
      </c>
      <c r="H855" t="s">
        <v>68</v>
      </c>
      <c r="I855" t="s">
        <v>176</v>
      </c>
      <c r="J855" t="s">
        <v>177</v>
      </c>
      <c r="K855" t="s">
        <v>178</v>
      </c>
      <c r="M855" t="s">
        <v>72</v>
      </c>
      <c r="N855" t="s">
        <v>179</v>
      </c>
      <c r="O855" t="s">
        <v>178</v>
      </c>
      <c r="P855" t="s">
        <v>180</v>
      </c>
      <c r="Q855" t="s">
        <v>75</v>
      </c>
      <c r="R855" t="s">
        <v>4501</v>
      </c>
      <c r="S855" t="s">
        <v>3788</v>
      </c>
      <c r="T855" t="s">
        <v>78</v>
      </c>
      <c r="U855" t="s">
        <v>3817</v>
      </c>
      <c r="V855" t="s">
        <v>80</v>
      </c>
      <c r="W855" s="1">
        <v>44534</v>
      </c>
      <c r="X855" t="s">
        <v>4502</v>
      </c>
      <c r="Y855" t="s">
        <v>4685</v>
      </c>
      <c r="Z855" t="s">
        <v>83</v>
      </c>
      <c r="AA855">
        <v>1</v>
      </c>
      <c r="AB855" t="s">
        <v>4686</v>
      </c>
      <c r="AC855">
        <v>1</v>
      </c>
      <c r="AD855" s="6" t="s">
        <v>85</v>
      </c>
      <c r="AE855" s="6" t="s">
        <v>145</v>
      </c>
      <c r="AF855" s="6" t="s">
        <v>146</v>
      </c>
      <c r="AG855" s="6" t="s">
        <v>4687</v>
      </c>
      <c r="AH855" s="6"/>
      <c r="AI855" s="6" t="s">
        <v>90</v>
      </c>
      <c r="AJ855" s="6">
        <v>32.337034000000003</v>
      </c>
      <c r="AK855" s="6">
        <v>-110.721254</v>
      </c>
      <c r="AL855" s="6">
        <v>3</v>
      </c>
      <c r="AM855" s="6"/>
      <c r="AN855" s="6">
        <v>1463</v>
      </c>
      <c r="AO855" s="6"/>
      <c r="AP855" s="6">
        <v>1463</v>
      </c>
      <c r="AQ855" s="6">
        <v>1469.004001</v>
      </c>
      <c r="AR855" s="6"/>
      <c r="AS855" s="6"/>
      <c r="AT855" s="6">
        <v>4</v>
      </c>
      <c r="AU855" s="6">
        <v>12</v>
      </c>
      <c r="AV855" s="6">
        <v>2021</v>
      </c>
      <c r="AW855" s="6">
        <v>2438038</v>
      </c>
      <c r="AX855" s="6">
        <v>2438038</v>
      </c>
      <c r="AY855" s="6" t="s">
        <v>91</v>
      </c>
      <c r="AZ855" t="s">
        <v>92</v>
      </c>
      <c r="BA855" t="s">
        <v>93</v>
      </c>
      <c r="BB855" t="s">
        <v>4688</v>
      </c>
      <c r="BC855" t="s">
        <v>1186</v>
      </c>
      <c r="BE855" t="s">
        <v>96</v>
      </c>
      <c r="BG855" t="s">
        <v>4507</v>
      </c>
      <c r="BI855" t="s">
        <v>98</v>
      </c>
      <c r="BJ855" t="s">
        <v>4689</v>
      </c>
      <c r="BL855" t="s">
        <v>407</v>
      </c>
    </row>
    <row r="856" spans="1:64" hidden="1" x14ac:dyDescent="0.2">
      <c r="A856">
        <v>133</v>
      </c>
      <c r="B856">
        <v>4403382507</v>
      </c>
      <c r="C856" t="s">
        <v>101</v>
      </c>
      <c r="D856" t="s">
        <v>3430</v>
      </c>
      <c r="E856" t="s">
        <v>65</v>
      </c>
      <c r="F856" t="s">
        <v>66</v>
      </c>
      <c r="G856" t="s">
        <v>67</v>
      </c>
      <c r="H856" t="s">
        <v>68</v>
      </c>
      <c r="I856" t="s">
        <v>350</v>
      </c>
      <c r="J856" t="s">
        <v>351</v>
      </c>
      <c r="K856" t="s">
        <v>352</v>
      </c>
      <c r="M856" t="s">
        <v>72</v>
      </c>
      <c r="N856" t="s">
        <v>353</v>
      </c>
      <c r="O856" t="s">
        <v>352</v>
      </c>
      <c r="P856" t="s">
        <v>180</v>
      </c>
      <c r="Q856" t="s">
        <v>75</v>
      </c>
      <c r="R856" t="s">
        <v>3174</v>
      </c>
      <c r="S856" t="s">
        <v>3426</v>
      </c>
      <c r="T856" t="s">
        <v>78</v>
      </c>
      <c r="U856" t="s">
        <v>1822</v>
      </c>
      <c r="V856" t="s">
        <v>80</v>
      </c>
      <c r="W856" s="1">
        <v>45110</v>
      </c>
      <c r="X856" t="s">
        <v>1859</v>
      </c>
      <c r="Y856" t="s">
        <v>3427</v>
      </c>
      <c r="Z856" t="s">
        <v>83</v>
      </c>
      <c r="AA856">
        <v>1</v>
      </c>
      <c r="AB856" t="s">
        <v>3431</v>
      </c>
      <c r="AD856" t="s">
        <v>343</v>
      </c>
      <c r="AE856" t="s">
        <v>86</v>
      </c>
      <c r="AF856" t="s">
        <v>402</v>
      </c>
      <c r="AG856" t="s">
        <v>3421</v>
      </c>
      <c r="AI856" t="s">
        <v>90</v>
      </c>
      <c r="AJ856">
        <v>32.424543</v>
      </c>
      <c r="AK856">
        <v>-110.738316</v>
      </c>
      <c r="AN856">
        <v>2372</v>
      </c>
      <c r="AP856">
        <v>2372</v>
      </c>
      <c r="AQ856">
        <v>2395.4364369999998</v>
      </c>
      <c r="AT856">
        <v>3</v>
      </c>
      <c r="AU856">
        <v>7</v>
      </c>
      <c r="AV856">
        <v>2023</v>
      </c>
      <c r="AW856">
        <v>4972385</v>
      </c>
      <c r="AX856">
        <v>2437431</v>
      </c>
      <c r="AY856" t="s">
        <v>106</v>
      </c>
      <c r="AZ856" t="s">
        <v>92</v>
      </c>
      <c r="BA856" t="s">
        <v>107</v>
      </c>
      <c r="BB856" t="s">
        <v>3432</v>
      </c>
      <c r="BC856" t="s">
        <v>1186</v>
      </c>
      <c r="BD856" s="1">
        <v>45110</v>
      </c>
      <c r="BE856" t="s">
        <v>96</v>
      </c>
      <c r="BG856" t="s">
        <v>1187</v>
      </c>
      <c r="BI856" t="s">
        <v>98</v>
      </c>
      <c r="BJ856" t="s">
        <v>3433</v>
      </c>
      <c r="BL856" t="s">
        <v>110</v>
      </c>
    </row>
    <row r="857" spans="1:64" hidden="1" x14ac:dyDescent="0.2">
      <c r="A857">
        <v>135</v>
      </c>
      <c r="B857">
        <v>4403382505</v>
      </c>
      <c r="C857" t="s">
        <v>101</v>
      </c>
      <c r="D857" t="s">
        <v>3434</v>
      </c>
      <c r="E857" t="s">
        <v>65</v>
      </c>
      <c r="F857" t="s">
        <v>66</v>
      </c>
      <c r="G857" t="s">
        <v>67</v>
      </c>
      <c r="H857" t="s">
        <v>68</v>
      </c>
      <c r="I857" t="s">
        <v>350</v>
      </c>
      <c r="J857" t="s">
        <v>351</v>
      </c>
      <c r="K857" t="s">
        <v>352</v>
      </c>
      <c r="M857" t="s">
        <v>72</v>
      </c>
      <c r="N857" t="s">
        <v>353</v>
      </c>
      <c r="O857" t="s">
        <v>352</v>
      </c>
      <c r="P857" t="s">
        <v>180</v>
      </c>
      <c r="Q857" t="s">
        <v>75</v>
      </c>
      <c r="R857" t="s">
        <v>3174</v>
      </c>
      <c r="S857" t="s">
        <v>3435</v>
      </c>
      <c r="T857" t="s">
        <v>78</v>
      </c>
      <c r="U857" t="s">
        <v>1822</v>
      </c>
      <c r="V857" t="s">
        <v>80</v>
      </c>
      <c r="W857" s="1">
        <v>45110</v>
      </c>
      <c r="X857" t="s">
        <v>1859</v>
      </c>
      <c r="Y857" t="s">
        <v>3436</v>
      </c>
      <c r="Z857" t="s">
        <v>83</v>
      </c>
      <c r="AA857">
        <v>1</v>
      </c>
      <c r="AB857" t="s">
        <v>3437</v>
      </c>
      <c r="AD857" t="s">
        <v>343</v>
      </c>
      <c r="AE857" t="s">
        <v>86</v>
      </c>
      <c r="AF857" t="s">
        <v>402</v>
      </c>
      <c r="AG857" t="s">
        <v>3421</v>
      </c>
      <c r="AI857" t="s">
        <v>90</v>
      </c>
      <c r="AJ857">
        <v>32.424374999999998</v>
      </c>
      <c r="AK857">
        <v>-110.73778299999999</v>
      </c>
      <c r="AN857">
        <v>2373</v>
      </c>
      <c r="AP857">
        <v>2373</v>
      </c>
      <c r="AQ857">
        <v>2394.3252000000002</v>
      </c>
      <c r="AT857">
        <v>3</v>
      </c>
      <c r="AU857">
        <v>7</v>
      </c>
      <c r="AV857">
        <v>2023</v>
      </c>
      <c r="AW857">
        <v>4972385</v>
      </c>
      <c r="AX857">
        <v>2437431</v>
      </c>
      <c r="AY857" t="s">
        <v>106</v>
      </c>
      <c r="AZ857" t="s">
        <v>92</v>
      </c>
      <c r="BA857" t="s">
        <v>107</v>
      </c>
      <c r="BB857" t="s">
        <v>3438</v>
      </c>
      <c r="BC857" t="s">
        <v>1186</v>
      </c>
      <c r="BD857" s="1">
        <v>45110</v>
      </c>
      <c r="BE857" t="s">
        <v>96</v>
      </c>
      <c r="BG857" t="s">
        <v>1187</v>
      </c>
      <c r="BI857" t="s">
        <v>98</v>
      </c>
      <c r="BJ857" t="s">
        <v>2277</v>
      </c>
      <c r="BK857" t="s">
        <v>365</v>
      </c>
      <c r="BL857" t="s">
        <v>110</v>
      </c>
    </row>
    <row r="858" spans="1:64" x14ac:dyDescent="0.2">
      <c r="A858">
        <v>1420</v>
      </c>
      <c r="B858">
        <v>4022922327</v>
      </c>
      <c r="C858" t="s">
        <v>63</v>
      </c>
      <c r="D858" t="s">
        <v>4707</v>
      </c>
      <c r="E858" t="s">
        <v>65</v>
      </c>
      <c r="F858" t="s">
        <v>66</v>
      </c>
      <c r="G858" t="s">
        <v>67</v>
      </c>
      <c r="H858" t="s">
        <v>68</v>
      </c>
      <c r="I858" t="s">
        <v>69</v>
      </c>
      <c r="J858" t="s">
        <v>70</v>
      </c>
      <c r="K858" t="s">
        <v>4195</v>
      </c>
      <c r="M858" t="s">
        <v>72</v>
      </c>
      <c r="N858" t="s">
        <v>4196</v>
      </c>
      <c r="O858" t="s">
        <v>4195</v>
      </c>
      <c r="P858" t="s">
        <v>4197</v>
      </c>
      <c r="Q858" t="s">
        <v>75</v>
      </c>
      <c r="R858" t="s">
        <v>4501</v>
      </c>
      <c r="S858" t="s">
        <v>3812</v>
      </c>
      <c r="T858" t="s">
        <v>78</v>
      </c>
      <c r="U858" t="s">
        <v>3817</v>
      </c>
      <c r="V858" t="s">
        <v>80</v>
      </c>
      <c r="W858" s="1">
        <v>44534</v>
      </c>
      <c r="X858" t="s">
        <v>4502</v>
      </c>
      <c r="Y858" t="s">
        <v>4708</v>
      </c>
      <c r="Z858" t="s">
        <v>83</v>
      </c>
      <c r="AA858">
        <v>1</v>
      </c>
      <c r="AB858" t="s">
        <v>4709</v>
      </c>
      <c r="AC858">
        <v>1</v>
      </c>
      <c r="AD858" s="6" t="s">
        <v>85</v>
      </c>
      <c r="AE858" s="6" t="s">
        <v>86</v>
      </c>
      <c r="AF858" s="6" t="s">
        <v>281</v>
      </c>
      <c r="AG858" s="6" t="s">
        <v>2650</v>
      </c>
      <c r="AH858" s="6"/>
      <c r="AI858" s="6" t="s">
        <v>90</v>
      </c>
      <c r="AJ858" s="6">
        <v>32.337330999999999</v>
      </c>
      <c r="AK858" s="6">
        <v>-110.721548</v>
      </c>
      <c r="AL858" s="6">
        <v>3</v>
      </c>
      <c r="AM858" s="6"/>
      <c r="AN858" s="6">
        <v>1460</v>
      </c>
      <c r="AO858" s="6"/>
      <c r="AP858" s="6">
        <v>1460</v>
      </c>
      <c r="AQ858" s="6">
        <v>1467.900983</v>
      </c>
      <c r="AR858" s="6"/>
      <c r="AS858" s="6"/>
      <c r="AT858" s="6">
        <v>4</v>
      </c>
      <c r="AU858" s="6">
        <v>12</v>
      </c>
      <c r="AV858" s="6">
        <v>2021</v>
      </c>
      <c r="AW858" s="6">
        <v>2439589</v>
      </c>
      <c r="AX858" s="6">
        <v>2439589</v>
      </c>
      <c r="AY858" s="6" t="s">
        <v>91</v>
      </c>
      <c r="AZ858" t="s">
        <v>92</v>
      </c>
      <c r="BA858" t="s">
        <v>93</v>
      </c>
      <c r="BB858" t="s">
        <v>4710</v>
      </c>
      <c r="BC858" t="s">
        <v>1186</v>
      </c>
      <c r="BE858" t="s">
        <v>96</v>
      </c>
      <c r="BG858" t="s">
        <v>4507</v>
      </c>
      <c r="BI858" t="s">
        <v>98</v>
      </c>
      <c r="BJ858" t="s">
        <v>4711</v>
      </c>
      <c r="BL858" t="s">
        <v>407</v>
      </c>
    </row>
    <row r="859" spans="1:64" hidden="1" x14ac:dyDescent="0.2">
      <c r="A859">
        <v>162</v>
      </c>
      <c r="B859">
        <v>4403382478</v>
      </c>
      <c r="C859" t="s">
        <v>101</v>
      </c>
      <c r="D859" t="s">
        <v>3441</v>
      </c>
      <c r="E859" t="s">
        <v>65</v>
      </c>
      <c r="F859" t="s">
        <v>66</v>
      </c>
      <c r="G859" t="s">
        <v>67</v>
      </c>
      <c r="H859" t="s">
        <v>68</v>
      </c>
      <c r="I859" t="s">
        <v>176</v>
      </c>
      <c r="J859" t="s">
        <v>1173</v>
      </c>
      <c r="K859" t="s">
        <v>1174</v>
      </c>
      <c r="M859" t="s">
        <v>72</v>
      </c>
      <c r="N859" t="s">
        <v>1175</v>
      </c>
      <c r="O859" t="s">
        <v>1174</v>
      </c>
      <c r="P859" t="s">
        <v>1176</v>
      </c>
      <c r="Q859" t="s">
        <v>75</v>
      </c>
      <c r="R859" t="s">
        <v>3174</v>
      </c>
      <c r="S859" t="s">
        <v>399</v>
      </c>
      <c r="T859" t="s">
        <v>78</v>
      </c>
      <c r="U859" t="s">
        <v>1822</v>
      </c>
      <c r="V859" t="s">
        <v>80</v>
      </c>
      <c r="W859" s="1">
        <v>45110</v>
      </c>
      <c r="X859" t="s">
        <v>1859</v>
      </c>
      <c r="Y859" t="s">
        <v>3442</v>
      </c>
      <c r="Z859" t="s">
        <v>83</v>
      </c>
      <c r="AA859">
        <v>1</v>
      </c>
      <c r="AB859" t="s">
        <v>3443</v>
      </c>
      <c r="AD859" t="s">
        <v>343</v>
      </c>
      <c r="AE859" t="s">
        <v>145</v>
      </c>
      <c r="AF859" t="s">
        <v>402</v>
      </c>
      <c r="AG859" t="s">
        <v>344</v>
      </c>
      <c r="AI859" t="s">
        <v>90</v>
      </c>
      <c r="AJ859">
        <v>32.422288000000002</v>
      </c>
      <c r="AK859">
        <v>-110.73228400000001</v>
      </c>
      <c r="AN859">
        <v>2408</v>
      </c>
      <c r="AP859">
        <v>2408</v>
      </c>
      <c r="AQ859">
        <v>2423.442278</v>
      </c>
      <c r="AT859">
        <v>3</v>
      </c>
      <c r="AU859">
        <v>7</v>
      </c>
      <c r="AV859">
        <v>2023</v>
      </c>
      <c r="AW859">
        <v>2437874</v>
      </c>
      <c r="AX859">
        <v>2437874</v>
      </c>
      <c r="AY859" t="s">
        <v>106</v>
      </c>
      <c r="AZ859" t="s">
        <v>92</v>
      </c>
      <c r="BA859" t="s">
        <v>107</v>
      </c>
      <c r="BB859" t="s">
        <v>3444</v>
      </c>
      <c r="BC859" t="s">
        <v>1186</v>
      </c>
      <c r="BD859" s="1">
        <v>45110</v>
      </c>
      <c r="BE859" t="s">
        <v>96</v>
      </c>
      <c r="BG859" t="s">
        <v>1187</v>
      </c>
      <c r="BI859" t="s">
        <v>98</v>
      </c>
      <c r="BJ859" t="s">
        <v>3445</v>
      </c>
      <c r="BK859" t="s">
        <v>365</v>
      </c>
      <c r="BL859" t="s">
        <v>412</v>
      </c>
    </row>
    <row r="860" spans="1:64" x14ac:dyDescent="0.2">
      <c r="A860">
        <v>1439</v>
      </c>
      <c r="B860">
        <v>4022922306</v>
      </c>
      <c r="C860" t="s">
        <v>63</v>
      </c>
      <c r="D860" t="s">
        <v>4883</v>
      </c>
      <c r="E860" t="s">
        <v>65</v>
      </c>
      <c r="F860" t="s">
        <v>66</v>
      </c>
      <c r="G860" t="s">
        <v>67</v>
      </c>
      <c r="H860" t="s">
        <v>68</v>
      </c>
      <c r="I860" t="s">
        <v>176</v>
      </c>
      <c r="J860" t="s">
        <v>177</v>
      </c>
      <c r="K860" t="s">
        <v>178</v>
      </c>
      <c r="M860" t="s">
        <v>72</v>
      </c>
      <c r="N860" t="s">
        <v>179</v>
      </c>
      <c r="O860" t="s">
        <v>178</v>
      </c>
      <c r="P860" t="s">
        <v>180</v>
      </c>
      <c r="Q860" t="s">
        <v>75</v>
      </c>
      <c r="R860" t="s">
        <v>4501</v>
      </c>
      <c r="S860" t="s">
        <v>77</v>
      </c>
      <c r="T860" t="s">
        <v>78</v>
      </c>
      <c r="U860" t="s">
        <v>3817</v>
      </c>
      <c r="V860" t="s">
        <v>80</v>
      </c>
      <c r="W860" s="1">
        <v>44534</v>
      </c>
      <c r="X860" t="s">
        <v>4502</v>
      </c>
      <c r="Y860" t="s">
        <v>4884</v>
      </c>
      <c r="Z860" t="s">
        <v>83</v>
      </c>
      <c r="AA860">
        <v>1</v>
      </c>
      <c r="AB860" t="s">
        <v>4885</v>
      </c>
      <c r="AC860">
        <v>1</v>
      </c>
      <c r="AD860" s="6" t="s">
        <v>85</v>
      </c>
      <c r="AE860" s="6" t="s">
        <v>145</v>
      </c>
      <c r="AF860" s="6" t="s">
        <v>146</v>
      </c>
      <c r="AG860" s="6" t="s">
        <v>4886</v>
      </c>
      <c r="AH860" s="6"/>
      <c r="AI860" s="6" t="s">
        <v>90</v>
      </c>
      <c r="AJ860" s="6">
        <v>32.336717999999998</v>
      </c>
      <c r="AK860" s="6">
        <v>-110.720529</v>
      </c>
      <c r="AL860" s="6">
        <v>3</v>
      </c>
      <c r="AM860" s="6"/>
      <c r="AN860" s="6">
        <v>1472</v>
      </c>
      <c r="AO860" s="6"/>
      <c r="AP860" s="6">
        <v>1472</v>
      </c>
      <c r="AQ860" s="6">
        <v>1477.654468</v>
      </c>
      <c r="AR860" s="6"/>
      <c r="AS860" s="6"/>
      <c r="AT860" s="6">
        <v>4</v>
      </c>
      <c r="AU860" s="6">
        <v>12</v>
      </c>
      <c r="AV860" s="6">
        <v>2021</v>
      </c>
      <c r="AW860" s="6">
        <v>2438038</v>
      </c>
      <c r="AX860" s="6">
        <v>2438038</v>
      </c>
      <c r="AY860" s="6" t="s">
        <v>91</v>
      </c>
      <c r="AZ860" t="s">
        <v>92</v>
      </c>
      <c r="BA860" t="s">
        <v>93</v>
      </c>
      <c r="BB860" t="s">
        <v>4887</v>
      </c>
      <c r="BC860" t="s">
        <v>1186</v>
      </c>
      <c r="BE860" t="s">
        <v>96</v>
      </c>
      <c r="BG860" t="s">
        <v>4507</v>
      </c>
      <c r="BI860" t="s">
        <v>98</v>
      </c>
      <c r="BJ860" t="s">
        <v>4888</v>
      </c>
      <c r="BL860" t="s">
        <v>407</v>
      </c>
    </row>
    <row r="861" spans="1:64" hidden="1" x14ac:dyDescent="0.2">
      <c r="A861">
        <v>165</v>
      </c>
      <c r="B861">
        <v>4403382475</v>
      </c>
      <c r="C861" t="s">
        <v>101</v>
      </c>
      <c r="D861" t="s">
        <v>3449</v>
      </c>
      <c r="E861" t="s">
        <v>65</v>
      </c>
      <c r="F861" t="s">
        <v>66</v>
      </c>
      <c r="G861" t="s">
        <v>67</v>
      </c>
      <c r="H861" t="s">
        <v>68</v>
      </c>
      <c r="I861" t="s">
        <v>176</v>
      </c>
      <c r="J861" t="s">
        <v>1173</v>
      </c>
      <c r="K861" t="s">
        <v>1174</v>
      </c>
      <c r="M861" t="s">
        <v>72</v>
      </c>
      <c r="N861" t="s">
        <v>1175</v>
      </c>
      <c r="O861" t="s">
        <v>1174</v>
      </c>
      <c r="P861" t="s">
        <v>1176</v>
      </c>
      <c r="Q861" t="s">
        <v>75</v>
      </c>
      <c r="R861" t="s">
        <v>3174</v>
      </c>
      <c r="S861" t="s">
        <v>3450</v>
      </c>
      <c r="T861" t="s">
        <v>78</v>
      </c>
      <c r="U861" t="s">
        <v>1822</v>
      </c>
      <c r="V861" t="s">
        <v>80</v>
      </c>
      <c r="W861" s="1">
        <v>45110</v>
      </c>
      <c r="X861" t="s">
        <v>1859</v>
      </c>
      <c r="Y861" t="s">
        <v>3451</v>
      </c>
      <c r="Z861" t="s">
        <v>83</v>
      </c>
      <c r="AA861">
        <v>1</v>
      </c>
      <c r="AB861" t="s">
        <v>3452</v>
      </c>
      <c r="AD861" t="s">
        <v>343</v>
      </c>
      <c r="AE861" t="s">
        <v>145</v>
      </c>
      <c r="AF861" t="s">
        <v>359</v>
      </c>
      <c r="AG861" t="s">
        <v>1526</v>
      </c>
      <c r="AI861" t="s">
        <v>90</v>
      </c>
      <c r="AJ861">
        <v>32.424678</v>
      </c>
      <c r="AK861">
        <v>-110.738186</v>
      </c>
      <c r="AN861">
        <v>2371</v>
      </c>
      <c r="AP861">
        <v>2371</v>
      </c>
      <c r="AQ861">
        <v>2387.881363</v>
      </c>
      <c r="AT861">
        <v>3</v>
      </c>
      <c r="AU861">
        <v>7</v>
      </c>
      <c r="AV861">
        <v>2023</v>
      </c>
      <c r="AW861">
        <v>2437874</v>
      </c>
      <c r="AX861">
        <v>2437874</v>
      </c>
      <c r="AY861" t="s">
        <v>106</v>
      </c>
      <c r="AZ861" t="s">
        <v>92</v>
      </c>
      <c r="BA861" t="s">
        <v>107</v>
      </c>
      <c r="BB861" t="s">
        <v>3453</v>
      </c>
      <c r="BC861" t="s">
        <v>1186</v>
      </c>
      <c r="BD861" s="1">
        <v>45110</v>
      </c>
      <c r="BE861" t="s">
        <v>96</v>
      </c>
      <c r="BG861" t="s">
        <v>1187</v>
      </c>
      <c r="BI861" t="s">
        <v>98</v>
      </c>
      <c r="BJ861" t="s">
        <v>3454</v>
      </c>
      <c r="BK861" t="s">
        <v>365</v>
      </c>
      <c r="BL861" t="s">
        <v>110</v>
      </c>
    </row>
    <row r="862" spans="1:64" x14ac:dyDescent="0.2">
      <c r="A862">
        <v>1440</v>
      </c>
      <c r="B862">
        <v>4022922305</v>
      </c>
      <c r="C862" t="s">
        <v>63</v>
      </c>
      <c r="D862" t="s">
        <v>5007</v>
      </c>
      <c r="E862" t="s">
        <v>65</v>
      </c>
      <c r="F862" t="s">
        <v>66</v>
      </c>
      <c r="G862" t="s">
        <v>67</v>
      </c>
      <c r="H862" t="s">
        <v>68</v>
      </c>
      <c r="I862" t="s">
        <v>176</v>
      </c>
      <c r="J862" t="s">
        <v>177</v>
      </c>
      <c r="K862" t="s">
        <v>3925</v>
      </c>
      <c r="M862" t="s">
        <v>72</v>
      </c>
      <c r="N862" t="s">
        <v>3926</v>
      </c>
      <c r="O862" t="s">
        <v>3925</v>
      </c>
      <c r="P862" t="s">
        <v>1176</v>
      </c>
      <c r="Q862" t="s">
        <v>75</v>
      </c>
      <c r="R862" t="s">
        <v>5008</v>
      </c>
      <c r="S862" t="s">
        <v>211</v>
      </c>
      <c r="T862" t="s">
        <v>78</v>
      </c>
      <c r="U862" t="s">
        <v>5009</v>
      </c>
      <c r="V862" t="s">
        <v>80</v>
      </c>
      <c r="W862" s="1">
        <v>44534</v>
      </c>
      <c r="X862" t="s">
        <v>5010</v>
      </c>
      <c r="Y862" t="s">
        <v>5011</v>
      </c>
      <c r="Z862" t="s">
        <v>83</v>
      </c>
      <c r="AA862">
        <v>1</v>
      </c>
      <c r="AB862" t="s">
        <v>5012</v>
      </c>
      <c r="AC862">
        <v>1</v>
      </c>
      <c r="AD862" s="6" t="s">
        <v>85</v>
      </c>
      <c r="AE862" s="6" t="s">
        <v>86</v>
      </c>
      <c r="AF862" s="6" t="s">
        <v>146</v>
      </c>
      <c r="AG862" s="6" t="s">
        <v>5013</v>
      </c>
      <c r="AH862" s="6"/>
      <c r="AI862" s="6" t="s">
        <v>90</v>
      </c>
      <c r="AJ862" s="6">
        <v>32.313032</v>
      </c>
      <c r="AK862" s="6">
        <v>-110.711788</v>
      </c>
      <c r="AL862" s="6">
        <v>3</v>
      </c>
      <c r="AM862" s="6"/>
      <c r="AN862" s="6">
        <v>1148</v>
      </c>
      <c r="AO862" s="6"/>
      <c r="AP862" s="6">
        <v>1148</v>
      </c>
      <c r="AQ862" s="6">
        <v>1146.7076790000001</v>
      </c>
      <c r="AR862" s="6"/>
      <c r="AS862" s="6"/>
      <c r="AT862" s="6">
        <v>4</v>
      </c>
      <c r="AU862" s="6">
        <v>12</v>
      </c>
      <c r="AV862" s="6">
        <v>2021</v>
      </c>
      <c r="AW862" s="6">
        <v>2437981</v>
      </c>
      <c r="AX862" s="6">
        <v>2437981</v>
      </c>
      <c r="AY862" s="6" t="s">
        <v>91</v>
      </c>
      <c r="AZ862" t="s">
        <v>92</v>
      </c>
      <c r="BA862" t="s">
        <v>93</v>
      </c>
      <c r="BB862" t="s">
        <v>5014</v>
      </c>
      <c r="BC862" t="s">
        <v>1186</v>
      </c>
      <c r="BE862" t="s">
        <v>96</v>
      </c>
      <c r="BG862" t="s">
        <v>4507</v>
      </c>
      <c r="BI862" t="s">
        <v>98</v>
      </c>
      <c r="BJ862" t="s">
        <v>5015</v>
      </c>
      <c r="BL862" t="s">
        <v>100</v>
      </c>
    </row>
    <row r="863" spans="1:64" hidden="1" x14ac:dyDescent="0.2">
      <c r="A863">
        <v>171</v>
      </c>
      <c r="B863">
        <v>4403382469</v>
      </c>
      <c r="C863" t="s">
        <v>101</v>
      </c>
      <c r="D863" t="s">
        <v>3457</v>
      </c>
      <c r="E863" t="s">
        <v>65</v>
      </c>
      <c r="F863" t="s">
        <v>66</v>
      </c>
      <c r="G863" t="s">
        <v>67</v>
      </c>
      <c r="H863" t="s">
        <v>68</v>
      </c>
      <c r="I863" t="s">
        <v>176</v>
      </c>
      <c r="J863" t="s">
        <v>1173</v>
      </c>
      <c r="K863" t="s">
        <v>1174</v>
      </c>
      <c r="M863" t="s">
        <v>72</v>
      </c>
      <c r="N863" t="s">
        <v>1175</v>
      </c>
      <c r="O863" t="s">
        <v>1174</v>
      </c>
      <c r="P863" t="s">
        <v>1176</v>
      </c>
      <c r="Q863" t="s">
        <v>75</v>
      </c>
      <c r="R863" t="s">
        <v>3174</v>
      </c>
      <c r="S863" t="s">
        <v>1624</v>
      </c>
      <c r="T863" t="s">
        <v>78</v>
      </c>
      <c r="U863" t="s">
        <v>1822</v>
      </c>
      <c r="V863" t="s">
        <v>80</v>
      </c>
      <c r="W863" s="1">
        <v>45110</v>
      </c>
      <c r="X863" t="s">
        <v>1859</v>
      </c>
      <c r="Y863" t="s">
        <v>3458</v>
      </c>
      <c r="Z863" t="s">
        <v>83</v>
      </c>
      <c r="AA863">
        <v>1</v>
      </c>
      <c r="AB863" t="s">
        <v>3459</v>
      </c>
      <c r="AD863" t="s">
        <v>343</v>
      </c>
      <c r="AE863" t="s">
        <v>86</v>
      </c>
      <c r="AF863" t="s">
        <v>402</v>
      </c>
      <c r="AG863" t="s">
        <v>3460</v>
      </c>
      <c r="AI863" t="s">
        <v>90</v>
      </c>
      <c r="AJ863">
        <v>32.425522999999998</v>
      </c>
      <c r="AK863">
        <v>-110.73965099999999</v>
      </c>
      <c r="AN863">
        <v>2361</v>
      </c>
      <c r="AP863">
        <v>2361</v>
      </c>
      <c r="AQ863">
        <v>2378.7560990000002</v>
      </c>
      <c r="AT863">
        <v>3</v>
      </c>
      <c r="AU863">
        <v>7</v>
      </c>
      <c r="AV863">
        <v>2023</v>
      </c>
      <c r="AW863">
        <v>2437874</v>
      </c>
      <c r="AX863">
        <v>2437874</v>
      </c>
      <c r="AY863" t="s">
        <v>106</v>
      </c>
      <c r="AZ863" t="s">
        <v>92</v>
      </c>
      <c r="BA863" t="s">
        <v>107</v>
      </c>
      <c r="BB863" t="s">
        <v>3461</v>
      </c>
      <c r="BC863" t="s">
        <v>1186</v>
      </c>
      <c r="BD863" s="1">
        <v>45110</v>
      </c>
      <c r="BE863" t="s">
        <v>96</v>
      </c>
      <c r="BG863" t="s">
        <v>1187</v>
      </c>
      <c r="BI863" t="s">
        <v>98</v>
      </c>
      <c r="BJ863" t="s">
        <v>3462</v>
      </c>
      <c r="BK863" t="s">
        <v>365</v>
      </c>
      <c r="BL863" t="s">
        <v>110</v>
      </c>
    </row>
    <row r="864" spans="1:64" x14ac:dyDescent="0.2">
      <c r="A864">
        <v>1442</v>
      </c>
      <c r="B864">
        <v>4022922303</v>
      </c>
      <c r="C864" t="s">
        <v>63</v>
      </c>
      <c r="D864" t="s">
        <v>5056</v>
      </c>
      <c r="E864" t="s">
        <v>65</v>
      </c>
      <c r="F864" t="s">
        <v>66</v>
      </c>
      <c r="G864" t="s">
        <v>67</v>
      </c>
      <c r="H864" t="s">
        <v>68</v>
      </c>
      <c r="I864" t="s">
        <v>176</v>
      </c>
      <c r="J864" t="s">
        <v>773</v>
      </c>
      <c r="K864" t="s">
        <v>1347</v>
      </c>
      <c r="M864" t="s">
        <v>72</v>
      </c>
      <c r="N864" t="s">
        <v>1348</v>
      </c>
      <c r="O864" t="s">
        <v>1347</v>
      </c>
      <c r="P864" t="s">
        <v>1349</v>
      </c>
      <c r="Q864" t="s">
        <v>75</v>
      </c>
      <c r="R864" t="s">
        <v>5008</v>
      </c>
      <c r="S864" t="s">
        <v>5057</v>
      </c>
      <c r="T864" t="s">
        <v>78</v>
      </c>
      <c r="U864" t="s">
        <v>5009</v>
      </c>
      <c r="V864" t="s">
        <v>80</v>
      </c>
      <c r="W864" s="1">
        <v>44534</v>
      </c>
      <c r="X864" t="s">
        <v>5010</v>
      </c>
      <c r="Y864" t="s">
        <v>5058</v>
      </c>
      <c r="Z864" t="s">
        <v>83</v>
      </c>
      <c r="AA864">
        <v>1</v>
      </c>
      <c r="AB864" t="s">
        <v>5059</v>
      </c>
      <c r="AC864">
        <v>1</v>
      </c>
      <c r="AD864" s="6" t="s">
        <v>85</v>
      </c>
      <c r="AE864" s="6" t="s">
        <v>86</v>
      </c>
      <c r="AF864" s="6" t="s">
        <v>146</v>
      </c>
      <c r="AG864" s="6" t="s">
        <v>5060</v>
      </c>
      <c r="AH864" s="6"/>
      <c r="AI864" s="6" t="s">
        <v>90</v>
      </c>
      <c r="AJ864" s="6">
        <v>32.313001</v>
      </c>
      <c r="AK864" s="6">
        <v>-110.711848</v>
      </c>
      <c r="AL864" s="6">
        <v>3</v>
      </c>
      <c r="AM864" s="6"/>
      <c r="AN864" s="6">
        <v>1148</v>
      </c>
      <c r="AO864" s="6"/>
      <c r="AP864" s="6">
        <v>1148</v>
      </c>
      <c r="AQ864" s="6">
        <v>1147.8440169999999</v>
      </c>
      <c r="AR864" s="6"/>
      <c r="AS864" s="6"/>
      <c r="AT864" s="6">
        <v>4</v>
      </c>
      <c r="AU864" s="6">
        <v>12</v>
      </c>
      <c r="AV864" s="6">
        <v>2021</v>
      </c>
      <c r="AW864" s="6">
        <v>2438454</v>
      </c>
      <c r="AX864" s="6">
        <v>2438454</v>
      </c>
      <c r="AY864" s="6" t="s">
        <v>91</v>
      </c>
      <c r="AZ864" t="s">
        <v>92</v>
      </c>
      <c r="BA864" t="s">
        <v>93</v>
      </c>
      <c r="BB864" t="s">
        <v>5061</v>
      </c>
      <c r="BC864" t="s">
        <v>1186</v>
      </c>
      <c r="BE864" t="s">
        <v>96</v>
      </c>
      <c r="BG864" t="s">
        <v>4507</v>
      </c>
      <c r="BI864" t="s">
        <v>98</v>
      </c>
      <c r="BJ864" t="s">
        <v>5062</v>
      </c>
      <c r="BL864" t="s">
        <v>100</v>
      </c>
    </row>
    <row r="865" spans="1:64" hidden="1" x14ac:dyDescent="0.2">
      <c r="A865">
        <v>177</v>
      </c>
      <c r="B865">
        <v>4403382463</v>
      </c>
      <c r="C865" t="s">
        <v>101</v>
      </c>
      <c r="D865" t="s">
        <v>3465</v>
      </c>
      <c r="E865" t="s">
        <v>65</v>
      </c>
      <c r="F865" t="s">
        <v>66</v>
      </c>
      <c r="G865" t="s">
        <v>67</v>
      </c>
      <c r="H865" t="s">
        <v>68</v>
      </c>
      <c r="I865" t="s">
        <v>176</v>
      </c>
      <c r="J865" t="s">
        <v>1173</v>
      </c>
      <c r="K865" t="s">
        <v>1174</v>
      </c>
      <c r="M865" t="s">
        <v>72</v>
      </c>
      <c r="N865" t="s">
        <v>1175</v>
      </c>
      <c r="O865" t="s">
        <v>1174</v>
      </c>
      <c r="P865" t="s">
        <v>1176</v>
      </c>
      <c r="Q865" t="s">
        <v>75</v>
      </c>
      <c r="R865" t="s">
        <v>3174</v>
      </c>
      <c r="S865" t="s">
        <v>1592</v>
      </c>
      <c r="T865" t="s">
        <v>78</v>
      </c>
      <c r="U865" t="s">
        <v>1822</v>
      </c>
      <c r="V865" t="s">
        <v>80</v>
      </c>
      <c r="W865" s="1">
        <v>45110</v>
      </c>
      <c r="X865" t="s">
        <v>1859</v>
      </c>
      <c r="Y865" t="s">
        <v>3466</v>
      </c>
      <c r="Z865" t="s">
        <v>83</v>
      </c>
      <c r="AA865">
        <v>1</v>
      </c>
      <c r="AB865" t="s">
        <v>3467</v>
      </c>
      <c r="AD865" t="s">
        <v>343</v>
      </c>
      <c r="AE865" t="s">
        <v>145</v>
      </c>
      <c r="AF865" t="s">
        <v>402</v>
      </c>
      <c r="AG865" t="s">
        <v>344</v>
      </c>
      <c r="AI865" t="s">
        <v>90</v>
      </c>
      <c r="AJ865">
        <v>32.425635</v>
      </c>
      <c r="AK865">
        <v>-110.739571</v>
      </c>
      <c r="AN865">
        <v>2363</v>
      </c>
      <c r="AP865">
        <v>2363</v>
      </c>
      <c r="AQ865">
        <v>2378.1348840000001</v>
      </c>
      <c r="AT865">
        <v>3</v>
      </c>
      <c r="AU865">
        <v>7</v>
      </c>
      <c r="AV865">
        <v>2023</v>
      </c>
      <c r="AW865">
        <v>2437874</v>
      </c>
      <c r="AX865">
        <v>2437874</v>
      </c>
      <c r="AY865" t="s">
        <v>106</v>
      </c>
      <c r="AZ865" t="s">
        <v>92</v>
      </c>
      <c r="BA865" t="s">
        <v>107</v>
      </c>
      <c r="BB865" t="s">
        <v>3468</v>
      </c>
      <c r="BC865" t="s">
        <v>1186</v>
      </c>
      <c r="BD865" s="1">
        <v>45110</v>
      </c>
      <c r="BE865" t="s">
        <v>96</v>
      </c>
      <c r="BG865" t="s">
        <v>1187</v>
      </c>
      <c r="BI865" t="s">
        <v>98</v>
      </c>
      <c r="BJ865" t="s">
        <v>3469</v>
      </c>
      <c r="BK865" t="s">
        <v>365</v>
      </c>
      <c r="BL865" t="s">
        <v>110</v>
      </c>
    </row>
    <row r="866" spans="1:64" x14ac:dyDescent="0.2">
      <c r="A866">
        <v>1432</v>
      </c>
      <c r="B866">
        <v>4022922313</v>
      </c>
      <c r="C866" t="s">
        <v>63</v>
      </c>
      <c r="D866" t="s">
        <v>5067</v>
      </c>
      <c r="E866" t="s">
        <v>65</v>
      </c>
      <c r="F866" t="s">
        <v>66</v>
      </c>
      <c r="G866" t="s">
        <v>67</v>
      </c>
      <c r="H866" t="s">
        <v>68</v>
      </c>
      <c r="I866" t="s">
        <v>69</v>
      </c>
      <c r="J866" t="s">
        <v>70</v>
      </c>
      <c r="K866" t="s">
        <v>4195</v>
      </c>
      <c r="M866" t="s">
        <v>72</v>
      </c>
      <c r="N866" t="s">
        <v>4196</v>
      </c>
      <c r="O866" t="s">
        <v>4195</v>
      </c>
      <c r="P866" t="s">
        <v>4197</v>
      </c>
      <c r="Q866" t="s">
        <v>75</v>
      </c>
      <c r="R866" t="s">
        <v>5008</v>
      </c>
      <c r="S866" t="s">
        <v>5068</v>
      </c>
      <c r="T866" t="s">
        <v>78</v>
      </c>
      <c r="U866" t="s">
        <v>5009</v>
      </c>
      <c r="V866" t="s">
        <v>80</v>
      </c>
      <c r="W866" s="1">
        <v>44534</v>
      </c>
      <c r="X866" t="s">
        <v>5010</v>
      </c>
      <c r="Y866" t="s">
        <v>5069</v>
      </c>
      <c r="Z866" t="s">
        <v>83</v>
      </c>
      <c r="AA866">
        <v>1</v>
      </c>
      <c r="AB866" t="s">
        <v>5070</v>
      </c>
      <c r="AC866">
        <v>1</v>
      </c>
      <c r="AD866" s="6" t="s">
        <v>85</v>
      </c>
      <c r="AE866" s="6" t="s">
        <v>86</v>
      </c>
      <c r="AF866" s="6" t="s">
        <v>146</v>
      </c>
      <c r="AG866" s="6" t="s">
        <v>5071</v>
      </c>
      <c r="AH866" s="6"/>
      <c r="AI866" s="6" t="s">
        <v>90</v>
      </c>
      <c r="AJ866" s="6">
        <v>32.312947999999999</v>
      </c>
      <c r="AK866" s="6">
        <v>-110.71189699999999</v>
      </c>
      <c r="AL866" s="6">
        <v>3</v>
      </c>
      <c r="AM866" s="6"/>
      <c r="AN866" s="6">
        <v>1151</v>
      </c>
      <c r="AO866" s="6"/>
      <c r="AP866" s="6">
        <v>1151</v>
      </c>
      <c r="AQ866" s="6">
        <v>1148.51053</v>
      </c>
      <c r="AR866" s="6"/>
      <c r="AS866" s="6"/>
      <c r="AT866" s="6">
        <v>4</v>
      </c>
      <c r="AU866" s="6">
        <v>12</v>
      </c>
      <c r="AV866" s="6">
        <v>2021</v>
      </c>
      <c r="AW866" s="6">
        <v>2439589</v>
      </c>
      <c r="AX866" s="6">
        <v>2439589</v>
      </c>
      <c r="AY866" s="6" t="s">
        <v>91</v>
      </c>
      <c r="AZ866" t="s">
        <v>92</v>
      </c>
      <c r="BA866" t="s">
        <v>93</v>
      </c>
      <c r="BB866" t="s">
        <v>5072</v>
      </c>
      <c r="BC866" t="s">
        <v>1186</v>
      </c>
      <c r="BE866" t="s">
        <v>96</v>
      </c>
      <c r="BG866" t="s">
        <v>4507</v>
      </c>
      <c r="BI866" t="s">
        <v>98</v>
      </c>
      <c r="BJ866" t="s">
        <v>5073</v>
      </c>
      <c r="BL866" t="s">
        <v>100</v>
      </c>
    </row>
    <row r="867" spans="1:64" hidden="1" x14ac:dyDescent="0.2">
      <c r="A867">
        <v>153</v>
      </c>
      <c r="B867">
        <v>4403382487</v>
      </c>
      <c r="C867" t="s">
        <v>101</v>
      </c>
      <c r="D867" t="s">
        <v>3473</v>
      </c>
      <c r="E867" t="s">
        <v>65</v>
      </c>
      <c r="F867" t="s">
        <v>66</v>
      </c>
      <c r="G867" t="s">
        <v>67</v>
      </c>
      <c r="H867" t="s">
        <v>68</v>
      </c>
      <c r="I867" t="s">
        <v>176</v>
      </c>
      <c r="J867" t="s">
        <v>1173</v>
      </c>
      <c r="K867" t="s">
        <v>1174</v>
      </c>
      <c r="M867" t="s">
        <v>72</v>
      </c>
      <c r="N867" t="s">
        <v>1175</v>
      </c>
      <c r="O867" t="s">
        <v>1174</v>
      </c>
      <c r="P867" t="s">
        <v>1176</v>
      </c>
      <c r="Q867" t="s">
        <v>75</v>
      </c>
      <c r="R867" t="s">
        <v>3174</v>
      </c>
      <c r="S867" t="s">
        <v>513</v>
      </c>
      <c r="T867" t="s">
        <v>78</v>
      </c>
      <c r="U867" t="s">
        <v>1822</v>
      </c>
      <c r="V867" t="s">
        <v>80</v>
      </c>
      <c r="W867" s="1">
        <v>45110</v>
      </c>
      <c r="X867" t="s">
        <v>1859</v>
      </c>
      <c r="Y867" t="s">
        <v>3474</v>
      </c>
      <c r="Z867" t="s">
        <v>83</v>
      </c>
      <c r="AA867">
        <v>1</v>
      </c>
      <c r="AB867" t="s">
        <v>3475</v>
      </c>
      <c r="AD867" t="s">
        <v>343</v>
      </c>
      <c r="AE867" t="s">
        <v>145</v>
      </c>
      <c r="AF867" t="s">
        <v>402</v>
      </c>
      <c r="AG867" t="s">
        <v>344</v>
      </c>
      <c r="AI867" t="s">
        <v>90</v>
      </c>
      <c r="AJ867">
        <v>32.425542</v>
      </c>
      <c r="AK867">
        <v>-110.73976399999999</v>
      </c>
      <c r="AN867">
        <v>2360</v>
      </c>
      <c r="AP867">
        <v>2360</v>
      </c>
      <c r="AQ867">
        <v>2380.8569379999999</v>
      </c>
      <c r="AT867">
        <v>3</v>
      </c>
      <c r="AU867">
        <v>7</v>
      </c>
      <c r="AV867">
        <v>2023</v>
      </c>
      <c r="AW867">
        <v>2437874</v>
      </c>
      <c r="AX867">
        <v>2437874</v>
      </c>
      <c r="AY867" t="s">
        <v>106</v>
      </c>
      <c r="AZ867" t="s">
        <v>92</v>
      </c>
      <c r="BA867" t="s">
        <v>107</v>
      </c>
      <c r="BB867" t="s">
        <v>3476</v>
      </c>
      <c r="BC867" t="s">
        <v>1186</v>
      </c>
      <c r="BD867" s="1">
        <v>45110</v>
      </c>
      <c r="BE867" t="s">
        <v>96</v>
      </c>
      <c r="BG867" t="s">
        <v>1187</v>
      </c>
      <c r="BI867" t="s">
        <v>98</v>
      </c>
      <c r="BJ867" t="s">
        <v>3477</v>
      </c>
      <c r="BK867" t="s">
        <v>365</v>
      </c>
      <c r="BL867" t="s">
        <v>110</v>
      </c>
    </row>
    <row r="868" spans="1:64" x14ac:dyDescent="0.2">
      <c r="A868">
        <v>1433</v>
      </c>
      <c r="B868">
        <v>4022922312</v>
      </c>
      <c r="C868" t="s">
        <v>63</v>
      </c>
      <c r="D868" t="s">
        <v>5091</v>
      </c>
      <c r="E868" t="s">
        <v>65</v>
      </c>
      <c r="F868" t="s">
        <v>66</v>
      </c>
      <c r="G868" t="s">
        <v>67</v>
      </c>
      <c r="H868" t="s">
        <v>68</v>
      </c>
      <c r="I868" t="s">
        <v>176</v>
      </c>
      <c r="J868" t="s">
        <v>177</v>
      </c>
      <c r="K868" t="s">
        <v>3925</v>
      </c>
      <c r="M868" t="s">
        <v>72</v>
      </c>
      <c r="N868" t="s">
        <v>3926</v>
      </c>
      <c r="O868" t="s">
        <v>3925</v>
      </c>
      <c r="P868" t="s">
        <v>1176</v>
      </c>
      <c r="Q868" t="s">
        <v>75</v>
      </c>
      <c r="R868" t="s">
        <v>5008</v>
      </c>
      <c r="S868" t="s">
        <v>5092</v>
      </c>
      <c r="T868" t="s">
        <v>78</v>
      </c>
      <c r="U868" t="s">
        <v>5009</v>
      </c>
      <c r="V868" t="s">
        <v>80</v>
      </c>
      <c r="W868" s="1">
        <v>44534</v>
      </c>
      <c r="X868" t="s">
        <v>5010</v>
      </c>
      <c r="Y868" t="s">
        <v>5093</v>
      </c>
      <c r="Z868" t="s">
        <v>83</v>
      </c>
      <c r="AA868">
        <v>1</v>
      </c>
      <c r="AB868" t="s">
        <v>5094</v>
      </c>
      <c r="AC868">
        <v>1</v>
      </c>
      <c r="AD868" s="6" t="s">
        <v>85</v>
      </c>
      <c r="AE868" s="6" t="s">
        <v>145</v>
      </c>
      <c r="AF868" s="6" t="s">
        <v>146</v>
      </c>
      <c r="AG868" s="6" t="s">
        <v>5095</v>
      </c>
      <c r="AH868" s="6"/>
      <c r="AI868" s="6" t="s">
        <v>90</v>
      </c>
      <c r="AJ868" s="6">
        <v>32.312980000000003</v>
      </c>
      <c r="AK868" s="6">
        <v>-110.71189800000001</v>
      </c>
      <c r="AL868" s="6">
        <v>3</v>
      </c>
      <c r="AM868" s="6"/>
      <c r="AN868" s="6">
        <v>1149</v>
      </c>
      <c r="AO868" s="6"/>
      <c r="AP868" s="6">
        <v>1149</v>
      </c>
      <c r="AQ868" s="6">
        <v>1148.92264</v>
      </c>
      <c r="AR868" s="6"/>
      <c r="AS868" s="6"/>
      <c r="AT868" s="6">
        <v>4</v>
      </c>
      <c r="AU868" s="6">
        <v>12</v>
      </c>
      <c r="AV868" s="6">
        <v>2021</v>
      </c>
      <c r="AW868" s="6">
        <v>2437981</v>
      </c>
      <c r="AX868" s="6">
        <v>2437981</v>
      </c>
      <c r="AY868" s="6" t="s">
        <v>91</v>
      </c>
      <c r="AZ868" t="s">
        <v>92</v>
      </c>
      <c r="BA868" t="s">
        <v>93</v>
      </c>
      <c r="BB868" t="s">
        <v>5096</v>
      </c>
      <c r="BC868" t="s">
        <v>1186</v>
      </c>
      <c r="BE868" t="s">
        <v>96</v>
      </c>
      <c r="BG868" t="s">
        <v>4507</v>
      </c>
      <c r="BI868" t="s">
        <v>98</v>
      </c>
      <c r="BJ868" t="s">
        <v>5097</v>
      </c>
      <c r="BL868" t="s">
        <v>100</v>
      </c>
    </row>
    <row r="869" spans="1:64" x14ac:dyDescent="0.2">
      <c r="A869">
        <v>1434</v>
      </c>
      <c r="B869">
        <v>4022922311</v>
      </c>
      <c r="C869" t="s">
        <v>63</v>
      </c>
      <c r="D869" t="s">
        <v>5114</v>
      </c>
      <c r="E869" t="s">
        <v>65</v>
      </c>
      <c r="F869" t="s">
        <v>66</v>
      </c>
      <c r="G869" t="s">
        <v>67</v>
      </c>
      <c r="H869" t="s">
        <v>68</v>
      </c>
      <c r="I869" t="s">
        <v>69</v>
      </c>
      <c r="J869" t="s">
        <v>70</v>
      </c>
      <c r="K869" t="s">
        <v>4195</v>
      </c>
      <c r="M869" t="s">
        <v>72</v>
      </c>
      <c r="N869" t="s">
        <v>4196</v>
      </c>
      <c r="O869" t="s">
        <v>4195</v>
      </c>
      <c r="P869" t="s">
        <v>4197</v>
      </c>
      <c r="Q869" t="s">
        <v>75</v>
      </c>
      <c r="R869" t="s">
        <v>5008</v>
      </c>
      <c r="S869" t="s">
        <v>5115</v>
      </c>
      <c r="T869" t="s">
        <v>78</v>
      </c>
      <c r="U869" t="s">
        <v>5009</v>
      </c>
      <c r="V869" t="s">
        <v>80</v>
      </c>
      <c r="W869" s="1">
        <v>44534</v>
      </c>
      <c r="X869" t="s">
        <v>5010</v>
      </c>
      <c r="Y869" t="s">
        <v>5116</v>
      </c>
      <c r="Z869" t="s">
        <v>83</v>
      </c>
      <c r="AA869">
        <v>1</v>
      </c>
      <c r="AB869" t="s">
        <v>5117</v>
      </c>
      <c r="AC869">
        <v>1</v>
      </c>
      <c r="AD869" s="6" t="s">
        <v>85</v>
      </c>
      <c r="AE869" s="6" t="s">
        <v>145</v>
      </c>
      <c r="AF869" s="6" t="s">
        <v>146</v>
      </c>
      <c r="AG869" s="6" t="s">
        <v>5118</v>
      </c>
      <c r="AH869" s="6"/>
      <c r="AI869" s="6" t="s">
        <v>90</v>
      </c>
      <c r="AJ869" s="6">
        <v>32.313161000000001</v>
      </c>
      <c r="AK869" s="6">
        <v>-110.71195899999999</v>
      </c>
      <c r="AL869" s="6">
        <v>3</v>
      </c>
      <c r="AM869" s="6"/>
      <c r="AN869" s="6">
        <v>1153</v>
      </c>
      <c r="AO869" s="6"/>
      <c r="AP869" s="6">
        <v>1153</v>
      </c>
      <c r="AQ869" s="6">
        <v>1153.9245430000001</v>
      </c>
      <c r="AR869" s="6"/>
      <c r="AS869" s="6"/>
      <c r="AT869" s="6">
        <v>4</v>
      </c>
      <c r="AU869" s="6">
        <v>12</v>
      </c>
      <c r="AV869" s="6">
        <v>2021</v>
      </c>
      <c r="AW869" s="6">
        <v>2439589</v>
      </c>
      <c r="AX869" s="6">
        <v>2439589</v>
      </c>
      <c r="AY869" s="6" t="s">
        <v>91</v>
      </c>
      <c r="AZ869" t="s">
        <v>92</v>
      </c>
      <c r="BA869" t="s">
        <v>93</v>
      </c>
      <c r="BB869" t="s">
        <v>5119</v>
      </c>
      <c r="BC869" t="s">
        <v>1186</v>
      </c>
      <c r="BE869" t="s">
        <v>96</v>
      </c>
      <c r="BG869" t="s">
        <v>4507</v>
      </c>
      <c r="BI869" t="s">
        <v>98</v>
      </c>
      <c r="BJ869" t="s">
        <v>5015</v>
      </c>
      <c r="BL869" t="s">
        <v>100</v>
      </c>
    </row>
    <row r="870" spans="1:64" hidden="1" x14ac:dyDescent="0.2">
      <c r="A870">
        <v>7</v>
      </c>
      <c r="B870">
        <v>4403382633</v>
      </c>
      <c r="C870" t="s">
        <v>101</v>
      </c>
      <c r="D870" t="s">
        <v>3485</v>
      </c>
      <c r="E870" t="s">
        <v>65</v>
      </c>
      <c r="F870" t="s">
        <v>66</v>
      </c>
      <c r="G870" t="s">
        <v>67</v>
      </c>
      <c r="H870" t="s">
        <v>68</v>
      </c>
      <c r="I870" t="s">
        <v>176</v>
      </c>
      <c r="J870" t="s">
        <v>1173</v>
      </c>
      <c r="K870" t="s">
        <v>1174</v>
      </c>
      <c r="M870" t="s">
        <v>72</v>
      </c>
      <c r="N870" t="s">
        <v>1175</v>
      </c>
      <c r="O870" t="s">
        <v>1174</v>
      </c>
      <c r="P870" t="s">
        <v>1176</v>
      </c>
      <c r="Q870" t="s">
        <v>75</v>
      </c>
      <c r="R870" t="s">
        <v>3174</v>
      </c>
      <c r="S870" t="s">
        <v>3481</v>
      </c>
      <c r="T870" t="s">
        <v>78</v>
      </c>
      <c r="U870" t="s">
        <v>1822</v>
      </c>
      <c r="V870" t="s">
        <v>80</v>
      </c>
      <c r="W870" s="1">
        <v>45110</v>
      </c>
      <c r="X870" t="s">
        <v>1859</v>
      </c>
      <c r="Y870" t="s">
        <v>3482</v>
      </c>
      <c r="Z870" t="s">
        <v>83</v>
      </c>
      <c r="AA870">
        <v>1</v>
      </c>
      <c r="AB870" t="s">
        <v>3486</v>
      </c>
      <c r="AD870" t="s">
        <v>343</v>
      </c>
      <c r="AE870" t="s">
        <v>145</v>
      </c>
      <c r="AF870" t="s">
        <v>402</v>
      </c>
      <c r="AG870" t="s">
        <v>344</v>
      </c>
      <c r="AI870" t="s">
        <v>90</v>
      </c>
      <c r="AJ870">
        <v>32.424501999999997</v>
      </c>
      <c r="AK870">
        <v>-110.738051</v>
      </c>
      <c r="AN870">
        <v>2371</v>
      </c>
      <c r="AP870">
        <v>2371</v>
      </c>
      <c r="AQ870">
        <v>2393.0961940000002</v>
      </c>
      <c r="AT870">
        <v>3</v>
      </c>
      <c r="AU870">
        <v>7</v>
      </c>
      <c r="AV870">
        <v>2023</v>
      </c>
      <c r="AW870">
        <v>2437874</v>
      </c>
      <c r="AX870">
        <v>2437874</v>
      </c>
      <c r="AY870" t="s">
        <v>106</v>
      </c>
      <c r="AZ870" t="s">
        <v>92</v>
      </c>
      <c r="BA870" t="s">
        <v>107</v>
      </c>
      <c r="BB870" t="s">
        <v>3487</v>
      </c>
      <c r="BC870" t="s">
        <v>1186</v>
      </c>
      <c r="BD870" s="1">
        <v>45110</v>
      </c>
      <c r="BE870" t="s">
        <v>96</v>
      </c>
      <c r="BG870" t="s">
        <v>1187</v>
      </c>
      <c r="BI870" t="s">
        <v>98</v>
      </c>
      <c r="BJ870" t="s">
        <v>3488</v>
      </c>
      <c r="BL870" t="s">
        <v>110</v>
      </c>
    </row>
    <row r="871" spans="1:64" hidden="1" x14ac:dyDescent="0.2">
      <c r="A871">
        <v>9</v>
      </c>
      <c r="B871">
        <v>4403382631</v>
      </c>
      <c r="C871" t="s">
        <v>101</v>
      </c>
      <c r="D871" t="s">
        <v>3489</v>
      </c>
      <c r="E871" t="s">
        <v>65</v>
      </c>
      <c r="F871" t="s">
        <v>66</v>
      </c>
      <c r="G871" t="s">
        <v>67</v>
      </c>
      <c r="H871" t="s">
        <v>68</v>
      </c>
      <c r="I871" t="s">
        <v>176</v>
      </c>
      <c r="J871" t="s">
        <v>177</v>
      </c>
      <c r="K871" t="s">
        <v>1817</v>
      </c>
      <c r="M871" t="s">
        <v>72</v>
      </c>
      <c r="N871" t="s">
        <v>1818</v>
      </c>
      <c r="O871" t="s">
        <v>1817</v>
      </c>
      <c r="P871" t="s">
        <v>1819</v>
      </c>
      <c r="Q871" t="s">
        <v>75</v>
      </c>
      <c r="R871" t="s">
        <v>3174</v>
      </c>
      <c r="S871" t="s">
        <v>598</v>
      </c>
      <c r="T871" t="s">
        <v>78</v>
      </c>
      <c r="U871" t="s">
        <v>1822</v>
      </c>
      <c r="V871" t="s">
        <v>80</v>
      </c>
      <c r="W871" s="1">
        <v>45110</v>
      </c>
      <c r="X871" t="s">
        <v>1859</v>
      </c>
      <c r="Y871" t="s">
        <v>3490</v>
      </c>
      <c r="Z871" t="s">
        <v>83</v>
      </c>
      <c r="AA871">
        <v>1</v>
      </c>
      <c r="AB871" t="s">
        <v>3491</v>
      </c>
      <c r="AD871" t="s">
        <v>343</v>
      </c>
      <c r="AE871" t="s">
        <v>145</v>
      </c>
      <c r="AF871" t="s">
        <v>359</v>
      </c>
      <c r="AG871" t="s">
        <v>1526</v>
      </c>
      <c r="AI871" t="s">
        <v>90</v>
      </c>
      <c r="AJ871">
        <v>32.425533999999999</v>
      </c>
      <c r="AK871">
        <v>-110.73963000000001</v>
      </c>
      <c r="AN871">
        <v>2360</v>
      </c>
      <c r="AP871">
        <v>2360</v>
      </c>
      <c r="AQ871">
        <v>2378.2147249999998</v>
      </c>
      <c r="AT871">
        <v>3</v>
      </c>
      <c r="AU871">
        <v>7</v>
      </c>
      <c r="AV871">
        <v>2023</v>
      </c>
      <c r="AW871">
        <v>2437967</v>
      </c>
      <c r="AX871">
        <v>2437967</v>
      </c>
      <c r="AY871" t="s">
        <v>106</v>
      </c>
      <c r="AZ871" t="s">
        <v>92</v>
      </c>
      <c r="BA871" t="s">
        <v>107</v>
      </c>
      <c r="BB871" t="s">
        <v>3492</v>
      </c>
      <c r="BC871" t="s">
        <v>1186</v>
      </c>
      <c r="BD871" s="1">
        <v>45110</v>
      </c>
      <c r="BE871" t="s">
        <v>96</v>
      </c>
      <c r="BG871" t="s">
        <v>1187</v>
      </c>
      <c r="BI871" t="s">
        <v>98</v>
      </c>
      <c r="BJ871" t="s">
        <v>3493</v>
      </c>
      <c r="BK871" t="s">
        <v>365</v>
      </c>
      <c r="BL871" t="s">
        <v>110</v>
      </c>
    </row>
    <row r="872" spans="1:64" x14ac:dyDescent="0.2">
      <c r="A872">
        <v>1436</v>
      </c>
      <c r="B872">
        <v>4022922309</v>
      </c>
      <c r="C872" t="s">
        <v>63</v>
      </c>
      <c r="D872" t="s">
        <v>5158</v>
      </c>
      <c r="E872" t="s">
        <v>65</v>
      </c>
      <c r="F872" t="s">
        <v>66</v>
      </c>
      <c r="G872" t="s">
        <v>67</v>
      </c>
      <c r="H872" t="s">
        <v>68</v>
      </c>
      <c r="I872" t="s">
        <v>69</v>
      </c>
      <c r="J872" t="s">
        <v>70</v>
      </c>
      <c r="K872" t="s">
        <v>4195</v>
      </c>
      <c r="M872" t="s">
        <v>72</v>
      </c>
      <c r="N872" t="s">
        <v>4196</v>
      </c>
      <c r="O872" t="s">
        <v>4195</v>
      </c>
      <c r="P872" t="s">
        <v>4197</v>
      </c>
      <c r="Q872" t="s">
        <v>75</v>
      </c>
      <c r="R872" t="s">
        <v>5008</v>
      </c>
      <c r="S872" t="s">
        <v>5159</v>
      </c>
      <c r="T872" t="s">
        <v>78</v>
      </c>
      <c r="U872" t="s">
        <v>5009</v>
      </c>
      <c r="V872" t="s">
        <v>80</v>
      </c>
      <c r="W872" s="1">
        <v>44534</v>
      </c>
      <c r="X872" t="s">
        <v>5010</v>
      </c>
      <c r="Y872" t="s">
        <v>5160</v>
      </c>
      <c r="Z872" t="s">
        <v>83</v>
      </c>
      <c r="AA872">
        <v>1</v>
      </c>
      <c r="AB872" t="s">
        <v>5161</v>
      </c>
      <c r="AC872">
        <v>1</v>
      </c>
      <c r="AD872" s="6" t="s">
        <v>85</v>
      </c>
      <c r="AE872" s="6" t="s">
        <v>145</v>
      </c>
      <c r="AF872" s="6" t="s">
        <v>146</v>
      </c>
      <c r="AG872" s="6" t="s">
        <v>5162</v>
      </c>
      <c r="AH872" s="6"/>
      <c r="AI872" s="6" t="s">
        <v>90</v>
      </c>
      <c r="AJ872" s="6">
        <v>32.313285999999998</v>
      </c>
      <c r="AK872" s="6">
        <v>-110.71198699999999</v>
      </c>
      <c r="AL872" s="6">
        <v>3</v>
      </c>
      <c r="AM872" s="6"/>
      <c r="AN872" s="6">
        <v>1159</v>
      </c>
      <c r="AO872" s="6"/>
      <c r="AP872" s="6">
        <v>1159</v>
      </c>
      <c r="AQ872" s="6">
        <v>1157.2441249999999</v>
      </c>
      <c r="AR872" s="6"/>
      <c r="AS872" s="6"/>
      <c r="AT872" s="6">
        <v>4</v>
      </c>
      <c r="AU872" s="6">
        <v>12</v>
      </c>
      <c r="AV872" s="6">
        <v>2021</v>
      </c>
      <c r="AW872" s="6">
        <v>2439589</v>
      </c>
      <c r="AX872" s="6">
        <v>2439589</v>
      </c>
      <c r="AY872" s="6" t="s">
        <v>91</v>
      </c>
      <c r="AZ872" t="s">
        <v>92</v>
      </c>
      <c r="BA872" t="s">
        <v>93</v>
      </c>
      <c r="BB872" t="s">
        <v>5163</v>
      </c>
      <c r="BC872" t="s">
        <v>1186</v>
      </c>
      <c r="BE872" t="s">
        <v>96</v>
      </c>
      <c r="BG872" t="s">
        <v>4507</v>
      </c>
      <c r="BI872" t="s">
        <v>98</v>
      </c>
      <c r="BJ872" t="s">
        <v>5164</v>
      </c>
      <c r="BL872" t="s">
        <v>100</v>
      </c>
    </row>
    <row r="873" spans="1:64" hidden="1" x14ac:dyDescent="0.2">
      <c r="A873">
        <v>15</v>
      </c>
      <c r="B873">
        <v>4403382625</v>
      </c>
      <c r="C873" t="s">
        <v>101</v>
      </c>
      <c r="D873" t="s">
        <v>3497</v>
      </c>
      <c r="E873" t="s">
        <v>65</v>
      </c>
      <c r="F873" t="s">
        <v>66</v>
      </c>
      <c r="G873" t="s">
        <v>67</v>
      </c>
      <c r="H873" t="s">
        <v>68</v>
      </c>
      <c r="I873" t="s">
        <v>176</v>
      </c>
      <c r="J873" t="s">
        <v>177</v>
      </c>
      <c r="K873" t="s">
        <v>1817</v>
      </c>
      <c r="M873" t="s">
        <v>72</v>
      </c>
      <c r="N873" t="s">
        <v>1818</v>
      </c>
      <c r="O873" t="s">
        <v>1817</v>
      </c>
      <c r="P873" t="s">
        <v>1819</v>
      </c>
      <c r="Q873" t="s">
        <v>75</v>
      </c>
      <c r="R873" t="s">
        <v>3174</v>
      </c>
      <c r="S873" t="s">
        <v>558</v>
      </c>
      <c r="T873" t="s">
        <v>78</v>
      </c>
      <c r="U873" t="s">
        <v>1822</v>
      </c>
      <c r="V873" t="s">
        <v>80</v>
      </c>
      <c r="W873" s="1">
        <v>45110</v>
      </c>
      <c r="X873" t="s">
        <v>1859</v>
      </c>
      <c r="Y873" t="s">
        <v>3498</v>
      </c>
      <c r="Z873" t="s">
        <v>83</v>
      </c>
      <c r="AA873">
        <v>1</v>
      </c>
      <c r="AB873" t="s">
        <v>3499</v>
      </c>
      <c r="AD873" t="s">
        <v>343</v>
      </c>
      <c r="AE873" t="s">
        <v>86</v>
      </c>
      <c r="AF873" t="s">
        <v>359</v>
      </c>
      <c r="AG873" t="s">
        <v>1803</v>
      </c>
      <c r="AI873" t="s">
        <v>90</v>
      </c>
      <c r="AJ873">
        <v>32.422609999999999</v>
      </c>
      <c r="AK873">
        <v>-110.73367500000001</v>
      </c>
      <c r="AN873">
        <v>2412</v>
      </c>
      <c r="AP873">
        <v>2412</v>
      </c>
      <c r="AQ873">
        <v>2423.72876</v>
      </c>
      <c r="AT873">
        <v>3</v>
      </c>
      <c r="AU873">
        <v>7</v>
      </c>
      <c r="AV873">
        <v>2023</v>
      </c>
      <c r="AW873">
        <v>2437967</v>
      </c>
      <c r="AX873">
        <v>2437967</v>
      </c>
      <c r="AY873" t="s">
        <v>106</v>
      </c>
      <c r="AZ873" t="s">
        <v>92</v>
      </c>
      <c r="BA873" t="s">
        <v>107</v>
      </c>
      <c r="BB873" t="s">
        <v>3500</v>
      </c>
      <c r="BC873" t="s">
        <v>1186</v>
      </c>
      <c r="BD873" s="1">
        <v>45110</v>
      </c>
      <c r="BE873" t="s">
        <v>96</v>
      </c>
      <c r="BG873" t="s">
        <v>1187</v>
      </c>
      <c r="BI873" t="s">
        <v>98</v>
      </c>
      <c r="BJ873" t="s">
        <v>3496</v>
      </c>
      <c r="BK873" t="s">
        <v>365</v>
      </c>
      <c r="BL873" t="s">
        <v>412</v>
      </c>
    </row>
    <row r="874" spans="1:64" x14ac:dyDescent="0.2">
      <c r="A874">
        <v>1422</v>
      </c>
      <c r="B874">
        <v>4022922323</v>
      </c>
      <c r="C874" t="s">
        <v>63</v>
      </c>
      <c r="D874" t="s">
        <v>5183</v>
      </c>
      <c r="E874" t="s">
        <v>65</v>
      </c>
      <c r="F874" t="s">
        <v>66</v>
      </c>
      <c r="G874" t="s">
        <v>67</v>
      </c>
      <c r="H874" t="s">
        <v>68</v>
      </c>
      <c r="I874" t="s">
        <v>176</v>
      </c>
      <c r="J874" t="s">
        <v>773</v>
      </c>
      <c r="K874" t="s">
        <v>1347</v>
      </c>
      <c r="M874" t="s">
        <v>72</v>
      </c>
      <c r="N874" t="s">
        <v>1348</v>
      </c>
      <c r="O874" t="s">
        <v>1347</v>
      </c>
      <c r="P874" t="s">
        <v>1349</v>
      </c>
      <c r="Q874" t="s">
        <v>75</v>
      </c>
      <c r="R874" t="s">
        <v>5008</v>
      </c>
      <c r="S874" t="s">
        <v>5184</v>
      </c>
      <c r="T874" t="s">
        <v>78</v>
      </c>
      <c r="U874" t="s">
        <v>5009</v>
      </c>
      <c r="V874" t="s">
        <v>80</v>
      </c>
      <c r="W874" s="1">
        <v>44534</v>
      </c>
      <c r="X874" t="s">
        <v>5010</v>
      </c>
      <c r="Y874" t="s">
        <v>5185</v>
      </c>
      <c r="Z874" t="s">
        <v>83</v>
      </c>
      <c r="AA874">
        <v>1</v>
      </c>
      <c r="AB874" t="s">
        <v>5186</v>
      </c>
      <c r="AC874">
        <v>1</v>
      </c>
      <c r="AD874" s="6" t="s">
        <v>85</v>
      </c>
      <c r="AE874" s="6" t="s">
        <v>145</v>
      </c>
      <c r="AF874" s="6" t="s">
        <v>146</v>
      </c>
      <c r="AG874" s="6" t="s">
        <v>5187</v>
      </c>
      <c r="AH874" s="6"/>
      <c r="AI874" s="6" t="s">
        <v>90</v>
      </c>
      <c r="AJ874" s="6">
        <v>32.313310000000001</v>
      </c>
      <c r="AK874" s="6">
        <v>-110.712159</v>
      </c>
      <c r="AL874" s="6">
        <v>3</v>
      </c>
      <c r="AM874" s="6"/>
      <c r="AN874" s="6">
        <v>1166</v>
      </c>
      <c r="AO874" s="6"/>
      <c r="AP874" s="6">
        <v>1166</v>
      </c>
      <c r="AQ874" s="6">
        <v>1159.281207</v>
      </c>
      <c r="AR874" s="6"/>
      <c r="AS874" s="6"/>
      <c r="AT874" s="6">
        <v>4</v>
      </c>
      <c r="AU874" s="6">
        <v>12</v>
      </c>
      <c r="AV874" s="6">
        <v>2021</v>
      </c>
      <c r="AW874" s="6">
        <v>2438454</v>
      </c>
      <c r="AX874" s="6">
        <v>2438454</v>
      </c>
      <c r="AY874" s="6" t="s">
        <v>91</v>
      </c>
      <c r="AZ874" t="s">
        <v>92</v>
      </c>
      <c r="BA874" t="s">
        <v>93</v>
      </c>
      <c r="BB874" t="s">
        <v>5188</v>
      </c>
      <c r="BC874" t="s">
        <v>1186</v>
      </c>
      <c r="BE874" t="s">
        <v>96</v>
      </c>
      <c r="BG874" t="s">
        <v>4507</v>
      </c>
      <c r="BI874" t="s">
        <v>98</v>
      </c>
      <c r="BJ874" t="s">
        <v>5189</v>
      </c>
      <c r="BL874" t="s">
        <v>100</v>
      </c>
    </row>
    <row r="875" spans="1:64" hidden="1" x14ac:dyDescent="0.2">
      <c r="A875">
        <v>21</v>
      </c>
      <c r="B875">
        <v>4403382619</v>
      </c>
      <c r="C875" t="s">
        <v>101</v>
      </c>
      <c r="D875" t="s">
        <v>3503</v>
      </c>
      <c r="E875" t="s">
        <v>65</v>
      </c>
      <c r="F875" t="s">
        <v>66</v>
      </c>
      <c r="G875" t="s">
        <v>67</v>
      </c>
      <c r="H875" t="s">
        <v>68</v>
      </c>
      <c r="I875" t="s">
        <v>176</v>
      </c>
      <c r="J875" t="s">
        <v>177</v>
      </c>
      <c r="K875" t="s">
        <v>1817</v>
      </c>
      <c r="M875" t="s">
        <v>72</v>
      </c>
      <c r="N875" t="s">
        <v>1818</v>
      </c>
      <c r="O875" t="s">
        <v>1817</v>
      </c>
      <c r="P875" t="s">
        <v>1819</v>
      </c>
      <c r="Q875" t="s">
        <v>75</v>
      </c>
      <c r="R875" t="s">
        <v>3174</v>
      </c>
      <c r="S875" t="s">
        <v>1565</v>
      </c>
      <c r="T875" t="s">
        <v>78</v>
      </c>
      <c r="U875" t="s">
        <v>1822</v>
      </c>
      <c r="V875" t="s">
        <v>80</v>
      </c>
      <c r="W875" s="1">
        <v>45110</v>
      </c>
      <c r="X875" t="s">
        <v>1859</v>
      </c>
      <c r="Y875" t="s">
        <v>3504</v>
      </c>
      <c r="Z875" t="s">
        <v>83</v>
      </c>
      <c r="AA875">
        <v>1</v>
      </c>
      <c r="AB875" t="s">
        <v>3505</v>
      </c>
      <c r="AD875" t="s">
        <v>343</v>
      </c>
      <c r="AE875" t="s">
        <v>86</v>
      </c>
      <c r="AF875" t="s">
        <v>402</v>
      </c>
      <c r="AG875" t="s">
        <v>3506</v>
      </c>
      <c r="AI875" t="s">
        <v>90</v>
      </c>
      <c r="AJ875">
        <v>32.425230999999997</v>
      </c>
      <c r="AK875">
        <v>-110.73912300000001</v>
      </c>
      <c r="AN875">
        <v>2366</v>
      </c>
      <c r="AP875">
        <v>2366</v>
      </c>
      <c r="AQ875">
        <v>2379.9743669999998</v>
      </c>
      <c r="AT875">
        <v>3</v>
      </c>
      <c r="AU875">
        <v>7</v>
      </c>
      <c r="AV875">
        <v>2023</v>
      </c>
      <c r="AW875">
        <v>2437967</v>
      </c>
      <c r="AX875">
        <v>2437967</v>
      </c>
      <c r="AY875" t="s">
        <v>106</v>
      </c>
      <c r="AZ875" t="s">
        <v>92</v>
      </c>
      <c r="BA875" t="s">
        <v>107</v>
      </c>
      <c r="BB875" t="s">
        <v>3507</v>
      </c>
      <c r="BC875" t="s">
        <v>1186</v>
      </c>
      <c r="BD875" s="1">
        <v>45110</v>
      </c>
      <c r="BE875" t="s">
        <v>96</v>
      </c>
      <c r="BG875" t="s">
        <v>1187</v>
      </c>
      <c r="BI875" t="s">
        <v>98</v>
      </c>
      <c r="BJ875" t="s">
        <v>3508</v>
      </c>
      <c r="BK875" t="s">
        <v>365</v>
      </c>
      <c r="BL875" t="s">
        <v>110</v>
      </c>
    </row>
    <row r="876" spans="1:64" x14ac:dyDescent="0.2">
      <c r="A876">
        <v>1423</v>
      </c>
      <c r="B876">
        <v>4022922322</v>
      </c>
      <c r="C876" t="s">
        <v>63</v>
      </c>
      <c r="D876" t="s">
        <v>5210</v>
      </c>
      <c r="E876" t="s">
        <v>65</v>
      </c>
      <c r="F876" t="s">
        <v>66</v>
      </c>
      <c r="G876" t="s">
        <v>67</v>
      </c>
      <c r="H876" t="s">
        <v>68</v>
      </c>
      <c r="I876" t="s">
        <v>176</v>
      </c>
      <c r="J876" t="s">
        <v>773</v>
      </c>
      <c r="K876" t="s">
        <v>1347</v>
      </c>
      <c r="M876" t="s">
        <v>72</v>
      </c>
      <c r="N876" t="s">
        <v>1348</v>
      </c>
      <c r="O876" t="s">
        <v>1347</v>
      </c>
      <c r="P876" t="s">
        <v>1349</v>
      </c>
      <c r="Q876" t="s">
        <v>75</v>
      </c>
      <c r="R876" t="s">
        <v>5008</v>
      </c>
      <c r="S876" t="s">
        <v>5211</v>
      </c>
      <c r="T876" t="s">
        <v>78</v>
      </c>
      <c r="U876" t="s">
        <v>5009</v>
      </c>
      <c r="V876" t="s">
        <v>80</v>
      </c>
      <c r="W876" s="1">
        <v>44534</v>
      </c>
      <c r="X876" t="s">
        <v>5010</v>
      </c>
      <c r="Y876" t="s">
        <v>5212</v>
      </c>
      <c r="Z876" t="s">
        <v>83</v>
      </c>
      <c r="AA876">
        <v>1</v>
      </c>
      <c r="AB876" t="s">
        <v>5213</v>
      </c>
      <c r="AC876">
        <v>1</v>
      </c>
      <c r="AD876" s="6" t="s">
        <v>85</v>
      </c>
      <c r="AE876" s="6" t="s">
        <v>86</v>
      </c>
      <c r="AF876" s="6" t="s">
        <v>146</v>
      </c>
      <c r="AG876" s="6" t="s">
        <v>5214</v>
      </c>
      <c r="AH876" s="6"/>
      <c r="AI876" s="6" t="s">
        <v>90</v>
      </c>
      <c r="AJ876" s="6">
        <v>32.313220999999999</v>
      </c>
      <c r="AK876" s="6">
        <v>-110.712391</v>
      </c>
      <c r="AL876" s="6">
        <v>3</v>
      </c>
      <c r="AM876" s="6"/>
      <c r="AN876" s="6">
        <v>1169</v>
      </c>
      <c r="AO876" s="6"/>
      <c r="AP876" s="6">
        <v>1169</v>
      </c>
      <c r="AQ876" s="6">
        <v>1163.198684</v>
      </c>
      <c r="AR876" s="6"/>
      <c r="AS876" s="6"/>
      <c r="AT876" s="6">
        <v>4</v>
      </c>
      <c r="AU876" s="6">
        <v>12</v>
      </c>
      <c r="AV876" s="6">
        <v>2021</v>
      </c>
      <c r="AW876" s="6">
        <v>2438454</v>
      </c>
      <c r="AX876" s="6">
        <v>2438454</v>
      </c>
      <c r="AY876" s="6" t="s">
        <v>91</v>
      </c>
      <c r="AZ876" t="s">
        <v>92</v>
      </c>
      <c r="BA876" t="s">
        <v>93</v>
      </c>
      <c r="BB876" t="s">
        <v>5215</v>
      </c>
      <c r="BC876" t="s">
        <v>1186</v>
      </c>
      <c r="BE876" t="s">
        <v>96</v>
      </c>
      <c r="BG876" t="s">
        <v>4507</v>
      </c>
      <c r="BI876" t="s">
        <v>98</v>
      </c>
      <c r="BJ876" t="s">
        <v>285</v>
      </c>
      <c r="BL876" t="s">
        <v>100</v>
      </c>
    </row>
    <row r="877" spans="1:64" x14ac:dyDescent="0.2">
      <c r="A877">
        <v>1424</v>
      </c>
      <c r="B877">
        <v>4022922321</v>
      </c>
      <c r="C877" t="s">
        <v>63</v>
      </c>
      <c r="D877" t="s">
        <v>5232</v>
      </c>
      <c r="E877" t="s">
        <v>65</v>
      </c>
      <c r="F877" t="s">
        <v>66</v>
      </c>
      <c r="G877" t="s">
        <v>67</v>
      </c>
      <c r="H877" t="s">
        <v>68</v>
      </c>
      <c r="I877" t="s">
        <v>69</v>
      </c>
      <c r="J877" t="s">
        <v>70</v>
      </c>
      <c r="K877" t="s">
        <v>71</v>
      </c>
      <c r="M877" t="s">
        <v>72</v>
      </c>
      <c r="N877" t="s">
        <v>73</v>
      </c>
      <c r="O877" t="s">
        <v>71</v>
      </c>
      <c r="P877" t="s">
        <v>74</v>
      </c>
      <c r="Q877" t="s">
        <v>75</v>
      </c>
      <c r="R877" t="s">
        <v>5008</v>
      </c>
      <c r="S877" t="s">
        <v>4463</v>
      </c>
      <c r="T877" t="s">
        <v>78</v>
      </c>
      <c r="U877" t="s">
        <v>5009</v>
      </c>
      <c r="V877" t="s">
        <v>80</v>
      </c>
      <c r="W877" s="1">
        <v>44534</v>
      </c>
      <c r="X877" t="s">
        <v>5010</v>
      </c>
      <c r="Y877" t="s">
        <v>5233</v>
      </c>
      <c r="Z877" t="s">
        <v>83</v>
      </c>
      <c r="AA877">
        <v>1</v>
      </c>
      <c r="AB877" t="s">
        <v>5234</v>
      </c>
      <c r="AC877">
        <v>1</v>
      </c>
      <c r="AD877" s="6" t="s">
        <v>85</v>
      </c>
      <c r="AE877" s="6" t="s">
        <v>86</v>
      </c>
      <c r="AF877" s="6" t="s">
        <v>146</v>
      </c>
      <c r="AG877" s="6" t="s">
        <v>1257</v>
      </c>
      <c r="AH877" s="6"/>
      <c r="AI877" s="6" t="s">
        <v>90</v>
      </c>
      <c r="AJ877" s="6">
        <v>32.313585000000003</v>
      </c>
      <c r="AK877" s="6">
        <v>-110.712908</v>
      </c>
      <c r="AL877" s="6">
        <v>3</v>
      </c>
      <c r="AM877" s="6"/>
      <c r="AN877" s="6">
        <v>1171</v>
      </c>
      <c r="AO877" s="6"/>
      <c r="AP877" s="6">
        <v>1171</v>
      </c>
      <c r="AQ877" s="6">
        <v>1176.1302639999999</v>
      </c>
      <c r="AR877" s="6"/>
      <c r="AS877" s="6"/>
      <c r="AT877" s="6">
        <v>4</v>
      </c>
      <c r="AU877" s="6">
        <v>12</v>
      </c>
      <c r="AV877" s="6">
        <v>2021</v>
      </c>
      <c r="AW877" s="6">
        <v>2439581</v>
      </c>
      <c r="AX877" s="6">
        <v>2439581</v>
      </c>
      <c r="AY877" s="6" t="s">
        <v>91</v>
      </c>
      <c r="AZ877" t="s">
        <v>92</v>
      </c>
      <c r="BA877" t="s">
        <v>93</v>
      </c>
      <c r="BB877" t="s">
        <v>5235</v>
      </c>
      <c r="BC877" t="s">
        <v>1186</v>
      </c>
      <c r="BE877" t="s">
        <v>96</v>
      </c>
      <c r="BG877" t="s">
        <v>4507</v>
      </c>
      <c r="BI877" t="s">
        <v>98</v>
      </c>
      <c r="BJ877" t="s">
        <v>5236</v>
      </c>
      <c r="BL877" t="s">
        <v>100</v>
      </c>
    </row>
    <row r="878" spans="1:64" hidden="1" x14ac:dyDescent="0.2">
      <c r="A878">
        <v>1</v>
      </c>
      <c r="B878">
        <v>4403382639</v>
      </c>
      <c r="C878" t="s">
        <v>101</v>
      </c>
      <c r="D878" t="s">
        <v>3515</v>
      </c>
      <c r="E878" t="s">
        <v>65</v>
      </c>
      <c r="F878" t="s">
        <v>66</v>
      </c>
      <c r="G878" t="s">
        <v>67</v>
      </c>
      <c r="H878" t="s">
        <v>68</v>
      </c>
      <c r="I878" t="s">
        <v>176</v>
      </c>
      <c r="J878" t="s">
        <v>177</v>
      </c>
      <c r="K878" t="s">
        <v>1817</v>
      </c>
      <c r="M878" t="s">
        <v>72</v>
      </c>
      <c r="N878" t="s">
        <v>1818</v>
      </c>
      <c r="O878" t="s">
        <v>1817</v>
      </c>
      <c r="P878" t="s">
        <v>1819</v>
      </c>
      <c r="Q878" t="s">
        <v>75</v>
      </c>
      <c r="R878" t="s">
        <v>3174</v>
      </c>
      <c r="S878" t="s">
        <v>494</v>
      </c>
      <c r="T878" t="s">
        <v>78</v>
      </c>
      <c r="U878" t="s">
        <v>1822</v>
      </c>
      <c r="V878" t="s">
        <v>80</v>
      </c>
      <c r="W878" s="1">
        <v>45110</v>
      </c>
      <c r="X878" t="s">
        <v>1859</v>
      </c>
      <c r="Y878" t="s">
        <v>3512</v>
      </c>
      <c r="Z878" t="s">
        <v>83</v>
      </c>
      <c r="AA878">
        <v>1</v>
      </c>
      <c r="AB878" t="s">
        <v>3516</v>
      </c>
      <c r="AD878" t="s">
        <v>343</v>
      </c>
      <c r="AE878" t="s">
        <v>86</v>
      </c>
      <c r="AF878" t="s">
        <v>359</v>
      </c>
      <c r="AG878" t="s">
        <v>3513</v>
      </c>
      <c r="AI878" t="s">
        <v>90</v>
      </c>
      <c r="AJ878">
        <v>32.422662000000003</v>
      </c>
      <c r="AK878">
        <v>-110.733885</v>
      </c>
      <c r="AN878">
        <v>2408</v>
      </c>
      <c r="AP878">
        <v>2408</v>
      </c>
      <c r="AQ878">
        <v>2423.6232949999999</v>
      </c>
      <c r="AT878">
        <v>3</v>
      </c>
      <c r="AU878">
        <v>7</v>
      </c>
      <c r="AV878">
        <v>2023</v>
      </c>
      <c r="AW878">
        <v>2437967</v>
      </c>
      <c r="AX878">
        <v>2437967</v>
      </c>
      <c r="AY878" t="s">
        <v>106</v>
      </c>
      <c r="AZ878" t="s">
        <v>92</v>
      </c>
      <c r="BA878" t="s">
        <v>107</v>
      </c>
      <c r="BB878" t="s">
        <v>3517</v>
      </c>
      <c r="BC878" t="s">
        <v>1186</v>
      </c>
      <c r="BD878" s="1">
        <v>45110</v>
      </c>
      <c r="BE878" t="s">
        <v>96</v>
      </c>
      <c r="BG878" t="s">
        <v>1187</v>
      </c>
      <c r="BI878" t="s">
        <v>98</v>
      </c>
      <c r="BJ878" t="s">
        <v>3518</v>
      </c>
      <c r="BL878" t="s">
        <v>412</v>
      </c>
    </row>
    <row r="879" spans="1:64" x14ac:dyDescent="0.2">
      <c r="A879">
        <v>1426</v>
      </c>
      <c r="B879">
        <v>4022922319</v>
      </c>
      <c r="C879" t="s">
        <v>63</v>
      </c>
      <c r="D879" t="s">
        <v>5254</v>
      </c>
      <c r="E879" t="s">
        <v>65</v>
      </c>
      <c r="F879" t="s">
        <v>66</v>
      </c>
      <c r="G879" t="s">
        <v>67</v>
      </c>
      <c r="H879" t="s">
        <v>68</v>
      </c>
      <c r="I879" t="s">
        <v>69</v>
      </c>
      <c r="J879" t="s">
        <v>70</v>
      </c>
      <c r="K879" t="s">
        <v>71</v>
      </c>
      <c r="M879" t="s">
        <v>72</v>
      </c>
      <c r="N879" t="s">
        <v>73</v>
      </c>
      <c r="O879" t="s">
        <v>71</v>
      </c>
      <c r="P879" t="s">
        <v>74</v>
      </c>
      <c r="Q879" t="s">
        <v>75</v>
      </c>
      <c r="R879" t="s">
        <v>5008</v>
      </c>
      <c r="S879" t="s">
        <v>5255</v>
      </c>
      <c r="T879" t="s">
        <v>78</v>
      </c>
      <c r="U879" t="s">
        <v>5009</v>
      </c>
      <c r="V879" t="s">
        <v>80</v>
      </c>
      <c r="W879" s="1">
        <v>44534</v>
      </c>
      <c r="X879" t="s">
        <v>5010</v>
      </c>
      <c r="Y879" t="s">
        <v>5256</v>
      </c>
      <c r="Z879" t="s">
        <v>83</v>
      </c>
      <c r="AA879">
        <v>1</v>
      </c>
      <c r="AB879" t="s">
        <v>5257</v>
      </c>
      <c r="AC879">
        <v>1</v>
      </c>
      <c r="AD879" s="6" t="s">
        <v>85</v>
      </c>
      <c r="AE879" s="6" t="s">
        <v>145</v>
      </c>
      <c r="AF879" s="6" t="s">
        <v>146</v>
      </c>
      <c r="AG879" s="6" t="s">
        <v>5258</v>
      </c>
      <c r="AH879" s="6"/>
      <c r="AI879" s="6" t="s">
        <v>90</v>
      </c>
      <c r="AJ879" s="6">
        <v>32.314048</v>
      </c>
      <c r="AK879" s="6">
        <v>-110.712737</v>
      </c>
      <c r="AL879" s="6">
        <v>3</v>
      </c>
      <c r="AM879" s="6"/>
      <c r="AN879" s="6">
        <v>1182</v>
      </c>
      <c r="AO879" s="6"/>
      <c r="AP879" s="6">
        <v>1182</v>
      </c>
      <c r="AQ879" s="6">
        <v>1182.6412849999999</v>
      </c>
      <c r="AR879" s="6"/>
      <c r="AS879" s="6"/>
      <c r="AT879" s="6">
        <v>4</v>
      </c>
      <c r="AU879" s="6">
        <v>12</v>
      </c>
      <c r="AV879" s="6">
        <v>2021</v>
      </c>
      <c r="AW879" s="6">
        <v>2439581</v>
      </c>
      <c r="AX879" s="6">
        <v>2439581</v>
      </c>
      <c r="AY879" s="6" t="s">
        <v>91</v>
      </c>
      <c r="AZ879" t="s">
        <v>92</v>
      </c>
      <c r="BA879" t="s">
        <v>93</v>
      </c>
      <c r="BB879" t="s">
        <v>5259</v>
      </c>
      <c r="BC879" t="s">
        <v>1186</v>
      </c>
      <c r="BE879" t="s">
        <v>96</v>
      </c>
      <c r="BG879" t="s">
        <v>4507</v>
      </c>
      <c r="BI879" t="s">
        <v>98</v>
      </c>
      <c r="BJ879" t="s">
        <v>5260</v>
      </c>
      <c r="BL879" t="s">
        <v>100</v>
      </c>
    </row>
    <row r="880" spans="1:64" hidden="1" x14ac:dyDescent="0.2">
      <c r="A880">
        <v>58</v>
      </c>
      <c r="B880">
        <v>4403382582</v>
      </c>
      <c r="C880" t="s">
        <v>101</v>
      </c>
      <c r="D880" t="s">
        <v>3533</v>
      </c>
      <c r="E880" t="s">
        <v>65</v>
      </c>
      <c r="F880" t="s">
        <v>66</v>
      </c>
      <c r="G880" t="s">
        <v>67</v>
      </c>
      <c r="H880" t="s">
        <v>68</v>
      </c>
      <c r="I880" t="s">
        <v>176</v>
      </c>
      <c r="J880" t="s">
        <v>1173</v>
      </c>
      <c r="K880" t="s">
        <v>3520</v>
      </c>
      <c r="M880" t="s">
        <v>72</v>
      </c>
      <c r="N880" t="s">
        <v>3521</v>
      </c>
      <c r="O880" t="s">
        <v>3520</v>
      </c>
      <c r="P880" t="s">
        <v>3522</v>
      </c>
      <c r="Q880" t="s">
        <v>75</v>
      </c>
      <c r="R880" t="s">
        <v>3174</v>
      </c>
      <c r="S880" t="s">
        <v>469</v>
      </c>
      <c r="T880" t="s">
        <v>78</v>
      </c>
      <c r="U880" t="s">
        <v>1822</v>
      </c>
      <c r="V880" t="s">
        <v>80</v>
      </c>
      <c r="W880" s="1">
        <v>45110</v>
      </c>
      <c r="X880" t="s">
        <v>1859</v>
      </c>
      <c r="Y880" t="s">
        <v>3523</v>
      </c>
      <c r="Z880" t="s">
        <v>83</v>
      </c>
      <c r="AA880">
        <v>1</v>
      </c>
      <c r="AB880" t="s">
        <v>367</v>
      </c>
      <c r="AD880" t="s">
        <v>1207</v>
      </c>
      <c r="AE880" t="s">
        <v>145</v>
      </c>
      <c r="AF880" t="s">
        <v>610</v>
      </c>
      <c r="AG880" t="s">
        <v>3525</v>
      </c>
      <c r="AH880" t="s">
        <v>3534</v>
      </c>
      <c r="AI880" t="s">
        <v>90</v>
      </c>
      <c r="AJ880">
        <v>32.423138000000002</v>
      </c>
      <c r="AK880">
        <v>-110.73394999999999</v>
      </c>
      <c r="AL880">
        <v>3</v>
      </c>
      <c r="AN880">
        <v>2401</v>
      </c>
      <c r="AP880">
        <v>2401</v>
      </c>
      <c r="AQ880">
        <v>2407.750321</v>
      </c>
      <c r="AT880">
        <v>3</v>
      </c>
      <c r="AU880">
        <v>7</v>
      </c>
      <c r="AV880">
        <v>2023</v>
      </c>
      <c r="AW880">
        <v>2437864</v>
      </c>
      <c r="AX880">
        <v>2437864</v>
      </c>
      <c r="AY880" t="s">
        <v>106</v>
      </c>
      <c r="AZ880" t="s">
        <v>92</v>
      </c>
      <c r="BA880" t="s">
        <v>107</v>
      </c>
      <c r="BB880" t="s">
        <v>3535</v>
      </c>
      <c r="BC880" t="s">
        <v>3528</v>
      </c>
      <c r="BD880" s="1">
        <v>45110</v>
      </c>
      <c r="BE880" t="s">
        <v>96</v>
      </c>
      <c r="BG880" t="s">
        <v>1187</v>
      </c>
      <c r="BI880" t="s">
        <v>98</v>
      </c>
      <c r="BJ880" t="s">
        <v>3532</v>
      </c>
      <c r="BL880" t="s">
        <v>412</v>
      </c>
    </row>
    <row r="881" spans="1:64" hidden="1" x14ac:dyDescent="0.2">
      <c r="A881">
        <v>59</v>
      </c>
      <c r="B881">
        <v>4403382581</v>
      </c>
      <c r="C881" t="s">
        <v>101</v>
      </c>
      <c r="D881" t="s">
        <v>3536</v>
      </c>
      <c r="E881" t="s">
        <v>65</v>
      </c>
      <c r="F881" t="s">
        <v>66</v>
      </c>
      <c r="G881" t="s">
        <v>67</v>
      </c>
      <c r="H881" t="s">
        <v>68</v>
      </c>
      <c r="I881" t="s">
        <v>176</v>
      </c>
      <c r="J881" t="s">
        <v>1173</v>
      </c>
      <c r="K881" t="s">
        <v>3520</v>
      </c>
      <c r="M881" t="s">
        <v>72</v>
      </c>
      <c r="N881" t="s">
        <v>3521</v>
      </c>
      <c r="O881" t="s">
        <v>3520</v>
      </c>
      <c r="P881" t="s">
        <v>3522</v>
      </c>
      <c r="Q881" t="s">
        <v>75</v>
      </c>
      <c r="R881" t="s">
        <v>3174</v>
      </c>
      <c r="S881" t="s">
        <v>469</v>
      </c>
      <c r="T881" t="s">
        <v>78</v>
      </c>
      <c r="U881" t="s">
        <v>1822</v>
      </c>
      <c r="V881" t="s">
        <v>80</v>
      </c>
      <c r="W881" s="1">
        <v>45110</v>
      </c>
      <c r="X881" t="s">
        <v>1859</v>
      </c>
      <c r="Y881" t="s">
        <v>3523</v>
      </c>
      <c r="Z881" t="s">
        <v>83</v>
      </c>
      <c r="AA881">
        <v>1</v>
      </c>
      <c r="AB881" t="s">
        <v>372</v>
      </c>
      <c r="AD881" t="s">
        <v>134</v>
      </c>
      <c r="AE881" t="s">
        <v>145</v>
      </c>
      <c r="AF881" t="s">
        <v>610</v>
      </c>
      <c r="AG881" t="s">
        <v>3525</v>
      </c>
      <c r="AH881" t="s">
        <v>3537</v>
      </c>
      <c r="AI881" t="s">
        <v>90</v>
      </c>
      <c r="AJ881">
        <v>32.423138000000002</v>
      </c>
      <c r="AK881">
        <v>-110.73394999999999</v>
      </c>
      <c r="AL881">
        <v>3</v>
      </c>
      <c r="AN881">
        <v>2401</v>
      </c>
      <c r="AP881">
        <v>2401</v>
      </c>
      <c r="AQ881">
        <v>2407.750321</v>
      </c>
      <c r="AT881">
        <v>3</v>
      </c>
      <c r="AU881">
        <v>7</v>
      </c>
      <c r="AV881">
        <v>2023</v>
      </c>
      <c r="AW881">
        <v>2437864</v>
      </c>
      <c r="AX881">
        <v>2437864</v>
      </c>
      <c r="AY881" t="s">
        <v>106</v>
      </c>
      <c r="AZ881" t="s">
        <v>92</v>
      </c>
      <c r="BA881" t="s">
        <v>107</v>
      </c>
      <c r="BB881" t="s">
        <v>3538</v>
      </c>
      <c r="BC881" t="s">
        <v>3528</v>
      </c>
      <c r="BD881" s="1">
        <v>45110</v>
      </c>
      <c r="BE881" t="s">
        <v>96</v>
      </c>
      <c r="BG881" t="s">
        <v>1187</v>
      </c>
      <c r="BI881" t="s">
        <v>98</v>
      </c>
      <c r="BJ881" t="s">
        <v>3532</v>
      </c>
      <c r="BL881" t="s">
        <v>412</v>
      </c>
    </row>
    <row r="882" spans="1:64" hidden="1" x14ac:dyDescent="0.2">
      <c r="A882">
        <v>34</v>
      </c>
      <c r="B882">
        <v>4403382606</v>
      </c>
      <c r="C882" t="s">
        <v>101</v>
      </c>
      <c r="D882" t="s">
        <v>3539</v>
      </c>
      <c r="E882" t="s">
        <v>65</v>
      </c>
      <c r="F882" t="s">
        <v>66</v>
      </c>
      <c r="G882" t="s">
        <v>67</v>
      </c>
      <c r="H882" t="s">
        <v>68</v>
      </c>
      <c r="I882" t="s">
        <v>176</v>
      </c>
      <c r="J882" t="s">
        <v>1173</v>
      </c>
      <c r="K882" t="s">
        <v>3520</v>
      </c>
      <c r="M882" t="s">
        <v>72</v>
      </c>
      <c r="N882" t="s">
        <v>3521</v>
      </c>
      <c r="O882" t="s">
        <v>3520</v>
      </c>
      <c r="P882" t="s">
        <v>3522</v>
      </c>
      <c r="Q882" t="s">
        <v>75</v>
      </c>
      <c r="R882" t="s">
        <v>3174</v>
      </c>
      <c r="S882" t="s">
        <v>469</v>
      </c>
      <c r="T882" t="s">
        <v>78</v>
      </c>
      <c r="U882" t="s">
        <v>1822</v>
      </c>
      <c r="V882" t="s">
        <v>80</v>
      </c>
      <c r="W882" s="1">
        <v>45110</v>
      </c>
      <c r="X882" t="s">
        <v>1859</v>
      </c>
      <c r="Y882" t="s">
        <v>3523</v>
      </c>
      <c r="Z882" t="s">
        <v>83</v>
      </c>
      <c r="AA882">
        <v>1</v>
      </c>
      <c r="AB882" t="s">
        <v>367</v>
      </c>
      <c r="AD882" t="s">
        <v>104</v>
      </c>
      <c r="AE882" t="s">
        <v>145</v>
      </c>
      <c r="AF882" t="s">
        <v>610</v>
      </c>
      <c r="AG882" t="s">
        <v>3525</v>
      </c>
      <c r="AH882" t="s">
        <v>3534</v>
      </c>
      <c r="AI882" t="s">
        <v>90</v>
      </c>
      <c r="AJ882">
        <v>32.423138000000002</v>
      </c>
      <c r="AK882">
        <v>-110.73394999999999</v>
      </c>
      <c r="AL882">
        <v>3</v>
      </c>
      <c r="AN882">
        <v>2401</v>
      </c>
      <c r="AP882">
        <v>2401</v>
      </c>
      <c r="AQ882">
        <v>2407.750321</v>
      </c>
      <c r="AT882">
        <v>3</v>
      </c>
      <c r="AU882">
        <v>7</v>
      </c>
      <c r="AV882">
        <v>2023</v>
      </c>
      <c r="AW882">
        <v>2437864</v>
      </c>
      <c r="AX882">
        <v>2437864</v>
      </c>
      <c r="AY882" t="s">
        <v>106</v>
      </c>
      <c r="AZ882" t="s">
        <v>92</v>
      </c>
      <c r="BA882" t="s">
        <v>107</v>
      </c>
      <c r="BB882" t="s">
        <v>3540</v>
      </c>
      <c r="BC882" t="s">
        <v>3528</v>
      </c>
      <c r="BD882" s="1">
        <v>45110</v>
      </c>
      <c r="BE882" t="s">
        <v>96</v>
      </c>
      <c r="BG882" t="s">
        <v>1187</v>
      </c>
      <c r="BI882" t="s">
        <v>98</v>
      </c>
      <c r="BJ882" t="s">
        <v>2251</v>
      </c>
      <c r="BL882" t="s">
        <v>412</v>
      </c>
    </row>
    <row r="883" spans="1:64" hidden="1" x14ac:dyDescent="0.2">
      <c r="A883">
        <v>37</v>
      </c>
      <c r="B883">
        <v>4403382603</v>
      </c>
      <c r="C883" t="s">
        <v>101</v>
      </c>
      <c r="D883" t="s">
        <v>3541</v>
      </c>
      <c r="E883" t="s">
        <v>65</v>
      </c>
      <c r="F883" t="s">
        <v>66</v>
      </c>
      <c r="G883" t="s">
        <v>67</v>
      </c>
      <c r="H883" t="s">
        <v>68</v>
      </c>
      <c r="I883" t="s">
        <v>176</v>
      </c>
      <c r="J883" t="s">
        <v>1173</v>
      </c>
      <c r="K883" t="s">
        <v>3520</v>
      </c>
      <c r="M883" t="s">
        <v>72</v>
      </c>
      <c r="N883" t="s">
        <v>3521</v>
      </c>
      <c r="O883" t="s">
        <v>3520</v>
      </c>
      <c r="P883" t="s">
        <v>3522</v>
      </c>
      <c r="Q883" t="s">
        <v>75</v>
      </c>
      <c r="R883" t="s">
        <v>3174</v>
      </c>
      <c r="S883" t="s">
        <v>469</v>
      </c>
      <c r="T883" t="s">
        <v>78</v>
      </c>
      <c r="U883" t="s">
        <v>1822</v>
      </c>
      <c r="V883" t="s">
        <v>80</v>
      </c>
      <c r="W883" s="1">
        <v>45110</v>
      </c>
      <c r="X883" t="s">
        <v>1859</v>
      </c>
      <c r="Y883" t="s">
        <v>3523</v>
      </c>
      <c r="Z883" t="s">
        <v>83</v>
      </c>
      <c r="AA883">
        <v>1</v>
      </c>
      <c r="AB883" t="s">
        <v>367</v>
      </c>
      <c r="AD883" t="s">
        <v>116</v>
      </c>
      <c r="AE883" t="s">
        <v>145</v>
      </c>
      <c r="AF883" t="s">
        <v>610</v>
      </c>
      <c r="AG883" t="s">
        <v>3525</v>
      </c>
      <c r="AH883" t="s">
        <v>3534</v>
      </c>
      <c r="AI883" t="s">
        <v>90</v>
      </c>
      <c r="AJ883">
        <v>32.423138000000002</v>
      </c>
      <c r="AK883">
        <v>-110.73394999999999</v>
      </c>
      <c r="AL883">
        <v>3</v>
      </c>
      <c r="AN883">
        <v>2401</v>
      </c>
      <c r="AP883">
        <v>2401</v>
      </c>
      <c r="AQ883">
        <v>2407.750321</v>
      </c>
      <c r="AT883">
        <v>3</v>
      </c>
      <c r="AU883">
        <v>7</v>
      </c>
      <c r="AV883">
        <v>2023</v>
      </c>
      <c r="AW883">
        <v>2437864</v>
      </c>
      <c r="AX883">
        <v>2437864</v>
      </c>
      <c r="AY883" t="s">
        <v>106</v>
      </c>
      <c r="AZ883" t="s">
        <v>92</v>
      </c>
      <c r="BA883" t="s">
        <v>107</v>
      </c>
      <c r="BB883" t="s">
        <v>3542</v>
      </c>
      <c r="BC883" t="s">
        <v>3528</v>
      </c>
      <c r="BD883" s="1">
        <v>45110</v>
      </c>
      <c r="BE883" t="s">
        <v>96</v>
      </c>
      <c r="BG883" t="s">
        <v>1187</v>
      </c>
      <c r="BI883" t="s">
        <v>98</v>
      </c>
      <c r="BJ883" t="s">
        <v>3496</v>
      </c>
      <c r="BL883" t="s">
        <v>412</v>
      </c>
    </row>
    <row r="884" spans="1:64" hidden="1" x14ac:dyDescent="0.2">
      <c r="A884">
        <v>40</v>
      </c>
      <c r="B884">
        <v>4403382600</v>
      </c>
      <c r="C884" t="s">
        <v>101</v>
      </c>
      <c r="D884" t="s">
        <v>3543</v>
      </c>
      <c r="E884" t="s">
        <v>65</v>
      </c>
      <c r="F884" t="s">
        <v>66</v>
      </c>
      <c r="G884" t="s">
        <v>67</v>
      </c>
      <c r="H884" t="s">
        <v>68</v>
      </c>
      <c r="I884" t="s">
        <v>176</v>
      </c>
      <c r="J884" t="s">
        <v>1173</v>
      </c>
      <c r="K884" t="s">
        <v>3520</v>
      </c>
      <c r="M884" t="s">
        <v>72</v>
      </c>
      <c r="N884" t="s">
        <v>3521</v>
      </c>
      <c r="O884" t="s">
        <v>3520</v>
      </c>
      <c r="P884" t="s">
        <v>3522</v>
      </c>
      <c r="Q884" t="s">
        <v>75</v>
      </c>
      <c r="R884" t="s">
        <v>3174</v>
      </c>
      <c r="S884" t="s">
        <v>469</v>
      </c>
      <c r="T884" t="s">
        <v>78</v>
      </c>
      <c r="U884" t="s">
        <v>1822</v>
      </c>
      <c r="V884" t="s">
        <v>80</v>
      </c>
      <c r="W884" s="1">
        <v>45110</v>
      </c>
      <c r="X884" t="s">
        <v>1859</v>
      </c>
      <c r="Y884" t="s">
        <v>3523</v>
      </c>
      <c r="Z884" t="s">
        <v>83</v>
      </c>
      <c r="AA884">
        <v>1</v>
      </c>
      <c r="AB884" t="s">
        <v>367</v>
      </c>
      <c r="AD884" t="s">
        <v>112</v>
      </c>
      <c r="AE884" t="s">
        <v>145</v>
      </c>
      <c r="AF884" t="s">
        <v>610</v>
      </c>
      <c r="AG884" t="s">
        <v>3525</v>
      </c>
      <c r="AH884" t="s">
        <v>3534</v>
      </c>
      <c r="AI884" t="s">
        <v>90</v>
      </c>
      <c r="AJ884">
        <v>32.423138000000002</v>
      </c>
      <c r="AK884">
        <v>-110.73394999999999</v>
      </c>
      <c r="AL884">
        <v>3</v>
      </c>
      <c r="AN884">
        <v>2401</v>
      </c>
      <c r="AP884">
        <v>2401</v>
      </c>
      <c r="AQ884">
        <v>2407.750321</v>
      </c>
      <c r="AT884">
        <v>3</v>
      </c>
      <c r="AU884">
        <v>7</v>
      </c>
      <c r="AV884">
        <v>2023</v>
      </c>
      <c r="AW884">
        <v>2437864</v>
      </c>
      <c r="AX884">
        <v>2437864</v>
      </c>
      <c r="AY884" t="s">
        <v>106</v>
      </c>
      <c r="AZ884" t="s">
        <v>92</v>
      </c>
      <c r="BA884" t="s">
        <v>107</v>
      </c>
      <c r="BB884" t="s">
        <v>3544</v>
      </c>
      <c r="BC884" t="s">
        <v>3528</v>
      </c>
      <c r="BD884" s="1">
        <v>45110</v>
      </c>
      <c r="BE884" t="s">
        <v>96</v>
      </c>
      <c r="BG884" t="s">
        <v>1187</v>
      </c>
      <c r="BI884" t="s">
        <v>98</v>
      </c>
      <c r="BJ884" t="s">
        <v>2251</v>
      </c>
      <c r="BL884" t="s">
        <v>412</v>
      </c>
    </row>
    <row r="885" spans="1:64" hidden="1" x14ac:dyDescent="0.2">
      <c r="A885">
        <v>43</v>
      </c>
      <c r="B885">
        <v>4403382597</v>
      </c>
      <c r="C885" t="s">
        <v>101</v>
      </c>
      <c r="D885" t="s">
        <v>3545</v>
      </c>
      <c r="E885" t="s">
        <v>65</v>
      </c>
      <c r="F885" t="s">
        <v>66</v>
      </c>
      <c r="G885" t="s">
        <v>67</v>
      </c>
      <c r="H885" t="s">
        <v>68</v>
      </c>
      <c r="I885" t="s">
        <v>176</v>
      </c>
      <c r="J885" t="s">
        <v>1173</v>
      </c>
      <c r="K885" t="s">
        <v>3520</v>
      </c>
      <c r="M885" t="s">
        <v>72</v>
      </c>
      <c r="N885" t="s">
        <v>3521</v>
      </c>
      <c r="O885" t="s">
        <v>3520</v>
      </c>
      <c r="P885" t="s">
        <v>3522</v>
      </c>
      <c r="Q885" t="s">
        <v>75</v>
      </c>
      <c r="R885" t="s">
        <v>3174</v>
      </c>
      <c r="S885" t="s">
        <v>469</v>
      </c>
      <c r="T885" t="s">
        <v>78</v>
      </c>
      <c r="U885" t="s">
        <v>1822</v>
      </c>
      <c r="V885" t="s">
        <v>80</v>
      </c>
      <c r="W885" s="1">
        <v>45110</v>
      </c>
      <c r="X885" t="s">
        <v>1859</v>
      </c>
      <c r="Y885" t="s">
        <v>3523</v>
      </c>
      <c r="Z885" t="s">
        <v>83</v>
      </c>
      <c r="AA885">
        <v>1</v>
      </c>
      <c r="AB885" t="s">
        <v>367</v>
      </c>
      <c r="AD885" t="s">
        <v>123</v>
      </c>
      <c r="AE885" t="s">
        <v>145</v>
      </c>
      <c r="AF885" t="s">
        <v>610</v>
      </c>
      <c r="AG885" t="s">
        <v>3525</v>
      </c>
      <c r="AH885" t="s">
        <v>3534</v>
      </c>
      <c r="AI885" t="s">
        <v>90</v>
      </c>
      <c r="AJ885">
        <v>32.423138000000002</v>
      </c>
      <c r="AK885">
        <v>-110.73394999999999</v>
      </c>
      <c r="AL885">
        <v>3</v>
      </c>
      <c r="AN885">
        <v>2401</v>
      </c>
      <c r="AP885">
        <v>2401</v>
      </c>
      <c r="AQ885">
        <v>2407.750321</v>
      </c>
      <c r="AT885">
        <v>3</v>
      </c>
      <c r="AU885">
        <v>7</v>
      </c>
      <c r="AV885">
        <v>2023</v>
      </c>
      <c r="AW885">
        <v>2437864</v>
      </c>
      <c r="AX885">
        <v>2437864</v>
      </c>
      <c r="AY885" t="s">
        <v>106</v>
      </c>
      <c r="AZ885" t="s">
        <v>92</v>
      </c>
      <c r="BA885" t="s">
        <v>107</v>
      </c>
      <c r="BB885" t="s">
        <v>3546</v>
      </c>
      <c r="BC885" t="s">
        <v>3528</v>
      </c>
      <c r="BD885" s="1">
        <v>45110</v>
      </c>
      <c r="BE885" t="s">
        <v>96</v>
      </c>
      <c r="BG885" t="s">
        <v>1187</v>
      </c>
      <c r="BI885" t="s">
        <v>98</v>
      </c>
      <c r="BJ885" t="s">
        <v>2251</v>
      </c>
      <c r="BL885" t="s">
        <v>412</v>
      </c>
    </row>
    <row r="886" spans="1:64" hidden="1" x14ac:dyDescent="0.2">
      <c r="A886">
        <v>46</v>
      </c>
      <c r="B886">
        <v>4403382594</v>
      </c>
      <c r="C886" t="s">
        <v>101</v>
      </c>
      <c r="D886" t="s">
        <v>3547</v>
      </c>
      <c r="E886" t="s">
        <v>65</v>
      </c>
      <c r="F886" t="s">
        <v>66</v>
      </c>
      <c r="G886" t="s">
        <v>67</v>
      </c>
      <c r="H886" t="s">
        <v>68</v>
      </c>
      <c r="I886" t="s">
        <v>176</v>
      </c>
      <c r="J886" t="s">
        <v>1173</v>
      </c>
      <c r="K886" t="s">
        <v>3520</v>
      </c>
      <c r="M886" t="s">
        <v>72</v>
      </c>
      <c r="N886" t="s">
        <v>3521</v>
      </c>
      <c r="O886" t="s">
        <v>3520</v>
      </c>
      <c r="P886" t="s">
        <v>3522</v>
      </c>
      <c r="Q886" t="s">
        <v>75</v>
      </c>
      <c r="R886" t="s">
        <v>3174</v>
      </c>
      <c r="S886" t="s">
        <v>469</v>
      </c>
      <c r="T886" t="s">
        <v>78</v>
      </c>
      <c r="U886" t="s">
        <v>1822</v>
      </c>
      <c r="V886" t="s">
        <v>80</v>
      </c>
      <c r="W886" s="1">
        <v>45110</v>
      </c>
      <c r="X886" t="s">
        <v>1859</v>
      </c>
      <c r="Y886" t="s">
        <v>3523</v>
      </c>
      <c r="Z886" t="s">
        <v>83</v>
      </c>
      <c r="AA886">
        <v>1</v>
      </c>
      <c r="AB886" t="s">
        <v>367</v>
      </c>
      <c r="AD886" t="s">
        <v>139</v>
      </c>
      <c r="AE886" t="s">
        <v>145</v>
      </c>
      <c r="AF886" t="s">
        <v>610</v>
      </c>
      <c r="AG886" t="s">
        <v>3525</v>
      </c>
      <c r="AH886" t="s">
        <v>3534</v>
      </c>
      <c r="AI886" t="s">
        <v>90</v>
      </c>
      <c r="AJ886">
        <v>32.423138000000002</v>
      </c>
      <c r="AK886">
        <v>-110.73394999999999</v>
      </c>
      <c r="AL886">
        <v>3</v>
      </c>
      <c r="AN886">
        <v>2401</v>
      </c>
      <c r="AP886">
        <v>2401</v>
      </c>
      <c r="AQ886">
        <v>2407.750321</v>
      </c>
      <c r="AT886">
        <v>3</v>
      </c>
      <c r="AU886">
        <v>7</v>
      </c>
      <c r="AV886">
        <v>2023</v>
      </c>
      <c r="AW886">
        <v>2437864</v>
      </c>
      <c r="AX886">
        <v>2437864</v>
      </c>
      <c r="AY886" t="s">
        <v>106</v>
      </c>
      <c r="AZ886" t="s">
        <v>92</v>
      </c>
      <c r="BA886" t="s">
        <v>107</v>
      </c>
      <c r="BB886" t="s">
        <v>3548</v>
      </c>
      <c r="BC886" t="s">
        <v>3528</v>
      </c>
      <c r="BD886" s="1">
        <v>45110</v>
      </c>
      <c r="BE886" t="s">
        <v>96</v>
      </c>
      <c r="BG886" t="s">
        <v>1187</v>
      </c>
      <c r="BI886" t="s">
        <v>98</v>
      </c>
      <c r="BJ886" t="s">
        <v>2378</v>
      </c>
      <c r="BL886" t="s">
        <v>412</v>
      </c>
    </row>
    <row r="887" spans="1:64" hidden="1" x14ac:dyDescent="0.2">
      <c r="A887">
        <v>52</v>
      </c>
      <c r="B887">
        <v>4403382588</v>
      </c>
      <c r="C887" t="s">
        <v>101</v>
      </c>
      <c r="D887" t="s">
        <v>3549</v>
      </c>
      <c r="E887" t="s">
        <v>65</v>
      </c>
      <c r="F887" t="s">
        <v>66</v>
      </c>
      <c r="G887" t="s">
        <v>67</v>
      </c>
      <c r="H887" t="s">
        <v>68</v>
      </c>
      <c r="I887" t="s">
        <v>176</v>
      </c>
      <c r="J887" t="s">
        <v>177</v>
      </c>
      <c r="K887" t="s">
        <v>178</v>
      </c>
      <c r="M887" t="s">
        <v>72</v>
      </c>
      <c r="N887" t="s">
        <v>179</v>
      </c>
      <c r="O887" t="s">
        <v>178</v>
      </c>
      <c r="P887" t="s">
        <v>180</v>
      </c>
      <c r="Q887" t="s">
        <v>75</v>
      </c>
      <c r="R887" t="s">
        <v>3174</v>
      </c>
      <c r="S887" t="s">
        <v>569</v>
      </c>
      <c r="T887" t="s">
        <v>78</v>
      </c>
      <c r="U887" t="s">
        <v>1822</v>
      </c>
      <c r="V887" t="s">
        <v>80</v>
      </c>
      <c r="W887" s="1">
        <v>45110</v>
      </c>
      <c r="X887" t="s">
        <v>1859</v>
      </c>
      <c r="Y887" t="s">
        <v>3550</v>
      </c>
      <c r="Z887" t="s">
        <v>83</v>
      </c>
      <c r="AA887">
        <v>1</v>
      </c>
      <c r="AB887" t="s">
        <v>3551</v>
      </c>
      <c r="AD887" t="s">
        <v>343</v>
      </c>
      <c r="AE887" t="s">
        <v>86</v>
      </c>
      <c r="AF887" t="s">
        <v>402</v>
      </c>
      <c r="AG887" t="s">
        <v>3552</v>
      </c>
      <c r="AI887" t="s">
        <v>90</v>
      </c>
      <c r="AJ887">
        <v>32.422609999999999</v>
      </c>
      <c r="AK887">
        <v>-110.73367500000001</v>
      </c>
      <c r="AN887">
        <v>2412</v>
      </c>
      <c r="AP887">
        <v>2412</v>
      </c>
      <c r="AQ887">
        <v>2423.72876</v>
      </c>
      <c r="AT887">
        <v>3</v>
      </c>
      <c r="AU887">
        <v>7</v>
      </c>
      <c r="AV887">
        <v>2023</v>
      </c>
      <c r="AW887">
        <v>2438038</v>
      </c>
      <c r="AX887">
        <v>2438038</v>
      </c>
      <c r="AY887" t="s">
        <v>106</v>
      </c>
      <c r="AZ887" t="s">
        <v>92</v>
      </c>
      <c r="BA887" t="s">
        <v>107</v>
      </c>
      <c r="BB887" t="s">
        <v>3553</v>
      </c>
      <c r="BC887" t="s">
        <v>1186</v>
      </c>
      <c r="BD887" s="1">
        <v>45110</v>
      </c>
      <c r="BE887" t="s">
        <v>96</v>
      </c>
      <c r="BG887" t="s">
        <v>1187</v>
      </c>
      <c r="BI887" t="s">
        <v>98</v>
      </c>
      <c r="BJ887" t="s">
        <v>3532</v>
      </c>
      <c r="BK887" t="s">
        <v>365</v>
      </c>
      <c r="BL887" t="s">
        <v>412</v>
      </c>
    </row>
    <row r="888" spans="1:64" x14ac:dyDescent="0.2">
      <c r="A888">
        <v>1430</v>
      </c>
      <c r="B888">
        <v>4022922315</v>
      </c>
      <c r="C888" t="s">
        <v>63</v>
      </c>
      <c r="D888" t="s">
        <v>4894</v>
      </c>
      <c r="E888" t="s">
        <v>65</v>
      </c>
      <c r="F888" t="s">
        <v>66</v>
      </c>
      <c r="G888" t="s">
        <v>67</v>
      </c>
      <c r="H888" t="s">
        <v>68</v>
      </c>
      <c r="I888" t="s">
        <v>69</v>
      </c>
      <c r="J888" t="s">
        <v>70</v>
      </c>
      <c r="K888" t="s">
        <v>71</v>
      </c>
      <c r="M888" t="s">
        <v>72</v>
      </c>
      <c r="N888" t="s">
        <v>73</v>
      </c>
      <c r="O888" t="s">
        <v>71</v>
      </c>
      <c r="P888" t="s">
        <v>74</v>
      </c>
      <c r="Q888" t="s">
        <v>75</v>
      </c>
      <c r="R888" t="s">
        <v>4501</v>
      </c>
      <c r="S888" t="s">
        <v>4895</v>
      </c>
      <c r="T888" t="s">
        <v>78</v>
      </c>
      <c r="U888" t="s">
        <v>3817</v>
      </c>
      <c r="V888" t="s">
        <v>80</v>
      </c>
      <c r="W888" s="1">
        <v>44535</v>
      </c>
      <c r="X888" t="s">
        <v>4502</v>
      </c>
      <c r="Y888" t="s">
        <v>4896</v>
      </c>
      <c r="Z888" t="s">
        <v>83</v>
      </c>
      <c r="AA888">
        <v>1</v>
      </c>
      <c r="AB888" t="s">
        <v>4897</v>
      </c>
      <c r="AC888">
        <v>1</v>
      </c>
      <c r="AD888" s="6" t="s">
        <v>85</v>
      </c>
      <c r="AE888" s="6" t="s">
        <v>86</v>
      </c>
      <c r="AF888" s="6" t="s">
        <v>146</v>
      </c>
      <c r="AG888" s="6" t="s">
        <v>4898</v>
      </c>
      <c r="AH888" s="6"/>
      <c r="AI888" s="6" t="s">
        <v>90</v>
      </c>
      <c r="AJ888" s="6">
        <v>32.33663</v>
      </c>
      <c r="AK888" s="6">
        <v>-110.721034</v>
      </c>
      <c r="AL888" s="6">
        <v>3</v>
      </c>
      <c r="AM888" s="6"/>
      <c r="AN888" s="6">
        <v>1480</v>
      </c>
      <c r="AO888" s="6"/>
      <c r="AP888" s="6">
        <v>1480</v>
      </c>
      <c r="AQ888" s="6">
        <v>1475.9009579999999</v>
      </c>
      <c r="AR888" s="6"/>
      <c r="AS888" s="6"/>
      <c r="AT888" s="6">
        <v>5</v>
      </c>
      <c r="AU888" s="6">
        <v>12</v>
      </c>
      <c r="AV888" s="6">
        <v>2021</v>
      </c>
      <c r="AW888" s="6">
        <v>2439581</v>
      </c>
      <c r="AX888" s="6">
        <v>2439581</v>
      </c>
      <c r="AY888" s="6" t="s">
        <v>91</v>
      </c>
      <c r="AZ888" t="s">
        <v>92</v>
      </c>
      <c r="BA888" t="s">
        <v>93</v>
      </c>
      <c r="BB888" t="s">
        <v>4899</v>
      </c>
      <c r="BC888" t="s">
        <v>1186</v>
      </c>
      <c r="BE888" t="s">
        <v>96</v>
      </c>
      <c r="BG888" t="s">
        <v>4507</v>
      </c>
      <c r="BI888" t="s">
        <v>98</v>
      </c>
      <c r="BJ888" t="s">
        <v>4900</v>
      </c>
      <c r="BL888" t="s">
        <v>100</v>
      </c>
    </row>
    <row r="889" spans="1:64" hidden="1" x14ac:dyDescent="0.2">
      <c r="A889">
        <v>78</v>
      </c>
      <c r="B889">
        <v>4403382562</v>
      </c>
      <c r="C889" t="s">
        <v>101</v>
      </c>
      <c r="D889" t="s">
        <v>3557</v>
      </c>
      <c r="E889" t="s">
        <v>65</v>
      </c>
      <c r="F889" t="s">
        <v>66</v>
      </c>
      <c r="G889" t="s">
        <v>67</v>
      </c>
      <c r="H889" t="s">
        <v>68</v>
      </c>
      <c r="I889" t="s">
        <v>176</v>
      </c>
      <c r="J889" t="s">
        <v>177</v>
      </c>
      <c r="K889" t="s">
        <v>1817</v>
      </c>
      <c r="M889" t="s">
        <v>72</v>
      </c>
      <c r="N889" t="s">
        <v>1818</v>
      </c>
      <c r="O889" t="s">
        <v>1817</v>
      </c>
      <c r="P889" t="s">
        <v>1819</v>
      </c>
      <c r="Q889" t="s">
        <v>75</v>
      </c>
      <c r="R889" t="s">
        <v>3174</v>
      </c>
      <c r="S889" t="s">
        <v>1472</v>
      </c>
      <c r="T889" t="s">
        <v>78</v>
      </c>
      <c r="U889" t="s">
        <v>1822</v>
      </c>
      <c r="V889" t="s">
        <v>80</v>
      </c>
      <c r="W889" s="1">
        <v>45110</v>
      </c>
      <c r="X889" t="s">
        <v>1859</v>
      </c>
      <c r="Y889" t="s">
        <v>3558</v>
      </c>
      <c r="Z889" t="s">
        <v>83</v>
      </c>
      <c r="AA889">
        <v>1</v>
      </c>
      <c r="AB889" t="s">
        <v>3559</v>
      </c>
      <c r="AD889" t="s">
        <v>343</v>
      </c>
      <c r="AE889" t="s">
        <v>145</v>
      </c>
      <c r="AF889" t="s">
        <v>610</v>
      </c>
      <c r="AG889" t="s">
        <v>1526</v>
      </c>
      <c r="AI889" t="s">
        <v>90</v>
      </c>
      <c r="AJ889">
        <v>32.425175000000003</v>
      </c>
      <c r="AK889">
        <v>-110.739165</v>
      </c>
      <c r="AN889">
        <v>2364</v>
      </c>
      <c r="AP889">
        <v>2364</v>
      </c>
      <c r="AQ889">
        <v>2380.976682</v>
      </c>
      <c r="AT889">
        <v>3</v>
      </c>
      <c r="AU889">
        <v>7</v>
      </c>
      <c r="AV889">
        <v>2023</v>
      </c>
      <c r="AW889">
        <v>2437967</v>
      </c>
      <c r="AX889">
        <v>2437967</v>
      </c>
      <c r="AY889" t="s">
        <v>106</v>
      </c>
      <c r="AZ889" t="s">
        <v>92</v>
      </c>
      <c r="BA889" t="s">
        <v>107</v>
      </c>
      <c r="BB889" t="s">
        <v>3560</v>
      </c>
      <c r="BC889" t="s">
        <v>1186</v>
      </c>
      <c r="BD889" s="1">
        <v>45110</v>
      </c>
      <c r="BE889" t="s">
        <v>96</v>
      </c>
      <c r="BG889" t="s">
        <v>1187</v>
      </c>
      <c r="BI889" t="s">
        <v>98</v>
      </c>
      <c r="BJ889" t="s">
        <v>2293</v>
      </c>
      <c r="BK889" t="s">
        <v>365</v>
      </c>
      <c r="BL889" t="s">
        <v>110</v>
      </c>
    </row>
    <row r="890" spans="1:64" x14ac:dyDescent="0.2">
      <c r="A890">
        <v>1413</v>
      </c>
      <c r="B890">
        <v>4022922334</v>
      </c>
      <c r="C890" t="s">
        <v>63</v>
      </c>
      <c r="D890" t="s">
        <v>4956</v>
      </c>
      <c r="E890" t="s">
        <v>65</v>
      </c>
      <c r="F890" t="s">
        <v>66</v>
      </c>
      <c r="G890" t="s">
        <v>67</v>
      </c>
      <c r="H890" t="s">
        <v>68</v>
      </c>
      <c r="I890" t="s">
        <v>176</v>
      </c>
      <c r="J890" t="s">
        <v>1251</v>
      </c>
      <c r="K890" t="s">
        <v>1252</v>
      </c>
      <c r="M890" t="s">
        <v>72</v>
      </c>
      <c r="N890" t="s">
        <v>1253</v>
      </c>
      <c r="O890" t="s">
        <v>1252</v>
      </c>
      <c r="P890" t="s">
        <v>1254</v>
      </c>
      <c r="Q890" t="s">
        <v>75</v>
      </c>
      <c r="R890" t="s">
        <v>4501</v>
      </c>
      <c r="S890" t="s">
        <v>4957</v>
      </c>
      <c r="T890" t="s">
        <v>78</v>
      </c>
      <c r="U890" t="s">
        <v>3817</v>
      </c>
      <c r="V890" t="s">
        <v>80</v>
      </c>
      <c r="W890" s="1">
        <v>44535</v>
      </c>
      <c r="X890" t="s">
        <v>4502</v>
      </c>
      <c r="Y890" t="s">
        <v>4958</v>
      </c>
      <c r="Z890" t="s">
        <v>83</v>
      </c>
      <c r="AA890">
        <v>1</v>
      </c>
      <c r="AB890" t="s">
        <v>4959</v>
      </c>
      <c r="AC890">
        <v>1</v>
      </c>
      <c r="AD890" s="6" t="s">
        <v>85</v>
      </c>
      <c r="AE890" s="6" t="s">
        <v>145</v>
      </c>
      <c r="AF890" s="6" t="s">
        <v>87</v>
      </c>
      <c r="AG890" s="6" t="s">
        <v>1862</v>
      </c>
      <c r="AH890" s="6" t="s">
        <v>4960</v>
      </c>
      <c r="AI890" s="6" t="s">
        <v>90</v>
      </c>
      <c r="AJ890" s="6">
        <v>32.336694999999999</v>
      </c>
      <c r="AK890" s="6">
        <v>-110.720771</v>
      </c>
      <c r="AL890" s="6">
        <v>3</v>
      </c>
      <c r="AM890" s="6"/>
      <c r="AN890" s="6">
        <v>1476</v>
      </c>
      <c r="AO890" s="6"/>
      <c r="AP890" s="6">
        <v>1476</v>
      </c>
      <c r="AQ890" s="6">
        <v>1476.06369</v>
      </c>
      <c r="AR890" s="6"/>
      <c r="AS890" s="6"/>
      <c r="AT890" s="6">
        <v>5</v>
      </c>
      <c r="AU890" s="6">
        <v>12</v>
      </c>
      <c r="AV890" s="6">
        <v>2021</v>
      </c>
      <c r="AW890" s="6">
        <v>2438156</v>
      </c>
      <c r="AX890" s="6">
        <v>2438156</v>
      </c>
      <c r="AY890" s="6" t="s">
        <v>91</v>
      </c>
      <c r="AZ890" t="s">
        <v>92</v>
      </c>
      <c r="BA890" t="s">
        <v>93</v>
      </c>
      <c r="BB890" t="s">
        <v>4961</v>
      </c>
      <c r="BC890" t="s">
        <v>1186</v>
      </c>
      <c r="BE890" t="s">
        <v>96</v>
      </c>
      <c r="BG890" t="s">
        <v>4507</v>
      </c>
      <c r="BI890" t="s">
        <v>98</v>
      </c>
      <c r="BJ890" t="s">
        <v>4962</v>
      </c>
      <c r="BL890" t="s">
        <v>100</v>
      </c>
    </row>
    <row r="891" spans="1:64" x14ac:dyDescent="0.2">
      <c r="A891">
        <v>1416</v>
      </c>
      <c r="B891">
        <v>4022922331</v>
      </c>
      <c r="C891" t="s">
        <v>63</v>
      </c>
      <c r="D891" t="s">
        <v>4982</v>
      </c>
      <c r="E891" t="s">
        <v>65</v>
      </c>
      <c r="F891" t="s">
        <v>66</v>
      </c>
      <c r="G891" t="s">
        <v>67</v>
      </c>
      <c r="H891" t="s">
        <v>68</v>
      </c>
      <c r="I891" t="s">
        <v>69</v>
      </c>
      <c r="J891" t="s">
        <v>70</v>
      </c>
      <c r="K891" t="s">
        <v>4195</v>
      </c>
      <c r="M891" t="s">
        <v>72</v>
      </c>
      <c r="N891" t="s">
        <v>4196</v>
      </c>
      <c r="O891" t="s">
        <v>4195</v>
      </c>
      <c r="P891" t="s">
        <v>4197</v>
      </c>
      <c r="Q891" t="s">
        <v>75</v>
      </c>
      <c r="R891" t="s">
        <v>4501</v>
      </c>
      <c r="S891" t="s">
        <v>4983</v>
      </c>
      <c r="T891" t="s">
        <v>78</v>
      </c>
      <c r="U891" t="s">
        <v>3817</v>
      </c>
      <c r="V891" t="s">
        <v>80</v>
      </c>
      <c r="W891" s="1">
        <v>44535</v>
      </c>
      <c r="X891" t="s">
        <v>4502</v>
      </c>
      <c r="Y891" t="s">
        <v>4984</v>
      </c>
      <c r="Z891" t="s">
        <v>83</v>
      </c>
      <c r="AA891">
        <v>1</v>
      </c>
      <c r="AB891" t="s">
        <v>4985</v>
      </c>
      <c r="AC891">
        <v>1</v>
      </c>
      <c r="AD891" s="6" t="s">
        <v>85</v>
      </c>
      <c r="AE891" s="6" t="s">
        <v>145</v>
      </c>
      <c r="AF891" s="6" t="s">
        <v>146</v>
      </c>
      <c r="AG891" s="6" t="s">
        <v>4986</v>
      </c>
      <c r="AH891" s="6"/>
      <c r="AI891" s="6" t="s">
        <v>90</v>
      </c>
      <c r="AJ891" s="6">
        <v>32.337409999999998</v>
      </c>
      <c r="AK891" s="6">
        <v>-110.71979399999999</v>
      </c>
      <c r="AL891" s="6">
        <v>3</v>
      </c>
      <c r="AM891" s="6"/>
      <c r="AN891" s="6">
        <v>1468</v>
      </c>
      <c r="AO891" s="6"/>
      <c r="AP891" s="6">
        <v>1468</v>
      </c>
      <c r="AQ891" s="6">
        <v>1479.931756</v>
      </c>
      <c r="AR891" s="6"/>
      <c r="AS891" s="6"/>
      <c r="AT891" s="6">
        <v>5</v>
      </c>
      <c r="AU891" s="6">
        <v>12</v>
      </c>
      <c r="AV891" s="6">
        <v>2021</v>
      </c>
      <c r="AW891" s="6">
        <v>2439589</v>
      </c>
      <c r="AX891" s="6">
        <v>2439589</v>
      </c>
      <c r="AY891" s="6" t="s">
        <v>91</v>
      </c>
      <c r="AZ891" t="s">
        <v>92</v>
      </c>
      <c r="BA891" t="s">
        <v>93</v>
      </c>
      <c r="BB891" t="s">
        <v>4987</v>
      </c>
      <c r="BC891" t="s">
        <v>1186</v>
      </c>
      <c r="BE891" t="s">
        <v>96</v>
      </c>
      <c r="BG891" t="s">
        <v>4507</v>
      </c>
      <c r="BI891" t="s">
        <v>98</v>
      </c>
      <c r="BJ891" t="s">
        <v>4988</v>
      </c>
      <c r="BL891" t="s">
        <v>407</v>
      </c>
    </row>
    <row r="892" spans="1:64" x14ac:dyDescent="0.2">
      <c r="A892">
        <v>1145</v>
      </c>
      <c r="B892">
        <v>4027014304</v>
      </c>
      <c r="C892" t="s">
        <v>63</v>
      </c>
      <c r="D892" t="s">
        <v>693</v>
      </c>
      <c r="E892" t="s">
        <v>65</v>
      </c>
      <c r="F892" t="s">
        <v>66</v>
      </c>
      <c r="G892" t="s">
        <v>67</v>
      </c>
      <c r="H892" t="s">
        <v>68</v>
      </c>
      <c r="I892" t="s">
        <v>176</v>
      </c>
      <c r="J892" t="s">
        <v>177</v>
      </c>
      <c r="K892" t="s">
        <v>178</v>
      </c>
      <c r="M892" t="s">
        <v>72</v>
      </c>
      <c r="N892" t="s">
        <v>179</v>
      </c>
      <c r="O892" t="s">
        <v>178</v>
      </c>
      <c r="P892" t="s">
        <v>180</v>
      </c>
      <c r="Q892" t="s">
        <v>75</v>
      </c>
      <c r="R892" t="s">
        <v>644</v>
      </c>
      <c r="S892" t="s">
        <v>694</v>
      </c>
      <c r="T892" t="s">
        <v>78</v>
      </c>
      <c r="U892" t="s">
        <v>646</v>
      </c>
      <c r="V892" t="s">
        <v>80</v>
      </c>
      <c r="W892" s="1">
        <v>44694</v>
      </c>
      <c r="X892" t="s">
        <v>647</v>
      </c>
      <c r="Y892" t="s">
        <v>695</v>
      </c>
      <c r="Z892" t="s">
        <v>83</v>
      </c>
      <c r="AA892">
        <v>1</v>
      </c>
      <c r="AB892" t="s">
        <v>696</v>
      </c>
      <c r="AC892">
        <v>1</v>
      </c>
      <c r="AD892" s="6" t="s">
        <v>85</v>
      </c>
      <c r="AE892" s="6" t="s">
        <v>86</v>
      </c>
      <c r="AF892" s="6" t="s">
        <v>146</v>
      </c>
      <c r="AG892" s="6" t="s">
        <v>697</v>
      </c>
      <c r="AH892" s="6" t="s">
        <v>698</v>
      </c>
      <c r="AI892" s="6" t="s">
        <v>90</v>
      </c>
      <c r="AJ892" s="6">
        <v>32.387836</v>
      </c>
      <c r="AK892" s="6">
        <v>-110.712315</v>
      </c>
      <c r="AL892" s="6">
        <v>4</v>
      </c>
      <c r="AM892" s="6"/>
      <c r="AN892" s="6">
        <v>2094</v>
      </c>
      <c r="AO892" s="6"/>
      <c r="AP892" s="6">
        <v>2094</v>
      </c>
      <c r="AQ892" s="6">
        <v>2123.5819609999999</v>
      </c>
      <c r="AR892" s="6"/>
      <c r="AS892" s="6"/>
      <c r="AT892" s="6">
        <v>13</v>
      </c>
      <c r="AU892" s="6">
        <v>5</v>
      </c>
      <c r="AV892" s="6">
        <v>2022</v>
      </c>
      <c r="AW892" s="6">
        <v>2438038</v>
      </c>
      <c r="AX892" s="6">
        <v>2438038</v>
      </c>
      <c r="AY892" s="6" t="s">
        <v>91</v>
      </c>
      <c r="AZ892" t="s">
        <v>92</v>
      </c>
      <c r="BA892" t="s">
        <v>93</v>
      </c>
      <c r="BB892" t="s">
        <v>699</v>
      </c>
      <c r="BC892" t="s">
        <v>97</v>
      </c>
      <c r="BE892" t="s">
        <v>96</v>
      </c>
      <c r="BG892" t="s">
        <v>654</v>
      </c>
      <c r="BI892" t="s">
        <v>98</v>
      </c>
      <c r="BJ892" t="s">
        <v>655</v>
      </c>
      <c r="BL892" t="s">
        <v>100</v>
      </c>
    </row>
    <row r="893" spans="1:64" hidden="1" x14ac:dyDescent="0.2">
      <c r="A893">
        <v>1682</v>
      </c>
      <c r="B893">
        <v>3744741451</v>
      </c>
      <c r="C893" t="s">
        <v>101</v>
      </c>
      <c r="D893" t="s">
        <v>3576</v>
      </c>
      <c r="E893" t="s">
        <v>65</v>
      </c>
      <c r="F893" t="s">
        <v>66</v>
      </c>
      <c r="G893" t="s">
        <v>67</v>
      </c>
      <c r="H893" t="s">
        <v>68</v>
      </c>
      <c r="I893" t="s">
        <v>176</v>
      </c>
      <c r="J893" t="s">
        <v>177</v>
      </c>
      <c r="K893" t="s">
        <v>1817</v>
      </c>
      <c r="M893" t="s">
        <v>72</v>
      </c>
      <c r="N893" t="s">
        <v>1818</v>
      </c>
      <c r="O893" t="s">
        <v>1817</v>
      </c>
      <c r="P893" t="s">
        <v>1819</v>
      </c>
      <c r="Q893" t="s">
        <v>75</v>
      </c>
      <c r="R893" t="s">
        <v>3564</v>
      </c>
      <c r="S893" t="s">
        <v>3572</v>
      </c>
      <c r="T893" t="s">
        <v>78</v>
      </c>
      <c r="U893" t="s">
        <v>1822</v>
      </c>
      <c r="V893" t="s">
        <v>80</v>
      </c>
      <c r="W893" s="1">
        <v>44508</v>
      </c>
      <c r="X893" t="s">
        <v>1823</v>
      </c>
      <c r="Y893" t="s">
        <v>3573</v>
      </c>
      <c r="Z893" t="s">
        <v>83</v>
      </c>
      <c r="AA893">
        <v>1</v>
      </c>
      <c r="AB893" t="s">
        <v>103</v>
      </c>
      <c r="AD893" t="s">
        <v>343</v>
      </c>
      <c r="AE893" t="s">
        <v>3567</v>
      </c>
      <c r="AF893" t="s">
        <v>281</v>
      </c>
      <c r="AG893" t="s">
        <v>3568</v>
      </c>
      <c r="AI893" t="s">
        <v>90</v>
      </c>
      <c r="AJ893">
        <v>32.441079000000002</v>
      </c>
      <c r="AK893">
        <v>-110.784901</v>
      </c>
      <c r="AL893">
        <v>3</v>
      </c>
      <c r="AN893">
        <v>2780</v>
      </c>
      <c r="AP893">
        <v>2780</v>
      </c>
      <c r="AQ893">
        <v>2778.9227989999999</v>
      </c>
      <c r="AT893">
        <v>8</v>
      </c>
      <c r="AU893">
        <v>11</v>
      </c>
      <c r="AV893">
        <v>2021</v>
      </c>
      <c r="AW893">
        <v>2437967</v>
      </c>
      <c r="AX893">
        <v>2437967</v>
      </c>
      <c r="AY893" t="s">
        <v>106</v>
      </c>
      <c r="AZ893" t="s">
        <v>92</v>
      </c>
      <c r="BA893" t="s">
        <v>107</v>
      </c>
      <c r="BB893" t="s">
        <v>3577</v>
      </c>
      <c r="BC893" t="s">
        <v>1186</v>
      </c>
      <c r="BE893" t="s">
        <v>96</v>
      </c>
      <c r="BG893" t="s">
        <v>1186</v>
      </c>
      <c r="BI893" t="s">
        <v>98</v>
      </c>
      <c r="BJ893" t="s">
        <v>3570</v>
      </c>
      <c r="BL893" t="s">
        <v>110</v>
      </c>
    </row>
    <row r="894" spans="1:64" hidden="1" x14ac:dyDescent="0.2">
      <c r="A894">
        <v>1690</v>
      </c>
      <c r="B894">
        <v>3744741443</v>
      </c>
      <c r="C894" t="s">
        <v>101</v>
      </c>
      <c r="D894" t="s">
        <v>3578</v>
      </c>
      <c r="E894" t="s">
        <v>65</v>
      </c>
      <c r="F894" t="s">
        <v>66</v>
      </c>
      <c r="G894" t="s">
        <v>67</v>
      </c>
      <c r="H894" t="s">
        <v>68</v>
      </c>
      <c r="I894" t="s">
        <v>176</v>
      </c>
      <c r="J894" t="s">
        <v>177</v>
      </c>
      <c r="K894" t="s">
        <v>1817</v>
      </c>
      <c r="M894" t="s">
        <v>72</v>
      </c>
      <c r="N894" t="s">
        <v>1818</v>
      </c>
      <c r="O894" t="s">
        <v>1817</v>
      </c>
      <c r="P894" t="s">
        <v>1819</v>
      </c>
      <c r="Q894" t="s">
        <v>75</v>
      </c>
      <c r="R894" t="s">
        <v>3564</v>
      </c>
      <c r="S894" t="s">
        <v>3579</v>
      </c>
      <c r="T894" t="s">
        <v>78</v>
      </c>
      <c r="U894" t="s">
        <v>1822</v>
      </c>
      <c r="V894" t="s">
        <v>80</v>
      </c>
      <c r="W894" s="1">
        <v>44508</v>
      </c>
      <c r="X894" t="s">
        <v>1823</v>
      </c>
      <c r="Y894" t="s">
        <v>3580</v>
      </c>
      <c r="Z894" t="s">
        <v>83</v>
      </c>
      <c r="AA894">
        <v>1</v>
      </c>
      <c r="AB894" t="s">
        <v>103</v>
      </c>
      <c r="AD894" t="s">
        <v>343</v>
      </c>
      <c r="AE894" t="s">
        <v>145</v>
      </c>
      <c r="AF894" t="s">
        <v>281</v>
      </c>
      <c r="AG894" t="s">
        <v>1526</v>
      </c>
      <c r="AH894" t="s">
        <v>3581</v>
      </c>
      <c r="AI894" t="s">
        <v>90</v>
      </c>
      <c r="AJ894">
        <v>32.441132000000003</v>
      </c>
      <c r="AK894">
        <v>-110.785156</v>
      </c>
      <c r="AL894">
        <v>3</v>
      </c>
      <c r="AN894">
        <v>2753</v>
      </c>
      <c r="AP894">
        <v>2753</v>
      </c>
      <c r="AQ894">
        <v>2778.9542329999999</v>
      </c>
      <c r="AT894">
        <v>8</v>
      </c>
      <c r="AU894">
        <v>11</v>
      </c>
      <c r="AV894">
        <v>2021</v>
      </c>
      <c r="AW894">
        <v>2437967</v>
      </c>
      <c r="AX894">
        <v>2437967</v>
      </c>
      <c r="AY894" t="s">
        <v>106</v>
      </c>
      <c r="AZ894" t="s">
        <v>92</v>
      </c>
      <c r="BA894" t="s">
        <v>107</v>
      </c>
      <c r="BB894" t="s">
        <v>3582</v>
      </c>
      <c r="BC894" t="s">
        <v>1186</v>
      </c>
      <c r="BE894" t="s">
        <v>96</v>
      </c>
      <c r="BG894" t="s">
        <v>1186</v>
      </c>
      <c r="BI894" t="s">
        <v>98</v>
      </c>
      <c r="BJ894" t="s">
        <v>3570</v>
      </c>
      <c r="BL894" t="s">
        <v>110</v>
      </c>
    </row>
    <row r="895" spans="1:64" hidden="1" x14ac:dyDescent="0.2">
      <c r="A895">
        <v>1687</v>
      </c>
      <c r="B895">
        <v>3744741446</v>
      </c>
      <c r="C895" t="s">
        <v>101</v>
      </c>
      <c r="D895" t="s">
        <v>3590</v>
      </c>
      <c r="E895" t="s">
        <v>65</v>
      </c>
      <c r="F895" t="s">
        <v>66</v>
      </c>
      <c r="G895" t="s">
        <v>67</v>
      </c>
      <c r="H895" t="s">
        <v>68</v>
      </c>
      <c r="I895" t="s">
        <v>176</v>
      </c>
      <c r="J895" t="s">
        <v>177</v>
      </c>
      <c r="K895" t="s">
        <v>1817</v>
      </c>
      <c r="M895" t="s">
        <v>72</v>
      </c>
      <c r="N895" t="s">
        <v>1818</v>
      </c>
      <c r="O895" t="s">
        <v>1817</v>
      </c>
      <c r="P895" t="s">
        <v>1819</v>
      </c>
      <c r="Q895" t="s">
        <v>75</v>
      </c>
      <c r="R895" t="s">
        <v>3564</v>
      </c>
      <c r="S895" t="s">
        <v>3584</v>
      </c>
      <c r="T895" t="s">
        <v>78</v>
      </c>
      <c r="U895" t="s">
        <v>1822</v>
      </c>
      <c r="V895" t="s">
        <v>80</v>
      </c>
      <c r="W895" s="1">
        <v>44508</v>
      </c>
      <c r="X895" t="s">
        <v>1823</v>
      </c>
      <c r="Y895" t="s">
        <v>3585</v>
      </c>
      <c r="Z895" t="s">
        <v>83</v>
      </c>
      <c r="AA895">
        <v>1</v>
      </c>
      <c r="AB895" t="s">
        <v>103</v>
      </c>
      <c r="AD895" t="s">
        <v>116</v>
      </c>
      <c r="AE895" t="s">
        <v>86</v>
      </c>
      <c r="AF895" t="s">
        <v>146</v>
      </c>
      <c r="AG895" t="s">
        <v>560</v>
      </c>
      <c r="AH895" t="s">
        <v>3591</v>
      </c>
      <c r="AI895" t="s">
        <v>90</v>
      </c>
      <c r="AJ895">
        <v>32.441132000000003</v>
      </c>
      <c r="AK895">
        <v>-110.785222</v>
      </c>
      <c r="AL895">
        <v>4</v>
      </c>
      <c r="AN895">
        <v>2762</v>
      </c>
      <c r="AP895">
        <v>2762</v>
      </c>
      <c r="AQ895">
        <v>2778.7345009999999</v>
      </c>
      <c r="AT895">
        <v>8</v>
      </c>
      <c r="AU895">
        <v>11</v>
      </c>
      <c r="AV895">
        <v>2021</v>
      </c>
      <c r="AW895">
        <v>2437967</v>
      </c>
      <c r="AX895">
        <v>2437967</v>
      </c>
      <c r="AY895" t="s">
        <v>106</v>
      </c>
      <c r="AZ895" t="s">
        <v>92</v>
      </c>
      <c r="BA895" t="s">
        <v>107</v>
      </c>
      <c r="BB895" t="s">
        <v>3592</v>
      </c>
      <c r="BC895" t="s">
        <v>1186</v>
      </c>
      <c r="BE895" t="s">
        <v>96</v>
      </c>
      <c r="BG895" t="s">
        <v>1186</v>
      </c>
      <c r="BI895" t="s">
        <v>98</v>
      </c>
      <c r="BJ895" t="s">
        <v>2606</v>
      </c>
      <c r="BL895" t="s">
        <v>110</v>
      </c>
    </row>
    <row r="896" spans="1:64" hidden="1" x14ac:dyDescent="0.2">
      <c r="A896">
        <v>1691</v>
      </c>
      <c r="B896">
        <v>3744741442</v>
      </c>
      <c r="C896" t="s">
        <v>101</v>
      </c>
      <c r="D896" t="s">
        <v>3593</v>
      </c>
      <c r="E896" t="s">
        <v>65</v>
      </c>
      <c r="F896" t="s">
        <v>66</v>
      </c>
      <c r="G896" t="s">
        <v>67</v>
      </c>
      <c r="H896" t="s">
        <v>68</v>
      </c>
      <c r="I896" t="s">
        <v>176</v>
      </c>
      <c r="J896" t="s">
        <v>177</v>
      </c>
      <c r="K896" t="s">
        <v>1817</v>
      </c>
      <c r="M896" t="s">
        <v>72</v>
      </c>
      <c r="N896" t="s">
        <v>1818</v>
      </c>
      <c r="O896" t="s">
        <v>1817</v>
      </c>
      <c r="P896" t="s">
        <v>1819</v>
      </c>
      <c r="Q896" t="s">
        <v>75</v>
      </c>
      <c r="R896" t="s">
        <v>3564</v>
      </c>
      <c r="S896" t="s">
        <v>3584</v>
      </c>
      <c r="T896" t="s">
        <v>78</v>
      </c>
      <c r="U896" t="s">
        <v>1822</v>
      </c>
      <c r="V896" t="s">
        <v>80</v>
      </c>
      <c r="W896" s="1">
        <v>44508</v>
      </c>
      <c r="X896" t="s">
        <v>1823</v>
      </c>
      <c r="Y896" t="s">
        <v>3585</v>
      </c>
      <c r="Z896" t="s">
        <v>83</v>
      </c>
      <c r="AA896">
        <v>1</v>
      </c>
      <c r="AB896" t="s">
        <v>103</v>
      </c>
      <c r="AD896" t="s">
        <v>112</v>
      </c>
      <c r="AE896" t="s">
        <v>86</v>
      </c>
      <c r="AF896" t="s">
        <v>146</v>
      </c>
      <c r="AG896" t="s">
        <v>560</v>
      </c>
      <c r="AH896" t="s">
        <v>3591</v>
      </c>
      <c r="AI896" t="s">
        <v>90</v>
      </c>
      <c r="AJ896">
        <v>32.441132000000003</v>
      </c>
      <c r="AK896">
        <v>-110.785222</v>
      </c>
      <c r="AL896">
        <v>4</v>
      </c>
      <c r="AN896">
        <v>2762</v>
      </c>
      <c r="AP896">
        <v>2762</v>
      </c>
      <c r="AQ896">
        <v>2778.7345009999999</v>
      </c>
      <c r="AT896">
        <v>8</v>
      </c>
      <c r="AU896">
        <v>11</v>
      </c>
      <c r="AV896">
        <v>2021</v>
      </c>
      <c r="AW896">
        <v>2437967</v>
      </c>
      <c r="AX896">
        <v>2437967</v>
      </c>
      <c r="AY896" t="s">
        <v>106</v>
      </c>
      <c r="AZ896" t="s">
        <v>92</v>
      </c>
      <c r="BA896" t="s">
        <v>107</v>
      </c>
      <c r="BB896" t="s">
        <v>3594</v>
      </c>
      <c r="BC896" t="s">
        <v>1186</v>
      </c>
      <c r="BE896" t="s">
        <v>96</v>
      </c>
      <c r="BG896" t="s">
        <v>1186</v>
      </c>
      <c r="BI896" t="s">
        <v>98</v>
      </c>
      <c r="BJ896" t="s">
        <v>2606</v>
      </c>
      <c r="BL896" t="s">
        <v>110</v>
      </c>
    </row>
    <row r="897" spans="1:64" hidden="1" x14ac:dyDescent="0.2">
      <c r="A897">
        <v>1700</v>
      </c>
      <c r="B897">
        <v>3744741433</v>
      </c>
      <c r="C897" t="s">
        <v>101</v>
      </c>
      <c r="D897" t="s">
        <v>3595</v>
      </c>
      <c r="E897" t="s">
        <v>65</v>
      </c>
      <c r="F897" t="s">
        <v>66</v>
      </c>
      <c r="G897" t="s">
        <v>67</v>
      </c>
      <c r="H897" t="s">
        <v>68</v>
      </c>
      <c r="I897" t="s">
        <v>176</v>
      </c>
      <c r="J897" t="s">
        <v>177</v>
      </c>
      <c r="K897" t="s">
        <v>1817</v>
      </c>
      <c r="M897" t="s">
        <v>72</v>
      </c>
      <c r="N897" t="s">
        <v>1818</v>
      </c>
      <c r="O897" t="s">
        <v>1817</v>
      </c>
      <c r="P897" t="s">
        <v>1819</v>
      </c>
      <c r="Q897" t="s">
        <v>75</v>
      </c>
      <c r="R897" t="s">
        <v>3564</v>
      </c>
      <c r="S897" t="s">
        <v>3584</v>
      </c>
      <c r="T897" t="s">
        <v>78</v>
      </c>
      <c r="U897" t="s">
        <v>1822</v>
      </c>
      <c r="V897" t="s">
        <v>80</v>
      </c>
      <c r="W897" s="1">
        <v>44508</v>
      </c>
      <c r="X897" t="s">
        <v>1823</v>
      </c>
      <c r="Y897" t="s">
        <v>3585</v>
      </c>
      <c r="Z897" t="s">
        <v>83</v>
      </c>
      <c r="AA897">
        <v>1</v>
      </c>
      <c r="AB897" t="s">
        <v>103</v>
      </c>
      <c r="AD897" t="s">
        <v>123</v>
      </c>
      <c r="AE897" t="s">
        <v>86</v>
      </c>
      <c r="AF897" t="s">
        <v>146</v>
      </c>
      <c r="AG897" t="s">
        <v>560</v>
      </c>
      <c r="AH897" t="s">
        <v>3591</v>
      </c>
      <c r="AI897" t="s">
        <v>90</v>
      </c>
      <c r="AJ897">
        <v>32.441132000000003</v>
      </c>
      <c r="AK897">
        <v>-110.785222</v>
      </c>
      <c r="AL897">
        <v>4</v>
      </c>
      <c r="AN897">
        <v>2762</v>
      </c>
      <c r="AP897">
        <v>2762</v>
      </c>
      <c r="AQ897">
        <v>2778.7345009999999</v>
      </c>
      <c r="AT897">
        <v>8</v>
      </c>
      <c r="AU897">
        <v>11</v>
      </c>
      <c r="AV897">
        <v>2021</v>
      </c>
      <c r="AW897">
        <v>2437967</v>
      </c>
      <c r="AX897">
        <v>2437967</v>
      </c>
      <c r="AY897" t="s">
        <v>106</v>
      </c>
      <c r="AZ897" t="s">
        <v>92</v>
      </c>
      <c r="BA897" t="s">
        <v>107</v>
      </c>
      <c r="BB897" t="s">
        <v>3596</v>
      </c>
      <c r="BC897" t="s">
        <v>1186</v>
      </c>
      <c r="BE897" t="s">
        <v>96</v>
      </c>
      <c r="BG897" t="s">
        <v>1186</v>
      </c>
      <c r="BI897" t="s">
        <v>98</v>
      </c>
      <c r="BJ897" t="s">
        <v>3385</v>
      </c>
      <c r="BL897" t="s">
        <v>110</v>
      </c>
    </row>
    <row r="898" spans="1:64" x14ac:dyDescent="0.2">
      <c r="A898">
        <v>1135</v>
      </c>
      <c r="B898">
        <v>4027014314</v>
      </c>
      <c r="C898" t="s">
        <v>63</v>
      </c>
      <c r="D898" t="s">
        <v>915</v>
      </c>
      <c r="E898" t="s">
        <v>65</v>
      </c>
      <c r="F898" t="s">
        <v>66</v>
      </c>
      <c r="G898" t="s">
        <v>67</v>
      </c>
      <c r="H898" t="s">
        <v>68</v>
      </c>
      <c r="I898" t="s">
        <v>176</v>
      </c>
      <c r="J898" t="s">
        <v>177</v>
      </c>
      <c r="K898" t="s">
        <v>178</v>
      </c>
      <c r="M898" t="s">
        <v>72</v>
      </c>
      <c r="N898" t="s">
        <v>179</v>
      </c>
      <c r="O898" t="s">
        <v>178</v>
      </c>
      <c r="P898" t="s">
        <v>180</v>
      </c>
      <c r="Q898" t="s">
        <v>75</v>
      </c>
      <c r="R898" t="s">
        <v>814</v>
      </c>
      <c r="S898" t="s">
        <v>916</v>
      </c>
      <c r="T898" t="s">
        <v>78</v>
      </c>
      <c r="U898" t="s">
        <v>646</v>
      </c>
      <c r="V898" t="s">
        <v>80</v>
      </c>
      <c r="W898" s="1">
        <v>44694</v>
      </c>
      <c r="X898" t="s">
        <v>647</v>
      </c>
      <c r="Y898" t="s">
        <v>917</v>
      </c>
      <c r="Z898" t="s">
        <v>83</v>
      </c>
      <c r="AA898">
        <v>1</v>
      </c>
      <c r="AB898" t="s">
        <v>918</v>
      </c>
      <c r="AC898">
        <v>1</v>
      </c>
      <c r="AD898" s="6" t="s">
        <v>85</v>
      </c>
      <c r="AE898" s="6" t="s">
        <v>145</v>
      </c>
      <c r="AF898" s="6" t="s">
        <v>281</v>
      </c>
      <c r="AG898" s="6" t="s">
        <v>919</v>
      </c>
      <c r="AH898" s="6" t="s">
        <v>920</v>
      </c>
      <c r="AI898" s="6" t="s">
        <v>90</v>
      </c>
      <c r="AJ898" s="6">
        <v>32.389854</v>
      </c>
      <c r="AK898" s="6">
        <v>-110.71050200000001</v>
      </c>
      <c r="AL898" s="6">
        <v>3</v>
      </c>
      <c r="AM898" s="6"/>
      <c r="AN898" s="6">
        <v>2126</v>
      </c>
      <c r="AO898" s="6"/>
      <c r="AP898" s="6">
        <v>2126</v>
      </c>
      <c r="AQ898" s="6">
        <v>2150.3077269999999</v>
      </c>
      <c r="AR898" s="6"/>
      <c r="AS898" s="6"/>
      <c r="AT898" s="6">
        <v>13</v>
      </c>
      <c r="AU898" s="6">
        <v>5</v>
      </c>
      <c r="AV898" s="6">
        <v>2022</v>
      </c>
      <c r="AW898" s="6">
        <v>2438038</v>
      </c>
      <c r="AX898" s="6">
        <v>2438038</v>
      </c>
      <c r="AY898" s="6" t="s">
        <v>91</v>
      </c>
      <c r="AZ898" t="s">
        <v>92</v>
      </c>
      <c r="BA898" t="s">
        <v>93</v>
      </c>
      <c r="BB898" t="s">
        <v>921</v>
      </c>
      <c r="BC898" t="s">
        <v>97</v>
      </c>
      <c r="BE898" t="s">
        <v>96</v>
      </c>
      <c r="BG898" t="s">
        <v>654</v>
      </c>
      <c r="BI898" t="s">
        <v>98</v>
      </c>
      <c r="BJ898" t="s">
        <v>843</v>
      </c>
      <c r="BL898" t="s">
        <v>407</v>
      </c>
    </row>
    <row r="899" spans="1:64" hidden="1" x14ac:dyDescent="0.2">
      <c r="A899">
        <v>1706</v>
      </c>
      <c r="B899">
        <v>3744741427</v>
      </c>
      <c r="C899" t="s">
        <v>101</v>
      </c>
      <c r="D899" t="s">
        <v>3599</v>
      </c>
      <c r="E899" t="s">
        <v>65</v>
      </c>
      <c r="F899" t="s">
        <v>66</v>
      </c>
      <c r="G899" t="s">
        <v>67</v>
      </c>
      <c r="H899" t="s">
        <v>68</v>
      </c>
      <c r="I899" t="s">
        <v>176</v>
      </c>
      <c r="J899" t="s">
        <v>177</v>
      </c>
      <c r="K899" t="s">
        <v>1817</v>
      </c>
      <c r="M899" t="s">
        <v>72</v>
      </c>
      <c r="N899" t="s">
        <v>1818</v>
      </c>
      <c r="O899" t="s">
        <v>1817</v>
      </c>
      <c r="P899" t="s">
        <v>1819</v>
      </c>
      <c r="Q899" t="s">
        <v>75</v>
      </c>
      <c r="R899" t="s">
        <v>3564</v>
      </c>
      <c r="S899" t="s">
        <v>3584</v>
      </c>
      <c r="T899" t="s">
        <v>78</v>
      </c>
      <c r="U899" t="s">
        <v>1822</v>
      </c>
      <c r="V899" t="s">
        <v>80</v>
      </c>
      <c r="W899" s="1">
        <v>44508</v>
      </c>
      <c r="X899" t="s">
        <v>1823</v>
      </c>
      <c r="Y899" t="s">
        <v>3585</v>
      </c>
      <c r="Z899" t="s">
        <v>83</v>
      </c>
      <c r="AA899">
        <v>1</v>
      </c>
      <c r="AB899" t="s">
        <v>103</v>
      </c>
      <c r="AD899" t="s">
        <v>139</v>
      </c>
      <c r="AE899" t="s">
        <v>86</v>
      </c>
      <c r="AF899" t="s">
        <v>146</v>
      </c>
      <c r="AG899" t="s">
        <v>560</v>
      </c>
      <c r="AH899" t="s">
        <v>3591</v>
      </c>
      <c r="AI899" t="s">
        <v>90</v>
      </c>
      <c r="AJ899">
        <v>32.441132000000003</v>
      </c>
      <c r="AK899">
        <v>-110.785222</v>
      </c>
      <c r="AL899">
        <v>4</v>
      </c>
      <c r="AN899">
        <v>2762</v>
      </c>
      <c r="AP899">
        <v>2762</v>
      </c>
      <c r="AQ899">
        <v>2778.7345009999999</v>
      </c>
      <c r="AT899">
        <v>8</v>
      </c>
      <c r="AU899">
        <v>11</v>
      </c>
      <c r="AV899">
        <v>2021</v>
      </c>
      <c r="AW899">
        <v>2437967</v>
      </c>
      <c r="AX899">
        <v>2437967</v>
      </c>
      <c r="AY899" t="s">
        <v>106</v>
      </c>
      <c r="AZ899" t="s">
        <v>92</v>
      </c>
      <c r="BA899" t="s">
        <v>107</v>
      </c>
      <c r="BB899" t="s">
        <v>3600</v>
      </c>
      <c r="BC899" t="s">
        <v>1186</v>
      </c>
      <c r="BE899" t="s">
        <v>96</v>
      </c>
      <c r="BG899" t="s">
        <v>1186</v>
      </c>
      <c r="BI899" t="s">
        <v>98</v>
      </c>
      <c r="BJ899" t="s">
        <v>3385</v>
      </c>
      <c r="BL899" t="s">
        <v>110</v>
      </c>
    </row>
    <row r="900" spans="1:64" hidden="1" x14ac:dyDescent="0.2">
      <c r="A900">
        <v>1703</v>
      </c>
      <c r="B900">
        <v>3744741430</v>
      </c>
      <c r="C900" t="s">
        <v>101</v>
      </c>
      <c r="D900" t="s">
        <v>3601</v>
      </c>
      <c r="E900" t="s">
        <v>65</v>
      </c>
      <c r="F900" t="s">
        <v>66</v>
      </c>
      <c r="G900" t="s">
        <v>67</v>
      </c>
      <c r="H900" t="s">
        <v>68</v>
      </c>
      <c r="I900" t="s">
        <v>176</v>
      </c>
      <c r="J900" t="s">
        <v>177</v>
      </c>
      <c r="K900" t="s">
        <v>1817</v>
      </c>
      <c r="M900" t="s">
        <v>72</v>
      </c>
      <c r="N900" t="s">
        <v>1818</v>
      </c>
      <c r="O900" t="s">
        <v>1817</v>
      </c>
      <c r="P900" t="s">
        <v>1819</v>
      </c>
      <c r="Q900" t="s">
        <v>75</v>
      </c>
      <c r="R900" t="s">
        <v>3564</v>
      </c>
      <c r="S900" t="s">
        <v>3584</v>
      </c>
      <c r="T900" t="s">
        <v>78</v>
      </c>
      <c r="U900" t="s">
        <v>1822</v>
      </c>
      <c r="V900" t="s">
        <v>80</v>
      </c>
      <c r="W900" s="1">
        <v>44508</v>
      </c>
      <c r="X900" t="s">
        <v>1823</v>
      </c>
      <c r="Y900" t="s">
        <v>3585</v>
      </c>
      <c r="Z900" t="s">
        <v>83</v>
      </c>
      <c r="AA900">
        <v>1</v>
      </c>
      <c r="AB900" t="s">
        <v>103</v>
      </c>
      <c r="AD900" t="s">
        <v>104</v>
      </c>
      <c r="AE900" t="s">
        <v>86</v>
      </c>
      <c r="AF900" t="s">
        <v>146</v>
      </c>
      <c r="AG900" t="s">
        <v>560</v>
      </c>
      <c r="AH900" t="s">
        <v>3591</v>
      </c>
      <c r="AI900" t="s">
        <v>90</v>
      </c>
      <c r="AJ900">
        <v>32.441132000000003</v>
      </c>
      <c r="AK900">
        <v>-110.785222</v>
      </c>
      <c r="AL900">
        <v>4</v>
      </c>
      <c r="AN900">
        <v>2762</v>
      </c>
      <c r="AP900">
        <v>2762</v>
      </c>
      <c r="AQ900">
        <v>2778.7345009999999</v>
      </c>
      <c r="AT900">
        <v>8</v>
      </c>
      <c r="AU900">
        <v>11</v>
      </c>
      <c r="AV900">
        <v>2021</v>
      </c>
      <c r="AW900">
        <v>2437967</v>
      </c>
      <c r="AX900">
        <v>2437967</v>
      </c>
      <c r="AY900" t="s">
        <v>106</v>
      </c>
      <c r="AZ900" t="s">
        <v>92</v>
      </c>
      <c r="BA900" t="s">
        <v>107</v>
      </c>
      <c r="BB900" t="s">
        <v>3602</v>
      </c>
      <c r="BC900" t="s">
        <v>1186</v>
      </c>
      <c r="BE900" t="s">
        <v>96</v>
      </c>
      <c r="BG900" t="s">
        <v>1186</v>
      </c>
      <c r="BI900" t="s">
        <v>98</v>
      </c>
      <c r="BJ900" t="s">
        <v>3385</v>
      </c>
      <c r="BL900" t="s">
        <v>110</v>
      </c>
    </row>
    <row r="901" spans="1:64" x14ac:dyDescent="0.2">
      <c r="A901">
        <v>1133</v>
      </c>
      <c r="B901">
        <v>4027014316</v>
      </c>
      <c r="C901" t="s">
        <v>63</v>
      </c>
      <c r="D901" t="s">
        <v>992</v>
      </c>
      <c r="E901" t="s">
        <v>65</v>
      </c>
      <c r="F901" t="s">
        <v>66</v>
      </c>
      <c r="G901" t="s">
        <v>67</v>
      </c>
      <c r="H901" t="s">
        <v>68</v>
      </c>
      <c r="I901" t="s">
        <v>350</v>
      </c>
      <c r="J901" t="s">
        <v>351</v>
      </c>
      <c r="K901" t="s">
        <v>352</v>
      </c>
      <c r="M901" t="s">
        <v>72</v>
      </c>
      <c r="N901" t="s">
        <v>353</v>
      </c>
      <c r="O901" t="s">
        <v>352</v>
      </c>
      <c r="P901" t="s">
        <v>180</v>
      </c>
      <c r="Q901" t="s">
        <v>75</v>
      </c>
      <c r="R901" t="s">
        <v>814</v>
      </c>
      <c r="S901" t="s">
        <v>993</v>
      </c>
      <c r="T901" t="s">
        <v>78</v>
      </c>
      <c r="U901" t="s">
        <v>646</v>
      </c>
      <c r="V901" t="s">
        <v>80</v>
      </c>
      <c r="W901" s="1">
        <v>44694</v>
      </c>
      <c r="X901" t="s">
        <v>647</v>
      </c>
      <c r="Y901" t="s">
        <v>994</v>
      </c>
      <c r="Z901" t="s">
        <v>83</v>
      </c>
      <c r="AA901">
        <v>1</v>
      </c>
      <c r="AB901" t="s">
        <v>995</v>
      </c>
      <c r="AC901">
        <v>1</v>
      </c>
      <c r="AD901" s="6" t="s">
        <v>85</v>
      </c>
      <c r="AE901" s="6" t="s">
        <v>86</v>
      </c>
      <c r="AF901" s="6" t="s">
        <v>146</v>
      </c>
      <c r="AG901" s="6" t="s">
        <v>996</v>
      </c>
      <c r="AH901" s="6" t="s">
        <v>997</v>
      </c>
      <c r="AI901" s="6" t="s">
        <v>90</v>
      </c>
      <c r="AJ901" s="6">
        <v>32.388863000000001</v>
      </c>
      <c r="AK901" s="6">
        <v>-110.71111399999999</v>
      </c>
      <c r="AL901" s="6">
        <v>75</v>
      </c>
      <c r="AM901" s="6"/>
      <c r="AN901" s="6"/>
      <c r="AO901" s="6"/>
      <c r="AP901" s="6">
        <v>2152.5869670000002</v>
      </c>
      <c r="AQ901" s="6">
        <v>2152.5869670000002</v>
      </c>
      <c r="AR901" s="6"/>
      <c r="AS901" s="6"/>
      <c r="AT901" s="6">
        <v>13</v>
      </c>
      <c r="AU901" s="6">
        <v>5</v>
      </c>
      <c r="AV901" s="6">
        <v>2022</v>
      </c>
      <c r="AW901" s="6">
        <v>4972385</v>
      </c>
      <c r="AX901" s="6">
        <v>2437431</v>
      </c>
      <c r="AY901" s="6" t="s">
        <v>91</v>
      </c>
      <c r="AZ901" t="s">
        <v>92</v>
      </c>
      <c r="BA901" t="s">
        <v>93</v>
      </c>
      <c r="BB901" t="s">
        <v>998</v>
      </c>
      <c r="BC901" t="s">
        <v>97</v>
      </c>
      <c r="BE901" t="s">
        <v>96</v>
      </c>
      <c r="BG901" t="s">
        <v>654</v>
      </c>
      <c r="BI901" t="s">
        <v>98</v>
      </c>
      <c r="BJ901" t="s">
        <v>999</v>
      </c>
      <c r="BL901" t="s">
        <v>407</v>
      </c>
    </row>
    <row r="902" spans="1:64" hidden="1" x14ac:dyDescent="0.2">
      <c r="A902">
        <v>1709</v>
      </c>
      <c r="B902">
        <v>3744741424</v>
      </c>
      <c r="C902" t="s">
        <v>101</v>
      </c>
      <c r="D902" t="s">
        <v>3614</v>
      </c>
      <c r="E902" t="s">
        <v>65</v>
      </c>
      <c r="F902" t="s">
        <v>66</v>
      </c>
      <c r="G902" t="s">
        <v>67</v>
      </c>
      <c r="H902" t="s">
        <v>68</v>
      </c>
      <c r="I902" t="s">
        <v>176</v>
      </c>
      <c r="J902" t="s">
        <v>773</v>
      </c>
      <c r="K902" t="s">
        <v>774</v>
      </c>
      <c r="M902" t="s">
        <v>72</v>
      </c>
      <c r="N902" t="s">
        <v>775</v>
      </c>
      <c r="O902" t="s">
        <v>774</v>
      </c>
      <c r="P902" t="s">
        <v>776</v>
      </c>
      <c r="Q902" t="s">
        <v>75</v>
      </c>
      <c r="R902" t="s">
        <v>3564</v>
      </c>
      <c r="S902" t="s">
        <v>3604</v>
      </c>
      <c r="T902" t="s">
        <v>78</v>
      </c>
      <c r="U902" t="s">
        <v>1822</v>
      </c>
      <c r="V902" t="s">
        <v>80</v>
      </c>
      <c r="W902" s="1">
        <v>44508</v>
      </c>
      <c r="X902" t="s">
        <v>1823</v>
      </c>
      <c r="Y902" t="s">
        <v>3605</v>
      </c>
      <c r="Z902" t="s">
        <v>83</v>
      </c>
      <c r="AA902">
        <v>1</v>
      </c>
      <c r="AB902" t="s">
        <v>103</v>
      </c>
      <c r="AD902" t="s">
        <v>112</v>
      </c>
      <c r="AE902" t="s">
        <v>86</v>
      </c>
      <c r="AF902" t="s">
        <v>146</v>
      </c>
      <c r="AG902" t="s">
        <v>3607</v>
      </c>
      <c r="AH902" t="s">
        <v>3615</v>
      </c>
      <c r="AI902" t="s">
        <v>90</v>
      </c>
      <c r="AJ902">
        <v>32.440997000000003</v>
      </c>
      <c r="AK902">
        <v>-110.78562700000001</v>
      </c>
      <c r="AL902">
        <v>3</v>
      </c>
      <c r="AN902">
        <v>2795</v>
      </c>
      <c r="AP902">
        <v>2795</v>
      </c>
      <c r="AQ902">
        <v>2780.5704580000001</v>
      </c>
      <c r="AT902">
        <v>8</v>
      </c>
      <c r="AU902">
        <v>11</v>
      </c>
      <c r="AV902">
        <v>2021</v>
      </c>
      <c r="AW902">
        <v>2438447</v>
      </c>
      <c r="AX902">
        <v>2438447</v>
      </c>
      <c r="AY902" t="s">
        <v>106</v>
      </c>
      <c r="AZ902" t="s">
        <v>92</v>
      </c>
      <c r="BA902" t="s">
        <v>107</v>
      </c>
      <c r="BB902" t="s">
        <v>3616</v>
      </c>
      <c r="BC902" t="s">
        <v>95</v>
      </c>
      <c r="BD902" s="1">
        <v>44635</v>
      </c>
      <c r="BE902" t="s">
        <v>96</v>
      </c>
      <c r="BG902" t="s">
        <v>1186</v>
      </c>
      <c r="BI902" t="s">
        <v>98</v>
      </c>
      <c r="BJ902" t="s">
        <v>3617</v>
      </c>
      <c r="BL902" t="s">
        <v>110</v>
      </c>
    </row>
    <row r="903" spans="1:64" hidden="1" x14ac:dyDescent="0.2">
      <c r="A903">
        <v>1718</v>
      </c>
      <c r="B903">
        <v>3744741415</v>
      </c>
      <c r="C903" t="s">
        <v>101</v>
      </c>
      <c r="D903" t="s">
        <v>3618</v>
      </c>
      <c r="E903" t="s">
        <v>65</v>
      </c>
      <c r="F903" t="s">
        <v>66</v>
      </c>
      <c r="G903" t="s">
        <v>67</v>
      </c>
      <c r="H903" t="s">
        <v>68</v>
      </c>
      <c r="I903" t="s">
        <v>176</v>
      </c>
      <c r="J903" t="s">
        <v>773</v>
      </c>
      <c r="K903" t="s">
        <v>774</v>
      </c>
      <c r="M903" t="s">
        <v>72</v>
      </c>
      <c r="N903" t="s">
        <v>775</v>
      </c>
      <c r="O903" t="s">
        <v>774</v>
      </c>
      <c r="P903" t="s">
        <v>776</v>
      </c>
      <c r="Q903" t="s">
        <v>75</v>
      </c>
      <c r="R903" t="s">
        <v>3564</v>
      </c>
      <c r="S903" t="s">
        <v>3604</v>
      </c>
      <c r="T903" t="s">
        <v>78</v>
      </c>
      <c r="U903" t="s">
        <v>1822</v>
      </c>
      <c r="V903" t="s">
        <v>80</v>
      </c>
      <c r="W903" s="1">
        <v>44508</v>
      </c>
      <c r="X903" t="s">
        <v>1823</v>
      </c>
      <c r="Y903" t="s">
        <v>3605</v>
      </c>
      <c r="Z903" t="s">
        <v>83</v>
      </c>
      <c r="AA903">
        <v>1</v>
      </c>
      <c r="AB903" t="s">
        <v>103</v>
      </c>
      <c r="AD903" t="s">
        <v>123</v>
      </c>
      <c r="AE903" t="s">
        <v>86</v>
      </c>
      <c r="AF903" t="s">
        <v>146</v>
      </c>
      <c r="AG903" t="s">
        <v>3607</v>
      </c>
      <c r="AH903" t="s">
        <v>3615</v>
      </c>
      <c r="AI903" t="s">
        <v>90</v>
      </c>
      <c r="AJ903">
        <v>32.440997000000003</v>
      </c>
      <c r="AK903">
        <v>-110.78562700000001</v>
      </c>
      <c r="AL903">
        <v>3</v>
      </c>
      <c r="AN903">
        <v>2795</v>
      </c>
      <c r="AP903">
        <v>2795</v>
      </c>
      <c r="AQ903">
        <v>2780.5704580000001</v>
      </c>
      <c r="AT903">
        <v>8</v>
      </c>
      <c r="AU903">
        <v>11</v>
      </c>
      <c r="AV903">
        <v>2021</v>
      </c>
      <c r="AW903">
        <v>2438447</v>
      </c>
      <c r="AX903">
        <v>2438447</v>
      </c>
      <c r="AY903" t="s">
        <v>106</v>
      </c>
      <c r="AZ903" t="s">
        <v>92</v>
      </c>
      <c r="BA903" t="s">
        <v>107</v>
      </c>
      <c r="BB903" t="s">
        <v>3619</v>
      </c>
      <c r="BC903" t="s">
        <v>95</v>
      </c>
      <c r="BD903" s="1">
        <v>44635</v>
      </c>
      <c r="BE903" t="s">
        <v>96</v>
      </c>
      <c r="BG903" t="s">
        <v>1186</v>
      </c>
      <c r="BI903" t="s">
        <v>98</v>
      </c>
      <c r="BJ903" t="s">
        <v>3620</v>
      </c>
      <c r="BL903" t="s">
        <v>110</v>
      </c>
    </row>
    <row r="904" spans="1:64" x14ac:dyDescent="0.2">
      <c r="A904">
        <v>1131</v>
      </c>
      <c r="B904">
        <v>4027014318</v>
      </c>
      <c r="C904" t="s">
        <v>63</v>
      </c>
      <c r="D904" t="s">
        <v>1045</v>
      </c>
      <c r="E904" t="s">
        <v>65</v>
      </c>
      <c r="F904" t="s">
        <v>66</v>
      </c>
      <c r="G904" t="s">
        <v>67</v>
      </c>
      <c r="H904" t="s">
        <v>68</v>
      </c>
      <c r="I904" t="s">
        <v>350</v>
      </c>
      <c r="J904" t="s">
        <v>351</v>
      </c>
      <c r="K904" t="s">
        <v>352</v>
      </c>
      <c r="M904" t="s">
        <v>72</v>
      </c>
      <c r="N904" t="s">
        <v>353</v>
      </c>
      <c r="O904" t="s">
        <v>352</v>
      </c>
      <c r="P904" t="s">
        <v>180</v>
      </c>
      <c r="Q904" t="s">
        <v>75</v>
      </c>
      <c r="R904" t="s">
        <v>977</v>
      </c>
      <c r="S904" t="s">
        <v>1046</v>
      </c>
      <c r="T904" t="s">
        <v>78</v>
      </c>
      <c r="U904" t="s">
        <v>646</v>
      </c>
      <c r="V904" t="s">
        <v>80</v>
      </c>
      <c r="W904" s="1">
        <v>44694</v>
      </c>
      <c r="X904" t="s">
        <v>647</v>
      </c>
      <c r="Y904" t="s">
        <v>1047</v>
      </c>
      <c r="Z904" t="s">
        <v>83</v>
      </c>
      <c r="AA904">
        <v>1</v>
      </c>
      <c r="AB904" t="s">
        <v>1048</v>
      </c>
      <c r="AC904">
        <v>1</v>
      </c>
      <c r="AD904" s="6" t="s">
        <v>85</v>
      </c>
      <c r="AE904" s="6" t="s">
        <v>86</v>
      </c>
      <c r="AF904" s="6" t="s">
        <v>146</v>
      </c>
      <c r="AG904" s="6" t="s">
        <v>1049</v>
      </c>
      <c r="AH904" s="6" t="s">
        <v>1050</v>
      </c>
      <c r="AI904" s="6" t="s">
        <v>90</v>
      </c>
      <c r="AJ904" s="6">
        <v>32.389597999999999</v>
      </c>
      <c r="AK904" s="6">
        <v>-110.708088</v>
      </c>
      <c r="AL904" s="6"/>
      <c r="AM904" s="6"/>
      <c r="AN904" s="6">
        <v>2118</v>
      </c>
      <c r="AO904" s="6"/>
      <c r="AP904" s="6">
        <v>2118</v>
      </c>
      <c r="AQ904" s="6">
        <v>2145.1724690000001</v>
      </c>
      <c r="AR904" s="6"/>
      <c r="AS904" s="6"/>
      <c r="AT904" s="6">
        <v>13</v>
      </c>
      <c r="AU904" s="6">
        <v>5</v>
      </c>
      <c r="AV904" s="6">
        <v>2022</v>
      </c>
      <c r="AW904" s="6">
        <v>4972385</v>
      </c>
      <c r="AX904" s="6">
        <v>2437431</v>
      </c>
      <c r="AY904" s="6" t="s">
        <v>91</v>
      </c>
      <c r="AZ904" t="s">
        <v>92</v>
      </c>
      <c r="BA904" t="s">
        <v>93</v>
      </c>
      <c r="BB904" t="s">
        <v>1051</v>
      </c>
      <c r="BC904" t="s">
        <v>97</v>
      </c>
      <c r="BE904" t="s">
        <v>96</v>
      </c>
      <c r="BG904" t="s">
        <v>654</v>
      </c>
      <c r="BJ904" t="s">
        <v>843</v>
      </c>
      <c r="BL904" t="s">
        <v>100</v>
      </c>
    </row>
    <row r="905" spans="1:64" hidden="1" x14ac:dyDescent="0.2">
      <c r="A905">
        <v>1721</v>
      </c>
      <c r="B905">
        <v>3744741412</v>
      </c>
      <c r="C905" t="s">
        <v>101</v>
      </c>
      <c r="D905" t="s">
        <v>3623</v>
      </c>
      <c r="E905" t="s">
        <v>65</v>
      </c>
      <c r="F905" t="s">
        <v>66</v>
      </c>
      <c r="G905" t="s">
        <v>67</v>
      </c>
      <c r="H905" t="s">
        <v>68</v>
      </c>
      <c r="I905" t="s">
        <v>176</v>
      </c>
      <c r="J905" t="s">
        <v>773</v>
      </c>
      <c r="K905" t="s">
        <v>774</v>
      </c>
      <c r="M905" t="s">
        <v>72</v>
      </c>
      <c r="N905" t="s">
        <v>775</v>
      </c>
      <c r="O905" t="s">
        <v>774</v>
      </c>
      <c r="P905" t="s">
        <v>776</v>
      </c>
      <c r="Q905" t="s">
        <v>75</v>
      </c>
      <c r="R905" t="s">
        <v>3564</v>
      </c>
      <c r="S905" t="s">
        <v>3604</v>
      </c>
      <c r="T905" t="s">
        <v>78</v>
      </c>
      <c r="U905" t="s">
        <v>1822</v>
      </c>
      <c r="V905" t="s">
        <v>80</v>
      </c>
      <c r="W905" s="1">
        <v>44508</v>
      </c>
      <c r="X905" t="s">
        <v>1823</v>
      </c>
      <c r="Y905" t="s">
        <v>3605</v>
      </c>
      <c r="Z905" t="s">
        <v>83</v>
      </c>
      <c r="AA905">
        <v>1</v>
      </c>
      <c r="AB905" t="s">
        <v>103</v>
      </c>
      <c r="AD905" t="s">
        <v>104</v>
      </c>
      <c r="AE905" t="s">
        <v>86</v>
      </c>
      <c r="AF905" t="s">
        <v>146</v>
      </c>
      <c r="AG905" t="s">
        <v>3607</v>
      </c>
      <c r="AH905" t="s">
        <v>3615</v>
      </c>
      <c r="AI905" t="s">
        <v>90</v>
      </c>
      <c r="AJ905">
        <v>32.440997000000003</v>
      </c>
      <c r="AK905">
        <v>-110.78562700000001</v>
      </c>
      <c r="AL905">
        <v>3</v>
      </c>
      <c r="AN905">
        <v>2795</v>
      </c>
      <c r="AP905">
        <v>2795</v>
      </c>
      <c r="AQ905">
        <v>2780.5704580000001</v>
      </c>
      <c r="AT905">
        <v>8</v>
      </c>
      <c r="AU905">
        <v>11</v>
      </c>
      <c r="AV905">
        <v>2021</v>
      </c>
      <c r="AW905">
        <v>2438447</v>
      </c>
      <c r="AX905">
        <v>2438447</v>
      </c>
      <c r="AY905" t="s">
        <v>106</v>
      </c>
      <c r="AZ905" t="s">
        <v>92</v>
      </c>
      <c r="BA905" t="s">
        <v>107</v>
      </c>
      <c r="BB905" t="s">
        <v>3624</v>
      </c>
      <c r="BC905" t="s">
        <v>95</v>
      </c>
      <c r="BD905" s="1">
        <v>44635</v>
      </c>
      <c r="BE905" t="s">
        <v>96</v>
      </c>
      <c r="BG905" t="s">
        <v>1186</v>
      </c>
      <c r="BI905" t="s">
        <v>98</v>
      </c>
      <c r="BJ905" t="s">
        <v>3433</v>
      </c>
      <c r="BL905" t="s">
        <v>110</v>
      </c>
    </row>
    <row r="906" spans="1:64" hidden="1" x14ac:dyDescent="0.2">
      <c r="A906">
        <v>1719</v>
      </c>
      <c r="B906">
        <v>3744741414</v>
      </c>
      <c r="C906" t="s">
        <v>101</v>
      </c>
      <c r="D906" t="s">
        <v>3625</v>
      </c>
      <c r="E906" t="s">
        <v>65</v>
      </c>
      <c r="F906" t="s">
        <v>66</v>
      </c>
      <c r="G906" t="s">
        <v>67</v>
      </c>
      <c r="H906" t="s">
        <v>68</v>
      </c>
      <c r="I906" t="s">
        <v>176</v>
      </c>
      <c r="J906" t="s">
        <v>773</v>
      </c>
      <c r="K906" t="s">
        <v>774</v>
      </c>
      <c r="M906" t="s">
        <v>72</v>
      </c>
      <c r="N906" t="s">
        <v>775</v>
      </c>
      <c r="O906" t="s">
        <v>774</v>
      </c>
      <c r="P906" t="s">
        <v>776</v>
      </c>
      <c r="Q906" t="s">
        <v>75</v>
      </c>
      <c r="R906" t="s">
        <v>3564</v>
      </c>
      <c r="S906" t="s">
        <v>3604</v>
      </c>
      <c r="T906" t="s">
        <v>78</v>
      </c>
      <c r="U906" t="s">
        <v>1822</v>
      </c>
      <c r="V906" t="s">
        <v>80</v>
      </c>
      <c r="W906" s="1">
        <v>44508</v>
      </c>
      <c r="X906" t="s">
        <v>1823</v>
      </c>
      <c r="Y906" t="s">
        <v>3605</v>
      </c>
      <c r="Z906" t="s">
        <v>83</v>
      </c>
      <c r="AA906">
        <v>1</v>
      </c>
      <c r="AB906" t="s">
        <v>103</v>
      </c>
      <c r="AD906" t="s">
        <v>139</v>
      </c>
      <c r="AE906" t="s">
        <v>86</v>
      </c>
      <c r="AF906" t="s">
        <v>146</v>
      </c>
      <c r="AG906" t="s">
        <v>3607</v>
      </c>
      <c r="AH906" t="s">
        <v>3615</v>
      </c>
      <c r="AI906" t="s">
        <v>90</v>
      </c>
      <c r="AJ906">
        <v>32.440997000000003</v>
      </c>
      <c r="AK906">
        <v>-110.78562700000001</v>
      </c>
      <c r="AL906">
        <v>3</v>
      </c>
      <c r="AN906">
        <v>2795</v>
      </c>
      <c r="AP906">
        <v>2795</v>
      </c>
      <c r="AQ906">
        <v>2780.5704580000001</v>
      </c>
      <c r="AT906">
        <v>8</v>
      </c>
      <c r="AU906">
        <v>11</v>
      </c>
      <c r="AV906">
        <v>2021</v>
      </c>
      <c r="AW906">
        <v>2438447</v>
      </c>
      <c r="AX906">
        <v>2438447</v>
      </c>
      <c r="AY906" t="s">
        <v>106</v>
      </c>
      <c r="AZ906" t="s">
        <v>92</v>
      </c>
      <c r="BA906" t="s">
        <v>107</v>
      </c>
      <c r="BB906" t="s">
        <v>3626</v>
      </c>
      <c r="BC906" t="s">
        <v>95</v>
      </c>
      <c r="BD906" s="1">
        <v>44635</v>
      </c>
      <c r="BE906" t="s">
        <v>96</v>
      </c>
      <c r="BG906" t="s">
        <v>1186</v>
      </c>
      <c r="BI906" t="s">
        <v>98</v>
      </c>
      <c r="BJ906" t="s">
        <v>3385</v>
      </c>
      <c r="BL906" t="s">
        <v>110</v>
      </c>
    </row>
    <row r="907" spans="1:64" hidden="1" x14ac:dyDescent="0.2">
      <c r="A907">
        <v>1725</v>
      </c>
      <c r="B907">
        <v>3744741408</v>
      </c>
      <c r="C907" t="s">
        <v>101</v>
      </c>
      <c r="D907" t="s">
        <v>3627</v>
      </c>
      <c r="E907" t="s">
        <v>65</v>
      </c>
      <c r="F907" t="s">
        <v>66</v>
      </c>
      <c r="G907" t="s">
        <v>67</v>
      </c>
      <c r="H907" t="s">
        <v>68</v>
      </c>
      <c r="I907" t="s">
        <v>176</v>
      </c>
      <c r="J907" t="s">
        <v>773</v>
      </c>
      <c r="K907" t="s">
        <v>774</v>
      </c>
      <c r="M907" t="s">
        <v>72</v>
      </c>
      <c r="N907" t="s">
        <v>775</v>
      </c>
      <c r="O907" t="s">
        <v>774</v>
      </c>
      <c r="P907" t="s">
        <v>776</v>
      </c>
      <c r="Q907" t="s">
        <v>75</v>
      </c>
      <c r="R907" t="s">
        <v>3564</v>
      </c>
      <c r="S907" t="s">
        <v>3604</v>
      </c>
      <c r="T907" t="s">
        <v>78</v>
      </c>
      <c r="U907" t="s">
        <v>1822</v>
      </c>
      <c r="V907" t="s">
        <v>80</v>
      </c>
      <c r="W907" s="1">
        <v>44508</v>
      </c>
      <c r="X907" t="s">
        <v>1823</v>
      </c>
      <c r="Y907" t="s">
        <v>3605</v>
      </c>
      <c r="Z907" t="s">
        <v>83</v>
      </c>
      <c r="AA907">
        <v>1</v>
      </c>
      <c r="AB907" t="s">
        <v>103</v>
      </c>
      <c r="AD907" t="s">
        <v>116</v>
      </c>
      <c r="AE907" t="s">
        <v>86</v>
      </c>
      <c r="AF907" t="s">
        <v>146</v>
      </c>
      <c r="AG907" t="s">
        <v>3607</v>
      </c>
      <c r="AH907" t="s">
        <v>3615</v>
      </c>
      <c r="AI907" t="s">
        <v>90</v>
      </c>
      <c r="AJ907">
        <v>32.440997000000003</v>
      </c>
      <c r="AK907">
        <v>-110.78562700000001</v>
      </c>
      <c r="AL907">
        <v>3</v>
      </c>
      <c r="AN907">
        <v>2795</v>
      </c>
      <c r="AP907">
        <v>2795</v>
      </c>
      <c r="AQ907">
        <v>2780.5704580000001</v>
      </c>
      <c r="AT907">
        <v>8</v>
      </c>
      <c r="AU907">
        <v>11</v>
      </c>
      <c r="AV907">
        <v>2021</v>
      </c>
      <c r="AW907">
        <v>2438447</v>
      </c>
      <c r="AX907">
        <v>2438447</v>
      </c>
      <c r="AY907" t="s">
        <v>106</v>
      </c>
      <c r="AZ907" t="s">
        <v>92</v>
      </c>
      <c r="BA907" t="s">
        <v>107</v>
      </c>
      <c r="BB907" t="s">
        <v>3628</v>
      </c>
      <c r="BC907" t="s">
        <v>95</v>
      </c>
      <c r="BD907" s="1">
        <v>44635</v>
      </c>
      <c r="BE907" t="s">
        <v>96</v>
      </c>
      <c r="BG907" t="s">
        <v>1186</v>
      </c>
      <c r="BI907" t="s">
        <v>98</v>
      </c>
      <c r="BJ907" t="s">
        <v>3417</v>
      </c>
      <c r="BL907" t="s">
        <v>110</v>
      </c>
    </row>
    <row r="908" spans="1:64" hidden="1" x14ac:dyDescent="0.2">
      <c r="A908">
        <v>1733</v>
      </c>
      <c r="B908">
        <v>3744741400</v>
      </c>
      <c r="C908" t="s">
        <v>101</v>
      </c>
      <c r="D908" t="s">
        <v>3629</v>
      </c>
      <c r="E908" t="s">
        <v>65</v>
      </c>
      <c r="F908" t="s">
        <v>66</v>
      </c>
      <c r="G908" t="s">
        <v>67</v>
      </c>
      <c r="H908" t="s">
        <v>68</v>
      </c>
      <c r="I908" t="s">
        <v>176</v>
      </c>
      <c r="J908" t="s">
        <v>177</v>
      </c>
      <c r="K908" t="s">
        <v>1817</v>
      </c>
      <c r="M908" t="s">
        <v>72</v>
      </c>
      <c r="N908" t="s">
        <v>1818</v>
      </c>
      <c r="O908" t="s">
        <v>1817</v>
      </c>
      <c r="P908" t="s">
        <v>1819</v>
      </c>
      <c r="Q908" t="s">
        <v>75</v>
      </c>
      <c r="R908" t="s">
        <v>3564</v>
      </c>
      <c r="S908" t="s">
        <v>3630</v>
      </c>
      <c r="T908" t="s">
        <v>78</v>
      </c>
      <c r="U908" t="s">
        <v>1822</v>
      </c>
      <c r="V908" t="s">
        <v>80</v>
      </c>
      <c r="W908" s="1">
        <v>44508</v>
      </c>
      <c r="X908" t="s">
        <v>1823</v>
      </c>
      <c r="Y908" t="s">
        <v>3631</v>
      </c>
      <c r="Z908" t="s">
        <v>83</v>
      </c>
      <c r="AA908">
        <v>1</v>
      </c>
      <c r="AB908" t="s">
        <v>103</v>
      </c>
      <c r="AD908" t="s">
        <v>343</v>
      </c>
      <c r="AE908" t="s">
        <v>86</v>
      </c>
      <c r="AF908" t="s">
        <v>281</v>
      </c>
      <c r="AG908" t="s">
        <v>560</v>
      </c>
      <c r="AI908" t="s">
        <v>90</v>
      </c>
      <c r="AJ908">
        <v>32.441110000000002</v>
      </c>
      <c r="AK908">
        <v>-110.785782</v>
      </c>
      <c r="AL908">
        <v>3</v>
      </c>
      <c r="AN908">
        <v>2778</v>
      </c>
      <c r="AP908">
        <v>2778</v>
      </c>
      <c r="AQ908">
        <v>2778.0272610000002</v>
      </c>
      <c r="AT908">
        <v>8</v>
      </c>
      <c r="AU908">
        <v>11</v>
      </c>
      <c r="AV908">
        <v>2021</v>
      </c>
      <c r="AW908">
        <v>2437967</v>
      </c>
      <c r="AX908">
        <v>2437967</v>
      </c>
      <c r="AY908" t="s">
        <v>106</v>
      </c>
      <c r="AZ908" t="s">
        <v>92</v>
      </c>
      <c r="BA908" t="s">
        <v>107</v>
      </c>
      <c r="BB908" t="s">
        <v>3632</v>
      </c>
      <c r="BC908" t="s">
        <v>1186</v>
      </c>
      <c r="BE908" t="s">
        <v>96</v>
      </c>
      <c r="BG908" t="s">
        <v>1186</v>
      </c>
      <c r="BI908" t="s">
        <v>98</v>
      </c>
      <c r="BJ908" t="s">
        <v>3633</v>
      </c>
      <c r="BL908" t="s">
        <v>110</v>
      </c>
    </row>
    <row r="909" spans="1:64" hidden="1" x14ac:dyDescent="0.2">
      <c r="A909">
        <v>1730</v>
      </c>
      <c r="B909">
        <v>3744741403</v>
      </c>
      <c r="C909" t="s">
        <v>101</v>
      </c>
      <c r="D909" t="s">
        <v>3642</v>
      </c>
      <c r="E909" t="s">
        <v>65</v>
      </c>
      <c r="F909" t="s">
        <v>66</v>
      </c>
      <c r="G909" t="s">
        <v>67</v>
      </c>
      <c r="H909" t="s">
        <v>68</v>
      </c>
      <c r="I909" t="s">
        <v>176</v>
      </c>
      <c r="J909" t="s">
        <v>773</v>
      </c>
      <c r="K909" t="s">
        <v>774</v>
      </c>
      <c r="M909" t="s">
        <v>72</v>
      </c>
      <c r="N909" t="s">
        <v>775</v>
      </c>
      <c r="O909" t="s">
        <v>774</v>
      </c>
      <c r="P909" t="s">
        <v>776</v>
      </c>
      <c r="Q909" t="s">
        <v>75</v>
      </c>
      <c r="R909" t="s">
        <v>3564</v>
      </c>
      <c r="S909" t="s">
        <v>3635</v>
      </c>
      <c r="T909" t="s">
        <v>78</v>
      </c>
      <c r="U909" t="s">
        <v>1822</v>
      </c>
      <c r="V909" t="s">
        <v>80</v>
      </c>
      <c r="W909" s="1">
        <v>44508</v>
      </c>
      <c r="X909" t="s">
        <v>1823</v>
      </c>
      <c r="Y909" t="s">
        <v>3636</v>
      </c>
      <c r="Z909" t="s">
        <v>83</v>
      </c>
      <c r="AA909">
        <v>1</v>
      </c>
      <c r="AB909" t="s">
        <v>103</v>
      </c>
      <c r="AD909" t="s">
        <v>104</v>
      </c>
      <c r="AE909" t="s">
        <v>86</v>
      </c>
      <c r="AF909" t="s">
        <v>146</v>
      </c>
      <c r="AG909" t="s">
        <v>3638</v>
      </c>
      <c r="AH909" t="s">
        <v>3643</v>
      </c>
      <c r="AI909" t="s">
        <v>90</v>
      </c>
      <c r="AJ909">
        <v>32.441079000000002</v>
      </c>
      <c r="AK909">
        <v>-110.785821</v>
      </c>
      <c r="AL909">
        <v>3</v>
      </c>
      <c r="AN909">
        <v>2776</v>
      </c>
      <c r="AP909">
        <v>2776</v>
      </c>
      <c r="AQ909">
        <v>2778.8040679999999</v>
      </c>
      <c r="AT909">
        <v>8</v>
      </c>
      <c r="AU909">
        <v>11</v>
      </c>
      <c r="AV909">
        <v>2021</v>
      </c>
      <c r="AW909">
        <v>2438447</v>
      </c>
      <c r="AX909">
        <v>2438447</v>
      </c>
      <c r="AY909" t="s">
        <v>106</v>
      </c>
      <c r="AZ909" t="s">
        <v>92</v>
      </c>
      <c r="BA909" t="s">
        <v>107</v>
      </c>
      <c r="BB909" t="s">
        <v>3644</v>
      </c>
      <c r="BC909" t="s">
        <v>1186</v>
      </c>
      <c r="BE909" t="s">
        <v>96</v>
      </c>
      <c r="BG909" t="s">
        <v>1186</v>
      </c>
      <c r="BI909" t="s">
        <v>98</v>
      </c>
      <c r="BJ909" t="s">
        <v>3429</v>
      </c>
      <c r="BL909" t="s">
        <v>110</v>
      </c>
    </row>
    <row r="910" spans="1:64" hidden="1" x14ac:dyDescent="0.2">
      <c r="A910">
        <v>1739</v>
      </c>
      <c r="B910">
        <v>3744741394</v>
      </c>
      <c r="C910" t="s">
        <v>101</v>
      </c>
      <c r="D910" t="s">
        <v>3645</v>
      </c>
      <c r="E910" t="s">
        <v>65</v>
      </c>
      <c r="F910" t="s">
        <v>66</v>
      </c>
      <c r="G910" t="s">
        <v>67</v>
      </c>
      <c r="H910" t="s">
        <v>68</v>
      </c>
      <c r="I910" t="s">
        <v>176</v>
      </c>
      <c r="J910" t="s">
        <v>773</v>
      </c>
      <c r="K910" t="s">
        <v>774</v>
      </c>
      <c r="M910" t="s">
        <v>72</v>
      </c>
      <c r="N910" t="s">
        <v>775</v>
      </c>
      <c r="O910" t="s">
        <v>774</v>
      </c>
      <c r="P910" t="s">
        <v>776</v>
      </c>
      <c r="Q910" t="s">
        <v>75</v>
      </c>
      <c r="R910" t="s">
        <v>3564</v>
      </c>
      <c r="S910" t="s">
        <v>3635</v>
      </c>
      <c r="T910" t="s">
        <v>78</v>
      </c>
      <c r="U910" t="s">
        <v>1822</v>
      </c>
      <c r="V910" t="s">
        <v>80</v>
      </c>
      <c r="W910" s="1">
        <v>44508</v>
      </c>
      <c r="X910" t="s">
        <v>1823</v>
      </c>
      <c r="Y910" t="s">
        <v>3636</v>
      </c>
      <c r="Z910" t="s">
        <v>83</v>
      </c>
      <c r="AA910">
        <v>1</v>
      </c>
      <c r="AB910" t="s">
        <v>103</v>
      </c>
      <c r="AD910" t="s">
        <v>112</v>
      </c>
      <c r="AE910" t="s">
        <v>86</v>
      </c>
      <c r="AF910" t="s">
        <v>146</v>
      </c>
      <c r="AG910" t="s">
        <v>3638</v>
      </c>
      <c r="AH910" t="s">
        <v>3643</v>
      </c>
      <c r="AI910" t="s">
        <v>90</v>
      </c>
      <c r="AJ910">
        <v>32.441079000000002</v>
      </c>
      <c r="AK910">
        <v>-110.785821</v>
      </c>
      <c r="AL910">
        <v>3</v>
      </c>
      <c r="AN910">
        <v>2776</v>
      </c>
      <c r="AP910">
        <v>2776</v>
      </c>
      <c r="AQ910">
        <v>2778.8040679999999</v>
      </c>
      <c r="AT910">
        <v>8</v>
      </c>
      <c r="AU910">
        <v>11</v>
      </c>
      <c r="AV910">
        <v>2021</v>
      </c>
      <c r="AW910">
        <v>2438447</v>
      </c>
      <c r="AX910">
        <v>2438447</v>
      </c>
      <c r="AY910" t="s">
        <v>106</v>
      </c>
      <c r="AZ910" t="s">
        <v>92</v>
      </c>
      <c r="BA910" t="s">
        <v>107</v>
      </c>
      <c r="BB910" t="s">
        <v>3646</v>
      </c>
      <c r="BC910" t="s">
        <v>1186</v>
      </c>
      <c r="BE910" t="s">
        <v>96</v>
      </c>
      <c r="BG910" t="s">
        <v>1186</v>
      </c>
      <c r="BI910" t="s">
        <v>98</v>
      </c>
      <c r="BJ910" t="s">
        <v>3647</v>
      </c>
      <c r="BL910" t="s">
        <v>110</v>
      </c>
    </row>
    <row r="911" spans="1:64" hidden="1" x14ac:dyDescent="0.2">
      <c r="A911">
        <v>1736</v>
      </c>
      <c r="B911">
        <v>3744741397</v>
      </c>
      <c r="C911" t="s">
        <v>101</v>
      </c>
      <c r="D911" t="s">
        <v>3648</v>
      </c>
      <c r="E911" t="s">
        <v>65</v>
      </c>
      <c r="F911" t="s">
        <v>66</v>
      </c>
      <c r="G911" t="s">
        <v>67</v>
      </c>
      <c r="H911" t="s">
        <v>68</v>
      </c>
      <c r="I911" t="s">
        <v>176</v>
      </c>
      <c r="J911" t="s">
        <v>773</v>
      </c>
      <c r="K911" t="s">
        <v>774</v>
      </c>
      <c r="M911" t="s">
        <v>72</v>
      </c>
      <c r="N911" t="s">
        <v>775</v>
      </c>
      <c r="O911" t="s">
        <v>774</v>
      </c>
      <c r="P911" t="s">
        <v>776</v>
      </c>
      <c r="Q911" t="s">
        <v>75</v>
      </c>
      <c r="R911" t="s">
        <v>3564</v>
      </c>
      <c r="S911" t="s">
        <v>3635</v>
      </c>
      <c r="T911" t="s">
        <v>78</v>
      </c>
      <c r="U911" t="s">
        <v>1822</v>
      </c>
      <c r="V911" t="s">
        <v>80</v>
      </c>
      <c r="W911" s="1">
        <v>44508</v>
      </c>
      <c r="X911" t="s">
        <v>1823</v>
      </c>
      <c r="Y911" t="s">
        <v>3636</v>
      </c>
      <c r="Z911" t="s">
        <v>83</v>
      </c>
      <c r="AA911">
        <v>1</v>
      </c>
      <c r="AB911" t="s">
        <v>103</v>
      </c>
      <c r="AD911" t="s">
        <v>116</v>
      </c>
      <c r="AE911" t="s">
        <v>86</v>
      </c>
      <c r="AF911" t="s">
        <v>146</v>
      </c>
      <c r="AG911" t="s">
        <v>3638</v>
      </c>
      <c r="AH911" t="s">
        <v>3643</v>
      </c>
      <c r="AI911" t="s">
        <v>90</v>
      </c>
      <c r="AJ911">
        <v>32.441079000000002</v>
      </c>
      <c r="AK911">
        <v>-110.785821</v>
      </c>
      <c r="AL911">
        <v>3</v>
      </c>
      <c r="AN911">
        <v>2776</v>
      </c>
      <c r="AP911">
        <v>2776</v>
      </c>
      <c r="AQ911">
        <v>2778.8040679999999</v>
      </c>
      <c r="AT911">
        <v>8</v>
      </c>
      <c r="AU911">
        <v>11</v>
      </c>
      <c r="AV911">
        <v>2021</v>
      </c>
      <c r="AW911">
        <v>2438447</v>
      </c>
      <c r="AX911">
        <v>2438447</v>
      </c>
      <c r="AY911" t="s">
        <v>106</v>
      </c>
      <c r="AZ911" t="s">
        <v>92</v>
      </c>
      <c r="BA911" t="s">
        <v>107</v>
      </c>
      <c r="BB911" t="s">
        <v>3649</v>
      </c>
      <c r="BC911" t="s">
        <v>1186</v>
      </c>
      <c r="BE911" t="s">
        <v>96</v>
      </c>
      <c r="BG911" t="s">
        <v>1186</v>
      </c>
      <c r="BI911" t="s">
        <v>98</v>
      </c>
      <c r="BJ911" t="s">
        <v>3647</v>
      </c>
      <c r="BL911" t="s">
        <v>110</v>
      </c>
    </row>
    <row r="912" spans="1:64" hidden="1" x14ac:dyDescent="0.2">
      <c r="A912">
        <v>1745</v>
      </c>
      <c r="B912">
        <v>3744741388</v>
      </c>
      <c r="C912" t="s">
        <v>101</v>
      </c>
      <c r="D912" t="s">
        <v>3650</v>
      </c>
      <c r="E912" t="s">
        <v>65</v>
      </c>
      <c r="F912" t="s">
        <v>66</v>
      </c>
      <c r="G912" t="s">
        <v>67</v>
      </c>
      <c r="H912" t="s">
        <v>68</v>
      </c>
      <c r="I912" t="s">
        <v>176</v>
      </c>
      <c r="J912" t="s">
        <v>773</v>
      </c>
      <c r="K912" t="s">
        <v>774</v>
      </c>
      <c r="M912" t="s">
        <v>72</v>
      </c>
      <c r="N912" t="s">
        <v>775</v>
      </c>
      <c r="O912" t="s">
        <v>774</v>
      </c>
      <c r="P912" t="s">
        <v>776</v>
      </c>
      <c r="Q912" t="s">
        <v>75</v>
      </c>
      <c r="R912" t="s">
        <v>3564</v>
      </c>
      <c r="S912" t="s">
        <v>3635</v>
      </c>
      <c r="T912" t="s">
        <v>78</v>
      </c>
      <c r="U912" t="s">
        <v>1822</v>
      </c>
      <c r="V912" t="s">
        <v>80</v>
      </c>
      <c r="W912" s="1">
        <v>44508</v>
      </c>
      <c r="X912" t="s">
        <v>1823</v>
      </c>
      <c r="Y912" t="s">
        <v>3636</v>
      </c>
      <c r="Z912" t="s">
        <v>83</v>
      </c>
      <c r="AA912">
        <v>1</v>
      </c>
      <c r="AB912" t="s">
        <v>103</v>
      </c>
      <c r="AD912" t="s">
        <v>123</v>
      </c>
      <c r="AE912" t="s">
        <v>86</v>
      </c>
      <c r="AF912" t="s">
        <v>146</v>
      </c>
      <c r="AG912" t="s">
        <v>3638</v>
      </c>
      <c r="AH912" t="s">
        <v>3643</v>
      </c>
      <c r="AI912" t="s">
        <v>90</v>
      </c>
      <c r="AJ912">
        <v>32.441079000000002</v>
      </c>
      <c r="AK912">
        <v>-110.785821</v>
      </c>
      <c r="AL912">
        <v>3</v>
      </c>
      <c r="AN912">
        <v>2776</v>
      </c>
      <c r="AP912">
        <v>2776</v>
      </c>
      <c r="AQ912">
        <v>2778.8040679999999</v>
      </c>
      <c r="AT912">
        <v>8</v>
      </c>
      <c r="AU912">
        <v>11</v>
      </c>
      <c r="AV912">
        <v>2021</v>
      </c>
      <c r="AW912">
        <v>2438447</v>
      </c>
      <c r="AX912">
        <v>2438447</v>
      </c>
      <c r="AY912" t="s">
        <v>106</v>
      </c>
      <c r="AZ912" t="s">
        <v>92</v>
      </c>
      <c r="BA912" t="s">
        <v>107</v>
      </c>
      <c r="BB912" t="s">
        <v>3651</v>
      </c>
      <c r="BC912" t="s">
        <v>1186</v>
      </c>
      <c r="BE912" t="s">
        <v>96</v>
      </c>
      <c r="BG912" t="s">
        <v>1186</v>
      </c>
      <c r="BI912" t="s">
        <v>98</v>
      </c>
      <c r="BJ912" t="s">
        <v>3652</v>
      </c>
      <c r="BL912" t="s">
        <v>110</v>
      </c>
    </row>
    <row r="913" spans="1:64" x14ac:dyDescent="0.2">
      <c r="A913">
        <v>1147</v>
      </c>
      <c r="B913">
        <v>4027014302</v>
      </c>
      <c r="C913" t="s">
        <v>63</v>
      </c>
      <c r="D913" t="s">
        <v>1896</v>
      </c>
      <c r="E913" t="s">
        <v>65</v>
      </c>
      <c r="F913" t="s">
        <v>66</v>
      </c>
      <c r="G913" t="s">
        <v>67</v>
      </c>
      <c r="H913" t="s">
        <v>68</v>
      </c>
      <c r="I913" t="s">
        <v>176</v>
      </c>
      <c r="J913" t="s">
        <v>177</v>
      </c>
      <c r="K913" t="s">
        <v>178</v>
      </c>
      <c r="M913" t="s">
        <v>72</v>
      </c>
      <c r="N913" t="s">
        <v>179</v>
      </c>
      <c r="O913" t="s">
        <v>178</v>
      </c>
      <c r="P913" t="s">
        <v>180</v>
      </c>
      <c r="Q913" t="s">
        <v>75</v>
      </c>
      <c r="R913" t="s">
        <v>1858</v>
      </c>
      <c r="S913" t="s">
        <v>694</v>
      </c>
      <c r="T913" t="s">
        <v>78</v>
      </c>
      <c r="U913" t="s">
        <v>1822</v>
      </c>
      <c r="V913" t="s">
        <v>80</v>
      </c>
      <c r="W913" s="1">
        <v>44696</v>
      </c>
      <c r="X913" t="s">
        <v>1859</v>
      </c>
      <c r="Y913" t="s">
        <v>1897</v>
      </c>
      <c r="Z913" t="s">
        <v>83</v>
      </c>
      <c r="AA913">
        <v>1</v>
      </c>
      <c r="AB913" t="s">
        <v>1898</v>
      </c>
      <c r="AC913">
        <v>1</v>
      </c>
      <c r="AD913" s="6" t="s">
        <v>85</v>
      </c>
      <c r="AE913" s="6" t="s">
        <v>86</v>
      </c>
      <c r="AF913" s="6" t="s">
        <v>146</v>
      </c>
      <c r="AG913" s="6" t="s">
        <v>1899</v>
      </c>
      <c r="AH913" s="6" t="s">
        <v>1900</v>
      </c>
      <c r="AI913" s="6" t="s">
        <v>90</v>
      </c>
      <c r="AJ913" s="6">
        <v>32.425916999999998</v>
      </c>
      <c r="AK913" s="6">
        <v>-110.74038299999999</v>
      </c>
      <c r="AL913" s="6">
        <v>4</v>
      </c>
      <c r="AM913" s="6"/>
      <c r="AN913" s="6">
        <v>2366</v>
      </c>
      <c r="AO913" s="6"/>
      <c r="AP913" s="6">
        <v>2366</v>
      </c>
      <c r="AQ913" s="6">
        <v>2387.1654619999999</v>
      </c>
      <c r="AR913" s="6"/>
      <c r="AS913" s="6"/>
      <c r="AT913" s="6">
        <v>15</v>
      </c>
      <c r="AU913" s="6">
        <v>5</v>
      </c>
      <c r="AV913" s="6">
        <v>2022</v>
      </c>
      <c r="AW913" s="6">
        <v>2438038</v>
      </c>
      <c r="AX913" s="6">
        <v>2438038</v>
      </c>
      <c r="AY913" s="6" t="s">
        <v>91</v>
      </c>
      <c r="AZ913" t="s">
        <v>92</v>
      </c>
      <c r="BA913" t="s">
        <v>93</v>
      </c>
      <c r="BB913" t="s">
        <v>1901</v>
      </c>
      <c r="BC913" t="s">
        <v>97</v>
      </c>
      <c r="BE913" t="s">
        <v>96</v>
      </c>
      <c r="BG913" t="s">
        <v>1865</v>
      </c>
      <c r="BI913" t="s">
        <v>98</v>
      </c>
      <c r="BJ913" t="s">
        <v>1902</v>
      </c>
      <c r="BK913" t="s">
        <v>365</v>
      </c>
      <c r="BL913" t="s">
        <v>100</v>
      </c>
    </row>
    <row r="914" spans="1:64" hidden="1" x14ac:dyDescent="0.2">
      <c r="A914">
        <v>1750</v>
      </c>
      <c r="B914">
        <v>3744741383</v>
      </c>
      <c r="C914" t="s">
        <v>101</v>
      </c>
      <c r="D914" t="s">
        <v>3657</v>
      </c>
      <c r="E914" t="s">
        <v>65</v>
      </c>
      <c r="F914" t="s">
        <v>66</v>
      </c>
      <c r="G914" t="s">
        <v>67</v>
      </c>
      <c r="H914" t="s">
        <v>68</v>
      </c>
      <c r="I914" t="s">
        <v>176</v>
      </c>
      <c r="J914" t="s">
        <v>773</v>
      </c>
      <c r="K914" t="s">
        <v>774</v>
      </c>
      <c r="M914" t="s">
        <v>72</v>
      </c>
      <c r="N914" t="s">
        <v>775</v>
      </c>
      <c r="O914" t="s">
        <v>774</v>
      </c>
      <c r="P914" t="s">
        <v>776</v>
      </c>
      <c r="Q914" t="s">
        <v>75</v>
      </c>
      <c r="R914" t="s">
        <v>3564</v>
      </c>
      <c r="S914" t="s">
        <v>3635</v>
      </c>
      <c r="T914" t="s">
        <v>78</v>
      </c>
      <c r="U914" t="s">
        <v>1822</v>
      </c>
      <c r="V914" t="s">
        <v>80</v>
      </c>
      <c r="W914" s="1">
        <v>44508</v>
      </c>
      <c r="X914" t="s">
        <v>1823</v>
      </c>
      <c r="Y914" t="s">
        <v>3636</v>
      </c>
      <c r="Z914" t="s">
        <v>83</v>
      </c>
      <c r="AA914">
        <v>1</v>
      </c>
      <c r="AB914" t="s">
        <v>103</v>
      </c>
      <c r="AD914" t="s">
        <v>139</v>
      </c>
      <c r="AE914" t="s">
        <v>86</v>
      </c>
      <c r="AF914" t="s">
        <v>146</v>
      </c>
      <c r="AG914" t="s">
        <v>3638</v>
      </c>
      <c r="AH914" t="s">
        <v>3643</v>
      </c>
      <c r="AI914" t="s">
        <v>90</v>
      </c>
      <c r="AJ914">
        <v>32.441079000000002</v>
      </c>
      <c r="AK914">
        <v>-110.785821</v>
      </c>
      <c r="AL914">
        <v>3</v>
      </c>
      <c r="AN914">
        <v>2776</v>
      </c>
      <c r="AP914">
        <v>2776</v>
      </c>
      <c r="AQ914">
        <v>2778.8040679999999</v>
      </c>
      <c r="AT914">
        <v>8</v>
      </c>
      <c r="AU914">
        <v>11</v>
      </c>
      <c r="AV914">
        <v>2021</v>
      </c>
      <c r="AW914">
        <v>2438447</v>
      </c>
      <c r="AX914">
        <v>2438447</v>
      </c>
      <c r="AY914" t="s">
        <v>106</v>
      </c>
      <c r="AZ914" t="s">
        <v>92</v>
      </c>
      <c r="BA914" t="s">
        <v>107</v>
      </c>
      <c r="BB914" t="s">
        <v>3658</v>
      </c>
      <c r="BC914" t="s">
        <v>1186</v>
      </c>
      <c r="BE914" t="s">
        <v>96</v>
      </c>
      <c r="BG914" t="s">
        <v>1186</v>
      </c>
      <c r="BI914" t="s">
        <v>98</v>
      </c>
      <c r="BJ914" t="s">
        <v>3647</v>
      </c>
      <c r="BL914" t="s">
        <v>110</v>
      </c>
    </row>
    <row r="915" spans="1:64" hidden="1" x14ac:dyDescent="0.2">
      <c r="A915">
        <v>1747</v>
      </c>
      <c r="B915">
        <v>3744741386</v>
      </c>
      <c r="C915" t="s">
        <v>101</v>
      </c>
      <c r="D915" s="2" t="s">
        <v>3666</v>
      </c>
      <c r="E915" t="s">
        <v>65</v>
      </c>
      <c r="F915" t="s">
        <v>66</v>
      </c>
      <c r="G915" t="s">
        <v>67</v>
      </c>
      <c r="H915" t="s">
        <v>68</v>
      </c>
      <c r="I915" t="s">
        <v>176</v>
      </c>
      <c r="J915" t="s">
        <v>177</v>
      </c>
      <c r="K915" t="s">
        <v>1817</v>
      </c>
      <c r="M915" t="s">
        <v>72</v>
      </c>
      <c r="N915" t="s">
        <v>1818</v>
      </c>
      <c r="O915" t="s">
        <v>1817</v>
      </c>
      <c r="P915" t="s">
        <v>1819</v>
      </c>
      <c r="Q915" t="s">
        <v>75</v>
      </c>
      <c r="R915" t="s">
        <v>3564</v>
      </c>
      <c r="S915" t="s">
        <v>3660</v>
      </c>
      <c r="T915" t="s">
        <v>78</v>
      </c>
      <c r="U915" t="s">
        <v>1822</v>
      </c>
      <c r="V915" t="s">
        <v>80</v>
      </c>
      <c r="W915" s="1">
        <v>44508</v>
      </c>
      <c r="X915" t="s">
        <v>1823</v>
      </c>
      <c r="Y915" t="s">
        <v>3661</v>
      </c>
      <c r="Z915" t="s">
        <v>83</v>
      </c>
      <c r="AA915">
        <v>1</v>
      </c>
      <c r="AB915" t="s">
        <v>103</v>
      </c>
      <c r="AD915" t="s">
        <v>112</v>
      </c>
      <c r="AE915" t="s">
        <v>145</v>
      </c>
      <c r="AF915" t="s">
        <v>146</v>
      </c>
      <c r="AG915" t="s">
        <v>1526</v>
      </c>
      <c r="AH915" t="s">
        <v>3667</v>
      </c>
      <c r="AI915" t="s">
        <v>90</v>
      </c>
      <c r="AJ915">
        <v>32.441085999999999</v>
      </c>
      <c r="AK915">
        <v>-110.78582299999999</v>
      </c>
      <c r="AL915">
        <v>6</v>
      </c>
      <c r="AN915">
        <v>2772</v>
      </c>
      <c r="AP915">
        <v>2772</v>
      </c>
      <c r="AQ915">
        <v>2778.6294379999999</v>
      </c>
      <c r="AT915">
        <v>8</v>
      </c>
      <c r="AU915">
        <v>11</v>
      </c>
      <c r="AV915">
        <v>2021</v>
      </c>
      <c r="AW915">
        <v>2437967</v>
      </c>
      <c r="AX915">
        <v>2437967</v>
      </c>
      <c r="AY915" t="s">
        <v>106</v>
      </c>
      <c r="AZ915" t="s">
        <v>92</v>
      </c>
      <c r="BA915" t="s">
        <v>107</v>
      </c>
      <c r="BB915" t="s">
        <v>3668</v>
      </c>
      <c r="BC915" t="s">
        <v>1186</v>
      </c>
      <c r="BE915" t="s">
        <v>96</v>
      </c>
      <c r="BG915" t="s">
        <v>1186</v>
      </c>
      <c r="BI915" t="s">
        <v>98</v>
      </c>
      <c r="BJ915" t="s">
        <v>3652</v>
      </c>
      <c r="BL915" t="s">
        <v>110</v>
      </c>
    </row>
    <row r="916" spans="1:64" hidden="1" x14ac:dyDescent="0.2">
      <c r="A916">
        <v>1751</v>
      </c>
      <c r="B916">
        <v>3744741382</v>
      </c>
      <c r="C916" t="s">
        <v>101</v>
      </c>
      <c r="D916" t="s">
        <v>3669</v>
      </c>
      <c r="E916" t="s">
        <v>65</v>
      </c>
      <c r="F916" t="s">
        <v>66</v>
      </c>
      <c r="G916" t="s">
        <v>67</v>
      </c>
      <c r="H916" t="s">
        <v>68</v>
      </c>
      <c r="I916" t="s">
        <v>176</v>
      </c>
      <c r="J916" t="s">
        <v>177</v>
      </c>
      <c r="K916" t="s">
        <v>1817</v>
      </c>
      <c r="M916" t="s">
        <v>72</v>
      </c>
      <c r="N916" t="s">
        <v>1818</v>
      </c>
      <c r="O916" t="s">
        <v>1817</v>
      </c>
      <c r="P916" t="s">
        <v>1819</v>
      </c>
      <c r="Q916" t="s">
        <v>75</v>
      </c>
      <c r="R916" t="s">
        <v>3564</v>
      </c>
      <c r="S916" t="s">
        <v>3660</v>
      </c>
      <c r="T916" t="s">
        <v>78</v>
      </c>
      <c r="U916" t="s">
        <v>1822</v>
      </c>
      <c r="V916" t="s">
        <v>80</v>
      </c>
      <c r="W916" s="1">
        <v>44508</v>
      </c>
      <c r="X916" t="s">
        <v>1823</v>
      </c>
      <c r="Y916" t="s">
        <v>3661</v>
      </c>
      <c r="Z916" t="s">
        <v>83</v>
      </c>
      <c r="AA916">
        <v>1</v>
      </c>
      <c r="AB916" t="s">
        <v>103</v>
      </c>
      <c r="AD916" t="s">
        <v>104</v>
      </c>
      <c r="AE916" t="s">
        <v>145</v>
      </c>
      <c r="AF916" t="s">
        <v>146</v>
      </c>
      <c r="AG916" t="s">
        <v>1526</v>
      </c>
      <c r="AH916" t="s">
        <v>3667</v>
      </c>
      <c r="AI916" t="s">
        <v>90</v>
      </c>
      <c r="AJ916">
        <v>32.441085999999999</v>
      </c>
      <c r="AK916">
        <v>-110.78582299999999</v>
      </c>
      <c r="AL916">
        <v>6</v>
      </c>
      <c r="AN916">
        <v>2772</v>
      </c>
      <c r="AP916">
        <v>2772</v>
      </c>
      <c r="AQ916">
        <v>2778.6294379999999</v>
      </c>
      <c r="AT916">
        <v>8</v>
      </c>
      <c r="AU916">
        <v>11</v>
      </c>
      <c r="AV916">
        <v>2021</v>
      </c>
      <c r="AW916">
        <v>2437967</v>
      </c>
      <c r="AX916">
        <v>2437967</v>
      </c>
      <c r="AY916" t="s">
        <v>106</v>
      </c>
      <c r="AZ916" t="s">
        <v>92</v>
      </c>
      <c r="BA916" t="s">
        <v>107</v>
      </c>
      <c r="BB916" t="s">
        <v>3670</v>
      </c>
      <c r="BC916" t="s">
        <v>1186</v>
      </c>
      <c r="BE916" t="s">
        <v>96</v>
      </c>
      <c r="BG916" t="s">
        <v>1186</v>
      </c>
      <c r="BI916" t="s">
        <v>98</v>
      </c>
      <c r="BJ916" t="s">
        <v>3671</v>
      </c>
      <c r="BL916" t="s">
        <v>110</v>
      </c>
    </row>
    <row r="917" spans="1:64" x14ac:dyDescent="0.2">
      <c r="A917">
        <v>1130</v>
      </c>
      <c r="B917">
        <v>4027014319</v>
      </c>
      <c r="C917" t="s">
        <v>63</v>
      </c>
      <c r="D917" t="s">
        <v>1930</v>
      </c>
      <c r="E917" t="s">
        <v>65</v>
      </c>
      <c r="F917" t="s">
        <v>66</v>
      </c>
      <c r="G917" t="s">
        <v>67</v>
      </c>
      <c r="H917" t="s">
        <v>68</v>
      </c>
      <c r="I917" t="s">
        <v>176</v>
      </c>
      <c r="J917" t="s">
        <v>177</v>
      </c>
      <c r="K917" t="s">
        <v>178</v>
      </c>
      <c r="M917" t="s">
        <v>72</v>
      </c>
      <c r="N917" t="s">
        <v>179</v>
      </c>
      <c r="O917" t="s">
        <v>178</v>
      </c>
      <c r="P917" t="s">
        <v>180</v>
      </c>
      <c r="Q917" t="s">
        <v>75</v>
      </c>
      <c r="R917" t="s">
        <v>1858</v>
      </c>
      <c r="S917" t="s">
        <v>727</v>
      </c>
      <c r="T917" t="s">
        <v>78</v>
      </c>
      <c r="U917" t="s">
        <v>1822</v>
      </c>
      <c r="V917" t="s">
        <v>80</v>
      </c>
      <c r="W917" s="1">
        <v>44696</v>
      </c>
      <c r="X917" t="s">
        <v>1859</v>
      </c>
      <c r="Y917" t="s">
        <v>1931</v>
      </c>
      <c r="Z917" t="s">
        <v>83</v>
      </c>
      <c r="AA917">
        <v>1</v>
      </c>
      <c r="AB917" t="s">
        <v>1932</v>
      </c>
      <c r="AC917">
        <v>1</v>
      </c>
      <c r="AD917" s="6" t="s">
        <v>85</v>
      </c>
      <c r="AE917" s="6" t="s">
        <v>145</v>
      </c>
      <c r="AF917" s="6" t="s">
        <v>146</v>
      </c>
      <c r="AG917" s="6" t="s">
        <v>1933</v>
      </c>
      <c r="AH917" s="6" t="s">
        <v>1934</v>
      </c>
      <c r="AI917" s="6" t="s">
        <v>90</v>
      </c>
      <c r="AJ917" s="6">
        <v>32.425617000000003</v>
      </c>
      <c r="AK917" s="6">
        <v>-110.739954</v>
      </c>
      <c r="AL917" s="6">
        <v>5</v>
      </c>
      <c r="AM917" s="6"/>
      <c r="AN917" s="6">
        <v>2361</v>
      </c>
      <c r="AO917" s="6"/>
      <c r="AP917" s="6">
        <v>2361</v>
      </c>
      <c r="AQ917" s="6">
        <v>2383.6182910000002</v>
      </c>
      <c r="AR917" s="6"/>
      <c r="AS917" s="6"/>
      <c r="AT917" s="6">
        <v>15</v>
      </c>
      <c r="AU917" s="6">
        <v>5</v>
      </c>
      <c r="AV917" s="6">
        <v>2022</v>
      </c>
      <c r="AW917" s="6">
        <v>2438038</v>
      </c>
      <c r="AX917" s="6">
        <v>2438038</v>
      </c>
      <c r="AY917" s="6" t="s">
        <v>91</v>
      </c>
      <c r="AZ917" t="s">
        <v>92</v>
      </c>
      <c r="BA917" t="s">
        <v>93</v>
      </c>
      <c r="BB917" t="s">
        <v>1935</v>
      </c>
      <c r="BC917" t="s">
        <v>97</v>
      </c>
      <c r="BE917" t="s">
        <v>96</v>
      </c>
      <c r="BG917" t="s">
        <v>1865</v>
      </c>
      <c r="BI917" t="s">
        <v>98</v>
      </c>
      <c r="BJ917" t="s">
        <v>1866</v>
      </c>
      <c r="BK917" t="s">
        <v>365</v>
      </c>
      <c r="BL917" t="s">
        <v>100</v>
      </c>
    </row>
    <row r="918" spans="1:64" hidden="1" x14ac:dyDescent="0.2">
      <c r="A918">
        <v>1757</v>
      </c>
      <c r="B918">
        <v>3744741376</v>
      </c>
      <c r="C918" t="s">
        <v>101</v>
      </c>
      <c r="D918" s="2" t="s">
        <v>3674</v>
      </c>
      <c r="E918" t="s">
        <v>65</v>
      </c>
      <c r="F918" t="s">
        <v>66</v>
      </c>
      <c r="G918" t="s">
        <v>67</v>
      </c>
      <c r="H918" t="s">
        <v>68</v>
      </c>
      <c r="I918" t="s">
        <v>176</v>
      </c>
      <c r="J918" t="s">
        <v>177</v>
      </c>
      <c r="K918" t="s">
        <v>1817</v>
      </c>
      <c r="M918" t="s">
        <v>72</v>
      </c>
      <c r="N918" t="s">
        <v>1818</v>
      </c>
      <c r="O918" t="s">
        <v>1817</v>
      </c>
      <c r="P918" t="s">
        <v>1819</v>
      </c>
      <c r="Q918" t="s">
        <v>75</v>
      </c>
      <c r="R918" t="s">
        <v>3564</v>
      </c>
      <c r="S918" t="s">
        <v>3660</v>
      </c>
      <c r="T918" t="s">
        <v>78</v>
      </c>
      <c r="U918" t="s">
        <v>1822</v>
      </c>
      <c r="V918" t="s">
        <v>80</v>
      </c>
      <c r="W918" s="1">
        <v>44508</v>
      </c>
      <c r="X918" t="s">
        <v>1823</v>
      </c>
      <c r="Y918" t="s">
        <v>3661</v>
      </c>
      <c r="Z918" t="s">
        <v>83</v>
      </c>
      <c r="AA918">
        <v>1</v>
      </c>
      <c r="AB918" t="s">
        <v>103</v>
      </c>
      <c r="AD918" t="s">
        <v>116</v>
      </c>
      <c r="AE918" t="s">
        <v>145</v>
      </c>
      <c r="AF918" t="s">
        <v>146</v>
      </c>
      <c r="AG918" t="s">
        <v>1526</v>
      </c>
      <c r="AH918" t="s">
        <v>3667</v>
      </c>
      <c r="AI918" t="s">
        <v>90</v>
      </c>
      <c r="AJ918">
        <v>32.441085999999999</v>
      </c>
      <c r="AK918">
        <v>-110.78582299999999</v>
      </c>
      <c r="AL918">
        <v>6</v>
      </c>
      <c r="AN918">
        <v>2772</v>
      </c>
      <c r="AP918">
        <v>2772</v>
      </c>
      <c r="AQ918">
        <v>2778.6294379999999</v>
      </c>
      <c r="AT918">
        <v>8</v>
      </c>
      <c r="AU918">
        <v>11</v>
      </c>
      <c r="AV918">
        <v>2021</v>
      </c>
      <c r="AW918">
        <v>2437967</v>
      </c>
      <c r="AX918">
        <v>2437967</v>
      </c>
      <c r="AY918" t="s">
        <v>106</v>
      </c>
      <c r="AZ918" t="s">
        <v>92</v>
      </c>
      <c r="BA918" t="s">
        <v>107</v>
      </c>
      <c r="BB918" t="s">
        <v>3675</v>
      </c>
      <c r="BC918" t="s">
        <v>1186</v>
      </c>
      <c r="BE918" t="s">
        <v>96</v>
      </c>
      <c r="BG918" t="s">
        <v>1186</v>
      </c>
      <c r="BI918" t="s">
        <v>98</v>
      </c>
      <c r="BJ918" t="s">
        <v>3448</v>
      </c>
      <c r="BL918" t="s">
        <v>110</v>
      </c>
    </row>
    <row r="919" spans="1:64" hidden="1" x14ac:dyDescent="0.2">
      <c r="A919">
        <v>1766</v>
      </c>
      <c r="B919">
        <v>3744741367</v>
      </c>
      <c r="C919" t="s">
        <v>101</v>
      </c>
      <c r="D919" t="s">
        <v>3676</v>
      </c>
      <c r="E919" t="s">
        <v>65</v>
      </c>
      <c r="F919" t="s">
        <v>66</v>
      </c>
      <c r="G919" t="s">
        <v>67</v>
      </c>
      <c r="H919" t="s">
        <v>68</v>
      </c>
      <c r="I919" t="s">
        <v>176</v>
      </c>
      <c r="J919" t="s">
        <v>177</v>
      </c>
      <c r="K919" t="s">
        <v>1817</v>
      </c>
      <c r="M919" t="s">
        <v>72</v>
      </c>
      <c r="N919" t="s">
        <v>1818</v>
      </c>
      <c r="O919" t="s">
        <v>1817</v>
      </c>
      <c r="P919" t="s">
        <v>1819</v>
      </c>
      <c r="Q919" t="s">
        <v>75</v>
      </c>
      <c r="R919" t="s">
        <v>3564</v>
      </c>
      <c r="S919" t="s">
        <v>3660</v>
      </c>
      <c r="T919" t="s">
        <v>78</v>
      </c>
      <c r="U919" t="s">
        <v>1822</v>
      </c>
      <c r="V919" t="s">
        <v>80</v>
      </c>
      <c r="W919" s="1">
        <v>44508</v>
      </c>
      <c r="X919" t="s">
        <v>1823</v>
      </c>
      <c r="Y919" t="s">
        <v>3661</v>
      </c>
      <c r="Z919" t="s">
        <v>83</v>
      </c>
      <c r="AA919">
        <v>1</v>
      </c>
      <c r="AB919" t="s">
        <v>103</v>
      </c>
      <c r="AD919" t="s">
        <v>139</v>
      </c>
      <c r="AE919" t="s">
        <v>145</v>
      </c>
      <c r="AF919" t="s">
        <v>146</v>
      </c>
      <c r="AG919" t="s">
        <v>1526</v>
      </c>
      <c r="AH919" t="s">
        <v>3667</v>
      </c>
      <c r="AI919" t="s">
        <v>90</v>
      </c>
      <c r="AJ919">
        <v>32.441085999999999</v>
      </c>
      <c r="AK919">
        <v>-110.78582299999999</v>
      </c>
      <c r="AL919">
        <v>6</v>
      </c>
      <c r="AN919">
        <v>2772</v>
      </c>
      <c r="AP919">
        <v>2772</v>
      </c>
      <c r="AQ919">
        <v>2778.6294379999999</v>
      </c>
      <c r="AT919">
        <v>8</v>
      </c>
      <c r="AU919">
        <v>11</v>
      </c>
      <c r="AV919">
        <v>2021</v>
      </c>
      <c r="AW919">
        <v>2437967</v>
      </c>
      <c r="AX919">
        <v>2437967</v>
      </c>
      <c r="AY919" t="s">
        <v>106</v>
      </c>
      <c r="AZ919" t="s">
        <v>92</v>
      </c>
      <c r="BA919" t="s">
        <v>107</v>
      </c>
      <c r="BB919" t="s">
        <v>3677</v>
      </c>
      <c r="BC919" t="s">
        <v>1186</v>
      </c>
      <c r="BE919" t="s">
        <v>96</v>
      </c>
      <c r="BG919" t="s">
        <v>1186</v>
      </c>
      <c r="BI919" t="s">
        <v>98</v>
      </c>
      <c r="BJ919" t="s">
        <v>3472</v>
      </c>
      <c r="BL919" t="s">
        <v>110</v>
      </c>
    </row>
    <row r="920" spans="1:64" hidden="1" x14ac:dyDescent="0.2">
      <c r="A920">
        <v>1763</v>
      </c>
      <c r="B920">
        <v>3744741370</v>
      </c>
      <c r="C920" t="s">
        <v>101</v>
      </c>
      <c r="D920" t="s">
        <v>3678</v>
      </c>
      <c r="E920" t="s">
        <v>65</v>
      </c>
      <c r="F920" t="s">
        <v>66</v>
      </c>
      <c r="G920" t="s">
        <v>67</v>
      </c>
      <c r="H920" t="s">
        <v>68</v>
      </c>
      <c r="I920" t="s">
        <v>176</v>
      </c>
      <c r="J920" t="s">
        <v>177</v>
      </c>
      <c r="K920" t="s">
        <v>1817</v>
      </c>
      <c r="M920" t="s">
        <v>72</v>
      </c>
      <c r="N920" t="s">
        <v>1818</v>
      </c>
      <c r="O920" t="s">
        <v>1817</v>
      </c>
      <c r="P920" t="s">
        <v>1819</v>
      </c>
      <c r="Q920" t="s">
        <v>75</v>
      </c>
      <c r="R920" t="s">
        <v>3564</v>
      </c>
      <c r="S920" t="s">
        <v>3660</v>
      </c>
      <c r="T920" t="s">
        <v>78</v>
      </c>
      <c r="U920" t="s">
        <v>1822</v>
      </c>
      <c r="V920" t="s">
        <v>80</v>
      </c>
      <c r="W920" s="1">
        <v>44508</v>
      </c>
      <c r="X920" t="s">
        <v>1823</v>
      </c>
      <c r="Y920" t="s">
        <v>3661</v>
      </c>
      <c r="Z920" t="s">
        <v>83</v>
      </c>
      <c r="AA920">
        <v>1</v>
      </c>
      <c r="AB920" t="s">
        <v>103</v>
      </c>
      <c r="AD920" t="s">
        <v>123</v>
      </c>
      <c r="AE920" t="s">
        <v>145</v>
      </c>
      <c r="AF920" t="s">
        <v>146</v>
      </c>
      <c r="AG920" t="s">
        <v>1526</v>
      </c>
      <c r="AH920" t="s">
        <v>3667</v>
      </c>
      <c r="AI920" t="s">
        <v>90</v>
      </c>
      <c r="AJ920">
        <v>32.441085999999999</v>
      </c>
      <c r="AK920">
        <v>-110.78582299999999</v>
      </c>
      <c r="AL920">
        <v>6</v>
      </c>
      <c r="AN920">
        <v>2772</v>
      </c>
      <c r="AP920">
        <v>2772</v>
      </c>
      <c r="AQ920">
        <v>2778.6294379999999</v>
      </c>
      <c r="AT920">
        <v>8</v>
      </c>
      <c r="AU920">
        <v>11</v>
      </c>
      <c r="AV920">
        <v>2021</v>
      </c>
      <c r="AW920">
        <v>2437967</v>
      </c>
      <c r="AX920">
        <v>2437967</v>
      </c>
      <c r="AY920" t="s">
        <v>106</v>
      </c>
      <c r="AZ920" t="s">
        <v>92</v>
      </c>
      <c r="BA920" t="s">
        <v>107</v>
      </c>
      <c r="BB920" t="s">
        <v>3679</v>
      </c>
      <c r="BC920" t="s">
        <v>1186</v>
      </c>
      <c r="BE920" t="s">
        <v>96</v>
      </c>
      <c r="BG920" t="s">
        <v>1186</v>
      </c>
      <c r="BI920" t="s">
        <v>98</v>
      </c>
      <c r="BJ920" t="s">
        <v>3462</v>
      </c>
      <c r="BL920" t="s">
        <v>110</v>
      </c>
    </row>
    <row r="921" spans="1:64" hidden="1" x14ac:dyDescent="0.2">
      <c r="A921">
        <v>1772</v>
      </c>
      <c r="B921">
        <v>3744741361</v>
      </c>
      <c r="C921" t="s">
        <v>101</v>
      </c>
      <c r="D921" t="s">
        <v>3688</v>
      </c>
      <c r="E921" t="s">
        <v>65</v>
      </c>
      <c r="F921" t="s">
        <v>66</v>
      </c>
      <c r="G921" t="s">
        <v>67</v>
      </c>
      <c r="H921" t="s">
        <v>68</v>
      </c>
      <c r="I921" t="s">
        <v>176</v>
      </c>
      <c r="J921" t="s">
        <v>177</v>
      </c>
      <c r="K921" t="s">
        <v>1817</v>
      </c>
      <c r="M921" t="s">
        <v>72</v>
      </c>
      <c r="N921" t="s">
        <v>1818</v>
      </c>
      <c r="O921" t="s">
        <v>1817</v>
      </c>
      <c r="P921" t="s">
        <v>1819</v>
      </c>
      <c r="Q921" t="s">
        <v>75</v>
      </c>
      <c r="R921" t="s">
        <v>3564</v>
      </c>
      <c r="S921" t="s">
        <v>3681</v>
      </c>
      <c r="T921" t="s">
        <v>78</v>
      </c>
      <c r="U921" t="s">
        <v>1822</v>
      </c>
      <c r="V921" t="s">
        <v>80</v>
      </c>
      <c r="W921" s="1">
        <v>44508</v>
      </c>
      <c r="X921" t="s">
        <v>1823</v>
      </c>
      <c r="Y921" t="s">
        <v>3682</v>
      </c>
      <c r="Z921" t="s">
        <v>83</v>
      </c>
      <c r="AA921">
        <v>1</v>
      </c>
      <c r="AB921" t="s">
        <v>103</v>
      </c>
      <c r="AD921" t="s">
        <v>116</v>
      </c>
      <c r="AE921" t="s">
        <v>86</v>
      </c>
      <c r="AF921" t="s">
        <v>146</v>
      </c>
      <c r="AG921" t="s">
        <v>3684</v>
      </c>
      <c r="AH921" t="s">
        <v>3689</v>
      </c>
      <c r="AI921" t="s">
        <v>90</v>
      </c>
      <c r="AJ921">
        <v>32.441082000000002</v>
      </c>
      <c r="AK921">
        <v>-110.785921</v>
      </c>
      <c r="AL921">
        <v>6</v>
      </c>
      <c r="AN921">
        <v>2858</v>
      </c>
      <c r="AP921">
        <v>2858</v>
      </c>
      <c r="AQ921">
        <v>2779.0161250000001</v>
      </c>
      <c r="AT921">
        <v>8</v>
      </c>
      <c r="AU921">
        <v>11</v>
      </c>
      <c r="AV921">
        <v>2021</v>
      </c>
      <c r="AW921">
        <v>2437967</v>
      </c>
      <c r="AX921">
        <v>2437967</v>
      </c>
      <c r="AY921" t="s">
        <v>106</v>
      </c>
      <c r="AZ921" t="s">
        <v>92</v>
      </c>
      <c r="BA921" t="s">
        <v>107</v>
      </c>
      <c r="BB921" t="s">
        <v>3690</v>
      </c>
      <c r="BC921" t="s">
        <v>1186</v>
      </c>
      <c r="BE921" t="s">
        <v>96</v>
      </c>
      <c r="BG921" t="s">
        <v>1186</v>
      </c>
      <c r="BI921" t="s">
        <v>98</v>
      </c>
      <c r="BJ921" t="s">
        <v>3691</v>
      </c>
      <c r="BL921" t="s">
        <v>110</v>
      </c>
    </row>
    <row r="922" spans="1:64" hidden="1" x14ac:dyDescent="0.2">
      <c r="A922">
        <v>1769</v>
      </c>
      <c r="B922">
        <v>3744741364</v>
      </c>
      <c r="C922" t="s">
        <v>101</v>
      </c>
      <c r="D922" t="s">
        <v>3692</v>
      </c>
      <c r="E922" t="s">
        <v>65</v>
      </c>
      <c r="F922" t="s">
        <v>66</v>
      </c>
      <c r="G922" t="s">
        <v>67</v>
      </c>
      <c r="H922" t="s">
        <v>68</v>
      </c>
      <c r="I922" t="s">
        <v>176</v>
      </c>
      <c r="J922" t="s">
        <v>177</v>
      </c>
      <c r="K922" t="s">
        <v>1817</v>
      </c>
      <c r="M922" t="s">
        <v>72</v>
      </c>
      <c r="N922" t="s">
        <v>1818</v>
      </c>
      <c r="O922" t="s">
        <v>1817</v>
      </c>
      <c r="P922" t="s">
        <v>1819</v>
      </c>
      <c r="Q922" t="s">
        <v>75</v>
      </c>
      <c r="R922" t="s">
        <v>3564</v>
      </c>
      <c r="S922" t="s">
        <v>3681</v>
      </c>
      <c r="T922" t="s">
        <v>78</v>
      </c>
      <c r="U922" t="s">
        <v>1822</v>
      </c>
      <c r="V922" t="s">
        <v>80</v>
      </c>
      <c r="W922" s="1">
        <v>44508</v>
      </c>
      <c r="X922" t="s">
        <v>1823</v>
      </c>
      <c r="Y922" t="s">
        <v>3682</v>
      </c>
      <c r="Z922" t="s">
        <v>83</v>
      </c>
      <c r="AA922">
        <v>1</v>
      </c>
      <c r="AB922" t="s">
        <v>103</v>
      </c>
      <c r="AD922" t="s">
        <v>104</v>
      </c>
      <c r="AE922" t="s">
        <v>86</v>
      </c>
      <c r="AF922" t="s">
        <v>146</v>
      </c>
      <c r="AG922" t="s">
        <v>3684</v>
      </c>
      <c r="AH922" t="s">
        <v>3689</v>
      </c>
      <c r="AI922" t="s">
        <v>90</v>
      </c>
      <c r="AJ922">
        <v>32.441082000000002</v>
      </c>
      <c r="AK922">
        <v>-110.785921</v>
      </c>
      <c r="AL922">
        <v>6</v>
      </c>
      <c r="AN922">
        <v>2858</v>
      </c>
      <c r="AP922">
        <v>2858</v>
      </c>
      <c r="AQ922">
        <v>2779.0161250000001</v>
      </c>
      <c r="AT922">
        <v>8</v>
      </c>
      <c r="AU922">
        <v>11</v>
      </c>
      <c r="AV922">
        <v>2021</v>
      </c>
      <c r="AW922">
        <v>2437967</v>
      </c>
      <c r="AX922">
        <v>2437967</v>
      </c>
      <c r="AY922" t="s">
        <v>106</v>
      </c>
      <c r="AZ922" t="s">
        <v>92</v>
      </c>
      <c r="BA922" t="s">
        <v>107</v>
      </c>
      <c r="BB922" t="s">
        <v>3693</v>
      </c>
      <c r="BC922" t="s">
        <v>1186</v>
      </c>
      <c r="BE922" t="s">
        <v>96</v>
      </c>
      <c r="BG922" t="s">
        <v>1186</v>
      </c>
      <c r="BI922" t="s">
        <v>98</v>
      </c>
      <c r="BJ922" t="s">
        <v>3671</v>
      </c>
      <c r="BL922" t="s">
        <v>110</v>
      </c>
    </row>
    <row r="923" spans="1:64" hidden="1" x14ac:dyDescent="0.2">
      <c r="A923">
        <v>1778</v>
      </c>
      <c r="B923">
        <v>3744741355</v>
      </c>
      <c r="C923" t="s">
        <v>101</v>
      </c>
      <c r="D923" t="s">
        <v>3694</v>
      </c>
      <c r="E923" t="s">
        <v>65</v>
      </c>
      <c r="F923" t="s">
        <v>66</v>
      </c>
      <c r="G923" t="s">
        <v>67</v>
      </c>
      <c r="H923" t="s">
        <v>68</v>
      </c>
      <c r="I923" t="s">
        <v>176</v>
      </c>
      <c r="J923" t="s">
        <v>177</v>
      </c>
      <c r="K923" t="s">
        <v>1817</v>
      </c>
      <c r="M923" t="s">
        <v>72</v>
      </c>
      <c r="N923" t="s">
        <v>1818</v>
      </c>
      <c r="O923" t="s">
        <v>1817</v>
      </c>
      <c r="P923" t="s">
        <v>1819</v>
      </c>
      <c r="Q923" t="s">
        <v>75</v>
      </c>
      <c r="R923" t="s">
        <v>3564</v>
      </c>
      <c r="S923" t="s">
        <v>3681</v>
      </c>
      <c r="T923" t="s">
        <v>78</v>
      </c>
      <c r="U923" t="s">
        <v>1822</v>
      </c>
      <c r="V923" t="s">
        <v>80</v>
      </c>
      <c r="W923" s="1">
        <v>44508</v>
      </c>
      <c r="X923" t="s">
        <v>1823</v>
      </c>
      <c r="Y923" t="s">
        <v>3682</v>
      </c>
      <c r="Z923" t="s">
        <v>83</v>
      </c>
      <c r="AA923">
        <v>1</v>
      </c>
      <c r="AB923" t="s">
        <v>103</v>
      </c>
      <c r="AD923" t="s">
        <v>123</v>
      </c>
      <c r="AE923" t="s">
        <v>86</v>
      </c>
      <c r="AF923" t="s">
        <v>146</v>
      </c>
      <c r="AG923" t="s">
        <v>3684</v>
      </c>
      <c r="AH923" t="s">
        <v>3689</v>
      </c>
      <c r="AI923" t="s">
        <v>90</v>
      </c>
      <c r="AJ923">
        <v>32.441082000000002</v>
      </c>
      <c r="AK923">
        <v>-110.785921</v>
      </c>
      <c r="AL923">
        <v>6</v>
      </c>
      <c r="AN923">
        <v>2858</v>
      </c>
      <c r="AP923">
        <v>2858</v>
      </c>
      <c r="AQ923">
        <v>2779.0161250000001</v>
      </c>
      <c r="AT923">
        <v>8</v>
      </c>
      <c r="AU923">
        <v>11</v>
      </c>
      <c r="AV923">
        <v>2021</v>
      </c>
      <c r="AW923">
        <v>2437967</v>
      </c>
      <c r="AX923">
        <v>2437967</v>
      </c>
      <c r="AY923" t="s">
        <v>106</v>
      </c>
      <c r="AZ923" t="s">
        <v>92</v>
      </c>
      <c r="BA923" t="s">
        <v>107</v>
      </c>
      <c r="BB923" t="s">
        <v>3695</v>
      </c>
      <c r="BC923" t="s">
        <v>1186</v>
      </c>
      <c r="BE923" t="s">
        <v>96</v>
      </c>
      <c r="BG923" t="s">
        <v>1186</v>
      </c>
      <c r="BI923" t="s">
        <v>98</v>
      </c>
      <c r="BJ923" t="s">
        <v>3691</v>
      </c>
      <c r="BL923" t="s">
        <v>110</v>
      </c>
    </row>
    <row r="924" spans="1:64" hidden="1" x14ac:dyDescent="0.2">
      <c r="A924">
        <v>1775</v>
      </c>
      <c r="B924">
        <v>3744741358</v>
      </c>
      <c r="C924" t="s">
        <v>101</v>
      </c>
      <c r="D924" t="s">
        <v>3696</v>
      </c>
      <c r="E924" t="s">
        <v>65</v>
      </c>
      <c r="F924" t="s">
        <v>66</v>
      </c>
      <c r="G924" t="s">
        <v>67</v>
      </c>
      <c r="H924" t="s">
        <v>68</v>
      </c>
      <c r="I924" t="s">
        <v>176</v>
      </c>
      <c r="J924" t="s">
        <v>177</v>
      </c>
      <c r="K924" t="s">
        <v>1817</v>
      </c>
      <c r="M924" t="s">
        <v>72</v>
      </c>
      <c r="N924" t="s">
        <v>1818</v>
      </c>
      <c r="O924" t="s">
        <v>1817</v>
      </c>
      <c r="P924" t="s">
        <v>1819</v>
      </c>
      <c r="Q924" t="s">
        <v>75</v>
      </c>
      <c r="R924" t="s">
        <v>3564</v>
      </c>
      <c r="S924" t="s">
        <v>3681</v>
      </c>
      <c r="T924" t="s">
        <v>78</v>
      </c>
      <c r="U924" t="s">
        <v>1822</v>
      </c>
      <c r="V924" t="s">
        <v>80</v>
      </c>
      <c r="W924" s="1">
        <v>44508</v>
      </c>
      <c r="X924" t="s">
        <v>1823</v>
      </c>
      <c r="Y924" t="s">
        <v>3682</v>
      </c>
      <c r="Z924" t="s">
        <v>83</v>
      </c>
      <c r="AA924">
        <v>1</v>
      </c>
      <c r="AB924" t="s">
        <v>103</v>
      </c>
      <c r="AD924" t="s">
        <v>3697</v>
      </c>
      <c r="AE924" t="s">
        <v>86</v>
      </c>
      <c r="AF924" t="s">
        <v>146</v>
      </c>
      <c r="AG924" t="s">
        <v>3684</v>
      </c>
      <c r="AH924" t="s">
        <v>3689</v>
      </c>
      <c r="AI924" t="s">
        <v>90</v>
      </c>
      <c r="AJ924">
        <v>32.441082000000002</v>
      </c>
      <c r="AK924">
        <v>-110.785921</v>
      </c>
      <c r="AL924">
        <v>6</v>
      </c>
      <c r="AN924">
        <v>2858</v>
      </c>
      <c r="AP924">
        <v>2858</v>
      </c>
      <c r="AQ924">
        <v>2779.0161250000001</v>
      </c>
      <c r="AT924">
        <v>8</v>
      </c>
      <c r="AU924">
        <v>11</v>
      </c>
      <c r="AV924">
        <v>2021</v>
      </c>
      <c r="AW924">
        <v>2437967</v>
      </c>
      <c r="AX924">
        <v>2437967</v>
      </c>
      <c r="AY924" t="s">
        <v>106</v>
      </c>
      <c r="AZ924" t="s">
        <v>92</v>
      </c>
      <c r="BA924" t="s">
        <v>107</v>
      </c>
      <c r="BB924" t="s">
        <v>3698</v>
      </c>
      <c r="BC924" t="s">
        <v>1186</v>
      </c>
      <c r="BE924" t="s">
        <v>96</v>
      </c>
      <c r="BG924" t="s">
        <v>1186</v>
      </c>
      <c r="BI924" t="s">
        <v>98</v>
      </c>
      <c r="BJ924" t="s">
        <v>3691</v>
      </c>
      <c r="BL924" t="s">
        <v>110</v>
      </c>
    </row>
    <row r="925" spans="1:64" hidden="1" x14ac:dyDescent="0.2">
      <c r="A925">
        <v>1781</v>
      </c>
      <c r="B925">
        <v>3744741352</v>
      </c>
      <c r="C925" t="s">
        <v>101</v>
      </c>
      <c r="D925" t="s">
        <v>3699</v>
      </c>
      <c r="E925" t="s">
        <v>65</v>
      </c>
      <c r="F925" t="s">
        <v>66</v>
      </c>
      <c r="G925" t="s">
        <v>67</v>
      </c>
      <c r="H925" t="s">
        <v>68</v>
      </c>
      <c r="I925" t="s">
        <v>176</v>
      </c>
      <c r="J925" t="s">
        <v>177</v>
      </c>
      <c r="K925" t="s">
        <v>1817</v>
      </c>
      <c r="M925" t="s">
        <v>72</v>
      </c>
      <c r="N925" t="s">
        <v>1818</v>
      </c>
      <c r="O925" t="s">
        <v>1817</v>
      </c>
      <c r="P925" t="s">
        <v>1819</v>
      </c>
      <c r="Q925" t="s">
        <v>75</v>
      </c>
      <c r="R925" t="s">
        <v>3564</v>
      </c>
      <c r="S925" t="s">
        <v>3681</v>
      </c>
      <c r="T925" t="s">
        <v>78</v>
      </c>
      <c r="U925" t="s">
        <v>1822</v>
      </c>
      <c r="V925" t="s">
        <v>80</v>
      </c>
      <c r="W925" s="1">
        <v>44508</v>
      </c>
      <c r="X925" t="s">
        <v>1823</v>
      </c>
      <c r="Y925" t="s">
        <v>3682</v>
      </c>
      <c r="Z925" t="s">
        <v>83</v>
      </c>
      <c r="AA925">
        <v>1</v>
      </c>
      <c r="AB925" t="s">
        <v>103</v>
      </c>
      <c r="AD925" t="s">
        <v>139</v>
      </c>
      <c r="AE925" t="s">
        <v>86</v>
      </c>
      <c r="AF925" t="s">
        <v>146</v>
      </c>
      <c r="AG925" t="s">
        <v>3684</v>
      </c>
      <c r="AH925" t="s">
        <v>3689</v>
      </c>
      <c r="AI925" t="s">
        <v>90</v>
      </c>
      <c r="AJ925">
        <v>32.441082000000002</v>
      </c>
      <c r="AK925">
        <v>-110.785921</v>
      </c>
      <c r="AL925">
        <v>6</v>
      </c>
      <c r="AN925">
        <v>2858</v>
      </c>
      <c r="AP925">
        <v>2858</v>
      </c>
      <c r="AQ925">
        <v>2779.0161250000001</v>
      </c>
      <c r="AT925">
        <v>8</v>
      </c>
      <c r="AU925">
        <v>11</v>
      </c>
      <c r="AV925">
        <v>2021</v>
      </c>
      <c r="AW925">
        <v>2437967</v>
      </c>
      <c r="AX925">
        <v>2437967</v>
      </c>
      <c r="AY925" t="s">
        <v>106</v>
      </c>
      <c r="AZ925" t="s">
        <v>92</v>
      </c>
      <c r="BA925" t="s">
        <v>107</v>
      </c>
      <c r="BB925" t="s">
        <v>3700</v>
      </c>
      <c r="BC925" t="s">
        <v>1186</v>
      </c>
      <c r="BE925" t="s">
        <v>96</v>
      </c>
      <c r="BG925" t="s">
        <v>1186</v>
      </c>
      <c r="BI925" t="s">
        <v>98</v>
      </c>
      <c r="BJ925" t="s">
        <v>3701</v>
      </c>
      <c r="BL925" t="s">
        <v>110</v>
      </c>
    </row>
    <row r="926" spans="1:64" hidden="1" x14ac:dyDescent="0.2">
      <c r="A926">
        <v>1779</v>
      </c>
      <c r="B926">
        <v>3744741354</v>
      </c>
      <c r="C926" t="s">
        <v>101</v>
      </c>
      <c r="D926" t="s">
        <v>3710</v>
      </c>
      <c r="E926" t="s">
        <v>65</v>
      </c>
      <c r="F926" t="s">
        <v>66</v>
      </c>
      <c r="G926" t="s">
        <v>67</v>
      </c>
      <c r="H926" t="s">
        <v>68</v>
      </c>
      <c r="I926" t="s">
        <v>176</v>
      </c>
      <c r="J926" t="s">
        <v>773</v>
      </c>
      <c r="K926" t="s">
        <v>774</v>
      </c>
      <c r="M926" t="s">
        <v>72</v>
      </c>
      <c r="N926" t="s">
        <v>775</v>
      </c>
      <c r="O926" t="s">
        <v>774</v>
      </c>
      <c r="P926" t="s">
        <v>776</v>
      </c>
      <c r="Q926" t="s">
        <v>75</v>
      </c>
      <c r="R926" t="s">
        <v>3564</v>
      </c>
      <c r="S926" t="s">
        <v>3703</v>
      </c>
      <c r="T926" t="s">
        <v>78</v>
      </c>
      <c r="U926" t="s">
        <v>1822</v>
      </c>
      <c r="V926" t="s">
        <v>80</v>
      </c>
      <c r="W926" s="1">
        <v>44508</v>
      </c>
      <c r="X926" t="s">
        <v>1823</v>
      </c>
      <c r="Y926" t="s">
        <v>3704</v>
      </c>
      <c r="Z926" t="s">
        <v>83</v>
      </c>
      <c r="AA926">
        <v>1</v>
      </c>
      <c r="AB926" t="s">
        <v>103</v>
      </c>
      <c r="AD926" t="s">
        <v>139</v>
      </c>
      <c r="AE926" t="s">
        <v>86</v>
      </c>
      <c r="AF926" t="s">
        <v>146</v>
      </c>
      <c r="AG926" t="s">
        <v>3706</v>
      </c>
      <c r="AH926" t="s">
        <v>3711</v>
      </c>
      <c r="AI926" t="s">
        <v>90</v>
      </c>
      <c r="AJ926">
        <v>32.441271999999998</v>
      </c>
      <c r="AK926">
        <v>-110.786057</v>
      </c>
      <c r="AL926">
        <v>13</v>
      </c>
      <c r="AN926">
        <v>2730</v>
      </c>
      <c r="AP926">
        <v>2730</v>
      </c>
      <c r="AQ926">
        <v>2772.5468289999999</v>
      </c>
      <c r="AT926">
        <v>8</v>
      </c>
      <c r="AU926">
        <v>11</v>
      </c>
      <c r="AV926">
        <v>2021</v>
      </c>
      <c r="AW926">
        <v>2438447</v>
      </c>
      <c r="AX926">
        <v>2438447</v>
      </c>
      <c r="AY926" t="s">
        <v>106</v>
      </c>
      <c r="AZ926" t="s">
        <v>92</v>
      </c>
      <c r="BA926" t="s">
        <v>107</v>
      </c>
      <c r="BB926" t="s">
        <v>3712</v>
      </c>
      <c r="BC926" t="s">
        <v>1186</v>
      </c>
      <c r="BE926" t="s">
        <v>96</v>
      </c>
      <c r="BG926" t="s">
        <v>1186</v>
      </c>
      <c r="BI926" t="s">
        <v>98</v>
      </c>
      <c r="BJ926" t="s">
        <v>3701</v>
      </c>
      <c r="BL926" t="s">
        <v>110</v>
      </c>
    </row>
    <row r="927" spans="1:64" hidden="1" x14ac:dyDescent="0.2">
      <c r="A927">
        <v>1484</v>
      </c>
      <c r="B927">
        <v>3744741649</v>
      </c>
      <c r="C927" t="s">
        <v>101</v>
      </c>
      <c r="D927" t="s">
        <v>3713</v>
      </c>
      <c r="E927" t="s">
        <v>65</v>
      </c>
      <c r="F927" t="s">
        <v>66</v>
      </c>
      <c r="G927" t="s">
        <v>67</v>
      </c>
      <c r="H927" t="s">
        <v>68</v>
      </c>
      <c r="I927" t="s">
        <v>176</v>
      </c>
      <c r="J927" t="s">
        <v>773</v>
      </c>
      <c r="K927" t="s">
        <v>774</v>
      </c>
      <c r="M927" t="s">
        <v>72</v>
      </c>
      <c r="N927" t="s">
        <v>775</v>
      </c>
      <c r="O927" t="s">
        <v>774</v>
      </c>
      <c r="P927" t="s">
        <v>776</v>
      </c>
      <c r="Q927" t="s">
        <v>75</v>
      </c>
      <c r="R927" t="s">
        <v>3564</v>
      </c>
      <c r="S927" t="s">
        <v>3703</v>
      </c>
      <c r="T927" t="s">
        <v>78</v>
      </c>
      <c r="U927" t="s">
        <v>1822</v>
      </c>
      <c r="V927" t="s">
        <v>80</v>
      </c>
      <c r="W927" s="1">
        <v>44508</v>
      </c>
      <c r="X927" t="s">
        <v>1823</v>
      </c>
      <c r="Y927" t="s">
        <v>3704</v>
      </c>
      <c r="Z927" t="s">
        <v>83</v>
      </c>
      <c r="AA927">
        <v>1</v>
      </c>
      <c r="AB927" t="s">
        <v>103</v>
      </c>
      <c r="AD927" t="s">
        <v>104</v>
      </c>
      <c r="AE927" t="s">
        <v>86</v>
      </c>
      <c r="AF927" t="s">
        <v>146</v>
      </c>
      <c r="AG927" t="s">
        <v>3706</v>
      </c>
      <c r="AH927" t="s">
        <v>3711</v>
      </c>
      <c r="AI927" t="s">
        <v>90</v>
      </c>
      <c r="AJ927">
        <v>32.441271999999998</v>
      </c>
      <c r="AK927">
        <v>-110.786057</v>
      </c>
      <c r="AL927">
        <v>13</v>
      </c>
      <c r="AN927">
        <v>2730</v>
      </c>
      <c r="AP927">
        <v>2730</v>
      </c>
      <c r="AQ927">
        <v>2772.5468289999999</v>
      </c>
      <c r="AT927">
        <v>8</v>
      </c>
      <c r="AU927">
        <v>11</v>
      </c>
      <c r="AV927">
        <v>2021</v>
      </c>
      <c r="AW927">
        <v>2438447</v>
      </c>
      <c r="AX927">
        <v>2438447</v>
      </c>
      <c r="AY927" t="s">
        <v>106</v>
      </c>
      <c r="AZ927" t="s">
        <v>92</v>
      </c>
      <c r="BA927" t="s">
        <v>107</v>
      </c>
      <c r="BB927" t="s">
        <v>3714</v>
      </c>
      <c r="BC927" t="s">
        <v>1186</v>
      </c>
      <c r="BE927" t="s">
        <v>96</v>
      </c>
      <c r="BG927" t="s">
        <v>1186</v>
      </c>
      <c r="BI927" t="s">
        <v>98</v>
      </c>
      <c r="BJ927" t="s">
        <v>2632</v>
      </c>
      <c r="BL927" t="s">
        <v>110</v>
      </c>
    </row>
    <row r="928" spans="1:64" hidden="1" x14ac:dyDescent="0.2">
      <c r="A928">
        <v>1492</v>
      </c>
      <c r="B928">
        <v>3744741641</v>
      </c>
      <c r="C928" t="s">
        <v>101</v>
      </c>
      <c r="D928" t="s">
        <v>3715</v>
      </c>
      <c r="E928" t="s">
        <v>65</v>
      </c>
      <c r="F928" t="s">
        <v>66</v>
      </c>
      <c r="G928" t="s">
        <v>67</v>
      </c>
      <c r="H928" t="s">
        <v>68</v>
      </c>
      <c r="I928" t="s">
        <v>176</v>
      </c>
      <c r="J928" t="s">
        <v>773</v>
      </c>
      <c r="K928" t="s">
        <v>774</v>
      </c>
      <c r="M928" t="s">
        <v>72</v>
      </c>
      <c r="N928" t="s">
        <v>775</v>
      </c>
      <c r="O928" t="s">
        <v>774</v>
      </c>
      <c r="P928" t="s">
        <v>776</v>
      </c>
      <c r="Q928" t="s">
        <v>75</v>
      </c>
      <c r="R928" t="s">
        <v>3564</v>
      </c>
      <c r="S928" t="s">
        <v>3703</v>
      </c>
      <c r="T928" t="s">
        <v>78</v>
      </c>
      <c r="U928" t="s">
        <v>1822</v>
      </c>
      <c r="V928" t="s">
        <v>80</v>
      </c>
      <c r="W928" s="1">
        <v>44508</v>
      </c>
      <c r="X928" t="s">
        <v>1823</v>
      </c>
      <c r="Y928" t="s">
        <v>3704</v>
      </c>
      <c r="Z928" t="s">
        <v>83</v>
      </c>
      <c r="AA928">
        <v>1</v>
      </c>
      <c r="AB928" t="s">
        <v>103</v>
      </c>
      <c r="AD928" t="s">
        <v>112</v>
      </c>
      <c r="AE928" t="s">
        <v>86</v>
      </c>
      <c r="AF928" t="s">
        <v>146</v>
      </c>
      <c r="AG928" t="s">
        <v>3706</v>
      </c>
      <c r="AH928" t="s">
        <v>3711</v>
      </c>
      <c r="AI928" t="s">
        <v>90</v>
      </c>
      <c r="AJ928">
        <v>32.441271999999998</v>
      </c>
      <c r="AK928">
        <v>-110.786057</v>
      </c>
      <c r="AL928">
        <v>13</v>
      </c>
      <c r="AN928">
        <v>2730</v>
      </c>
      <c r="AP928">
        <v>2730</v>
      </c>
      <c r="AQ928">
        <v>2772.5468289999999</v>
      </c>
      <c r="AT928">
        <v>8</v>
      </c>
      <c r="AU928">
        <v>11</v>
      </c>
      <c r="AV928">
        <v>2021</v>
      </c>
      <c r="AW928">
        <v>2438447</v>
      </c>
      <c r="AX928">
        <v>2438447</v>
      </c>
      <c r="AY928" t="s">
        <v>106</v>
      </c>
      <c r="AZ928" t="s">
        <v>92</v>
      </c>
      <c r="BA928" t="s">
        <v>107</v>
      </c>
      <c r="BB928" t="s">
        <v>3716</v>
      </c>
      <c r="BC928" t="s">
        <v>1186</v>
      </c>
      <c r="BE928" t="s">
        <v>96</v>
      </c>
      <c r="BG928" t="s">
        <v>1186</v>
      </c>
      <c r="BI928" t="s">
        <v>98</v>
      </c>
      <c r="BJ928" t="s">
        <v>683</v>
      </c>
      <c r="BL928" t="s">
        <v>110</v>
      </c>
    </row>
    <row r="929" spans="1:64" hidden="1" x14ac:dyDescent="0.2">
      <c r="A929">
        <v>1489</v>
      </c>
      <c r="B929">
        <v>3744741644</v>
      </c>
      <c r="C929" t="s">
        <v>101</v>
      </c>
      <c r="D929" t="s">
        <v>3717</v>
      </c>
      <c r="E929" t="s">
        <v>65</v>
      </c>
      <c r="F929" t="s">
        <v>66</v>
      </c>
      <c r="G929" t="s">
        <v>67</v>
      </c>
      <c r="H929" t="s">
        <v>68</v>
      </c>
      <c r="I929" t="s">
        <v>176</v>
      </c>
      <c r="J929" t="s">
        <v>773</v>
      </c>
      <c r="K929" t="s">
        <v>774</v>
      </c>
      <c r="M929" t="s">
        <v>72</v>
      </c>
      <c r="N929" t="s">
        <v>775</v>
      </c>
      <c r="O929" t="s">
        <v>774</v>
      </c>
      <c r="P929" t="s">
        <v>776</v>
      </c>
      <c r="Q929" t="s">
        <v>75</v>
      </c>
      <c r="R929" t="s">
        <v>3564</v>
      </c>
      <c r="S929" t="s">
        <v>3703</v>
      </c>
      <c r="T929" t="s">
        <v>78</v>
      </c>
      <c r="U929" t="s">
        <v>1822</v>
      </c>
      <c r="V929" t="s">
        <v>80</v>
      </c>
      <c r="W929" s="1">
        <v>44508</v>
      </c>
      <c r="X929" t="s">
        <v>1823</v>
      </c>
      <c r="Y929" t="s">
        <v>3704</v>
      </c>
      <c r="Z929" t="s">
        <v>83</v>
      </c>
      <c r="AA929">
        <v>1</v>
      </c>
      <c r="AB929" t="s">
        <v>103</v>
      </c>
      <c r="AD929" t="s">
        <v>116</v>
      </c>
      <c r="AE929" t="s">
        <v>86</v>
      </c>
      <c r="AF929" t="s">
        <v>146</v>
      </c>
      <c r="AG929" t="s">
        <v>3706</v>
      </c>
      <c r="AH929" t="s">
        <v>3711</v>
      </c>
      <c r="AI929" t="s">
        <v>90</v>
      </c>
      <c r="AJ929">
        <v>32.441271999999998</v>
      </c>
      <c r="AK929">
        <v>-110.786057</v>
      </c>
      <c r="AL929">
        <v>13</v>
      </c>
      <c r="AN929">
        <v>2730</v>
      </c>
      <c r="AP929">
        <v>2730</v>
      </c>
      <c r="AQ929">
        <v>2772.5468289999999</v>
      </c>
      <c r="AT929">
        <v>8</v>
      </c>
      <c r="AU929">
        <v>11</v>
      </c>
      <c r="AV929">
        <v>2021</v>
      </c>
      <c r="AW929">
        <v>2438447</v>
      </c>
      <c r="AX929">
        <v>2438447</v>
      </c>
      <c r="AY929" t="s">
        <v>106</v>
      </c>
      <c r="AZ929" t="s">
        <v>92</v>
      </c>
      <c r="BA929" t="s">
        <v>107</v>
      </c>
      <c r="BB929" t="s">
        <v>3718</v>
      </c>
      <c r="BC929" t="s">
        <v>1186</v>
      </c>
      <c r="BE929" t="s">
        <v>96</v>
      </c>
      <c r="BG929" t="s">
        <v>1186</v>
      </c>
      <c r="BI929" t="s">
        <v>98</v>
      </c>
      <c r="BJ929" t="s">
        <v>683</v>
      </c>
      <c r="BL929" t="s">
        <v>110</v>
      </c>
    </row>
    <row r="930" spans="1:64" hidden="1" x14ac:dyDescent="0.2">
      <c r="A930">
        <v>1498</v>
      </c>
      <c r="B930">
        <v>3744741635</v>
      </c>
      <c r="C930" t="s">
        <v>101</v>
      </c>
      <c r="D930" t="s">
        <v>3719</v>
      </c>
      <c r="E930" t="s">
        <v>65</v>
      </c>
      <c r="F930" t="s">
        <v>66</v>
      </c>
      <c r="G930" t="s">
        <v>67</v>
      </c>
      <c r="H930" t="s">
        <v>68</v>
      </c>
      <c r="I930" t="s">
        <v>176</v>
      </c>
      <c r="J930" t="s">
        <v>773</v>
      </c>
      <c r="K930" t="s">
        <v>774</v>
      </c>
      <c r="M930" t="s">
        <v>72</v>
      </c>
      <c r="N930" t="s">
        <v>775</v>
      </c>
      <c r="O930" t="s">
        <v>774</v>
      </c>
      <c r="P930" t="s">
        <v>776</v>
      </c>
      <c r="Q930" t="s">
        <v>75</v>
      </c>
      <c r="R930" t="s">
        <v>3564</v>
      </c>
      <c r="S930" t="s">
        <v>3703</v>
      </c>
      <c r="T930" t="s">
        <v>78</v>
      </c>
      <c r="U930" t="s">
        <v>1822</v>
      </c>
      <c r="V930" t="s">
        <v>80</v>
      </c>
      <c r="W930" s="1">
        <v>44508</v>
      </c>
      <c r="X930" t="s">
        <v>1823</v>
      </c>
      <c r="Y930" t="s">
        <v>3704</v>
      </c>
      <c r="Z930" t="s">
        <v>83</v>
      </c>
      <c r="AA930">
        <v>1</v>
      </c>
      <c r="AB930" t="s">
        <v>103</v>
      </c>
      <c r="AD930" t="s">
        <v>123</v>
      </c>
      <c r="AE930" t="s">
        <v>86</v>
      </c>
      <c r="AF930" t="s">
        <v>146</v>
      </c>
      <c r="AG930" t="s">
        <v>3706</v>
      </c>
      <c r="AH930" t="s">
        <v>3711</v>
      </c>
      <c r="AI930" t="s">
        <v>90</v>
      </c>
      <c r="AJ930">
        <v>32.441271999999998</v>
      </c>
      <c r="AK930">
        <v>-110.786057</v>
      </c>
      <c r="AL930">
        <v>13</v>
      </c>
      <c r="AN930">
        <v>2730</v>
      </c>
      <c r="AP930">
        <v>2730</v>
      </c>
      <c r="AQ930">
        <v>2772.5468289999999</v>
      </c>
      <c r="AT930">
        <v>8</v>
      </c>
      <c r="AU930">
        <v>11</v>
      </c>
      <c r="AV930">
        <v>2021</v>
      </c>
      <c r="AW930">
        <v>2438447</v>
      </c>
      <c r="AX930">
        <v>2438447</v>
      </c>
      <c r="AY930" t="s">
        <v>106</v>
      </c>
      <c r="AZ930" t="s">
        <v>92</v>
      </c>
      <c r="BA930" t="s">
        <v>107</v>
      </c>
      <c r="BB930" t="s">
        <v>3720</v>
      </c>
      <c r="BC930" t="s">
        <v>1186</v>
      </c>
      <c r="BE930" t="s">
        <v>96</v>
      </c>
      <c r="BG930" t="s">
        <v>1186</v>
      </c>
      <c r="BI930" t="s">
        <v>98</v>
      </c>
      <c r="BJ930" t="s">
        <v>2657</v>
      </c>
      <c r="BL930" t="s">
        <v>110</v>
      </c>
    </row>
    <row r="931" spans="1:64" x14ac:dyDescent="0.2">
      <c r="A931">
        <v>1142</v>
      </c>
      <c r="B931">
        <v>4027014307</v>
      </c>
      <c r="C931" t="s">
        <v>63</v>
      </c>
      <c r="D931" t="s">
        <v>1987</v>
      </c>
      <c r="E931" t="s">
        <v>65</v>
      </c>
      <c r="F931" t="s">
        <v>66</v>
      </c>
      <c r="G931" t="s">
        <v>67</v>
      </c>
      <c r="H931" t="s">
        <v>68</v>
      </c>
      <c r="I931" t="s">
        <v>176</v>
      </c>
      <c r="J931" t="s">
        <v>177</v>
      </c>
      <c r="K931" t="s">
        <v>1817</v>
      </c>
      <c r="M931" t="s">
        <v>72</v>
      </c>
      <c r="N931" t="s">
        <v>1818</v>
      </c>
      <c r="O931" t="s">
        <v>1817</v>
      </c>
      <c r="P931" t="s">
        <v>1819</v>
      </c>
      <c r="Q931" t="s">
        <v>75</v>
      </c>
      <c r="R931" t="s">
        <v>1858</v>
      </c>
      <c r="S931" t="s">
        <v>777</v>
      </c>
      <c r="T931" t="s">
        <v>78</v>
      </c>
      <c r="U931" t="s">
        <v>1822</v>
      </c>
      <c r="V931" t="s">
        <v>80</v>
      </c>
      <c r="W931" s="1">
        <v>44696</v>
      </c>
      <c r="X931" t="s">
        <v>1859</v>
      </c>
      <c r="Y931" t="s">
        <v>1988</v>
      </c>
      <c r="Z931" t="s">
        <v>83</v>
      </c>
      <c r="AA931">
        <v>1</v>
      </c>
      <c r="AB931" t="s">
        <v>1989</v>
      </c>
      <c r="AC931">
        <v>1</v>
      </c>
      <c r="AD931" s="6" t="s">
        <v>85</v>
      </c>
      <c r="AE931" s="6" t="s">
        <v>86</v>
      </c>
      <c r="AF931" s="6" t="s">
        <v>146</v>
      </c>
      <c r="AG931" s="6" t="s">
        <v>1990</v>
      </c>
      <c r="AH931" s="6" t="s">
        <v>1991</v>
      </c>
      <c r="AI931" s="6" t="s">
        <v>90</v>
      </c>
      <c r="AJ931" s="6">
        <v>32.425629000000001</v>
      </c>
      <c r="AK931" s="6">
        <v>-110.739727</v>
      </c>
      <c r="AL931" s="6">
        <v>3</v>
      </c>
      <c r="AM931" s="6"/>
      <c r="AN931" s="6">
        <v>2373</v>
      </c>
      <c r="AO931" s="6"/>
      <c r="AP931" s="6">
        <v>2373</v>
      </c>
      <c r="AQ931" s="6">
        <v>2380.0723560000001</v>
      </c>
      <c r="AR931" s="6"/>
      <c r="AS931" s="6"/>
      <c r="AT931" s="6">
        <v>15</v>
      </c>
      <c r="AU931" s="6">
        <v>5</v>
      </c>
      <c r="AV931" s="6">
        <v>2022</v>
      </c>
      <c r="AW931" s="6">
        <v>2437967</v>
      </c>
      <c r="AX931" s="6">
        <v>2437967</v>
      </c>
      <c r="AY931" s="6" t="s">
        <v>91</v>
      </c>
      <c r="AZ931" t="s">
        <v>92</v>
      </c>
      <c r="BA931" t="s">
        <v>93</v>
      </c>
      <c r="BB931" t="s">
        <v>1992</v>
      </c>
      <c r="BC931" t="s">
        <v>97</v>
      </c>
      <c r="BE931" t="s">
        <v>96</v>
      </c>
      <c r="BG931" t="s">
        <v>1865</v>
      </c>
      <c r="BI931" t="s">
        <v>98</v>
      </c>
      <c r="BJ931" t="s">
        <v>1993</v>
      </c>
      <c r="BK931" t="s">
        <v>365</v>
      </c>
      <c r="BL931" t="s">
        <v>100</v>
      </c>
    </row>
    <row r="932" spans="1:64" hidden="1" x14ac:dyDescent="0.2">
      <c r="A932">
        <v>1504</v>
      </c>
      <c r="B932">
        <v>3744741629</v>
      </c>
      <c r="C932" t="s">
        <v>101</v>
      </c>
      <c r="D932" t="s">
        <v>3723</v>
      </c>
      <c r="E932" t="s">
        <v>65</v>
      </c>
      <c r="F932" t="s">
        <v>66</v>
      </c>
      <c r="G932" t="s">
        <v>67</v>
      </c>
      <c r="H932" t="s">
        <v>68</v>
      </c>
      <c r="I932" t="s">
        <v>176</v>
      </c>
      <c r="J932" t="s">
        <v>177</v>
      </c>
      <c r="K932" t="s">
        <v>1817</v>
      </c>
      <c r="M932" t="s">
        <v>72</v>
      </c>
      <c r="N932" t="s">
        <v>1818</v>
      </c>
      <c r="O932" t="s">
        <v>1817</v>
      </c>
      <c r="P932" t="s">
        <v>1819</v>
      </c>
      <c r="Q932" t="s">
        <v>75</v>
      </c>
      <c r="R932" t="s">
        <v>3564</v>
      </c>
      <c r="S932" t="s">
        <v>3724</v>
      </c>
      <c r="T932" t="s">
        <v>78</v>
      </c>
      <c r="U932" t="s">
        <v>1822</v>
      </c>
      <c r="V932" t="s">
        <v>80</v>
      </c>
      <c r="W932" s="1">
        <v>44508</v>
      </c>
      <c r="X932" t="s">
        <v>1823</v>
      </c>
      <c r="Y932" t="s">
        <v>3725</v>
      </c>
      <c r="Z932" t="s">
        <v>83</v>
      </c>
      <c r="AA932">
        <v>1</v>
      </c>
      <c r="AB932" t="s">
        <v>103</v>
      </c>
      <c r="AD932" t="s">
        <v>343</v>
      </c>
      <c r="AE932" t="s">
        <v>3567</v>
      </c>
      <c r="AF932" t="s">
        <v>146</v>
      </c>
      <c r="AG932" t="s">
        <v>3568</v>
      </c>
      <c r="AI932" t="s">
        <v>90</v>
      </c>
      <c r="AJ932">
        <v>32.441305999999997</v>
      </c>
      <c r="AK932">
        <v>-110.78623</v>
      </c>
      <c r="AL932">
        <v>3</v>
      </c>
      <c r="AN932">
        <v>2764</v>
      </c>
      <c r="AP932">
        <v>2764</v>
      </c>
      <c r="AQ932">
        <v>2771.410116</v>
      </c>
      <c r="AT932">
        <v>8</v>
      </c>
      <c r="AU932">
        <v>11</v>
      </c>
      <c r="AV932">
        <v>2021</v>
      </c>
      <c r="AW932">
        <v>2437967</v>
      </c>
      <c r="AX932">
        <v>2437967</v>
      </c>
      <c r="AY932" t="s">
        <v>106</v>
      </c>
      <c r="AZ932" t="s">
        <v>92</v>
      </c>
      <c r="BA932" t="s">
        <v>107</v>
      </c>
      <c r="BB932" t="s">
        <v>3726</v>
      </c>
      <c r="BC932" t="s">
        <v>1186</v>
      </c>
      <c r="BE932" t="s">
        <v>96</v>
      </c>
      <c r="BG932" t="s">
        <v>1186</v>
      </c>
      <c r="BI932" t="s">
        <v>98</v>
      </c>
      <c r="BJ932" t="s">
        <v>2657</v>
      </c>
      <c r="BL932" t="s">
        <v>110</v>
      </c>
    </row>
    <row r="933" spans="1:64" hidden="1" x14ac:dyDescent="0.2">
      <c r="A933">
        <v>1501</v>
      </c>
      <c r="B933">
        <v>3744741632</v>
      </c>
      <c r="C933" t="s">
        <v>101</v>
      </c>
      <c r="D933" t="s">
        <v>3727</v>
      </c>
      <c r="E933" t="s">
        <v>65</v>
      </c>
      <c r="F933" t="s">
        <v>66</v>
      </c>
      <c r="G933" t="s">
        <v>67</v>
      </c>
      <c r="H933" t="s">
        <v>68</v>
      </c>
      <c r="I933" t="s">
        <v>176</v>
      </c>
      <c r="J933" t="s">
        <v>177</v>
      </c>
      <c r="K933" t="s">
        <v>1817</v>
      </c>
      <c r="M933" t="s">
        <v>72</v>
      </c>
      <c r="N933" t="s">
        <v>1818</v>
      </c>
      <c r="O933" t="s">
        <v>1817</v>
      </c>
      <c r="P933" t="s">
        <v>1819</v>
      </c>
      <c r="Q933" t="s">
        <v>75</v>
      </c>
      <c r="R933" t="s">
        <v>3564</v>
      </c>
      <c r="S933" t="s">
        <v>3728</v>
      </c>
      <c r="T933" t="s">
        <v>78</v>
      </c>
      <c r="U933" t="s">
        <v>1822</v>
      </c>
      <c r="V933" t="s">
        <v>80</v>
      </c>
      <c r="W933" s="1">
        <v>44508</v>
      </c>
      <c r="X933" t="s">
        <v>1823</v>
      </c>
      <c r="Y933" t="s">
        <v>3729</v>
      </c>
      <c r="Z933" t="s">
        <v>83</v>
      </c>
      <c r="AA933">
        <v>1</v>
      </c>
      <c r="AB933" t="s">
        <v>103</v>
      </c>
      <c r="AD933" t="s">
        <v>343</v>
      </c>
      <c r="AE933" t="s">
        <v>86</v>
      </c>
      <c r="AF933" t="s">
        <v>146</v>
      </c>
      <c r="AG933" t="s">
        <v>560</v>
      </c>
      <c r="AI933" t="s">
        <v>90</v>
      </c>
      <c r="AJ933">
        <v>32.441253000000003</v>
      </c>
      <c r="AK933">
        <v>-110.786258</v>
      </c>
      <c r="AL933">
        <v>4</v>
      </c>
      <c r="AN933">
        <v>2760</v>
      </c>
      <c r="AP933">
        <v>2760</v>
      </c>
      <c r="AQ933">
        <v>2773.6398899999999</v>
      </c>
      <c r="AT933">
        <v>8</v>
      </c>
      <c r="AU933">
        <v>11</v>
      </c>
      <c r="AV933">
        <v>2021</v>
      </c>
      <c r="AW933">
        <v>2437967</v>
      </c>
      <c r="AX933">
        <v>2437967</v>
      </c>
      <c r="AY933" t="s">
        <v>106</v>
      </c>
      <c r="AZ933" t="s">
        <v>92</v>
      </c>
      <c r="BA933" t="s">
        <v>107</v>
      </c>
      <c r="BB933" t="s">
        <v>3730</v>
      </c>
      <c r="BC933" t="s">
        <v>1186</v>
      </c>
      <c r="BE933" t="s">
        <v>96</v>
      </c>
      <c r="BG933" t="s">
        <v>1186</v>
      </c>
      <c r="BI933" t="s">
        <v>98</v>
      </c>
      <c r="BJ933" t="s">
        <v>3731</v>
      </c>
      <c r="BL933" t="s">
        <v>110</v>
      </c>
    </row>
    <row r="934" spans="1:64" hidden="1" x14ac:dyDescent="0.2">
      <c r="A934">
        <v>1509</v>
      </c>
      <c r="B934">
        <v>3744741624</v>
      </c>
      <c r="C934" t="s">
        <v>101</v>
      </c>
      <c r="D934" t="s">
        <v>3732</v>
      </c>
      <c r="E934" t="s">
        <v>65</v>
      </c>
      <c r="F934" t="s">
        <v>66</v>
      </c>
      <c r="G934" t="s">
        <v>67</v>
      </c>
      <c r="H934" t="s">
        <v>68</v>
      </c>
      <c r="I934" t="s">
        <v>176</v>
      </c>
      <c r="J934" t="s">
        <v>177</v>
      </c>
      <c r="K934" t="s">
        <v>1817</v>
      </c>
      <c r="M934" t="s">
        <v>72</v>
      </c>
      <c r="N934" t="s">
        <v>1818</v>
      </c>
      <c r="O934" t="s">
        <v>1817</v>
      </c>
      <c r="P934" t="s">
        <v>1819</v>
      </c>
      <c r="Q934" t="s">
        <v>75</v>
      </c>
      <c r="R934" t="s">
        <v>3733</v>
      </c>
      <c r="S934" t="s">
        <v>3734</v>
      </c>
      <c r="T934" t="s">
        <v>78</v>
      </c>
      <c r="U934" t="s">
        <v>1822</v>
      </c>
      <c r="V934" t="s">
        <v>80</v>
      </c>
      <c r="W934" s="1">
        <v>44508</v>
      </c>
      <c r="X934" t="s">
        <v>1823</v>
      </c>
      <c r="Y934" t="s">
        <v>3735</v>
      </c>
      <c r="Z934" t="s">
        <v>83</v>
      </c>
      <c r="AA934">
        <v>1</v>
      </c>
      <c r="AB934" t="s">
        <v>103</v>
      </c>
      <c r="AD934" t="s">
        <v>343</v>
      </c>
      <c r="AE934" t="s">
        <v>86</v>
      </c>
      <c r="AF934" t="s">
        <v>146</v>
      </c>
      <c r="AG934" t="s">
        <v>560</v>
      </c>
      <c r="AI934" t="s">
        <v>90</v>
      </c>
      <c r="AJ934">
        <v>32.441181999999998</v>
      </c>
      <c r="AK934">
        <v>-110.786843</v>
      </c>
      <c r="AL934">
        <v>3</v>
      </c>
      <c r="AN934">
        <v>2787</v>
      </c>
      <c r="AP934">
        <v>2787</v>
      </c>
      <c r="AQ934">
        <v>2785.8627999999999</v>
      </c>
      <c r="AT934">
        <v>8</v>
      </c>
      <c r="AU934">
        <v>11</v>
      </c>
      <c r="AV934">
        <v>2021</v>
      </c>
      <c r="AW934">
        <v>2437967</v>
      </c>
      <c r="AX934">
        <v>2437967</v>
      </c>
      <c r="AY934" t="s">
        <v>106</v>
      </c>
      <c r="AZ934" t="s">
        <v>92</v>
      </c>
      <c r="BA934" t="s">
        <v>107</v>
      </c>
      <c r="BB934" t="s">
        <v>3736</v>
      </c>
      <c r="BC934" t="s">
        <v>1186</v>
      </c>
      <c r="BE934" t="s">
        <v>96</v>
      </c>
      <c r="BG934" t="s">
        <v>1186</v>
      </c>
      <c r="BI934" t="s">
        <v>98</v>
      </c>
      <c r="BJ934" t="s">
        <v>3731</v>
      </c>
      <c r="BL934" t="s">
        <v>110</v>
      </c>
    </row>
    <row r="935" spans="1:64" hidden="1" x14ac:dyDescent="0.2">
      <c r="A935">
        <v>1506</v>
      </c>
      <c r="B935">
        <v>3744741627</v>
      </c>
      <c r="C935" t="s">
        <v>101</v>
      </c>
      <c r="D935" t="s">
        <v>3745</v>
      </c>
      <c r="E935" t="s">
        <v>65</v>
      </c>
      <c r="F935" t="s">
        <v>66</v>
      </c>
      <c r="G935" t="s">
        <v>67</v>
      </c>
      <c r="H935" t="s">
        <v>68</v>
      </c>
      <c r="I935" t="s">
        <v>176</v>
      </c>
      <c r="J935" t="s">
        <v>177</v>
      </c>
      <c r="K935" t="s">
        <v>1817</v>
      </c>
      <c r="M935" t="s">
        <v>72</v>
      </c>
      <c r="N935" t="s">
        <v>1818</v>
      </c>
      <c r="O935" t="s">
        <v>1817</v>
      </c>
      <c r="P935" t="s">
        <v>1819</v>
      </c>
      <c r="Q935" t="s">
        <v>75</v>
      </c>
      <c r="R935" t="s">
        <v>3733</v>
      </c>
      <c r="S935" t="s">
        <v>3738</v>
      </c>
      <c r="T935" t="s">
        <v>78</v>
      </c>
      <c r="U935" t="s">
        <v>1822</v>
      </c>
      <c r="V935" t="s">
        <v>80</v>
      </c>
      <c r="W935" s="1">
        <v>44508</v>
      </c>
      <c r="X935" t="s">
        <v>1823</v>
      </c>
      <c r="Y935" t="s">
        <v>3739</v>
      </c>
      <c r="Z935" t="s">
        <v>83</v>
      </c>
      <c r="AA935">
        <v>1</v>
      </c>
      <c r="AB935" t="s">
        <v>103</v>
      </c>
      <c r="AD935" t="s">
        <v>343</v>
      </c>
      <c r="AE935" t="s">
        <v>86</v>
      </c>
      <c r="AF935" t="s">
        <v>281</v>
      </c>
      <c r="AG935" t="s">
        <v>3741</v>
      </c>
      <c r="AH935" t="s">
        <v>3746</v>
      </c>
      <c r="AI935" t="s">
        <v>90</v>
      </c>
      <c r="AJ935">
        <v>32.441175999999999</v>
      </c>
      <c r="AK935">
        <v>-110.78695500000001</v>
      </c>
      <c r="AL935">
        <v>10</v>
      </c>
      <c r="AN935">
        <v>2776</v>
      </c>
      <c r="AP935">
        <v>2776</v>
      </c>
      <c r="AQ935">
        <v>2787.1691999999998</v>
      </c>
      <c r="AT935">
        <v>8</v>
      </c>
      <c r="AU935">
        <v>11</v>
      </c>
      <c r="AV935">
        <v>2021</v>
      </c>
      <c r="AW935">
        <v>2437967</v>
      </c>
      <c r="AX935">
        <v>2437967</v>
      </c>
      <c r="AY935" t="s">
        <v>106</v>
      </c>
      <c r="AZ935" t="s">
        <v>92</v>
      </c>
      <c r="BA935" t="s">
        <v>107</v>
      </c>
      <c r="BB935" t="s">
        <v>3747</v>
      </c>
      <c r="BC935" t="s">
        <v>1186</v>
      </c>
      <c r="BE935" t="s">
        <v>96</v>
      </c>
      <c r="BG935" t="s">
        <v>1186</v>
      </c>
      <c r="BI935" t="s">
        <v>98</v>
      </c>
      <c r="BJ935" t="s">
        <v>2628</v>
      </c>
      <c r="BL935" t="s">
        <v>110</v>
      </c>
    </row>
    <row r="936" spans="1:64" hidden="1" x14ac:dyDescent="0.2">
      <c r="A936">
        <v>1510</v>
      </c>
      <c r="B936">
        <v>3744741623</v>
      </c>
      <c r="C936" t="s">
        <v>101</v>
      </c>
      <c r="D936" t="s">
        <v>3748</v>
      </c>
      <c r="E936" t="s">
        <v>65</v>
      </c>
      <c r="F936" t="s">
        <v>66</v>
      </c>
      <c r="G936" t="s">
        <v>67</v>
      </c>
      <c r="H936" t="s">
        <v>68</v>
      </c>
      <c r="I936" t="s">
        <v>176</v>
      </c>
      <c r="J936" t="s">
        <v>177</v>
      </c>
      <c r="K936" t="s">
        <v>1817</v>
      </c>
      <c r="M936" t="s">
        <v>72</v>
      </c>
      <c r="N936" t="s">
        <v>1818</v>
      </c>
      <c r="O936" t="s">
        <v>1817</v>
      </c>
      <c r="P936" t="s">
        <v>1819</v>
      </c>
      <c r="Q936" t="s">
        <v>75</v>
      </c>
      <c r="R936" t="s">
        <v>3733</v>
      </c>
      <c r="S936" t="s">
        <v>3738</v>
      </c>
      <c r="T936" t="s">
        <v>78</v>
      </c>
      <c r="U936" t="s">
        <v>1822</v>
      </c>
      <c r="V936" t="s">
        <v>80</v>
      </c>
      <c r="W936" s="1">
        <v>44508</v>
      </c>
      <c r="X936" t="s">
        <v>1823</v>
      </c>
      <c r="Y936" t="s">
        <v>3739</v>
      </c>
      <c r="Z936" t="s">
        <v>83</v>
      </c>
      <c r="AA936">
        <v>1</v>
      </c>
      <c r="AB936" t="s">
        <v>103</v>
      </c>
      <c r="AD936" t="s">
        <v>104</v>
      </c>
      <c r="AE936" t="s">
        <v>86</v>
      </c>
      <c r="AF936" t="s">
        <v>281</v>
      </c>
      <c r="AG936" t="s">
        <v>3741</v>
      </c>
      <c r="AH936" t="s">
        <v>3746</v>
      </c>
      <c r="AI936" t="s">
        <v>90</v>
      </c>
      <c r="AJ936">
        <v>32.441175999999999</v>
      </c>
      <c r="AK936">
        <v>-110.78695500000001</v>
      </c>
      <c r="AL936">
        <v>10</v>
      </c>
      <c r="AN936">
        <v>2776</v>
      </c>
      <c r="AP936">
        <v>2776</v>
      </c>
      <c r="AQ936">
        <v>2787.1691999999998</v>
      </c>
      <c r="AT936">
        <v>8</v>
      </c>
      <c r="AU936">
        <v>11</v>
      </c>
      <c r="AV936">
        <v>2021</v>
      </c>
      <c r="AW936">
        <v>2437967</v>
      </c>
      <c r="AX936">
        <v>2437967</v>
      </c>
      <c r="AY936" t="s">
        <v>106</v>
      </c>
      <c r="AZ936" t="s">
        <v>92</v>
      </c>
      <c r="BA936" t="s">
        <v>107</v>
      </c>
      <c r="BB936" t="s">
        <v>3749</v>
      </c>
      <c r="BC936" t="s">
        <v>1186</v>
      </c>
      <c r="BE936" t="s">
        <v>96</v>
      </c>
      <c r="BG936" t="s">
        <v>1186</v>
      </c>
      <c r="BI936" t="s">
        <v>98</v>
      </c>
      <c r="BJ936" t="s">
        <v>683</v>
      </c>
      <c r="BL936" t="s">
        <v>110</v>
      </c>
    </row>
    <row r="937" spans="1:64" hidden="1" x14ac:dyDescent="0.2">
      <c r="A937">
        <v>1519</v>
      </c>
      <c r="B937">
        <v>3744741614</v>
      </c>
      <c r="C937" t="s">
        <v>101</v>
      </c>
      <c r="D937" s="2" t="s">
        <v>3750</v>
      </c>
      <c r="E937" t="s">
        <v>65</v>
      </c>
      <c r="F937" t="s">
        <v>66</v>
      </c>
      <c r="G937" t="s">
        <v>67</v>
      </c>
      <c r="H937" t="s">
        <v>68</v>
      </c>
      <c r="I937" t="s">
        <v>176</v>
      </c>
      <c r="J937" t="s">
        <v>177</v>
      </c>
      <c r="K937" t="s">
        <v>1817</v>
      </c>
      <c r="M937" t="s">
        <v>72</v>
      </c>
      <c r="N937" t="s">
        <v>1818</v>
      </c>
      <c r="O937" t="s">
        <v>1817</v>
      </c>
      <c r="P937" t="s">
        <v>1819</v>
      </c>
      <c r="Q937" t="s">
        <v>75</v>
      </c>
      <c r="R937" t="s">
        <v>3733</v>
      </c>
      <c r="S937" t="s">
        <v>3738</v>
      </c>
      <c r="T937" t="s">
        <v>78</v>
      </c>
      <c r="U937" t="s">
        <v>1822</v>
      </c>
      <c r="V937" t="s">
        <v>80</v>
      </c>
      <c r="W937" s="1">
        <v>44508</v>
      </c>
      <c r="X937" t="s">
        <v>1823</v>
      </c>
      <c r="Y937" t="s">
        <v>3739</v>
      </c>
      <c r="Z937" t="s">
        <v>83</v>
      </c>
      <c r="AA937">
        <v>1</v>
      </c>
      <c r="AB937" t="s">
        <v>103</v>
      </c>
      <c r="AD937" t="s">
        <v>116</v>
      </c>
      <c r="AE937" t="s">
        <v>86</v>
      </c>
      <c r="AF937" t="s">
        <v>281</v>
      </c>
      <c r="AG937" t="s">
        <v>3741</v>
      </c>
      <c r="AH937" t="s">
        <v>3746</v>
      </c>
      <c r="AI937" t="s">
        <v>90</v>
      </c>
      <c r="AJ937">
        <v>32.441175999999999</v>
      </c>
      <c r="AK937">
        <v>-110.78695500000001</v>
      </c>
      <c r="AL937">
        <v>10</v>
      </c>
      <c r="AN937">
        <v>2776</v>
      </c>
      <c r="AP937">
        <v>2776</v>
      </c>
      <c r="AQ937">
        <v>2787.1691999999998</v>
      </c>
      <c r="AT937">
        <v>8</v>
      </c>
      <c r="AU937">
        <v>11</v>
      </c>
      <c r="AV937">
        <v>2021</v>
      </c>
      <c r="AW937">
        <v>2437967</v>
      </c>
      <c r="AX937">
        <v>2437967</v>
      </c>
      <c r="AY937" t="s">
        <v>106</v>
      </c>
      <c r="AZ937" t="s">
        <v>92</v>
      </c>
      <c r="BA937" t="s">
        <v>107</v>
      </c>
      <c r="BB937" t="s">
        <v>3751</v>
      </c>
      <c r="BC937" t="s">
        <v>1186</v>
      </c>
      <c r="BE937" t="s">
        <v>96</v>
      </c>
      <c r="BG937" t="s">
        <v>1186</v>
      </c>
      <c r="BI937" t="s">
        <v>98</v>
      </c>
      <c r="BJ937" t="s">
        <v>3752</v>
      </c>
      <c r="BL937" t="s">
        <v>110</v>
      </c>
    </row>
    <row r="938" spans="1:64" hidden="1" x14ac:dyDescent="0.2">
      <c r="A938">
        <v>1516</v>
      </c>
      <c r="B938">
        <v>3744741617</v>
      </c>
      <c r="C938" t="s">
        <v>101</v>
      </c>
      <c r="D938" t="s">
        <v>3753</v>
      </c>
      <c r="E938" t="s">
        <v>65</v>
      </c>
      <c r="F938" t="s">
        <v>66</v>
      </c>
      <c r="G938" t="s">
        <v>67</v>
      </c>
      <c r="H938" t="s">
        <v>68</v>
      </c>
      <c r="I938" t="s">
        <v>176</v>
      </c>
      <c r="J938" t="s">
        <v>177</v>
      </c>
      <c r="K938" t="s">
        <v>1817</v>
      </c>
      <c r="M938" t="s">
        <v>72</v>
      </c>
      <c r="N938" t="s">
        <v>1818</v>
      </c>
      <c r="O938" t="s">
        <v>1817</v>
      </c>
      <c r="P938" t="s">
        <v>1819</v>
      </c>
      <c r="Q938" t="s">
        <v>75</v>
      </c>
      <c r="R938" t="s">
        <v>3733</v>
      </c>
      <c r="S938" t="s">
        <v>3738</v>
      </c>
      <c r="T938" t="s">
        <v>78</v>
      </c>
      <c r="U938" t="s">
        <v>1822</v>
      </c>
      <c r="V938" t="s">
        <v>80</v>
      </c>
      <c r="W938" s="1">
        <v>44508</v>
      </c>
      <c r="X938" t="s">
        <v>1823</v>
      </c>
      <c r="Y938" t="s">
        <v>3739</v>
      </c>
      <c r="Z938" t="s">
        <v>83</v>
      </c>
      <c r="AA938">
        <v>1</v>
      </c>
      <c r="AB938" t="s">
        <v>103</v>
      </c>
      <c r="AD938" t="s">
        <v>104</v>
      </c>
      <c r="AE938" t="s">
        <v>86</v>
      </c>
      <c r="AF938" t="s">
        <v>281</v>
      </c>
      <c r="AG938" t="s">
        <v>3741</v>
      </c>
      <c r="AH938" t="s">
        <v>3746</v>
      </c>
      <c r="AI938" t="s">
        <v>90</v>
      </c>
      <c r="AJ938">
        <v>32.441175999999999</v>
      </c>
      <c r="AK938">
        <v>-110.78695500000001</v>
      </c>
      <c r="AL938">
        <v>10</v>
      </c>
      <c r="AN938">
        <v>2776</v>
      </c>
      <c r="AP938">
        <v>2776</v>
      </c>
      <c r="AQ938">
        <v>2787.1691999999998</v>
      </c>
      <c r="AT938">
        <v>8</v>
      </c>
      <c r="AU938">
        <v>11</v>
      </c>
      <c r="AV938">
        <v>2021</v>
      </c>
      <c r="AW938">
        <v>2437967</v>
      </c>
      <c r="AX938">
        <v>2437967</v>
      </c>
      <c r="AY938" t="s">
        <v>106</v>
      </c>
      <c r="AZ938" t="s">
        <v>92</v>
      </c>
      <c r="BA938" t="s">
        <v>107</v>
      </c>
      <c r="BB938" t="s">
        <v>3754</v>
      </c>
      <c r="BC938" t="s">
        <v>1186</v>
      </c>
      <c r="BE938" t="s">
        <v>96</v>
      </c>
      <c r="BG938" t="s">
        <v>1186</v>
      </c>
      <c r="BI938" t="s">
        <v>98</v>
      </c>
      <c r="BJ938" t="s">
        <v>689</v>
      </c>
      <c r="BL938" t="s">
        <v>110</v>
      </c>
    </row>
    <row r="939" spans="1:64" hidden="1" x14ac:dyDescent="0.2">
      <c r="A939">
        <v>1525</v>
      </c>
      <c r="B939">
        <v>3744741608</v>
      </c>
      <c r="C939" t="s">
        <v>101</v>
      </c>
      <c r="D939" t="s">
        <v>3755</v>
      </c>
      <c r="E939" t="s">
        <v>65</v>
      </c>
      <c r="F939" t="s">
        <v>66</v>
      </c>
      <c r="G939" t="s">
        <v>67</v>
      </c>
      <c r="H939" t="s">
        <v>68</v>
      </c>
      <c r="I939" t="s">
        <v>176</v>
      </c>
      <c r="J939" t="s">
        <v>177</v>
      </c>
      <c r="K939" t="s">
        <v>1817</v>
      </c>
      <c r="M939" t="s">
        <v>72</v>
      </c>
      <c r="N939" t="s">
        <v>1818</v>
      </c>
      <c r="O939" t="s">
        <v>1817</v>
      </c>
      <c r="P939" t="s">
        <v>1819</v>
      </c>
      <c r="Q939" t="s">
        <v>75</v>
      </c>
      <c r="R939" t="s">
        <v>3733</v>
      </c>
      <c r="S939" t="s">
        <v>3738</v>
      </c>
      <c r="T939" t="s">
        <v>78</v>
      </c>
      <c r="U939" t="s">
        <v>1822</v>
      </c>
      <c r="V939" t="s">
        <v>80</v>
      </c>
      <c r="W939" s="1">
        <v>44508</v>
      </c>
      <c r="X939" t="s">
        <v>1823</v>
      </c>
      <c r="Y939" t="s">
        <v>3739</v>
      </c>
      <c r="Z939" t="s">
        <v>83</v>
      </c>
      <c r="AA939">
        <v>1</v>
      </c>
      <c r="AB939" t="s">
        <v>103</v>
      </c>
      <c r="AD939" t="s">
        <v>123</v>
      </c>
      <c r="AE939" t="s">
        <v>86</v>
      </c>
      <c r="AF939" t="s">
        <v>281</v>
      </c>
      <c r="AG939" t="s">
        <v>3741</v>
      </c>
      <c r="AH939" t="s">
        <v>3746</v>
      </c>
      <c r="AI939" t="s">
        <v>90</v>
      </c>
      <c r="AJ939">
        <v>32.441175999999999</v>
      </c>
      <c r="AK939">
        <v>-110.78695500000001</v>
      </c>
      <c r="AL939">
        <v>10</v>
      </c>
      <c r="AN939">
        <v>2776</v>
      </c>
      <c r="AP939">
        <v>2776</v>
      </c>
      <c r="AQ939">
        <v>2787.1691999999998</v>
      </c>
      <c r="AT939">
        <v>8</v>
      </c>
      <c r="AU939">
        <v>11</v>
      </c>
      <c r="AV939">
        <v>2021</v>
      </c>
      <c r="AW939">
        <v>2437967</v>
      </c>
      <c r="AX939">
        <v>2437967</v>
      </c>
      <c r="AY939" t="s">
        <v>106</v>
      </c>
      <c r="AZ939" t="s">
        <v>92</v>
      </c>
      <c r="BA939" t="s">
        <v>107</v>
      </c>
      <c r="BB939" t="s">
        <v>3756</v>
      </c>
      <c r="BC939" t="s">
        <v>1186</v>
      </c>
      <c r="BE939" t="s">
        <v>96</v>
      </c>
      <c r="BG939" t="s">
        <v>1186</v>
      </c>
      <c r="BI939" t="s">
        <v>98</v>
      </c>
      <c r="BJ939" t="s">
        <v>914</v>
      </c>
      <c r="BL939" t="s">
        <v>110</v>
      </c>
    </row>
    <row r="940" spans="1:64" hidden="1" x14ac:dyDescent="0.2">
      <c r="A940">
        <v>1522</v>
      </c>
      <c r="B940">
        <v>3744741611</v>
      </c>
      <c r="C940" t="s">
        <v>101</v>
      </c>
      <c r="D940" t="s">
        <v>3757</v>
      </c>
      <c r="E940" t="s">
        <v>65</v>
      </c>
      <c r="F940" t="s">
        <v>66</v>
      </c>
      <c r="G940" t="s">
        <v>67</v>
      </c>
      <c r="H940" t="s">
        <v>68</v>
      </c>
      <c r="I940" t="s">
        <v>176</v>
      </c>
      <c r="J940" t="s">
        <v>177</v>
      </c>
      <c r="K940" t="s">
        <v>1817</v>
      </c>
      <c r="M940" t="s">
        <v>72</v>
      </c>
      <c r="N940" t="s">
        <v>1818</v>
      </c>
      <c r="O940" t="s">
        <v>1817</v>
      </c>
      <c r="P940" t="s">
        <v>1819</v>
      </c>
      <c r="Q940" t="s">
        <v>75</v>
      </c>
      <c r="R940" t="s">
        <v>3733</v>
      </c>
      <c r="S940" t="s">
        <v>3738</v>
      </c>
      <c r="T940" t="s">
        <v>78</v>
      </c>
      <c r="U940" t="s">
        <v>1822</v>
      </c>
      <c r="V940" t="s">
        <v>80</v>
      </c>
      <c r="W940" s="1">
        <v>44508</v>
      </c>
      <c r="X940" t="s">
        <v>1823</v>
      </c>
      <c r="Y940" t="s">
        <v>3739</v>
      </c>
      <c r="Z940" t="s">
        <v>83</v>
      </c>
      <c r="AA940">
        <v>1</v>
      </c>
      <c r="AB940" t="s">
        <v>103</v>
      </c>
      <c r="AD940" t="s">
        <v>112</v>
      </c>
      <c r="AE940" t="s">
        <v>86</v>
      </c>
      <c r="AF940" t="s">
        <v>281</v>
      </c>
      <c r="AG940" t="s">
        <v>3741</v>
      </c>
      <c r="AH940" t="s">
        <v>3746</v>
      </c>
      <c r="AI940" t="s">
        <v>90</v>
      </c>
      <c r="AJ940">
        <v>32.441175999999999</v>
      </c>
      <c r="AK940">
        <v>-110.78695500000001</v>
      </c>
      <c r="AL940">
        <v>10</v>
      </c>
      <c r="AN940">
        <v>2776</v>
      </c>
      <c r="AP940">
        <v>2776</v>
      </c>
      <c r="AQ940">
        <v>2787.1691999999998</v>
      </c>
      <c r="AT940">
        <v>8</v>
      </c>
      <c r="AU940">
        <v>11</v>
      </c>
      <c r="AV940">
        <v>2021</v>
      </c>
      <c r="AW940">
        <v>2437967</v>
      </c>
      <c r="AX940">
        <v>2437967</v>
      </c>
      <c r="AY940" t="s">
        <v>106</v>
      </c>
      <c r="AZ940" t="s">
        <v>92</v>
      </c>
      <c r="BA940" t="s">
        <v>107</v>
      </c>
      <c r="BB940" t="s">
        <v>3758</v>
      </c>
      <c r="BC940" t="s">
        <v>1186</v>
      </c>
      <c r="BE940" t="s">
        <v>96</v>
      </c>
      <c r="BG940" t="s">
        <v>1186</v>
      </c>
      <c r="BI940" t="s">
        <v>98</v>
      </c>
      <c r="BJ940" t="s">
        <v>911</v>
      </c>
      <c r="BL940" t="s">
        <v>110</v>
      </c>
    </row>
    <row r="941" spans="1:64" hidden="1" x14ac:dyDescent="0.2">
      <c r="A941">
        <v>1531</v>
      </c>
      <c r="B941">
        <v>3744741602</v>
      </c>
      <c r="C941" t="s">
        <v>101</v>
      </c>
      <c r="D941" s="2" t="s">
        <v>3759</v>
      </c>
      <c r="E941" t="s">
        <v>65</v>
      </c>
      <c r="F941" t="s">
        <v>66</v>
      </c>
      <c r="G941" t="s">
        <v>67</v>
      </c>
      <c r="H941" t="s">
        <v>68</v>
      </c>
      <c r="I941" t="s">
        <v>176</v>
      </c>
      <c r="J941" t="s">
        <v>177</v>
      </c>
      <c r="K941" t="s">
        <v>1817</v>
      </c>
      <c r="M941" t="s">
        <v>72</v>
      </c>
      <c r="N941" t="s">
        <v>1818</v>
      </c>
      <c r="O941" t="s">
        <v>1817</v>
      </c>
      <c r="P941" t="s">
        <v>1819</v>
      </c>
      <c r="Q941" t="s">
        <v>75</v>
      </c>
      <c r="R941" t="s">
        <v>3733</v>
      </c>
      <c r="S941" t="s">
        <v>3738</v>
      </c>
      <c r="T941" t="s">
        <v>78</v>
      </c>
      <c r="U941" t="s">
        <v>1822</v>
      </c>
      <c r="V941" t="s">
        <v>80</v>
      </c>
      <c r="W941" s="1">
        <v>44508</v>
      </c>
      <c r="X941" t="s">
        <v>1823</v>
      </c>
      <c r="Y941" t="s">
        <v>3739</v>
      </c>
      <c r="Z941" t="s">
        <v>83</v>
      </c>
      <c r="AA941">
        <v>1</v>
      </c>
      <c r="AB941" t="s">
        <v>103</v>
      </c>
      <c r="AD941" t="s">
        <v>139</v>
      </c>
      <c r="AE941" t="s">
        <v>86</v>
      </c>
      <c r="AF941" t="s">
        <v>281</v>
      </c>
      <c r="AG941" t="s">
        <v>3741</v>
      </c>
      <c r="AH941" t="s">
        <v>3746</v>
      </c>
      <c r="AI941" t="s">
        <v>90</v>
      </c>
      <c r="AJ941">
        <v>32.441175999999999</v>
      </c>
      <c r="AK941">
        <v>-110.78695500000001</v>
      </c>
      <c r="AL941">
        <v>10</v>
      </c>
      <c r="AN941">
        <v>2776</v>
      </c>
      <c r="AP941">
        <v>2776</v>
      </c>
      <c r="AQ941">
        <v>2787.1691999999998</v>
      </c>
      <c r="AT941">
        <v>8</v>
      </c>
      <c r="AU941">
        <v>11</v>
      </c>
      <c r="AV941">
        <v>2021</v>
      </c>
      <c r="AW941">
        <v>2437967</v>
      </c>
      <c r="AX941">
        <v>2437967</v>
      </c>
      <c r="AY941" t="s">
        <v>106</v>
      </c>
      <c r="AZ941" t="s">
        <v>92</v>
      </c>
      <c r="BA941" t="s">
        <v>107</v>
      </c>
      <c r="BB941" t="s">
        <v>3760</v>
      </c>
      <c r="BC941" t="s">
        <v>1186</v>
      </c>
      <c r="BE941" t="s">
        <v>96</v>
      </c>
      <c r="BG941" t="s">
        <v>1186</v>
      </c>
      <c r="BI941" t="s">
        <v>98</v>
      </c>
      <c r="BJ941" t="s">
        <v>869</v>
      </c>
      <c r="BL941" t="s">
        <v>110</v>
      </c>
    </row>
    <row r="942" spans="1:64" hidden="1" x14ac:dyDescent="0.2">
      <c r="A942">
        <v>1528</v>
      </c>
      <c r="B942">
        <v>3744741605</v>
      </c>
      <c r="C942" t="s">
        <v>101</v>
      </c>
      <c r="D942" t="s">
        <v>3761</v>
      </c>
      <c r="E942" t="s">
        <v>65</v>
      </c>
      <c r="F942" t="s">
        <v>66</v>
      </c>
      <c r="G942" t="s">
        <v>67</v>
      </c>
      <c r="H942" t="s">
        <v>68</v>
      </c>
      <c r="I942" t="s">
        <v>176</v>
      </c>
      <c r="J942" t="s">
        <v>177</v>
      </c>
      <c r="K942" t="s">
        <v>1817</v>
      </c>
      <c r="M942" t="s">
        <v>72</v>
      </c>
      <c r="N942" t="s">
        <v>1818</v>
      </c>
      <c r="O942" t="s">
        <v>1817</v>
      </c>
      <c r="P942" t="s">
        <v>1819</v>
      </c>
      <c r="Q942" t="s">
        <v>75</v>
      </c>
      <c r="R942" t="s">
        <v>3733</v>
      </c>
      <c r="S942" t="s">
        <v>3762</v>
      </c>
      <c r="T942" t="s">
        <v>78</v>
      </c>
      <c r="U942" t="s">
        <v>1822</v>
      </c>
      <c r="V942" t="s">
        <v>80</v>
      </c>
      <c r="W942" s="1">
        <v>44508</v>
      </c>
      <c r="X942" t="s">
        <v>1823</v>
      </c>
      <c r="Y942" t="s">
        <v>3763</v>
      </c>
      <c r="Z942" t="s">
        <v>83</v>
      </c>
      <c r="AA942">
        <v>1</v>
      </c>
      <c r="AB942" t="s">
        <v>103</v>
      </c>
      <c r="AD942" t="s">
        <v>343</v>
      </c>
      <c r="AE942" t="s">
        <v>145</v>
      </c>
      <c r="AF942" t="s">
        <v>87</v>
      </c>
      <c r="AG942" t="s">
        <v>3764</v>
      </c>
      <c r="AI942" t="s">
        <v>90</v>
      </c>
      <c r="AJ942">
        <v>32.441215999999997</v>
      </c>
      <c r="AK942">
        <v>-110.786979</v>
      </c>
      <c r="AL942">
        <v>3</v>
      </c>
      <c r="AN942">
        <v>2772</v>
      </c>
      <c r="AP942">
        <v>2772</v>
      </c>
      <c r="AQ942">
        <v>2786.1035999999999</v>
      </c>
      <c r="AT942">
        <v>8</v>
      </c>
      <c r="AU942">
        <v>11</v>
      </c>
      <c r="AV942">
        <v>2021</v>
      </c>
      <c r="AW942">
        <v>2437967</v>
      </c>
      <c r="AX942">
        <v>2437967</v>
      </c>
      <c r="AY942" t="s">
        <v>106</v>
      </c>
      <c r="AZ942" t="s">
        <v>92</v>
      </c>
      <c r="BA942" t="s">
        <v>107</v>
      </c>
      <c r="BB942" t="s">
        <v>3765</v>
      </c>
      <c r="BC942" t="s">
        <v>1186</v>
      </c>
      <c r="BE942" t="s">
        <v>96</v>
      </c>
      <c r="BG942" t="s">
        <v>1186</v>
      </c>
      <c r="BI942" t="s">
        <v>98</v>
      </c>
      <c r="BJ942" t="s">
        <v>914</v>
      </c>
      <c r="BL942" t="s">
        <v>110</v>
      </c>
    </row>
    <row r="943" spans="1:64" hidden="1" x14ac:dyDescent="0.2">
      <c r="A943">
        <v>1537</v>
      </c>
      <c r="B943">
        <v>3744741596</v>
      </c>
      <c r="C943" t="s">
        <v>101</v>
      </c>
      <c r="D943" t="s">
        <v>3774</v>
      </c>
      <c r="E943" t="s">
        <v>65</v>
      </c>
      <c r="F943" t="s">
        <v>66</v>
      </c>
      <c r="G943" t="s">
        <v>67</v>
      </c>
      <c r="H943" t="s">
        <v>68</v>
      </c>
      <c r="I943" t="s">
        <v>176</v>
      </c>
      <c r="J943" t="s">
        <v>773</v>
      </c>
      <c r="K943" t="s">
        <v>774</v>
      </c>
      <c r="M943" t="s">
        <v>72</v>
      </c>
      <c r="N943" t="s">
        <v>775</v>
      </c>
      <c r="O943" t="s">
        <v>774</v>
      </c>
      <c r="P943" t="s">
        <v>776</v>
      </c>
      <c r="Q943" t="s">
        <v>75</v>
      </c>
      <c r="R943" t="s">
        <v>3733</v>
      </c>
      <c r="S943" t="s">
        <v>3767</v>
      </c>
      <c r="T943" t="s">
        <v>78</v>
      </c>
      <c r="U943" t="s">
        <v>1822</v>
      </c>
      <c r="V943" t="s">
        <v>80</v>
      </c>
      <c r="W943" s="1">
        <v>44508</v>
      </c>
      <c r="X943" t="s">
        <v>1823</v>
      </c>
      <c r="Y943" t="s">
        <v>3768</v>
      </c>
      <c r="Z943" t="s">
        <v>83</v>
      </c>
      <c r="AA943">
        <v>1</v>
      </c>
      <c r="AB943" t="s">
        <v>103</v>
      </c>
      <c r="AD943" t="s">
        <v>116</v>
      </c>
      <c r="AE943" t="s">
        <v>86</v>
      </c>
      <c r="AF943" t="s">
        <v>146</v>
      </c>
      <c r="AG943" t="s">
        <v>3770</v>
      </c>
      <c r="AH943" t="s">
        <v>3775</v>
      </c>
      <c r="AI943" t="s">
        <v>90</v>
      </c>
      <c r="AJ943">
        <v>32.441274</v>
      </c>
      <c r="AK943">
        <v>-110.787142</v>
      </c>
      <c r="AL943">
        <v>3</v>
      </c>
      <c r="AN943">
        <v>2772</v>
      </c>
      <c r="AP943">
        <v>2772</v>
      </c>
      <c r="AQ943">
        <v>2785.02</v>
      </c>
      <c r="AT943">
        <v>8</v>
      </c>
      <c r="AU943">
        <v>11</v>
      </c>
      <c r="AV943">
        <v>2021</v>
      </c>
      <c r="AW943">
        <v>2438447</v>
      </c>
      <c r="AX943">
        <v>2438447</v>
      </c>
      <c r="AY943" t="s">
        <v>106</v>
      </c>
      <c r="AZ943" t="s">
        <v>92</v>
      </c>
      <c r="BA943" t="s">
        <v>107</v>
      </c>
      <c r="BB943" t="s">
        <v>3776</v>
      </c>
      <c r="BC943" t="s">
        <v>1186</v>
      </c>
      <c r="BE943" t="s">
        <v>96</v>
      </c>
      <c r="BG943" t="s">
        <v>1186</v>
      </c>
      <c r="BI943" t="s">
        <v>98</v>
      </c>
      <c r="BJ943" t="s">
        <v>869</v>
      </c>
      <c r="BL943" t="s">
        <v>110</v>
      </c>
    </row>
    <row r="944" spans="1:64" hidden="1" x14ac:dyDescent="0.2">
      <c r="A944">
        <v>1534</v>
      </c>
      <c r="B944">
        <v>3744741599</v>
      </c>
      <c r="C944" t="s">
        <v>101</v>
      </c>
      <c r="D944" t="s">
        <v>3777</v>
      </c>
      <c r="E944" t="s">
        <v>65</v>
      </c>
      <c r="F944" t="s">
        <v>66</v>
      </c>
      <c r="G944" t="s">
        <v>67</v>
      </c>
      <c r="H944" t="s">
        <v>68</v>
      </c>
      <c r="I944" t="s">
        <v>176</v>
      </c>
      <c r="J944" t="s">
        <v>773</v>
      </c>
      <c r="K944" t="s">
        <v>774</v>
      </c>
      <c r="M944" t="s">
        <v>72</v>
      </c>
      <c r="N944" t="s">
        <v>775</v>
      </c>
      <c r="O944" t="s">
        <v>774</v>
      </c>
      <c r="P944" t="s">
        <v>776</v>
      </c>
      <c r="Q944" t="s">
        <v>75</v>
      </c>
      <c r="R944" t="s">
        <v>3733</v>
      </c>
      <c r="S944" t="s">
        <v>3767</v>
      </c>
      <c r="T944" t="s">
        <v>78</v>
      </c>
      <c r="U944" t="s">
        <v>1822</v>
      </c>
      <c r="V944" t="s">
        <v>80</v>
      </c>
      <c r="W944" s="1">
        <v>44508</v>
      </c>
      <c r="X944" t="s">
        <v>1823</v>
      </c>
      <c r="Y944" t="s">
        <v>3768</v>
      </c>
      <c r="Z944" t="s">
        <v>83</v>
      </c>
      <c r="AA944">
        <v>1</v>
      </c>
      <c r="AB944" t="s">
        <v>103</v>
      </c>
      <c r="AD944" t="s">
        <v>104</v>
      </c>
      <c r="AE944" t="s">
        <v>86</v>
      </c>
      <c r="AF944" t="s">
        <v>146</v>
      </c>
      <c r="AG944" t="s">
        <v>3770</v>
      </c>
      <c r="AH944" t="s">
        <v>3775</v>
      </c>
      <c r="AI944" t="s">
        <v>90</v>
      </c>
      <c r="AJ944">
        <v>32.441274</v>
      </c>
      <c r="AK944">
        <v>-110.787142</v>
      </c>
      <c r="AL944">
        <v>3</v>
      </c>
      <c r="AN944">
        <v>2772</v>
      </c>
      <c r="AP944">
        <v>2772</v>
      </c>
      <c r="AQ944">
        <v>2785.02</v>
      </c>
      <c r="AT944">
        <v>8</v>
      </c>
      <c r="AU944">
        <v>11</v>
      </c>
      <c r="AV944">
        <v>2021</v>
      </c>
      <c r="AW944">
        <v>2438447</v>
      </c>
      <c r="AX944">
        <v>2438447</v>
      </c>
      <c r="AY944" t="s">
        <v>106</v>
      </c>
      <c r="AZ944" t="s">
        <v>92</v>
      </c>
      <c r="BA944" t="s">
        <v>107</v>
      </c>
      <c r="BB944" t="s">
        <v>3778</v>
      </c>
      <c r="BC944" t="s">
        <v>1186</v>
      </c>
      <c r="BE944" t="s">
        <v>96</v>
      </c>
      <c r="BG944" t="s">
        <v>1186</v>
      </c>
      <c r="BI944" t="s">
        <v>98</v>
      </c>
      <c r="BJ944" t="s">
        <v>869</v>
      </c>
      <c r="BL944" t="s">
        <v>110</v>
      </c>
    </row>
    <row r="945" spans="1:64" x14ac:dyDescent="0.2">
      <c r="A945">
        <v>1140</v>
      </c>
      <c r="B945">
        <v>4027014309</v>
      </c>
      <c r="C945" t="s">
        <v>63</v>
      </c>
      <c r="D945" t="s">
        <v>2008</v>
      </c>
      <c r="E945" t="s">
        <v>65</v>
      </c>
      <c r="F945" t="s">
        <v>66</v>
      </c>
      <c r="G945" t="s">
        <v>67</v>
      </c>
      <c r="H945" t="s">
        <v>68</v>
      </c>
      <c r="I945" t="s">
        <v>176</v>
      </c>
      <c r="J945" t="s">
        <v>177</v>
      </c>
      <c r="K945" t="s">
        <v>1817</v>
      </c>
      <c r="M945" t="s">
        <v>72</v>
      </c>
      <c r="N945" t="s">
        <v>1818</v>
      </c>
      <c r="O945" t="s">
        <v>1817</v>
      </c>
      <c r="P945" t="s">
        <v>1819</v>
      </c>
      <c r="Q945" t="s">
        <v>75</v>
      </c>
      <c r="R945" t="s">
        <v>1858</v>
      </c>
      <c r="S945" t="s">
        <v>1075</v>
      </c>
      <c r="T945" t="s">
        <v>78</v>
      </c>
      <c r="U945" t="s">
        <v>1822</v>
      </c>
      <c r="V945" t="s">
        <v>80</v>
      </c>
      <c r="W945" s="1">
        <v>44696</v>
      </c>
      <c r="X945" t="s">
        <v>1859</v>
      </c>
      <c r="Y945" t="s">
        <v>2009</v>
      </c>
      <c r="Z945" t="s">
        <v>83</v>
      </c>
      <c r="AA945">
        <v>1</v>
      </c>
      <c r="AB945" t="s">
        <v>2010</v>
      </c>
      <c r="AC945">
        <v>1</v>
      </c>
      <c r="AD945" s="6" t="s">
        <v>85</v>
      </c>
      <c r="AE945" s="6" t="s">
        <v>145</v>
      </c>
      <c r="AF945" s="6" t="s">
        <v>146</v>
      </c>
      <c r="AG945" s="6" t="s">
        <v>2011</v>
      </c>
      <c r="AH945" s="6" t="s">
        <v>2012</v>
      </c>
      <c r="AI945" s="6" t="s">
        <v>90</v>
      </c>
      <c r="AJ945" s="6">
        <v>32.425232000000001</v>
      </c>
      <c r="AK945" s="6">
        <v>-110.73919100000001</v>
      </c>
      <c r="AL945" s="6">
        <v>3</v>
      </c>
      <c r="AM945" s="6"/>
      <c r="AN945" s="6">
        <v>2355</v>
      </c>
      <c r="AO945" s="6"/>
      <c r="AP945" s="6">
        <v>2355</v>
      </c>
      <c r="AQ945" s="6">
        <v>2379.3617100000001</v>
      </c>
      <c r="AR945" s="6"/>
      <c r="AS945" s="6"/>
      <c r="AT945" s="6">
        <v>15</v>
      </c>
      <c r="AU945" s="6">
        <v>5</v>
      </c>
      <c r="AV945" s="6">
        <v>2022</v>
      </c>
      <c r="AW945" s="6">
        <v>2437967</v>
      </c>
      <c r="AX945" s="6">
        <v>2437967</v>
      </c>
      <c r="AY945" s="6" t="s">
        <v>91</v>
      </c>
      <c r="AZ945" t="s">
        <v>92</v>
      </c>
      <c r="BA945" t="s">
        <v>93</v>
      </c>
      <c r="BB945" t="s">
        <v>2013</v>
      </c>
      <c r="BC945" t="s">
        <v>97</v>
      </c>
      <c r="BE945" t="s">
        <v>96</v>
      </c>
      <c r="BG945" t="s">
        <v>1865</v>
      </c>
      <c r="BI945" t="s">
        <v>98</v>
      </c>
      <c r="BJ945" t="s">
        <v>2014</v>
      </c>
      <c r="BK945" t="s">
        <v>365</v>
      </c>
      <c r="BL945" t="s">
        <v>100</v>
      </c>
    </row>
    <row r="946" spans="1:64" hidden="1" x14ac:dyDescent="0.2">
      <c r="A946">
        <v>1538</v>
      </c>
      <c r="B946">
        <v>3744741595</v>
      </c>
      <c r="C946" t="s">
        <v>101</v>
      </c>
      <c r="D946" t="s">
        <v>3781</v>
      </c>
      <c r="E946" t="s">
        <v>65</v>
      </c>
      <c r="F946" t="s">
        <v>66</v>
      </c>
      <c r="G946" t="s">
        <v>67</v>
      </c>
      <c r="H946" t="s">
        <v>68</v>
      </c>
      <c r="I946" t="s">
        <v>176</v>
      </c>
      <c r="J946" t="s">
        <v>773</v>
      </c>
      <c r="K946" t="s">
        <v>774</v>
      </c>
      <c r="M946" t="s">
        <v>72</v>
      </c>
      <c r="N946" t="s">
        <v>775</v>
      </c>
      <c r="O946" t="s">
        <v>774</v>
      </c>
      <c r="P946" t="s">
        <v>776</v>
      </c>
      <c r="Q946" t="s">
        <v>75</v>
      </c>
      <c r="R946" t="s">
        <v>3733</v>
      </c>
      <c r="S946" t="s">
        <v>3767</v>
      </c>
      <c r="T946" t="s">
        <v>78</v>
      </c>
      <c r="U946" t="s">
        <v>1822</v>
      </c>
      <c r="V946" t="s">
        <v>80</v>
      </c>
      <c r="W946" s="1">
        <v>44508</v>
      </c>
      <c r="X946" t="s">
        <v>1823</v>
      </c>
      <c r="Y946" t="s">
        <v>3768</v>
      </c>
      <c r="Z946" t="s">
        <v>83</v>
      </c>
      <c r="AA946">
        <v>1</v>
      </c>
      <c r="AB946" t="s">
        <v>103</v>
      </c>
      <c r="AD946" t="s">
        <v>112</v>
      </c>
      <c r="AE946" t="s">
        <v>86</v>
      </c>
      <c r="AF946" t="s">
        <v>146</v>
      </c>
      <c r="AG946" t="s">
        <v>3770</v>
      </c>
      <c r="AH946" t="s">
        <v>3775</v>
      </c>
      <c r="AI946" t="s">
        <v>90</v>
      </c>
      <c r="AJ946">
        <v>32.441274</v>
      </c>
      <c r="AK946">
        <v>-110.787142</v>
      </c>
      <c r="AL946">
        <v>3</v>
      </c>
      <c r="AN946">
        <v>2772</v>
      </c>
      <c r="AP946">
        <v>2772</v>
      </c>
      <c r="AQ946">
        <v>2785.02</v>
      </c>
      <c r="AT946">
        <v>8</v>
      </c>
      <c r="AU946">
        <v>11</v>
      </c>
      <c r="AV946">
        <v>2021</v>
      </c>
      <c r="AW946">
        <v>2438447</v>
      </c>
      <c r="AX946">
        <v>2438447</v>
      </c>
      <c r="AY946" t="s">
        <v>106</v>
      </c>
      <c r="AZ946" t="s">
        <v>92</v>
      </c>
      <c r="BA946" t="s">
        <v>107</v>
      </c>
      <c r="BB946" t="s">
        <v>3782</v>
      </c>
      <c r="BC946" t="s">
        <v>1186</v>
      </c>
      <c r="BE946" t="s">
        <v>96</v>
      </c>
      <c r="BG946" t="s">
        <v>1186</v>
      </c>
      <c r="BI946" t="s">
        <v>98</v>
      </c>
      <c r="BJ946" t="s">
        <v>914</v>
      </c>
      <c r="BL946" t="s">
        <v>110</v>
      </c>
    </row>
    <row r="947" spans="1:64" hidden="1" x14ac:dyDescent="0.2">
      <c r="A947">
        <v>1542</v>
      </c>
      <c r="B947">
        <v>3744741591</v>
      </c>
      <c r="C947" t="s">
        <v>101</v>
      </c>
      <c r="D947" t="s">
        <v>3783</v>
      </c>
      <c r="E947" t="s">
        <v>65</v>
      </c>
      <c r="F947" t="s">
        <v>66</v>
      </c>
      <c r="G947" t="s">
        <v>67</v>
      </c>
      <c r="H947" t="s">
        <v>68</v>
      </c>
      <c r="I947" t="s">
        <v>176</v>
      </c>
      <c r="J947" t="s">
        <v>773</v>
      </c>
      <c r="K947" t="s">
        <v>774</v>
      </c>
      <c r="M947" t="s">
        <v>72</v>
      </c>
      <c r="N947" t="s">
        <v>775</v>
      </c>
      <c r="O947" t="s">
        <v>774</v>
      </c>
      <c r="P947" t="s">
        <v>776</v>
      </c>
      <c r="Q947" t="s">
        <v>75</v>
      </c>
      <c r="R947" t="s">
        <v>3733</v>
      </c>
      <c r="S947" t="s">
        <v>3767</v>
      </c>
      <c r="T947" t="s">
        <v>78</v>
      </c>
      <c r="U947" t="s">
        <v>1822</v>
      </c>
      <c r="V947" t="s">
        <v>80</v>
      </c>
      <c r="W947" s="1">
        <v>44508</v>
      </c>
      <c r="X947" t="s">
        <v>1823</v>
      </c>
      <c r="Y947" t="s">
        <v>3768</v>
      </c>
      <c r="Z947" t="s">
        <v>83</v>
      </c>
      <c r="AA947">
        <v>1</v>
      </c>
      <c r="AB947" t="s">
        <v>103</v>
      </c>
      <c r="AD947" t="s">
        <v>123</v>
      </c>
      <c r="AE947" t="s">
        <v>86</v>
      </c>
      <c r="AF947" t="s">
        <v>146</v>
      </c>
      <c r="AG947" t="s">
        <v>3770</v>
      </c>
      <c r="AH947" t="s">
        <v>3775</v>
      </c>
      <c r="AI947" t="s">
        <v>90</v>
      </c>
      <c r="AJ947">
        <v>32.441274</v>
      </c>
      <c r="AK947">
        <v>-110.787142</v>
      </c>
      <c r="AL947">
        <v>3</v>
      </c>
      <c r="AN947">
        <v>2772</v>
      </c>
      <c r="AP947">
        <v>2772</v>
      </c>
      <c r="AQ947">
        <v>2785.02</v>
      </c>
      <c r="AT947">
        <v>8</v>
      </c>
      <c r="AU947">
        <v>11</v>
      </c>
      <c r="AV947">
        <v>2021</v>
      </c>
      <c r="AW947">
        <v>2438447</v>
      </c>
      <c r="AX947">
        <v>2438447</v>
      </c>
      <c r="AY947" t="s">
        <v>106</v>
      </c>
      <c r="AZ947" t="s">
        <v>92</v>
      </c>
      <c r="BA947" t="s">
        <v>107</v>
      </c>
      <c r="BB947" t="s">
        <v>3784</v>
      </c>
      <c r="BC947" t="s">
        <v>1186</v>
      </c>
      <c r="BE947" t="s">
        <v>96</v>
      </c>
      <c r="BG947" t="s">
        <v>1186</v>
      </c>
      <c r="BI947" t="s">
        <v>98</v>
      </c>
      <c r="BJ947" t="s">
        <v>2511</v>
      </c>
      <c r="BL947" t="s">
        <v>110</v>
      </c>
    </row>
    <row r="948" spans="1:64" hidden="1" x14ac:dyDescent="0.2">
      <c r="A948">
        <v>1547</v>
      </c>
      <c r="B948">
        <v>3744741586</v>
      </c>
      <c r="C948" t="s">
        <v>101</v>
      </c>
      <c r="D948" t="s">
        <v>3785</v>
      </c>
      <c r="E948" t="s">
        <v>65</v>
      </c>
      <c r="F948" t="s">
        <v>66</v>
      </c>
      <c r="G948" t="s">
        <v>67</v>
      </c>
      <c r="H948" t="s">
        <v>68</v>
      </c>
      <c r="I948" t="s">
        <v>176</v>
      </c>
      <c r="J948" t="s">
        <v>773</v>
      </c>
      <c r="K948" t="s">
        <v>774</v>
      </c>
      <c r="M948" t="s">
        <v>72</v>
      </c>
      <c r="N948" t="s">
        <v>775</v>
      </c>
      <c r="O948" t="s">
        <v>774</v>
      </c>
      <c r="P948" t="s">
        <v>776</v>
      </c>
      <c r="Q948" t="s">
        <v>75</v>
      </c>
      <c r="R948" t="s">
        <v>3733</v>
      </c>
      <c r="S948" t="s">
        <v>3767</v>
      </c>
      <c r="T948" t="s">
        <v>78</v>
      </c>
      <c r="U948" t="s">
        <v>1822</v>
      </c>
      <c r="V948" t="s">
        <v>80</v>
      </c>
      <c r="W948" s="1">
        <v>44508</v>
      </c>
      <c r="X948" t="s">
        <v>1823</v>
      </c>
      <c r="Y948" t="s">
        <v>3768</v>
      </c>
      <c r="Z948" t="s">
        <v>83</v>
      </c>
      <c r="AA948">
        <v>1</v>
      </c>
      <c r="AB948" t="s">
        <v>103</v>
      </c>
      <c r="AD948" t="s">
        <v>139</v>
      </c>
      <c r="AE948" t="s">
        <v>86</v>
      </c>
      <c r="AF948" t="s">
        <v>146</v>
      </c>
      <c r="AG948" t="s">
        <v>3770</v>
      </c>
      <c r="AH948" t="s">
        <v>3775</v>
      </c>
      <c r="AI948" t="s">
        <v>90</v>
      </c>
      <c r="AJ948">
        <v>32.441274</v>
      </c>
      <c r="AK948">
        <v>-110.787142</v>
      </c>
      <c r="AL948">
        <v>3</v>
      </c>
      <c r="AN948">
        <v>2772</v>
      </c>
      <c r="AP948">
        <v>2772</v>
      </c>
      <c r="AQ948">
        <v>2785.02</v>
      </c>
      <c r="AT948">
        <v>8</v>
      </c>
      <c r="AU948">
        <v>11</v>
      </c>
      <c r="AV948">
        <v>2021</v>
      </c>
      <c r="AW948">
        <v>2438447</v>
      </c>
      <c r="AX948">
        <v>2438447</v>
      </c>
      <c r="AY948" t="s">
        <v>106</v>
      </c>
      <c r="AZ948" t="s">
        <v>92</v>
      </c>
      <c r="BA948" t="s">
        <v>107</v>
      </c>
      <c r="BB948" t="s">
        <v>3786</v>
      </c>
      <c r="BC948" t="s">
        <v>1186</v>
      </c>
      <c r="BE948" t="s">
        <v>96</v>
      </c>
      <c r="BG948" t="s">
        <v>1186</v>
      </c>
      <c r="BI948" t="s">
        <v>98</v>
      </c>
      <c r="BJ948" t="s">
        <v>2553</v>
      </c>
      <c r="BL948" t="s">
        <v>110</v>
      </c>
    </row>
    <row r="949" spans="1:64" hidden="1" x14ac:dyDescent="0.2">
      <c r="A949">
        <v>1545</v>
      </c>
      <c r="B949">
        <v>3744741588</v>
      </c>
      <c r="C949" t="s">
        <v>101</v>
      </c>
      <c r="D949" t="s">
        <v>3787</v>
      </c>
      <c r="E949" t="s">
        <v>65</v>
      </c>
      <c r="F949" t="s">
        <v>66</v>
      </c>
      <c r="G949" t="s">
        <v>67</v>
      </c>
      <c r="H949" t="s">
        <v>68</v>
      </c>
      <c r="I949" t="s">
        <v>176</v>
      </c>
      <c r="J949" t="s">
        <v>773</v>
      </c>
      <c r="K949" t="s">
        <v>774</v>
      </c>
      <c r="M949" t="s">
        <v>72</v>
      </c>
      <c r="N949" t="s">
        <v>775</v>
      </c>
      <c r="O949" t="s">
        <v>774</v>
      </c>
      <c r="P949" t="s">
        <v>776</v>
      </c>
      <c r="Q949" t="s">
        <v>75</v>
      </c>
      <c r="R949" t="s">
        <v>3733</v>
      </c>
      <c r="S949" t="s">
        <v>3788</v>
      </c>
      <c r="T949" t="s">
        <v>78</v>
      </c>
      <c r="U949" t="s">
        <v>1822</v>
      </c>
      <c r="V949" t="s">
        <v>80</v>
      </c>
      <c r="W949" s="1">
        <v>44508</v>
      </c>
      <c r="X949" t="s">
        <v>1823</v>
      </c>
      <c r="Y949" t="s">
        <v>3789</v>
      </c>
      <c r="Z949" t="s">
        <v>83</v>
      </c>
      <c r="AA949">
        <v>1</v>
      </c>
      <c r="AB949" t="s">
        <v>103</v>
      </c>
      <c r="AD949" t="s">
        <v>343</v>
      </c>
      <c r="AE949" t="s">
        <v>86</v>
      </c>
      <c r="AF949" t="s">
        <v>146</v>
      </c>
      <c r="AG949" t="s">
        <v>1825</v>
      </c>
      <c r="AH949" t="s">
        <v>3790</v>
      </c>
      <c r="AI949" t="s">
        <v>90</v>
      </c>
      <c r="AJ949">
        <v>32.441161000000001</v>
      </c>
      <c r="AK949">
        <v>-110.7872</v>
      </c>
      <c r="AL949">
        <v>4</v>
      </c>
      <c r="AN949">
        <v>2796</v>
      </c>
      <c r="AP949">
        <v>2796</v>
      </c>
      <c r="AQ949">
        <v>2788.4832000000001</v>
      </c>
      <c r="AT949">
        <v>8</v>
      </c>
      <c r="AU949">
        <v>11</v>
      </c>
      <c r="AV949">
        <v>2021</v>
      </c>
      <c r="AW949">
        <v>2438447</v>
      </c>
      <c r="AX949">
        <v>2438447</v>
      </c>
      <c r="AY949" t="s">
        <v>106</v>
      </c>
      <c r="AZ949" t="s">
        <v>92</v>
      </c>
      <c r="BA949" t="s">
        <v>107</v>
      </c>
      <c r="BB949" t="s">
        <v>3791</v>
      </c>
      <c r="BC949" t="s">
        <v>1186</v>
      </c>
      <c r="BE949" t="s">
        <v>96</v>
      </c>
      <c r="BG949" t="s">
        <v>1186</v>
      </c>
      <c r="BI949" t="s">
        <v>98</v>
      </c>
      <c r="BJ949" t="s">
        <v>2550</v>
      </c>
      <c r="BL949" t="s">
        <v>110</v>
      </c>
    </row>
    <row r="950" spans="1:64" x14ac:dyDescent="0.2">
      <c r="A950">
        <v>1138</v>
      </c>
      <c r="B950">
        <v>4027014311</v>
      </c>
      <c r="C950" t="s">
        <v>63</v>
      </c>
      <c r="D950" t="s">
        <v>2044</v>
      </c>
      <c r="E950" t="s">
        <v>65</v>
      </c>
      <c r="F950" t="s">
        <v>66</v>
      </c>
      <c r="G950" t="s">
        <v>67</v>
      </c>
      <c r="H950" t="s">
        <v>68</v>
      </c>
      <c r="I950" t="s">
        <v>350</v>
      </c>
      <c r="J950" t="s">
        <v>351</v>
      </c>
      <c r="K950" t="s">
        <v>352</v>
      </c>
      <c r="M950" t="s">
        <v>72</v>
      </c>
      <c r="N950" t="s">
        <v>353</v>
      </c>
      <c r="O950" t="s">
        <v>352</v>
      </c>
      <c r="P950" t="s">
        <v>180</v>
      </c>
      <c r="Q950" t="s">
        <v>75</v>
      </c>
      <c r="R950" t="s">
        <v>1858</v>
      </c>
      <c r="S950" t="s">
        <v>823</v>
      </c>
      <c r="T950" t="s">
        <v>78</v>
      </c>
      <c r="U950" t="s">
        <v>1822</v>
      </c>
      <c r="V950" t="s">
        <v>80</v>
      </c>
      <c r="W950" s="1">
        <v>44696</v>
      </c>
      <c r="X950" t="s">
        <v>1859</v>
      </c>
      <c r="Y950" t="s">
        <v>2045</v>
      </c>
      <c r="Z950" t="s">
        <v>83</v>
      </c>
      <c r="AA950">
        <v>1</v>
      </c>
      <c r="AB950" t="s">
        <v>2046</v>
      </c>
      <c r="AC950">
        <v>1</v>
      </c>
      <c r="AD950" s="6" t="s">
        <v>85</v>
      </c>
      <c r="AE950" s="6" t="s">
        <v>145</v>
      </c>
      <c r="AF950" s="6" t="s">
        <v>146</v>
      </c>
      <c r="AG950" s="6" t="s">
        <v>2047</v>
      </c>
      <c r="AH950" s="6" t="s">
        <v>2048</v>
      </c>
      <c r="AI950" s="6" t="s">
        <v>90</v>
      </c>
      <c r="AJ950" s="6">
        <v>32.425452999999997</v>
      </c>
      <c r="AK950" s="6">
        <v>-110.740354</v>
      </c>
      <c r="AL950" s="6">
        <v>4</v>
      </c>
      <c r="AM950" s="6"/>
      <c r="AN950" s="6">
        <v>2385</v>
      </c>
      <c r="AO950" s="6"/>
      <c r="AP950" s="6">
        <v>2385</v>
      </c>
      <c r="AQ950" s="6">
        <v>2398.42578</v>
      </c>
      <c r="AR950" s="6"/>
      <c r="AS950" s="6"/>
      <c r="AT950" s="6">
        <v>15</v>
      </c>
      <c r="AU950" s="6">
        <v>5</v>
      </c>
      <c r="AV950" s="6">
        <v>2022</v>
      </c>
      <c r="AW950" s="6">
        <v>4972385</v>
      </c>
      <c r="AX950" s="6">
        <v>2437431</v>
      </c>
      <c r="AY950" s="6" t="s">
        <v>91</v>
      </c>
      <c r="AZ950" t="s">
        <v>92</v>
      </c>
      <c r="BA950" t="s">
        <v>93</v>
      </c>
      <c r="BB950" t="s">
        <v>2049</v>
      </c>
      <c r="BC950" t="s">
        <v>97</v>
      </c>
      <c r="BE950" t="s">
        <v>96</v>
      </c>
      <c r="BG950" t="s">
        <v>1865</v>
      </c>
      <c r="BI950" t="s">
        <v>98</v>
      </c>
      <c r="BJ950" t="s">
        <v>2050</v>
      </c>
      <c r="BK950" t="s">
        <v>365</v>
      </c>
      <c r="BL950" t="s">
        <v>100</v>
      </c>
    </row>
    <row r="951" spans="1:64" hidden="1" x14ac:dyDescent="0.2">
      <c r="A951">
        <v>1549</v>
      </c>
      <c r="B951">
        <v>3744741584</v>
      </c>
      <c r="C951" t="s">
        <v>101</v>
      </c>
      <c r="D951" t="s">
        <v>3795</v>
      </c>
      <c r="E951" t="s">
        <v>65</v>
      </c>
      <c r="F951" t="s">
        <v>66</v>
      </c>
      <c r="G951" t="s">
        <v>67</v>
      </c>
      <c r="H951" t="s">
        <v>68</v>
      </c>
      <c r="I951" t="s">
        <v>176</v>
      </c>
      <c r="J951" t="s">
        <v>773</v>
      </c>
      <c r="K951" t="s">
        <v>774</v>
      </c>
      <c r="M951" t="s">
        <v>72</v>
      </c>
      <c r="N951" t="s">
        <v>775</v>
      </c>
      <c r="O951" t="s">
        <v>774</v>
      </c>
      <c r="P951" t="s">
        <v>776</v>
      </c>
      <c r="Q951" t="s">
        <v>75</v>
      </c>
      <c r="R951" t="s">
        <v>3733</v>
      </c>
      <c r="S951" t="s">
        <v>3796</v>
      </c>
      <c r="T951" t="s">
        <v>78</v>
      </c>
      <c r="U951" t="s">
        <v>1822</v>
      </c>
      <c r="V951" t="s">
        <v>80</v>
      </c>
      <c r="W951" s="1">
        <v>44508</v>
      </c>
      <c r="X951" t="s">
        <v>1823</v>
      </c>
      <c r="Y951" t="s">
        <v>3797</v>
      </c>
      <c r="Z951" t="s">
        <v>83</v>
      </c>
      <c r="AA951">
        <v>1</v>
      </c>
      <c r="AB951" t="s">
        <v>103</v>
      </c>
      <c r="AD951" t="s">
        <v>343</v>
      </c>
      <c r="AE951" t="s">
        <v>86</v>
      </c>
      <c r="AF951" t="s">
        <v>146</v>
      </c>
      <c r="AG951" t="s">
        <v>1825</v>
      </c>
      <c r="AH951" t="s">
        <v>3798</v>
      </c>
      <c r="AI951" t="s">
        <v>90</v>
      </c>
      <c r="AJ951">
        <v>32.440677000000001</v>
      </c>
      <c r="AK951">
        <v>-110.78690400000001</v>
      </c>
      <c r="AL951">
        <v>8</v>
      </c>
      <c r="AN951">
        <v>2779</v>
      </c>
      <c r="AP951">
        <v>2779</v>
      </c>
      <c r="AQ951">
        <v>2787.6851430000002</v>
      </c>
      <c r="AT951">
        <v>8</v>
      </c>
      <c r="AU951">
        <v>11</v>
      </c>
      <c r="AV951">
        <v>2021</v>
      </c>
      <c r="AW951">
        <v>2438447</v>
      </c>
      <c r="AX951">
        <v>2438447</v>
      </c>
      <c r="AY951" t="s">
        <v>106</v>
      </c>
      <c r="AZ951" t="s">
        <v>92</v>
      </c>
      <c r="BA951" t="s">
        <v>107</v>
      </c>
      <c r="BB951" t="s">
        <v>3799</v>
      </c>
      <c r="BC951" t="s">
        <v>1186</v>
      </c>
      <c r="BE951" t="s">
        <v>96</v>
      </c>
      <c r="BG951" t="s">
        <v>1186</v>
      </c>
      <c r="BI951" t="s">
        <v>98</v>
      </c>
      <c r="BJ951" t="s">
        <v>869</v>
      </c>
      <c r="BL951" t="s">
        <v>110</v>
      </c>
    </row>
    <row r="952" spans="1:64" x14ac:dyDescent="0.2">
      <c r="A952">
        <v>1134</v>
      </c>
      <c r="B952">
        <v>4027014315</v>
      </c>
      <c r="C952" t="s">
        <v>63</v>
      </c>
      <c r="D952" t="s">
        <v>2128</v>
      </c>
      <c r="E952" t="s">
        <v>65</v>
      </c>
      <c r="F952" t="s">
        <v>66</v>
      </c>
      <c r="G952" t="s">
        <v>67</v>
      </c>
      <c r="H952" t="s">
        <v>68</v>
      </c>
      <c r="I952" t="s">
        <v>350</v>
      </c>
      <c r="J952" t="s">
        <v>351</v>
      </c>
      <c r="K952" t="s">
        <v>352</v>
      </c>
      <c r="M952" t="s">
        <v>72</v>
      </c>
      <c r="N952" t="s">
        <v>353</v>
      </c>
      <c r="O952" t="s">
        <v>352</v>
      </c>
      <c r="P952" t="s">
        <v>180</v>
      </c>
      <c r="Q952" t="s">
        <v>75</v>
      </c>
      <c r="R952" t="s">
        <v>1858</v>
      </c>
      <c r="S952" t="s">
        <v>2129</v>
      </c>
      <c r="T952" t="s">
        <v>78</v>
      </c>
      <c r="U952" t="s">
        <v>1822</v>
      </c>
      <c r="V952" t="s">
        <v>80</v>
      </c>
      <c r="W952" s="1">
        <v>44696</v>
      </c>
      <c r="X952" t="s">
        <v>1859</v>
      </c>
      <c r="Y952" t="s">
        <v>2130</v>
      </c>
      <c r="Z952" t="s">
        <v>83</v>
      </c>
      <c r="AA952">
        <v>1</v>
      </c>
      <c r="AB952" t="s">
        <v>2131</v>
      </c>
      <c r="AC952">
        <v>1</v>
      </c>
      <c r="AD952" s="6" t="s">
        <v>85</v>
      </c>
      <c r="AE952" s="6" t="s">
        <v>145</v>
      </c>
      <c r="AF952" s="6" t="s">
        <v>146</v>
      </c>
      <c r="AG952" s="6" t="s">
        <v>2132</v>
      </c>
      <c r="AH952" s="6" t="s">
        <v>2133</v>
      </c>
      <c r="AI952" s="6" t="s">
        <v>90</v>
      </c>
      <c r="AJ952" s="6">
        <v>32.424956999999999</v>
      </c>
      <c r="AK952" s="6">
        <v>-110.740188</v>
      </c>
      <c r="AL952" s="6">
        <v>4</v>
      </c>
      <c r="AM952" s="6"/>
      <c r="AN952" s="6">
        <v>2407</v>
      </c>
      <c r="AO952" s="6"/>
      <c r="AP952" s="6">
        <v>2407</v>
      </c>
      <c r="AQ952" s="6">
        <v>2409.5920289999999</v>
      </c>
      <c r="AR952" s="6"/>
      <c r="AS952" s="6"/>
      <c r="AT952" s="6">
        <v>15</v>
      </c>
      <c r="AU952" s="6">
        <v>5</v>
      </c>
      <c r="AV952" s="6">
        <v>2022</v>
      </c>
      <c r="AW952" s="6">
        <v>4972385</v>
      </c>
      <c r="AX952" s="6">
        <v>2437431</v>
      </c>
      <c r="AY952" s="6" t="s">
        <v>91</v>
      </c>
      <c r="AZ952" t="s">
        <v>92</v>
      </c>
      <c r="BA952" t="s">
        <v>93</v>
      </c>
      <c r="BB952" t="s">
        <v>2134</v>
      </c>
      <c r="BC952" t="s">
        <v>97</v>
      </c>
      <c r="BE952" t="s">
        <v>96</v>
      </c>
      <c r="BG952" t="s">
        <v>1865</v>
      </c>
      <c r="BI952" t="s">
        <v>98</v>
      </c>
      <c r="BJ952" t="s">
        <v>2135</v>
      </c>
      <c r="BK952" t="s">
        <v>365</v>
      </c>
      <c r="BL952" t="s">
        <v>100</v>
      </c>
    </row>
    <row r="953" spans="1:64" hidden="1" x14ac:dyDescent="0.2">
      <c r="A953">
        <v>1553</v>
      </c>
      <c r="B953">
        <v>3744741580</v>
      </c>
      <c r="C953" t="s">
        <v>101</v>
      </c>
      <c r="D953" t="s">
        <v>3803</v>
      </c>
      <c r="E953" t="s">
        <v>65</v>
      </c>
      <c r="F953" t="s">
        <v>66</v>
      </c>
      <c r="G953" t="s">
        <v>67</v>
      </c>
      <c r="H953" t="s">
        <v>68</v>
      </c>
      <c r="I953" t="s">
        <v>176</v>
      </c>
      <c r="J953" t="s">
        <v>177</v>
      </c>
      <c r="K953" t="s">
        <v>1817</v>
      </c>
      <c r="M953" t="s">
        <v>72</v>
      </c>
      <c r="N953" t="s">
        <v>1818</v>
      </c>
      <c r="O953" t="s">
        <v>1817</v>
      </c>
      <c r="P953" t="s">
        <v>1819</v>
      </c>
      <c r="Q953" t="s">
        <v>75</v>
      </c>
      <c r="R953" t="s">
        <v>3733</v>
      </c>
      <c r="S953" t="s">
        <v>3804</v>
      </c>
      <c r="T953" t="s">
        <v>78</v>
      </c>
      <c r="U953" t="s">
        <v>1822</v>
      </c>
      <c r="V953" t="s">
        <v>80</v>
      </c>
      <c r="W953" s="1">
        <v>44508</v>
      </c>
      <c r="X953" t="s">
        <v>1823</v>
      </c>
      <c r="Y953" t="s">
        <v>3805</v>
      </c>
      <c r="Z953" t="s">
        <v>83</v>
      </c>
      <c r="AA953">
        <v>1</v>
      </c>
      <c r="AB953" t="s">
        <v>103</v>
      </c>
      <c r="AD953" t="s">
        <v>343</v>
      </c>
      <c r="AE953" t="s">
        <v>86</v>
      </c>
      <c r="AF953" t="s">
        <v>146</v>
      </c>
      <c r="AG953" t="s">
        <v>1825</v>
      </c>
      <c r="AI953" t="s">
        <v>90</v>
      </c>
      <c r="AJ953">
        <v>32.441180000000003</v>
      </c>
      <c r="AK953">
        <v>-110.787374</v>
      </c>
      <c r="AL953">
        <v>3</v>
      </c>
      <c r="AN953">
        <v>2783</v>
      </c>
      <c r="AP953">
        <v>2783</v>
      </c>
      <c r="AQ953">
        <v>2788.8334150000001</v>
      </c>
      <c r="AT953">
        <v>8</v>
      </c>
      <c r="AU953">
        <v>11</v>
      </c>
      <c r="AV953">
        <v>2021</v>
      </c>
      <c r="AW953">
        <v>2437967</v>
      </c>
      <c r="AX953">
        <v>2437967</v>
      </c>
      <c r="AY953" t="s">
        <v>106</v>
      </c>
      <c r="AZ953" t="s">
        <v>92</v>
      </c>
      <c r="BA953" t="s">
        <v>107</v>
      </c>
      <c r="BB953" t="s">
        <v>3806</v>
      </c>
      <c r="BC953" t="s">
        <v>1186</v>
      </c>
      <c r="BE953" t="s">
        <v>96</v>
      </c>
      <c r="BG953" t="s">
        <v>1186</v>
      </c>
      <c r="BI953" t="s">
        <v>98</v>
      </c>
      <c r="BJ953" t="s">
        <v>2541</v>
      </c>
      <c r="BL953" t="s">
        <v>110</v>
      </c>
    </row>
    <row r="954" spans="1:64" hidden="1" x14ac:dyDescent="0.2">
      <c r="A954">
        <v>1559</v>
      </c>
      <c r="B954">
        <v>3744741574</v>
      </c>
      <c r="C954" t="s">
        <v>101</v>
      </c>
      <c r="D954" t="s">
        <v>3807</v>
      </c>
      <c r="E954" t="s">
        <v>65</v>
      </c>
      <c r="F954" t="s">
        <v>66</v>
      </c>
      <c r="G954" t="s">
        <v>67</v>
      </c>
      <c r="H954" t="s">
        <v>68</v>
      </c>
      <c r="I954" t="s">
        <v>176</v>
      </c>
      <c r="J954" t="s">
        <v>177</v>
      </c>
      <c r="K954" t="s">
        <v>1817</v>
      </c>
      <c r="M954" t="s">
        <v>72</v>
      </c>
      <c r="N954" t="s">
        <v>1818</v>
      </c>
      <c r="O954" t="s">
        <v>1817</v>
      </c>
      <c r="P954" t="s">
        <v>1819</v>
      </c>
      <c r="Q954" t="s">
        <v>75</v>
      </c>
      <c r="R954" t="s">
        <v>3733</v>
      </c>
      <c r="S954" t="s">
        <v>3808</v>
      </c>
      <c r="T954" t="s">
        <v>78</v>
      </c>
      <c r="U954" t="s">
        <v>1822</v>
      </c>
      <c r="V954" t="s">
        <v>80</v>
      </c>
      <c r="W954" s="1">
        <v>44508</v>
      </c>
      <c r="X954" t="s">
        <v>1823</v>
      </c>
      <c r="Y954" t="s">
        <v>3809</v>
      </c>
      <c r="Z954" t="s">
        <v>83</v>
      </c>
      <c r="AA954">
        <v>1</v>
      </c>
      <c r="AB954" t="s">
        <v>103</v>
      </c>
      <c r="AD954" t="s">
        <v>343</v>
      </c>
      <c r="AE954" t="s">
        <v>145</v>
      </c>
      <c r="AF954" t="s">
        <v>146</v>
      </c>
      <c r="AG954" t="s">
        <v>3764</v>
      </c>
      <c r="AI954" t="s">
        <v>90</v>
      </c>
      <c r="AJ954">
        <v>32.440595000000002</v>
      </c>
      <c r="AK954">
        <v>-110.78707900000001</v>
      </c>
      <c r="AL954">
        <v>4</v>
      </c>
      <c r="AN954">
        <v>2763</v>
      </c>
      <c r="AP954">
        <v>2763</v>
      </c>
      <c r="AQ954">
        <v>2786.4992149999998</v>
      </c>
      <c r="AT954">
        <v>8</v>
      </c>
      <c r="AU954">
        <v>11</v>
      </c>
      <c r="AV954">
        <v>2021</v>
      </c>
      <c r="AW954">
        <v>2437967</v>
      </c>
      <c r="AX954">
        <v>2437967</v>
      </c>
      <c r="AY954" t="s">
        <v>106</v>
      </c>
      <c r="AZ954" t="s">
        <v>92</v>
      </c>
      <c r="BA954" t="s">
        <v>107</v>
      </c>
      <c r="BB954" t="s">
        <v>3810</v>
      </c>
      <c r="BC954" t="s">
        <v>1186</v>
      </c>
      <c r="BE954" t="s">
        <v>96</v>
      </c>
      <c r="BG954" t="s">
        <v>1186</v>
      </c>
      <c r="BI954" t="s">
        <v>98</v>
      </c>
      <c r="BJ954" t="s">
        <v>1827</v>
      </c>
      <c r="BL954" t="s">
        <v>110</v>
      </c>
    </row>
    <row r="955" spans="1:64" hidden="1" x14ac:dyDescent="0.2">
      <c r="A955">
        <v>1557</v>
      </c>
      <c r="B955">
        <v>3744741576</v>
      </c>
      <c r="C955" t="s">
        <v>101</v>
      </c>
      <c r="D955" t="s">
        <v>3811</v>
      </c>
      <c r="E955" t="s">
        <v>65</v>
      </c>
      <c r="F955" t="s">
        <v>66</v>
      </c>
      <c r="G955" t="s">
        <v>67</v>
      </c>
      <c r="H955" t="s">
        <v>68</v>
      </c>
      <c r="I955" t="s">
        <v>176</v>
      </c>
      <c r="J955" t="s">
        <v>177</v>
      </c>
      <c r="K955" t="s">
        <v>1817</v>
      </c>
      <c r="M955" t="s">
        <v>72</v>
      </c>
      <c r="N955" t="s">
        <v>1818</v>
      </c>
      <c r="O955" t="s">
        <v>1817</v>
      </c>
      <c r="P955" t="s">
        <v>1819</v>
      </c>
      <c r="Q955" t="s">
        <v>75</v>
      </c>
      <c r="R955" t="s">
        <v>3733</v>
      </c>
      <c r="S955" t="s">
        <v>3812</v>
      </c>
      <c r="T955" t="s">
        <v>78</v>
      </c>
      <c r="U955" t="s">
        <v>1822</v>
      </c>
      <c r="V955" t="s">
        <v>80</v>
      </c>
      <c r="W955" s="1">
        <v>44508</v>
      </c>
      <c r="X955" t="s">
        <v>1823</v>
      </c>
      <c r="Y955" t="s">
        <v>3813</v>
      </c>
      <c r="Z955" t="s">
        <v>83</v>
      </c>
      <c r="AA955">
        <v>1</v>
      </c>
      <c r="AB955" t="s">
        <v>103</v>
      </c>
      <c r="AD955" t="s">
        <v>343</v>
      </c>
      <c r="AE955" t="s">
        <v>145</v>
      </c>
      <c r="AF955" t="s">
        <v>146</v>
      </c>
      <c r="AG955" t="s">
        <v>1526</v>
      </c>
      <c r="AI955" t="s">
        <v>90</v>
      </c>
      <c r="AJ955">
        <v>32.440773999999998</v>
      </c>
      <c r="AK955">
        <v>-110.786979</v>
      </c>
      <c r="AL955">
        <v>3</v>
      </c>
      <c r="AN955">
        <v>2782</v>
      </c>
      <c r="AP955">
        <v>2782</v>
      </c>
      <c r="AQ955">
        <v>2789.0477719999999</v>
      </c>
      <c r="AT955">
        <v>8</v>
      </c>
      <c r="AU955">
        <v>11</v>
      </c>
      <c r="AV955">
        <v>2021</v>
      </c>
      <c r="AW955">
        <v>2437967</v>
      </c>
      <c r="AX955">
        <v>2437967</v>
      </c>
      <c r="AY955" t="s">
        <v>106</v>
      </c>
      <c r="AZ955" t="s">
        <v>92</v>
      </c>
      <c r="BA955" t="s">
        <v>107</v>
      </c>
      <c r="BB955" t="s">
        <v>3814</v>
      </c>
      <c r="BC955" t="s">
        <v>1186</v>
      </c>
      <c r="BE955" t="s">
        <v>96</v>
      </c>
      <c r="BG955" t="s">
        <v>1186</v>
      </c>
      <c r="BI955" t="s">
        <v>98</v>
      </c>
      <c r="BJ955" t="s">
        <v>1827</v>
      </c>
      <c r="BL955" t="s">
        <v>110</v>
      </c>
    </row>
    <row r="956" spans="1:64" hidden="1" x14ac:dyDescent="0.2">
      <c r="A956">
        <v>1577</v>
      </c>
      <c r="B956">
        <v>3744741556</v>
      </c>
      <c r="C956" t="s">
        <v>101</v>
      </c>
      <c r="D956" t="s">
        <v>3825</v>
      </c>
      <c r="E956" t="s">
        <v>65</v>
      </c>
      <c r="F956" t="s">
        <v>66</v>
      </c>
      <c r="G956" t="s">
        <v>67</v>
      </c>
      <c r="H956" t="s">
        <v>68</v>
      </c>
      <c r="I956" t="s">
        <v>69</v>
      </c>
      <c r="J956" t="s">
        <v>70</v>
      </c>
      <c r="K956" t="s">
        <v>71</v>
      </c>
      <c r="M956" t="s">
        <v>72</v>
      </c>
      <c r="N956" t="s">
        <v>73</v>
      </c>
      <c r="O956" t="s">
        <v>71</v>
      </c>
      <c r="P956" t="s">
        <v>74</v>
      </c>
      <c r="Q956" t="s">
        <v>75</v>
      </c>
      <c r="R956" t="s">
        <v>3816</v>
      </c>
      <c r="S956" t="s">
        <v>3762</v>
      </c>
      <c r="T956" t="s">
        <v>78</v>
      </c>
      <c r="U956" t="s">
        <v>3817</v>
      </c>
      <c r="V956" t="s">
        <v>80</v>
      </c>
      <c r="W956" s="1">
        <v>44519</v>
      </c>
      <c r="X956" t="s">
        <v>3818</v>
      </c>
      <c r="Y956" t="s">
        <v>3819</v>
      </c>
      <c r="Z956" t="s">
        <v>83</v>
      </c>
      <c r="AA956">
        <v>1</v>
      </c>
      <c r="AB956" t="s">
        <v>103</v>
      </c>
      <c r="AD956" t="s">
        <v>112</v>
      </c>
      <c r="AE956" t="s">
        <v>86</v>
      </c>
      <c r="AF956" t="s">
        <v>146</v>
      </c>
      <c r="AG956" t="s">
        <v>3821</v>
      </c>
      <c r="AH956" t="s">
        <v>3826</v>
      </c>
      <c r="AI956" t="s">
        <v>90</v>
      </c>
      <c r="AJ956">
        <v>32.515846000000003</v>
      </c>
      <c r="AK956">
        <v>-110.688399</v>
      </c>
      <c r="AL956">
        <v>3</v>
      </c>
      <c r="AN956">
        <v>1356</v>
      </c>
      <c r="AP956">
        <v>1356</v>
      </c>
      <c r="AQ956">
        <v>1364.8739800000001</v>
      </c>
      <c r="AT956">
        <v>19</v>
      </c>
      <c r="AU956">
        <v>11</v>
      </c>
      <c r="AV956">
        <v>2021</v>
      </c>
      <c r="AW956">
        <v>2439581</v>
      </c>
      <c r="AX956">
        <v>2439581</v>
      </c>
      <c r="AY956" t="s">
        <v>106</v>
      </c>
      <c r="AZ956" t="s">
        <v>92</v>
      </c>
      <c r="BA956" t="s">
        <v>107</v>
      </c>
      <c r="BB956" t="s">
        <v>3827</v>
      </c>
      <c r="BC956" t="s">
        <v>97</v>
      </c>
      <c r="BE956" t="s">
        <v>96</v>
      </c>
      <c r="BG956" t="s">
        <v>97</v>
      </c>
      <c r="BI956" t="s">
        <v>98</v>
      </c>
      <c r="BJ956" t="s">
        <v>2358</v>
      </c>
      <c r="BL956" t="s">
        <v>110</v>
      </c>
    </row>
    <row r="957" spans="1:64" hidden="1" x14ac:dyDescent="0.2">
      <c r="A957">
        <v>1575</v>
      </c>
      <c r="B957">
        <v>3744741558</v>
      </c>
      <c r="C957" t="s">
        <v>101</v>
      </c>
      <c r="D957" t="s">
        <v>3828</v>
      </c>
      <c r="E957" t="s">
        <v>65</v>
      </c>
      <c r="F957" t="s">
        <v>66</v>
      </c>
      <c r="G957" t="s">
        <v>67</v>
      </c>
      <c r="H957" t="s">
        <v>68</v>
      </c>
      <c r="I957" t="s">
        <v>69</v>
      </c>
      <c r="J957" t="s">
        <v>70</v>
      </c>
      <c r="K957" t="s">
        <v>71</v>
      </c>
      <c r="M957" t="s">
        <v>72</v>
      </c>
      <c r="N957" t="s">
        <v>73</v>
      </c>
      <c r="O957" t="s">
        <v>71</v>
      </c>
      <c r="P957" t="s">
        <v>74</v>
      </c>
      <c r="Q957" t="s">
        <v>75</v>
      </c>
      <c r="R957" t="s">
        <v>3816</v>
      </c>
      <c r="S957" t="s">
        <v>3762</v>
      </c>
      <c r="T957" t="s">
        <v>78</v>
      </c>
      <c r="U957" t="s">
        <v>3817</v>
      </c>
      <c r="V957" t="s">
        <v>80</v>
      </c>
      <c r="W957" s="1">
        <v>44519</v>
      </c>
      <c r="X957" t="s">
        <v>3818</v>
      </c>
      <c r="Y957" t="s">
        <v>3819</v>
      </c>
      <c r="Z957" t="s">
        <v>83</v>
      </c>
      <c r="AA957">
        <v>1</v>
      </c>
      <c r="AB957" t="s">
        <v>103</v>
      </c>
      <c r="AD957" t="s">
        <v>116</v>
      </c>
      <c r="AE957" t="s">
        <v>86</v>
      </c>
      <c r="AF957" t="s">
        <v>146</v>
      </c>
      <c r="AG957" t="s">
        <v>3821</v>
      </c>
      <c r="AH957" t="s">
        <v>3826</v>
      </c>
      <c r="AI957" t="s">
        <v>90</v>
      </c>
      <c r="AJ957">
        <v>32.515846000000003</v>
      </c>
      <c r="AK957">
        <v>-110.688399</v>
      </c>
      <c r="AL957">
        <v>3</v>
      </c>
      <c r="AN957">
        <v>1356</v>
      </c>
      <c r="AP957">
        <v>1356</v>
      </c>
      <c r="AQ957">
        <v>1364.8739800000001</v>
      </c>
      <c r="AT957">
        <v>19</v>
      </c>
      <c r="AU957">
        <v>11</v>
      </c>
      <c r="AV957">
        <v>2021</v>
      </c>
      <c r="AW957">
        <v>2439581</v>
      </c>
      <c r="AX957">
        <v>2439581</v>
      </c>
      <c r="AY957" t="s">
        <v>106</v>
      </c>
      <c r="AZ957" t="s">
        <v>92</v>
      </c>
      <c r="BA957" t="s">
        <v>107</v>
      </c>
      <c r="BB957" t="s">
        <v>3829</v>
      </c>
      <c r="BC957" t="s">
        <v>97</v>
      </c>
      <c r="BE957" t="s">
        <v>96</v>
      </c>
      <c r="BG957" t="s">
        <v>97</v>
      </c>
      <c r="BI957" t="s">
        <v>98</v>
      </c>
      <c r="BJ957" t="s">
        <v>2358</v>
      </c>
      <c r="BL957" t="s">
        <v>110</v>
      </c>
    </row>
    <row r="958" spans="1:64" hidden="1" x14ac:dyDescent="0.2">
      <c r="A958">
        <v>1580</v>
      </c>
      <c r="B958">
        <v>3744741553</v>
      </c>
      <c r="C958" t="s">
        <v>101</v>
      </c>
      <c r="D958" t="s">
        <v>3830</v>
      </c>
      <c r="E958" t="s">
        <v>65</v>
      </c>
      <c r="F958" t="s">
        <v>66</v>
      </c>
      <c r="G958" t="s">
        <v>67</v>
      </c>
      <c r="H958" t="s">
        <v>68</v>
      </c>
      <c r="I958" t="s">
        <v>69</v>
      </c>
      <c r="J958" t="s">
        <v>70</v>
      </c>
      <c r="K958" t="s">
        <v>71</v>
      </c>
      <c r="M958" t="s">
        <v>72</v>
      </c>
      <c r="N958" t="s">
        <v>73</v>
      </c>
      <c r="O958" t="s">
        <v>71</v>
      </c>
      <c r="P958" t="s">
        <v>74</v>
      </c>
      <c r="Q958" t="s">
        <v>75</v>
      </c>
      <c r="R958" t="s">
        <v>3816</v>
      </c>
      <c r="S958" t="s">
        <v>3762</v>
      </c>
      <c r="T958" t="s">
        <v>78</v>
      </c>
      <c r="U958" t="s">
        <v>3817</v>
      </c>
      <c r="V958" t="s">
        <v>80</v>
      </c>
      <c r="W958" s="1">
        <v>44519</v>
      </c>
      <c r="X958" t="s">
        <v>3818</v>
      </c>
      <c r="Y958" t="s">
        <v>3819</v>
      </c>
      <c r="Z958" t="s">
        <v>83</v>
      </c>
      <c r="AA958">
        <v>1</v>
      </c>
      <c r="AB958" t="s">
        <v>103</v>
      </c>
      <c r="AD958" t="s">
        <v>123</v>
      </c>
      <c r="AE958" t="s">
        <v>86</v>
      </c>
      <c r="AF958" t="s">
        <v>146</v>
      </c>
      <c r="AG958" t="s">
        <v>3821</v>
      </c>
      <c r="AH958" t="s">
        <v>3826</v>
      </c>
      <c r="AI958" t="s">
        <v>90</v>
      </c>
      <c r="AJ958">
        <v>32.515846000000003</v>
      </c>
      <c r="AK958">
        <v>-110.688399</v>
      </c>
      <c r="AL958">
        <v>3</v>
      </c>
      <c r="AN958">
        <v>1356</v>
      </c>
      <c r="AP958">
        <v>1356</v>
      </c>
      <c r="AQ958">
        <v>1364.8739800000001</v>
      </c>
      <c r="AT958">
        <v>19</v>
      </c>
      <c r="AU958">
        <v>11</v>
      </c>
      <c r="AV958">
        <v>2021</v>
      </c>
      <c r="AW958">
        <v>2439581</v>
      </c>
      <c r="AX958">
        <v>2439581</v>
      </c>
      <c r="AY958" t="s">
        <v>106</v>
      </c>
      <c r="AZ958" t="s">
        <v>92</v>
      </c>
      <c r="BA958" t="s">
        <v>107</v>
      </c>
      <c r="BB958" t="s">
        <v>3831</v>
      </c>
      <c r="BC958" t="s">
        <v>97</v>
      </c>
      <c r="BE958" t="s">
        <v>96</v>
      </c>
      <c r="BG958" t="s">
        <v>97</v>
      </c>
      <c r="BI958" t="s">
        <v>98</v>
      </c>
      <c r="BJ958" t="s">
        <v>2361</v>
      </c>
      <c r="BL958" t="s">
        <v>110</v>
      </c>
    </row>
    <row r="959" spans="1:64" x14ac:dyDescent="0.2">
      <c r="A959">
        <v>1132</v>
      </c>
      <c r="B959">
        <v>4027014317</v>
      </c>
      <c r="C959" t="s">
        <v>63</v>
      </c>
      <c r="D959" t="s">
        <v>2176</v>
      </c>
      <c r="E959" t="s">
        <v>65</v>
      </c>
      <c r="F959" t="s">
        <v>66</v>
      </c>
      <c r="G959" t="s">
        <v>67</v>
      </c>
      <c r="H959" t="s">
        <v>68</v>
      </c>
      <c r="I959" t="s">
        <v>350</v>
      </c>
      <c r="J959" t="s">
        <v>351</v>
      </c>
      <c r="K959" t="s">
        <v>352</v>
      </c>
      <c r="M959" t="s">
        <v>72</v>
      </c>
      <c r="N959" t="s">
        <v>353</v>
      </c>
      <c r="O959" t="s">
        <v>352</v>
      </c>
      <c r="P959" t="s">
        <v>180</v>
      </c>
      <c r="Q959" t="s">
        <v>75</v>
      </c>
      <c r="R959" t="s">
        <v>2168</v>
      </c>
      <c r="S959" t="s">
        <v>2177</v>
      </c>
      <c r="T959" t="s">
        <v>78</v>
      </c>
      <c r="U959" t="s">
        <v>1822</v>
      </c>
      <c r="V959" t="s">
        <v>80</v>
      </c>
      <c r="W959" s="1">
        <v>44696</v>
      </c>
      <c r="X959" t="s">
        <v>1859</v>
      </c>
      <c r="Y959" t="s">
        <v>2178</v>
      </c>
      <c r="Z959" t="s">
        <v>83</v>
      </c>
      <c r="AA959">
        <v>1</v>
      </c>
      <c r="AB959" t="s">
        <v>2179</v>
      </c>
      <c r="AC959">
        <v>1</v>
      </c>
      <c r="AD959" s="6" t="s">
        <v>85</v>
      </c>
      <c r="AE959" s="6" t="s">
        <v>145</v>
      </c>
      <c r="AF959" s="6" t="s">
        <v>146</v>
      </c>
      <c r="AG959" s="6" t="s">
        <v>2180</v>
      </c>
      <c r="AH959" s="6" t="s">
        <v>2181</v>
      </c>
      <c r="AI959" s="6" t="s">
        <v>90</v>
      </c>
      <c r="AJ959" s="6">
        <v>32.422614000000003</v>
      </c>
      <c r="AK959" s="6">
        <v>-110.73336399999999</v>
      </c>
      <c r="AL959" s="6">
        <v>174</v>
      </c>
      <c r="AM959" s="6"/>
      <c r="AN959" s="6"/>
      <c r="AO959" s="6"/>
      <c r="AP959" s="6">
        <v>2419.8365840000001</v>
      </c>
      <c r="AQ959" s="6">
        <v>2419.8365840000001</v>
      </c>
      <c r="AR959" s="6"/>
      <c r="AS959" s="6"/>
      <c r="AT959" s="6">
        <v>15</v>
      </c>
      <c r="AU959" s="6">
        <v>5</v>
      </c>
      <c r="AV959" s="6">
        <v>2022</v>
      </c>
      <c r="AW959" s="6">
        <v>4972385</v>
      </c>
      <c r="AX959" s="6">
        <v>2437431</v>
      </c>
      <c r="AY959" s="6" t="s">
        <v>91</v>
      </c>
      <c r="AZ959" t="s">
        <v>92</v>
      </c>
      <c r="BA959" t="s">
        <v>93</v>
      </c>
      <c r="BB959" t="s">
        <v>2182</v>
      </c>
      <c r="BC959" t="s">
        <v>97</v>
      </c>
      <c r="BE959" t="s">
        <v>96</v>
      </c>
      <c r="BG959" t="s">
        <v>1865</v>
      </c>
      <c r="BI959" t="s">
        <v>98</v>
      </c>
      <c r="BJ959" t="s">
        <v>1866</v>
      </c>
      <c r="BK959" t="s">
        <v>365</v>
      </c>
      <c r="BL959" t="s">
        <v>407</v>
      </c>
    </row>
    <row r="960" spans="1:64" hidden="1" x14ac:dyDescent="0.2">
      <c r="A960">
        <v>1581</v>
      </c>
      <c r="B960">
        <v>3744741552</v>
      </c>
      <c r="C960" t="s">
        <v>101</v>
      </c>
      <c r="D960" t="s">
        <v>3835</v>
      </c>
      <c r="E960" t="s">
        <v>65</v>
      </c>
      <c r="F960" t="s">
        <v>66</v>
      </c>
      <c r="G960" t="s">
        <v>67</v>
      </c>
      <c r="H960" t="s">
        <v>68</v>
      </c>
      <c r="I960" t="s">
        <v>69</v>
      </c>
      <c r="J960" t="s">
        <v>70</v>
      </c>
      <c r="K960" t="s">
        <v>71</v>
      </c>
      <c r="M960" t="s">
        <v>72</v>
      </c>
      <c r="N960" t="s">
        <v>73</v>
      </c>
      <c r="O960" t="s">
        <v>71</v>
      </c>
      <c r="P960" t="s">
        <v>74</v>
      </c>
      <c r="Q960" t="s">
        <v>75</v>
      </c>
      <c r="R960" t="s">
        <v>3816</v>
      </c>
      <c r="S960" t="s">
        <v>3762</v>
      </c>
      <c r="T960" t="s">
        <v>78</v>
      </c>
      <c r="U960" t="s">
        <v>3817</v>
      </c>
      <c r="V960" t="s">
        <v>80</v>
      </c>
      <c r="W960" s="1">
        <v>44519</v>
      </c>
      <c r="X960" t="s">
        <v>3818</v>
      </c>
      <c r="Y960" t="s">
        <v>3819</v>
      </c>
      <c r="Z960" t="s">
        <v>83</v>
      </c>
      <c r="AA960">
        <v>1</v>
      </c>
      <c r="AB960" t="s">
        <v>103</v>
      </c>
      <c r="AD960" t="s">
        <v>139</v>
      </c>
      <c r="AE960" t="s">
        <v>86</v>
      </c>
      <c r="AF960" t="s">
        <v>146</v>
      </c>
      <c r="AG960" t="s">
        <v>3821</v>
      </c>
      <c r="AH960" t="s">
        <v>3826</v>
      </c>
      <c r="AI960" t="s">
        <v>90</v>
      </c>
      <c r="AJ960">
        <v>32.515846000000003</v>
      </c>
      <c r="AK960">
        <v>-110.688399</v>
      </c>
      <c r="AL960">
        <v>3</v>
      </c>
      <c r="AN960">
        <v>1356</v>
      </c>
      <c r="AP960">
        <v>1356</v>
      </c>
      <c r="AQ960">
        <v>1364.8739800000001</v>
      </c>
      <c r="AT960">
        <v>19</v>
      </c>
      <c r="AU960">
        <v>11</v>
      </c>
      <c r="AV960">
        <v>2021</v>
      </c>
      <c r="AW960">
        <v>2439581</v>
      </c>
      <c r="AX960">
        <v>2439581</v>
      </c>
      <c r="AY960" t="s">
        <v>106</v>
      </c>
      <c r="AZ960" t="s">
        <v>92</v>
      </c>
      <c r="BA960" t="s">
        <v>107</v>
      </c>
      <c r="BB960" t="s">
        <v>3836</v>
      </c>
      <c r="BC960" t="s">
        <v>97</v>
      </c>
      <c r="BE960" t="s">
        <v>96</v>
      </c>
      <c r="BG960" t="s">
        <v>97</v>
      </c>
      <c r="BI960" t="s">
        <v>98</v>
      </c>
      <c r="BJ960" t="s">
        <v>2361</v>
      </c>
      <c r="BL960" t="s">
        <v>110</v>
      </c>
    </row>
    <row r="961" spans="1:64" hidden="1" x14ac:dyDescent="0.2">
      <c r="A961">
        <v>1583</v>
      </c>
      <c r="B961">
        <v>3744741550</v>
      </c>
      <c r="C961" t="s">
        <v>101</v>
      </c>
      <c r="D961" t="s">
        <v>3837</v>
      </c>
      <c r="E961" t="s">
        <v>65</v>
      </c>
      <c r="F961" t="s">
        <v>66</v>
      </c>
      <c r="G961" t="s">
        <v>67</v>
      </c>
      <c r="H961" t="s">
        <v>68</v>
      </c>
      <c r="I961" t="s">
        <v>69</v>
      </c>
      <c r="J961" t="s">
        <v>70</v>
      </c>
      <c r="K961" t="s">
        <v>71</v>
      </c>
      <c r="M961" t="s">
        <v>72</v>
      </c>
      <c r="N961" t="s">
        <v>73</v>
      </c>
      <c r="O961" t="s">
        <v>71</v>
      </c>
      <c r="P961" t="s">
        <v>74</v>
      </c>
      <c r="Q961" t="s">
        <v>75</v>
      </c>
      <c r="R961" t="s">
        <v>3816</v>
      </c>
      <c r="S961" t="s">
        <v>3762</v>
      </c>
      <c r="T961" t="s">
        <v>78</v>
      </c>
      <c r="U961" t="s">
        <v>3817</v>
      </c>
      <c r="V961" t="s">
        <v>80</v>
      </c>
      <c r="W961" s="1">
        <v>44519</v>
      </c>
      <c r="X961" t="s">
        <v>3818</v>
      </c>
      <c r="Y961" t="s">
        <v>3819</v>
      </c>
      <c r="Z961" t="s">
        <v>83</v>
      </c>
      <c r="AA961">
        <v>1</v>
      </c>
      <c r="AB961" t="s">
        <v>103</v>
      </c>
      <c r="AD961" t="s">
        <v>104</v>
      </c>
      <c r="AE961" t="s">
        <v>86</v>
      </c>
      <c r="AF961" t="s">
        <v>146</v>
      </c>
      <c r="AG961" t="s">
        <v>3821</v>
      </c>
      <c r="AH961" t="s">
        <v>3826</v>
      </c>
      <c r="AI961" t="s">
        <v>90</v>
      </c>
      <c r="AJ961">
        <v>32.515846000000003</v>
      </c>
      <c r="AK961">
        <v>-110.688399</v>
      </c>
      <c r="AL961">
        <v>3</v>
      </c>
      <c r="AN961">
        <v>1356</v>
      </c>
      <c r="AP961">
        <v>1356</v>
      </c>
      <c r="AQ961">
        <v>1364.8739800000001</v>
      </c>
      <c r="AT961">
        <v>19</v>
      </c>
      <c r="AU961">
        <v>11</v>
      </c>
      <c r="AV961">
        <v>2021</v>
      </c>
      <c r="AW961">
        <v>2439581</v>
      </c>
      <c r="AX961">
        <v>2439581</v>
      </c>
      <c r="AY961" t="s">
        <v>106</v>
      </c>
      <c r="AZ961" t="s">
        <v>92</v>
      </c>
      <c r="BA961" t="s">
        <v>107</v>
      </c>
      <c r="BB961" t="s">
        <v>3838</v>
      </c>
      <c r="BC961" t="s">
        <v>97</v>
      </c>
      <c r="BE961" t="s">
        <v>96</v>
      </c>
      <c r="BG961" t="s">
        <v>97</v>
      </c>
      <c r="BI961" t="s">
        <v>98</v>
      </c>
      <c r="BJ961" t="s">
        <v>2361</v>
      </c>
      <c r="BL961" t="s">
        <v>110</v>
      </c>
    </row>
    <row r="962" spans="1:64" hidden="1" x14ac:dyDescent="0.2">
      <c r="A962">
        <v>1582</v>
      </c>
      <c r="B962">
        <v>3744741551</v>
      </c>
      <c r="C962" t="s">
        <v>101</v>
      </c>
      <c r="D962" t="s">
        <v>3839</v>
      </c>
      <c r="E962" t="s">
        <v>65</v>
      </c>
      <c r="F962" t="s">
        <v>66</v>
      </c>
      <c r="G962" t="s">
        <v>67</v>
      </c>
      <c r="H962" t="s">
        <v>68</v>
      </c>
      <c r="I962" t="s">
        <v>69</v>
      </c>
      <c r="J962" t="s">
        <v>70</v>
      </c>
      <c r="K962" t="s">
        <v>71</v>
      </c>
      <c r="M962" t="s">
        <v>72</v>
      </c>
      <c r="N962" t="s">
        <v>73</v>
      </c>
      <c r="O962" t="s">
        <v>71</v>
      </c>
      <c r="P962" t="s">
        <v>74</v>
      </c>
      <c r="Q962" t="s">
        <v>75</v>
      </c>
      <c r="R962" t="s">
        <v>3816</v>
      </c>
      <c r="S962" t="s">
        <v>3762</v>
      </c>
      <c r="T962" t="s">
        <v>78</v>
      </c>
      <c r="U962" t="s">
        <v>3817</v>
      </c>
      <c r="V962" t="s">
        <v>80</v>
      </c>
      <c r="W962" s="1">
        <v>44519</v>
      </c>
      <c r="X962" t="s">
        <v>3818</v>
      </c>
      <c r="Y962" t="s">
        <v>3819</v>
      </c>
      <c r="Z962" t="s">
        <v>83</v>
      </c>
      <c r="AA962">
        <v>1</v>
      </c>
      <c r="AB962" t="s">
        <v>3840</v>
      </c>
      <c r="AD962" t="s">
        <v>134</v>
      </c>
      <c r="AE962" t="s">
        <v>86</v>
      </c>
      <c r="AF962" t="s">
        <v>146</v>
      </c>
      <c r="AG962" t="s">
        <v>3821</v>
      </c>
      <c r="AH962" t="s">
        <v>3841</v>
      </c>
      <c r="AI962" t="s">
        <v>90</v>
      </c>
      <c r="AJ962">
        <v>32.515846000000003</v>
      </c>
      <c r="AK962">
        <v>-110.688399</v>
      </c>
      <c r="AL962">
        <v>3</v>
      </c>
      <c r="AN962">
        <v>1356</v>
      </c>
      <c r="AP962">
        <v>1356</v>
      </c>
      <c r="AQ962">
        <v>1364.8739800000001</v>
      </c>
      <c r="AT962">
        <v>19</v>
      </c>
      <c r="AU962">
        <v>11</v>
      </c>
      <c r="AV962">
        <v>2021</v>
      </c>
      <c r="AW962">
        <v>2439581</v>
      </c>
      <c r="AX962">
        <v>2439581</v>
      </c>
      <c r="AY962" t="s">
        <v>106</v>
      </c>
      <c r="AZ962" t="s">
        <v>92</v>
      </c>
      <c r="BA962" t="s">
        <v>107</v>
      </c>
      <c r="BB962" t="s">
        <v>3842</v>
      </c>
      <c r="BC962" t="s">
        <v>97</v>
      </c>
      <c r="BE962" t="s">
        <v>96</v>
      </c>
      <c r="BG962" t="s">
        <v>97</v>
      </c>
      <c r="BI962" t="s">
        <v>98</v>
      </c>
      <c r="BJ962" t="s">
        <v>2361</v>
      </c>
      <c r="BL962" t="s">
        <v>110</v>
      </c>
    </row>
    <row r="963" spans="1:64" hidden="1" x14ac:dyDescent="0.2">
      <c r="A963">
        <v>1585</v>
      </c>
      <c r="B963">
        <v>3744741548</v>
      </c>
      <c r="C963" t="s">
        <v>101</v>
      </c>
      <c r="D963" t="s">
        <v>3854</v>
      </c>
      <c r="E963" t="s">
        <v>65</v>
      </c>
      <c r="F963" t="s">
        <v>66</v>
      </c>
      <c r="G963" t="s">
        <v>67</v>
      </c>
      <c r="H963" t="s">
        <v>68</v>
      </c>
      <c r="I963" t="s">
        <v>176</v>
      </c>
      <c r="J963" t="s">
        <v>3844</v>
      </c>
      <c r="K963" t="s">
        <v>3845</v>
      </c>
      <c r="M963" t="s">
        <v>72</v>
      </c>
      <c r="N963" t="s">
        <v>3846</v>
      </c>
      <c r="O963" t="s">
        <v>3845</v>
      </c>
      <c r="P963" t="s">
        <v>3847</v>
      </c>
      <c r="Q963" t="s">
        <v>75</v>
      </c>
      <c r="R963" t="s">
        <v>3816</v>
      </c>
      <c r="S963" t="s">
        <v>3734</v>
      </c>
      <c r="T963" t="s">
        <v>78</v>
      </c>
      <c r="U963" t="s">
        <v>3817</v>
      </c>
      <c r="V963" t="s">
        <v>80</v>
      </c>
      <c r="W963" s="1">
        <v>44519</v>
      </c>
      <c r="X963" t="s">
        <v>3818</v>
      </c>
      <c r="Y963" t="s">
        <v>3848</v>
      </c>
      <c r="Z963" t="s">
        <v>83</v>
      </c>
      <c r="AA963">
        <v>1</v>
      </c>
      <c r="AB963" t="s">
        <v>103</v>
      </c>
      <c r="AD963" t="s">
        <v>116</v>
      </c>
      <c r="AE963" t="s">
        <v>86</v>
      </c>
      <c r="AF963" t="s">
        <v>146</v>
      </c>
      <c r="AG963" t="s">
        <v>3850</v>
      </c>
      <c r="AH963" t="s">
        <v>3855</v>
      </c>
      <c r="AI963" t="s">
        <v>90</v>
      </c>
      <c r="AJ963">
        <v>32.516151999999998</v>
      </c>
      <c r="AK963">
        <v>-110.688148</v>
      </c>
      <c r="AL963">
        <v>3</v>
      </c>
      <c r="AN963">
        <v>1356</v>
      </c>
      <c r="AP963">
        <v>1356</v>
      </c>
      <c r="AQ963">
        <v>1363.5597660000001</v>
      </c>
      <c r="AT963">
        <v>19</v>
      </c>
      <c r="AU963">
        <v>11</v>
      </c>
      <c r="AV963">
        <v>2021</v>
      </c>
      <c r="AW963">
        <v>2438516</v>
      </c>
      <c r="AX963">
        <v>2438516</v>
      </c>
      <c r="AY963" t="s">
        <v>106</v>
      </c>
      <c r="AZ963" t="s">
        <v>92</v>
      </c>
      <c r="BA963" t="s">
        <v>107</v>
      </c>
      <c r="BB963" t="s">
        <v>3856</v>
      </c>
      <c r="BC963" t="s">
        <v>97</v>
      </c>
      <c r="BE963" t="s">
        <v>96</v>
      </c>
      <c r="BG963" t="s">
        <v>97</v>
      </c>
      <c r="BI963" t="s">
        <v>98</v>
      </c>
      <c r="BJ963" t="s">
        <v>2378</v>
      </c>
      <c r="BL963" t="s">
        <v>110</v>
      </c>
    </row>
    <row r="964" spans="1:64" hidden="1" x14ac:dyDescent="0.2">
      <c r="A964">
        <v>1584</v>
      </c>
      <c r="B964">
        <v>3744741549</v>
      </c>
      <c r="C964" t="s">
        <v>101</v>
      </c>
      <c r="D964" t="s">
        <v>3857</v>
      </c>
      <c r="E964" t="s">
        <v>65</v>
      </c>
      <c r="F964" t="s">
        <v>66</v>
      </c>
      <c r="G964" t="s">
        <v>67</v>
      </c>
      <c r="H964" t="s">
        <v>68</v>
      </c>
      <c r="I964" t="s">
        <v>176</v>
      </c>
      <c r="J964" t="s">
        <v>3844</v>
      </c>
      <c r="K964" t="s">
        <v>3845</v>
      </c>
      <c r="M964" t="s">
        <v>72</v>
      </c>
      <c r="N964" t="s">
        <v>3846</v>
      </c>
      <c r="O964" t="s">
        <v>3845</v>
      </c>
      <c r="P964" t="s">
        <v>3847</v>
      </c>
      <c r="Q964" t="s">
        <v>75</v>
      </c>
      <c r="R964" t="s">
        <v>3816</v>
      </c>
      <c r="S964" t="s">
        <v>3734</v>
      </c>
      <c r="T964" t="s">
        <v>78</v>
      </c>
      <c r="U964" t="s">
        <v>3817</v>
      </c>
      <c r="V964" t="s">
        <v>80</v>
      </c>
      <c r="W964" s="1">
        <v>44519</v>
      </c>
      <c r="X964" t="s">
        <v>3818</v>
      </c>
      <c r="Y964" t="s">
        <v>3848</v>
      </c>
      <c r="Z964" t="s">
        <v>83</v>
      </c>
      <c r="AA964">
        <v>1</v>
      </c>
      <c r="AB964" t="s">
        <v>103</v>
      </c>
      <c r="AD964" t="s">
        <v>104</v>
      </c>
      <c r="AE964" t="s">
        <v>86</v>
      </c>
      <c r="AF964" t="s">
        <v>146</v>
      </c>
      <c r="AG964" t="s">
        <v>3850</v>
      </c>
      <c r="AH964" t="s">
        <v>3855</v>
      </c>
      <c r="AI964" t="s">
        <v>90</v>
      </c>
      <c r="AJ964">
        <v>32.516151999999998</v>
      </c>
      <c r="AK964">
        <v>-110.688148</v>
      </c>
      <c r="AL964">
        <v>3</v>
      </c>
      <c r="AN964">
        <v>1356</v>
      </c>
      <c r="AP964">
        <v>1356</v>
      </c>
      <c r="AQ964">
        <v>1363.5597660000001</v>
      </c>
      <c r="AT964">
        <v>19</v>
      </c>
      <c r="AU964">
        <v>11</v>
      </c>
      <c r="AV964">
        <v>2021</v>
      </c>
      <c r="AW964">
        <v>2438516</v>
      </c>
      <c r="AX964">
        <v>2438516</v>
      </c>
      <c r="AY964" t="s">
        <v>106</v>
      </c>
      <c r="AZ964" t="s">
        <v>92</v>
      </c>
      <c r="BA964" t="s">
        <v>107</v>
      </c>
      <c r="BB964" t="s">
        <v>3858</v>
      </c>
      <c r="BC964" t="s">
        <v>97</v>
      </c>
      <c r="BE964" t="s">
        <v>96</v>
      </c>
      <c r="BG964" t="s">
        <v>97</v>
      </c>
      <c r="BI964" t="s">
        <v>98</v>
      </c>
      <c r="BJ964" t="s">
        <v>1837</v>
      </c>
      <c r="BL964" t="s">
        <v>110</v>
      </c>
    </row>
    <row r="965" spans="1:64" x14ac:dyDescent="0.2">
      <c r="A965">
        <v>353</v>
      </c>
      <c r="B965">
        <v>4403380312</v>
      </c>
      <c r="C965" t="s">
        <v>63</v>
      </c>
      <c r="D965" t="s">
        <v>349</v>
      </c>
      <c r="E965" t="s">
        <v>65</v>
      </c>
      <c r="F965" t="s">
        <v>66</v>
      </c>
      <c r="G965" t="s">
        <v>67</v>
      </c>
      <c r="H965" t="s">
        <v>68</v>
      </c>
      <c r="I965" t="s">
        <v>350</v>
      </c>
      <c r="J965" t="s">
        <v>351</v>
      </c>
      <c r="K965" t="s">
        <v>352</v>
      </c>
      <c r="M965" t="s">
        <v>72</v>
      </c>
      <c r="N965" t="s">
        <v>353</v>
      </c>
      <c r="O965" t="s">
        <v>352</v>
      </c>
      <c r="P965" t="s">
        <v>180</v>
      </c>
      <c r="Q965" t="s">
        <v>75</v>
      </c>
      <c r="R965" t="s">
        <v>354</v>
      </c>
      <c r="S965" t="s">
        <v>355</v>
      </c>
      <c r="T965" t="s">
        <v>78</v>
      </c>
      <c r="U965" t="s">
        <v>79</v>
      </c>
      <c r="V965" t="s">
        <v>80</v>
      </c>
      <c r="W965" s="1">
        <v>45115</v>
      </c>
      <c r="X965" t="s">
        <v>356</v>
      </c>
      <c r="Y965" t="s">
        <v>357</v>
      </c>
      <c r="Z965" t="s">
        <v>83</v>
      </c>
      <c r="AA965">
        <v>1</v>
      </c>
      <c r="AB965" t="s">
        <v>358</v>
      </c>
      <c r="AC965">
        <v>1</v>
      </c>
      <c r="AD965" s="6" t="s">
        <v>85</v>
      </c>
      <c r="AE965" s="6" t="s">
        <v>145</v>
      </c>
      <c r="AF965" s="6" t="s">
        <v>359</v>
      </c>
      <c r="AG965" s="6" t="s">
        <v>360</v>
      </c>
      <c r="AH965" s="6" t="s">
        <v>361</v>
      </c>
      <c r="AI965" s="6" t="s">
        <v>90</v>
      </c>
      <c r="AJ965" s="6">
        <v>32.372172999999997</v>
      </c>
      <c r="AK965" s="6">
        <v>-110.70312199999999</v>
      </c>
      <c r="AL965" s="6">
        <v>3</v>
      </c>
      <c r="AM965" s="6"/>
      <c r="AN965" s="6">
        <v>1891</v>
      </c>
      <c r="AO965" s="6"/>
      <c r="AP965" s="6">
        <v>1891</v>
      </c>
      <c r="AQ965" s="6">
        <v>1902.1531339999999</v>
      </c>
      <c r="AR965" s="6"/>
      <c r="AS965" s="6"/>
      <c r="AT965" s="6">
        <v>8</v>
      </c>
      <c r="AU965" s="6">
        <v>7</v>
      </c>
      <c r="AV965" s="6">
        <v>2023</v>
      </c>
      <c r="AW965" s="6">
        <v>4972385</v>
      </c>
      <c r="AX965" s="6">
        <v>2437431</v>
      </c>
      <c r="AY965" s="6" t="s">
        <v>91</v>
      </c>
      <c r="AZ965" t="s">
        <v>92</v>
      </c>
      <c r="BA965" t="s">
        <v>93</v>
      </c>
      <c r="BB965" t="s">
        <v>362</v>
      </c>
      <c r="BC965" t="s">
        <v>95</v>
      </c>
      <c r="BD965" s="1">
        <v>45115</v>
      </c>
      <c r="BE965" t="s">
        <v>96</v>
      </c>
      <c r="BG965" t="s">
        <v>363</v>
      </c>
      <c r="BI965" t="s">
        <v>98</v>
      </c>
      <c r="BJ965" t="s">
        <v>364</v>
      </c>
      <c r="BK965" t="s">
        <v>365</v>
      </c>
      <c r="BL965" t="s">
        <v>100</v>
      </c>
    </row>
    <row r="966" spans="1:64" hidden="1" x14ac:dyDescent="0.2">
      <c r="A966">
        <v>1586</v>
      </c>
      <c r="B966">
        <v>3744741547</v>
      </c>
      <c r="C966" t="s">
        <v>101</v>
      </c>
      <c r="D966" t="s">
        <v>3861</v>
      </c>
      <c r="E966" t="s">
        <v>65</v>
      </c>
      <c r="F966" t="s">
        <v>66</v>
      </c>
      <c r="G966" t="s">
        <v>67</v>
      </c>
      <c r="H966" t="s">
        <v>68</v>
      </c>
      <c r="I966" t="s">
        <v>176</v>
      </c>
      <c r="J966" t="s">
        <v>3844</v>
      </c>
      <c r="K966" t="s">
        <v>3845</v>
      </c>
      <c r="M966" t="s">
        <v>72</v>
      </c>
      <c r="N966" t="s">
        <v>3846</v>
      </c>
      <c r="O966" t="s">
        <v>3845</v>
      </c>
      <c r="P966" t="s">
        <v>3847</v>
      </c>
      <c r="Q966" t="s">
        <v>75</v>
      </c>
      <c r="R966" t="s">
        <v>3816</v>
      </c>
      <c r="S966" t="s">
        <v>3734</v>
      </c>
      <c r="T966" t="s">
        <v>78</v>
      </c>
      <c r="U966" t="s">
        <v>3817</v>
      </c>
      <c r="V966" t="s">
        <v>80</v>
      </c>
      <c r="W966" s="1">
        <v>44519</v>
      </c>
      <c r="X966" t="s">
        <v>3818</v>
      </c>
      <c r="Y966" t="s">
        <v>3848</v>
      </c>
      <c r="Z966" t="s">
        <v>83</v>
      </c>
      <c r="AA966">
        <v>1</v>
      </c>
      <c r="AB966" t="s">
        <v>103</v>
      </c>
      <c r="AD966" t="s">
        <v>112</v>
      </c>
      <c r="AE966" t="s">
        <v>86</v>
      </c>
      <c r="AF966" t="s">
        <v>146</v>
      </c>
      <c r="AG966" t="s">
        <v>3850</v>
      </c>
      <c r="AH966" t="s">
        <v>3855</v>
      </c>
      <c r="AI966" t="s">
        <v>90</v>
      </c>
      <c r="AJ966">
        <v>32.516151999999998</v>
      </c>
      <c r="AK966">
        <v>-110.688148</v>
      </c>
      <c r="AL966">
        <v>3</v>
      </c>
      <c r="AN966">
        <v>1356</v>
      </c>
      <c r="AP966">
        <v>1356</v>
      </c>
      <c r="AQ966">
        <v>1363.5597660000001</v>
      </c>
      <c r="AT966">
        <v>19</v>
      </c>
      <c r="AU966">
        <v>11</v>
      </c>
      <c r="AV966">
        <v>2021</v>
      </c>
      <c r="AW966">
        <v>2438516</v>
      </c>
      <c r="AX966">
        <v>2438516</v>
      </c>
      <c r="AY966" t="s">
        <v>106</v>
      </c>
      <c r="AZ966" t="s">
        <v>92</v>
      </c>
      <c r="BA966" t="s">
        <v>107</v>
      </c>
      <c r="BB966" t="s">
        <v>3862</v>
      </c>
      <c r="BC966" t="s">
        <v>97</v>
      </c>
      <c r="BE966" t="s">
        <v>96</v>
      </c>
      <c r="BG966" t="s">
        <v>97</v>
      </c>
      <c r="BI966" t="s">
        <v>98</v>
      </c>
      <c r="BJ966" t="s">
        <v>2384</v>
      </c>
      <c r="BL966" t="s">
        <v>110</v>
      </c>
    </row>
    <row r="967" spans="1:64" hidden="1" x14ac:dyDescent="0.2">
      <c r="A967">
        <v>1589</v>
      </c>
      <c r="B967">
        <v>3744741544</v>
      </c>
      <c r="C967" t="s">
        <v>101</v>
      </c>
      <c r="D967" t="s">
        <v>3863</v>
      </c>
      <c r="E967" t="s">
        <v>65</v>
      </c>
      <c r="F967" t="s">
        <v>66</v>
      </c>
      <c r="G967" t="s">
        <v>67</v>
      </c>
      <c r="H967" t="s">
        <v>68</v>
      </c>
      <c r="I967" t="s">
        <v>176</v>
      </c>
      <c r="J967" t="s">
        <v>3844</v>
      </c>
      <c r="K967" t="s">
        <v>3845</v>
      </c>
      <c r="M967" t="s">
        <v>72</v>
      </c>
      <c r="N967" t="s">
        <v>3846</v>
      </c>
      <c r="O967" t="s">
        <v>3845</v>
      </c>
      <c r="P967" t="s">
        <v>3847</v>
      </c>
      <c r="Q967" t="s">
        <v>75</v>
      </c>
      <c r="R967" t="s">
        <v>3816</v>
      </c>
      <c r="S967" t="s">
        <v>3734</v>
      </c>
      <c r="T967" t="s">
        <v>78</v>
      </c>
      <c r="U967" t="s">
        <v>3817</v>
      </c>
      <c r="V967" t="s">
        <v>80</v>
      </c>
      <c r="W967" s="1">
        <v>44519</v>
      </c>
      <c r="X967" t="s">
        <v>3818</v>
      </c>
      <c r="Y967" t="s">
        <v>3848</v>
      </c>
      <c r="Z967" t="s">
        <v>83</v>
      </c>
      <c r="AA967">
        <v>1</v>
      </c>
      <c r="AB967" t="s">
        <v>103</v>
      </c>
      <c r="AD967" t="s">
        <v>3864</v>
      </c>
      <c r="AE967" t="s">
        <v>86</v>
      </c>
      <c r="AF967" t="s">
        <v>146</v>
      </c>
      <c r="AG967" t="s">
        <v>3850</v>
      </c>
      <c r="AH967" t="s">
        <v>3855</v>
      </c>
      <c r="AI967" t="s">
        <v>90</v>
      </c>
      <c r="AJ967">
        <v>32.516151999999998</v>
      </c>
      <c r="AK967">
        <v>-110.688148</v>
      </c>
      <c r="AL967">
        <v>3</v>
      </c>
      <c r="AN967">
        <v>1356</v>
      </c>
      <c r="AP967">
        <v>1356</v>
      </c>
      <c r="AQ967">
        <v>1363.5597660000001</v>
      </c>
      <c r="AT967">
        <v>19</v>
      </c>
      <c r="AU967">
        <v>11</v>
      </c>
      <c r="AV967">
        <v>2021</v>
      </c>
      <c r="AW967">
        <v>2438516</v>
      </c>
      <c r="AX967">
        <v>2438516</v>
      </c>
      <c r="AY967" t="s">
        <v>106</v>
      </c>
      <c r="AZ967" t="s">
        <v>92</v>
      </c>
      <c r="BA967" t="s">
        <v>107</v>
      </c>
      <c r="BB967" t="s">
        <v>3865</v>
      </c>
      <c r="BC967" t="s">
        <v>97</v>
      </c>
      <c r="BE967" t="s">
        <v>96</v>
      </c>
      <c r="BG967" t="s">
        <v>97</v>
      </c>
      <c r="BI967" t="s">
        <v>98</v>
      </c>
      <c r="BJ967" t="s">
        <v>2422</v>
      </c>
      <c r="BL967" t="s">
        <v>110</v>
      </c>
    </row>
    <row r="968" spans="1:64" x14ac:dyDescent="0.2">
      <c r="A968">
        <v>349</v>
      </c>
      <c r="B968">
        <v>4403380316</v>
      </c>
      <c r="C968" t="s">
        <v>63</v>
      </c>
      <c r="D968" t="s">
        <v>398</v>
      </c>
      <c r="E968" t="s">
        <v>65</v>
      </c>
      <c r="F968" t="s">
        <v>66</v>
      </c>
      <c r="G968" t="s">
        <v>67</v>
      </c>
      <c r="H968" t="s">
        <v>68</v>
      </c>
      <c r="I968" t="s">
        <v>176</v>
      </c>
      <c r="J968" t="s">
        <v>177</v>
      </c>
      <c r="K968" t="s">
        <v>178</v>
      </c>
      <c r="M968" t="s">
        <v>72</v>
      </c>
      <c r="N968" t="s">
        <v>179</v>
      </c>
      <c r="O968" t="s">
        <v>178</v>
      </c>
      <c r="P968" t="s">
        <v>180</v>
      </c>
      <c r="Q968" t="s">
        <v>75</v>
      </c>
      <c r="R968" t="s">
        <v>354</v>
      </c>
      <c r="S968" t="s">
        <v>399</v>
      </c>
      <c r="T968" t="s">
        <v>78</v>
      </c>
      <c r="U968" t="s">
        <v>79</v>
      </c>
      <c r="V968" t="s">
        <v>80</v>
      </c>
      <c r="W968" s="1">
        <v>45115</v>
      </c>
      <c r="X968" t="s">
        <v>356</v>
      </c>
      <c r="Y968" t="s">
        <v>400</v>
      </c>
      <c r="Z968" t="s">
        <v>83</v>
      </c>
      <c r="AA968">
        <v>1</v>
      </c>
      <c r="AB968" t="s">
        <v>401</v>
      </c>
      <c r="AC968">
        <v>1</v>
      </c>
      <c r="AD968" s="6" t="s">
        <v>85</v>
      </c>
      <c r="AE968" s="6" t="s">
        <v>145</v>
      </c>
      <c r="AF968" s="6" t="s">
        <v>402</v>
      </c>
      <c r="AG968" s="6" t="s">
        <v>403</v>
      </c>
      <c r="AH968" s="6" t="s">
        <v>404</v>
      </c>
      <c r="AI968" s="6" t="s">
        <v>90</v>
      </c>
      <c r="AJ968" s="6">
        <v>32.372850999999997</v>
      </c>
      <c r="AK968" s="6">
        <v>-110.701184</v>
      </c>
      <c r="AL968" s="6">
        <v>3</v>
      </c>
      <c r="AM968" s="6"/>
      <c r="AN968" s="6">
        <v>1896</v>
      </c>
      <c r="AO968" s="6"/>
      <c r="AP968" s="6">
        <v>1896</v>
      </c>
      <c r="AQ968" s="6">
        <v>1911.013565</v>
      </c>
      <c r="AR968" s="6"/>
      <c r="AS968" s="6"/>
      <c r="AT968" s="6">
        <v>8</v>
      </c>
      <c r="AU968" s="6">
        <v>7</v>
      </c>
      <c r="AV968" s="6">
        <v>2023</v>
      </c>
      <c r="AW968" s="6">
        <v>2438038</v>
      </c>
      <c r="AX968" s="6">
        <v>2438038</v>
      </c>
      <c r="AY968" s="6" t="s">
        <v>91</v>
      </c>
      <c r="AZ968" t="s">
        <v>92</v>
      </c>
      <c r="BA968" t="s">
        <v>93</v>
      </c>
      <c r="BB968" t="s">
        <v>405</v>
      </c>
      <c r="BC968" t="s">
        <v>95</v>
      </c>
      <c r="BD968" s="1">
        <v>45115</v>
      </c>
      <c r="BE968" t="s">
        <v>96</v>
      </c>
      <c r="BG968" t="s">
        <v>363</v>
      </c>
      <c r="BI968" t="s">
        <v>98</v>
      </c>
      <c r="BJ968" t="s">
        <v>406</v>
      </c>
      <c r="BK968" t="s">
        <v>365</v>
      </c>
      <c r="BL968" t="s">
        <v>407</v>
      </c>
    </row>
    <row r="969" spans="1:64" hidden="1" x14ac:dyDescent="0.2">
      <c r="A969">
        <v>1590</v>
      </c>
      <c r="B969">
        <v>3744741543</v>
      </c>
      <c r="C969" t="s">
        <v>101</v>
      </c>
      <c r="D969" t="s">
        <v>3869</v>
      </c>
      <c r="E969" t="s">
        <v>65</v>
      </c>
      <c r="F969" t="s">
        <v>66</v>
      </c>
      <c r="G969" t="s">
        <v>67</v>
      </c>
      <c r="H969" t="s">
        <v>68</v>
      </c>
      <c r="I969" t="s">
        <v>176</v>
      </c>
      <c r="J969" t="s">
        <v>3844</v>
      </c>
      <c r="K969" t="s">
        <v>3845</v>
      </c>
      <c r="M969" t="s">
        <v>72</v>
      </c>
      <c r="N969" t="s">
        <v>3846</v>
      </c>
      <c r="O969" t="s">
        <v>3845</v>
      </c>
      <c r="P969" t="s">
        <v>3847</v>
      </c>
      <c r="Q969" t="s">
        <v>75</v>
      </c>
      <c r="R969" t="s">
        <v>3816</v>
      </c>
      <c r="S969" t="s">
        <v>3734</v>
      </c>
      <c r="T969" t="s">
        <v>78</v>
      </c>
      <c r="U969" t="s">
        <v>3817</v>
      </c>
      <c r="V969" t="s">
        <v>80</v>
      </c>
      <c r="W969" s="1">
        <v>44519</v>
      </c>
      <c r="X969" t="s">
        <v>3818</v>
      </c>
      <c r="Y969" t="s">
        <v>3848</v>
      </c>
      <c r="Z969" t="s">
        <v>83</v>
      </c>
      <c r="AA969">
        <v>1</v>
      </c>
      <c r="AB969" t="s">
        <v>133</v>
      </c>
      <c r="AD969" t="s">
        <v>134</v>
      </c>
      <c r="AE969" t="s">
        <v>86</v>
      </c>
      <c r="AF969" t="s">
        <v>146</v>
      </c>
      <c r="AG969" t="s">
        <v>3850</v>
      </c>
      <c r="AH969" t="s">
        <v>3870</v>
      </c>
      <c r="AI969" t="s">
        <v>90</v>
      </c>
      <c r="AJ969">
        <v>32.516151999999998</v>
      </c>
      <c r="AK969">
        <v>-110.688148</v>
      </c>
      <c r="AL969">
        <v>3</v>
      </c>
      <c r="AN969">
        <v>1356</v>
      </c>
      <c r="AP969">
        <v>1356</v>
      </c>
      <c r="AQ969">
        <v>1363.5597660000001</v>
      </c>
      <c r="AT969">
        <v>19</v>
      </c>
      <c r="AU969">
        <v>11</v>
      </c>
      <c r="AV969">
        <v>2021</v>
      </c>
      <c r="AW969">
        <v>2438516</v>
      </c>
      <c r="AX969">
        <v>2438516</v>
      </c>
      <c r="AY969" t="s">
        <v>106</v>
      </c>
      <c r="AZ969" t="s">
        <v>92</v>
      </c>
      <c r="BA969" t="s">
        <v>107</v>
      </c>
      <c r="BB969" t="s">
        <v>3871</v>
      </c>
      <c r="BC969" t="s">
        <v>97</v>
      </c>
      <c r="BE969" t="s">
        <v>96</v>
      </c>
      <c r="BG969" t="s">
        <v>97</v>
      </c>
      <c r="BI969" t="s">
        <v>98</v>
      </c>
      <c r="BJ969" t="s">
        <v>2422</v>
      </c>
      <c r="BL969" t="s">
        <v>110</v>
      </c>
    </row>
    <row r="970" spans="1:64" hidden="1" x14ac:dyDescent="0.2">
      <c r="A970">
        <v>1592</v>
      </c>
      <c r="B970">
        <v>3744741541</v>
      </c>
      <c r="C970" t="s">
        <v>101</v>
      </c>
      <c r="D970" t="s">
        <v>3879</v>
      </c>
      <c r="E970" t="s">
        <v>65</v>
      </c>
      <c r="F970" t="s">
        <v>66</v>
      </c>
      <c r="G970" t="s">
        <v>67</v>
      </c>
      <c r="H970" t="s">
        <v>68</v>
      </c>
      <c r="I970" t="s">
        <v>69</v>
      </c>
      <c r="J970" t="s">
        <v>70</v>
      </c>
      <c r="K970" t="s">
        <v>71</v>
      </c>
      <c r="M970" t="s">
        <v>72</v>
      </c>
      <c r="N970" t="s">
        <v>73</v>
      </c>
      <c r="O970" t="s">
        <v>71</v>
      </c>
      <c r="P970" t="s">
        <v>74</v>
      </c>
      <c r="Q970" t="s">
        <v>75</v>
      </c>
      <c r="R970" t="s">
        <v>3816</v>
      </c>
      <c r="S970" t="s">
        <v>3738</v>
      </c>
      <c r="T970" t="s">
        <v>78</v>
      </c>
      <c r="U970" t="s">
        <v>3817</v>
      </c>
      <c r="V970" t="s">
        <v>80</v>
      </c>
      <c r="W970" s="1">
        <v>44519</v>
      </c>
      <c r="X970" t="s">
        <v>3818</v>
      </c>
      <c r="Y970" t="s">
        <v>3873</v>
      </c>
      <c r="Z970" t="s">
        <v>83</v>
      </c>
      <c r="AA970">
        <v>1</v>
      </c>
      <c r="AB970" t="s">
        <v>103</v>
      </c>
      <c r="AD970" t="s">
        <v>116</v>
      </c>
      <c r="AE970" t="s">
        <v>86</v>
      </c>
      <c r="AF970" t="s">
        <v>146</v>
      </c>
      <c r="AG970" t="s">
        <v>3875</v>
      </c>
      <c r="AH970" t="s">
        <v>3880</v>
      </c>
      <c r="AI970" t="s">
        <v>90</v>
      </c>
      <c r="AJ970">
        <v>32.516139000000003</v>
      </c>
      <c r="AK970">
        <v>-110.68828499999999</v>
      </c>
      <c r="AL970">
        <v>3</v>
      </c>
      <c r="AN970">
        <v>1347</v>
      </c>
      <c r="AP970">
        <v>1347</v>
      </c>
      <c r="AQ970">
        <v>1362.3691920000001</v>
      </c>
      <c r="AT970">
        <v>19</v>
      </c>
      <c r="AU970">
        <v>11</v>
      </c>
      <c r="AV970">
        <v>2021</v>
      </c>
      <c r="AW970">
        <v>2439581</v>
      </c>
      <c r="AX970">
        <v>2439581</v>
      </c>
      <c r="AY970" t="s">
        <v>106</v>
      </c>
      <c r="AZ970" t="s">
        <v>92</v>
      </c>
      <c r="BA970" t="s">
        <v>107</v>
      </c>
      <c r="BB970" t="s">
        <v>3881</v>
      </c>
      <c r="BC970" t="s">
        <v>97</v>
      </c>
      <c r="BE970" t="s">
        <v>96</v>
      </c>
      <c r="BG970" t="s">
        <v>97</v>
      </c>
      <c r="BI970" t="s">
        <v>98</v>
      </c>
      <c r="BJ970" t="s">
        <v>2505</v>
      </c>
      <c r="BL970" t="s">
        <v>110</v>
      </c>
    </row>
    <row r="971" spans="1:64" hidden="1" x14ac:dyDescent="0.2">
      <c r="A971">
        <v>1591</v>
      </c>
      <c r="B971">
        <v>3744741542</v>
      </c>
      <c r="C971" t="s">
        <v>101</v>
      </c>
      <c r="D971" s="2" t="s">
        <v>3882</v>
      </c>
      <c r="E971" t="s">
        <v>65</v>
      </c>
      <c r="F971" t="s">
        <v>66</v>
      </c>
      <c r="G971" t="s">
        <v>67</v>
      </c>
      <c r="H971" t="s">
        <v>68</v>
      </c>
      <c r="I971" t="s">
        <v>69</v>
      </c>
      <c r="J971" t="s">
        <v>70</v>
      </c>
      <c r="K971" t="s">
        <v>71</v>
      </c>
      <c r="M971" t="s">
        <v>72</v>
      </c>
      <c r="N971" t="s">
        <v>73</v>
      </c>
      <c r="O971" t="s">
        <v>71</v>
      </c>
      <c r="P971" t="s">
        <v>74</v>
      </c>
      <c r="Q971" t="s">
        <v>75</v>
      </c>
      <c r="R971" t="s">
        <v>3816</v>
      </c>
      <c r="S971" t="s">
        <v>3738</v>
      </c>
      <c r="T971" t="s">
        <v>78</v>
      </c>
      <c r="U971" t="s">
        <v>3817</v>
      </c>
      <c r="V971" t="s">
        <v>80</v>
      </c>
      <c r="W971" s="1">
        <v>44519</v>
      </c>
      <c r="X971" t="s">
        <v>3818</v>
      </c>
      <c r="Y971" t="s">
        <v>3873</v>
      </c>
      <c r="Z971" t="s">
        <v>83</v>
      </c>
      <c r="AA971">
        <v>1</v>
      </c>
      <c r="AB971" t="s">
        <v>103</v>
      </c>
      <c r="AD971" t="s">
        <v>104</v>
      </c>
      <c r="AE971" t="s">
        <v>86</v>
      </c>
      <c r="AF971" t="s">
        <v>146</v>
      </c>
      <c r="AG971" t="s">
        <v>3875</v>
      </c>
      <c r="AH971" t="s">
        <v>3880</v>
      </c>
      <c r="AI971" t="s">
        <v>90</v>
      </c>
      <c r="AJ971">
        <v>32.516139000000003</v>
      </c>
      <c r="AK971">
        <v>-110.68828499999999</v>
      </c>
      <c r="AL971">
        <v>3</v>
      </c>
      <c r="AN971">
        <v>1347</v>
      </c>
      <c r="AP971">
        <v>1347</v>
      </c>
      <c r="AQ971">
        <v>1362.3691920000001</v>
      </c>
      <c r="AT971">
        <v>19</v>
      </c>
      <c r="AU971">
        <v>11</v>
      </c>
      <c r="AV971">
        <v>2021</v>
      </c>
      <c r="AW971">
        <v>2439581</v>
      </c>
      <c r="AX971">
        <v>2439581</v>
      </c>
      <c r="AY971" t="s">
        <v>106</v>
      </c>
      <c r="AZ971" t="s">
        <v>92</v>
      </c>
      <c r="BA971" t="s">
        <v>107</v>
      </c>
      <c r="BB971" t="s">
        <v>3883</v>
      </c>
      <c r="BC971" t="s">
        <v>97</v>
      </c>
      <c r="BE971" t="s">
        <v>96</v>
      </c>
      <c r="BG971" t="s">
        <v>97</v>
      </c>
      <c r="BI971" t="s">
        <v>98</v>
      </c>
      <c r="BJ971" t="s">
        <v>2505</v>
      </c>
      <c r="BL971" t="s">
        <v>110</v>
      </c>
    </row>
    <row r="972" spans="1:64" hidden="1" x14ac:dyDescent="0.2">
      <c r="A972">
        <v>1594</v>
      </c>
      <c r="B972">
        <v>3744741539</v>
      </c>
      <c r="C972" t="s">
        <v>101</v>
      </c>
      <c r="D972" s="2" t="s">
        <v>3884</v>
      </c>
      <c r="E972" t="s">
        <v>65</v>
      </c>
      <c r="F972" t="s">
        <v>66</v>
      </c>
      <c r="G972" t="s">
        <v>67</v>
      </c>
      <c r="H972" t="s">
        <v>68</v>
      </c>
      <c r="I972" t="s">
        <v>69</v>
      </c>
      <c r="J972" t="s">
        <v>70</v>
      </c>
      <c r="K972" t="s">
        <v>71</v>
      </c>
      <c r="M972" t="s">
        <v>72</v>
      </c>
      <c r="N972" t="s">
        <v>73</v>
      </c>
      <c r="O972" t="s">
        <v>71</v>
      </c>
      <c r="P972" t="s">
        <v>74</v>
      </c>
      <c r="Q972" t="s">
        <v>75</v>
      </c>
      <c r="R972" t="s">
        <v>3816</v>
      </c>
      <c r="S972" t="s">
        <v>3738</v>
      </c>
      <c r="T972" t="s">
        <v>78</v>
      </c>
      <c r="U972" t="s">
        <v>3817</v>
      </c>
      <c r="V972" t="s">
        <v>80</v>
      </c>
      <c r="W972" s="1">
        <v>44519</v>
      </c>
      <c r="X972" t="s">
        <v>3818</v>
      </c>
      <c r="Y972" t="s">
        <v>3873</v>
      </c>
      <c r="Z972" t="s">
        <v>83</v>
      </c>
      <c r="AA972">
        <v>1</v>
      </c>
      <c r="AB972" t="s">
        <v>103</v>
      </c>
      <c r="AD972" t="s">
        <v>123</v>
      </c>
      <c r="AE972" t="s">
        <v>86</v>
      </c>
      <c r="AF972" t="s">
        <v>146</v>
      </c>
      <c r="AG972" t="s">
        <v>3875</v>
      </c>
      <c r="AH972" t="s">
        <v>3880</v>
      </c>
      <c r="AI972" t="s">
        <v>90</v>
      </c>
      <c r="AJ972">
        <v>32.516139000000003</v>
      </c>
      <c r="AK972">
        <v>-110.68828499999999</v>
      </c>
      <c r="AL972">
        <v>3</v>
      </c>
      <c r="AN972">
        <v>1347</v>
      </c>
      <c r="AP972">
        <v>1347</v>
      </c>
      <c r="AQ972">
        <v>1362.3691920000001</v>
      </c>
      <c r="AT972">
        <v>19</v>
      </c>
      <c r="AU972">
        <v>11</v>
      </c>
      <c r="AV972">
        <v>2021</v>
      </c>
      <c r="AW972">
        <v>2439581</v>
      </c>
      <c r="AX972">
        <v>2439581</v>
      </c>
      <c r="AY972" t="s">
        <v>106</v>
      </c>
      <c r="AZ972" t="s">
        <v>92</v>
      </c>
      <c r="BA972" t="s">
        <v>107</v>
      </c>
      <c r="BB972" t="s">
        <v>3885</v>
      </c>
      <c r="BC972" t="s">
        <v>97</v>
      </c>
      <c r="BE972" t="s">
        <v>96</v>
      </c>
      <c r="BG972" t="s">
        <v>97</v>
      </c>
      <c r="BI972" t="s">
        <v>98</v>
      </c>
      <c r="BJ972" t="s">
        <v>2505</v>
      </c>
      <c r="BL972" t="s">
        <v>110</v>
      </c>
    </row>
    <row r="973" spans="1:64" hidden="1" x14ac:dyDescent="0.2">
      <c r="A973">
        <v>1593</v>
      </c>
      <c r="B973">
        <v>3744741540</v>
      </c>
      <c r="C973" t="s">
        <v>101</v>
      </c>
      <c r="D973" t="s">
        <v>3886</v>
      </c>
      <c r="E973" t="s">
        <v>65</v>
      </c>
      <c r="F973" t="s">
        <v>66</v>
      </c>
      <c r="G973" t="s">
        <v>67</v>
      </c>
      <c r="H973" t="s">
        <v>68</v>
      </c>
      <c r="I973" t="s">
        <v>69</v>
      </c>
      <c r="J973" t="s">
        <v>70</v>
      </c>
      <c r="K973" t="s">
        <v>71</v>
      </c>
      <c r="M973" t="s">
        <v>72</v>
      </c>
      <c r="N973" t="s">
        <v>73</v>
      </c>
      <c r="O973" t="s">
        <v>71</v>
      </c>
      <c r="P973" t="s">
        <v>74</v>
      </c>
      <c r="Q973" t="s">
        <v>75</v>
      </c>
      <c r="R973" t="s">
        <v>3816</v>
      </c>
      <c r="S973" t="s">
        <v>3738</v>
      </c>
      <c r="T973" t="s">
        <v>78</v>
      </c>
      <c r="U973" t="s">
        <v>3817</v>
      </c>
      <c r="V973" t="s">
        <v>80</v>
      </c>
      <c r="W973" s="1">
        <v>44519</v>
      </c>
      <c r="X973" t="s">
        <v>3818</v>
      </c>
      <c r="Y973" t="s">
        <v>3873</v>
      </c>
      <c r="Z973" t="s">
        <v>83</v>
      </c>
      <c r="AA973">
        <v>1</v>
      </c>
      <c r="AB973" t="s">
        <v>103</v>
      </c>
      <c r="AD973" t="s">
        <v>112</v>
      </c>
      <c r="AE973" t="s">
        <v>86</v>
      </c>
      <c r="AF973" t="s">
        <v>146</v>
      </c>
      <c r="AG973" t="s">
        <v>3875</v>
      </c>
      <c r="AH973" t="s">
        <v>3880</v>
      </c>
      <c r="AI973" t="s">
        <v>90</v>
      </c>
      <c r="AJ973">
        <v>32.516139000000003</v>
      </c>
      <c r="AK973">
        <v>-110.68828499999999</v>
      </c>
      <c r="AL973">
        <v>3</v>
      </c>
      <c r="AN973">
        <v>1347</v>
      </c>
      <c r="AP973">
        <v>1347</v>
      </c>
      <c r="AQ973">
        <v>1362.3691920000001</v>
      </c>
      <c r="AT973">
        <v>19</v>
      </c>
      <c r="AU973">
        <v>11</v>
      </c>
      <c r="AV973">
        <v>2021</v>
      </c>
      <c r="AW973">
        <v>2439581</v>
      </c>
      <c r="AX973">
        <v>2439581</v>
      </c>
      <c r="AY973" t="s">
        <v>106</v>
      </c>
      <c r="AZ973" t="s">
        <v>92</v>
      </c>
      <c r="BA973" t="s">
        <v>107</v>
      </c>
      <c r="BB973" t="s">
        <v>3887</v>
      </c>
      <c r="BC973" t="s">
        <v>97</v>
      </c>
      <c r="BE973" t="s">
        <v>96</v>
      </c>
      <c r="BG973" t="s">
        <v>97</v>
      </c>
      <c r="BI973" t="s">
        <v>98</v>
      </c>
      <c r="BJ973" t="s">
        <v>2505</v>
      </c>
      <c r="BL973" t="s">
        <v>110</v>
      </c>
    </row>
    <row r="974" spans="1:64" hidden="1" x14ac:dyDescent="0.2">
      <c r="A974">
        <v>1596</v>
      </c>
      <c r="B974">
        <v>3744741537</v>
      </c>
      <c r="C974" t="s">
        <v>101</v>
      </c>
      <c r="D974" t="s">
        <v>3888</v>
      </c>
      <c r="E974" t="s">
        <v>65</v>
      </c>
      <c r="F974" t="s">
        <v>66</v>
      </c>
      <c r="G974" t="s">
        <v>67</v>
      </c>
      <c r="H974" t="s">
        <v>68</v>
      </c>
      <c r="I974" t="s">
        <v>69</v>
      </c>
      <c r="J974" t="s">
        <v>70</v>
      </c>
      <c r="K974" t="s">
        <v>71</v>
      </c>
      <c r="M974" t="s">
        <v>72</v>
      </c>
      <c r="N974" t="s">
        <v>73</v>
      </c>
      <c r="O974" t="s">
        <v>71</v>
      </c>
      <c r="P974" t="s">
        <v>74</v>
      </c>
      <c r="Q974" t="s">
        <v>75</v>
      </c>
      <c r="R974" t="s">
        <v>3816</v>
      </c>
      <c r="S974" t="s">
        <v>3738</v>
      </c>
      <c r="T974" t="s">
        <v>78</v>
      </c>
      <c r="U974" t="s">
        <v>3817</v>
      </c>
      <c r="V974" t="s">
        <v>80</v>
      </c>
      <c r="W974" s="1">
        <v>44519</v>
      </c>
      <c r="X974" t="s">
        <v>3818</v>
      </c>
      <c r="Y974" t="s">
        <v>3873</v>
      </c>
      <c r="Z974" t="s">
        <v>83</v>
      </c>
      <c r="AA974">
        <v>1</v>
      </c>
      <c r="AB974" t="s">
        <v>133</v>
      </c>
      <c r="AD974" t="s">
        <v>134</v>
      </c>
      <c r="AE974" t="s">
        <v>86</v>
      </c>
      <c r="AF974" t="s">
        <v>146</v>
      </c>
      <c r="AG974" t="s">
        <v>3875</v>
      </c>
      <c r="AH974" t="s">
        <v>3889</v>
      </c>
      <c r="AI974" t="s">
        <v>90</v>
      </c>
      <c r="AJ974">
        <v>32.516139000000003</v>
      </c>
      <c r="AK974">
        <v>-110.68828499999999</v>
      </c>
      <c r="AL974">
        <v>3</v>
      </c>
      <c r="AN974">
        <v>1347</v>
      </c>
      <c r="AP974">
        <v>1347</v>
      </c>
      <c r="AQ974">
        <v>1362.3691920000001</v>
      </c>
      <c r="AT974">
        <v>19</v>
      </c>
      <c r="AU974">
        <v>11</v>
      </c>
      <c r="AV974">
        <v>2021</v>
      </c>
      <c r="AW974">
        <v>2439581</v>
      </c>
      <c r="AX974">
        <v>2439581</v>
      </c>
      <c r="AY974" t="s">
        <v>106</v>
      </c>
      <c r="AZ974" t="s">
        <v>92</v>
      </c>
      <c r="BA974" t="s">
        <v>107</v>
      </c>
      <c r="BB974" t="s">
        <v>3890</v>
      </c>
      <c r="BC974" t="s">
        <v>97</v>
      </c>
      <c r="BE974" t="s">
        <v>96</v>
      </c>
      <c r="BG974" t="s">
        <v>97</v>
      </c>
      <c r="BI974" t="s">
        <v>98</v>
      </c>
      <c r="BJ974" t="s">
        <v>3891</v>
      </c>
      <c r="BL974" t="s">
        <v>110</v>
      </c>
    </row>
    <row r="975" spans="1:64" hidden="1" x14ac:dyDescent="0.2">
      <c r="A975">
        <v>1595</v>
      </c>
      <c r="B975">
        <v>3744741538</v>
      </c>
      <c r="C975" t="s">
        <v>101</v>
      </c>
      <c r="D975" t="s">
        <v>3892</v>
      </c>
      <c r="E975" t="s">
        <v>65</v>
      </c>
      <c r="F975" t="s">
        <v>66</v>
      </c>
      <c r="G975" t="s">
        <v>67</v>
      </c>
      <c r="H975" t="s">
        <v>68</v>
      </c>
      <c r="I975" t="s">
        <v>69</v>
      </c>
      <c r="J975" t="s">
        <v>70</v>
      </c>
      <c r="K975" t="s">
        <v>71</v>
      </c>
      <c r="M975" t="s">
        <v>72</v>
      </c>
      <c r="N975" t="s">
        <v>73</v>
      </c>
      <c r="O975" t="s">
        <v>71</v>
      </c>
      <c r="P975" t="s">
        <v>74</v>
      </c>
      <c r="Q975" t="s">
        <v>75</v>
      </c>
      <c r="R975" t="s">
        <v>3816</v>
      </c>
      <c r="S975" t="s">
        <v>3738</v>
      </c>
      <c r="T975" t="s">
        <v>78</v>
      </c>
      <c r="U975" t="s">
        <v>3817</v>
      </c>
      <c r="V975" t="s">
        <v>80</v>
      </c>
      <c r="W975" s="1">
        <v>44519</v>
      </c>
      <c r="X975" t="s">
        <v>3818</v>
      </c>
      <c r="Y975" t="s">
        <v>3873</v>
      </c>
      <c r="Z975" t="s">
        <v>83</v>
      </c>
      <c r="AA975">
        <v>1</v>
      </c>
      <c r="AB975" t="s">
        <v>103</v>
      </c>
      <c r="AD975" t="s">
        <v>139</v>
      </c>
      <c r="AE975" t="s">
        <v>86</v>
      </c>
      <c r="AF975" t="s">
        <v>146</v>
      </c>
      <c r="AG975" t="s">
        <v>3875</v>
      </c>
      <c r="AH975" t="s">
        <v>3880</v>
      </c>
      <c r="AI975" t="s">
        <v>90</v>
      </c>
      <c r="AJ975">
        <v>32.516139000000003</v>
      </c>
      <c r="AK975">
        <v>-110.68828499999999</v>
      </c>
      <c r="AL975">
        <v>3</v>
      </c>
      <c r="AN975">
        <v>1347</v>
      </c>
      <c r="AP975">
        <v>1347</v>
      </c>
      <c r="AQ975">
        <v>1362.3691920000001</v>
      </c>
      <c r="AT975">
        <v>19</v>
      </c>
      <c r="AU975">
        <v>11</v>
      </c>
      <c r="AV975">
        <v>2021</v>
      </c>
      <c r="AW975">
        <v>2439581</v>
      </c>
      <c r="AX975">
        <v>2439581</v>
      </c>
      <c r="AY975" t="s">
        <v>106</v>
      </c>
      <c r="AZ975" t="s">
        <v>92</v>
      </c>
      <c r="BA975" t="s">
        <v>107</v>
      </c>
      <c r="BB975" t="s">
        <v>3893</v>
      </c>
      <c r="BC975" t="s">
        <v>97</v>
      </c>
      <c r="BE975" t="s">
        <v>96</v>
      </c>
      <c r="BG975" t="s">
        <v>97</v>
      </c>
      <c r="BI975" t="s">
        <v>98</v>
      </c>
      <c r="BJ975" t="s">
        <v>2505</v>
      </c>
      <c r="BL975" t="s">
        <v>110</v>
      </c>
    </row>
    <row r="976" spans="1:64" hidden="1" x14ac:dyDescent="0.2">
      <c r="A976">
        <v>1598</v>
      </c>
      <c r="B976">
        <v>3744741535</v>
      </c>
      <c r="C976" t="s">
        <v>101</v>
      </c>
      <c r="D976" t="s">
        <v>3901</v>
      </c>
      <c r="E976" t="s">
        <v>65</v>
      </c>
      <c r="F976" t="s">
        <v>66</v>
      </c>
      <c r="G976" t="s">
        <v>67</v>
      </c>
      <c r="H976" t="s">
        <v>68</v>
      </c>
      <c r="I976" t="s">
        <v>176</v>
      </c>
      <c r="J976" t="s">
        <v>773</v>
      </c>
      <c r="K976" t="s">
        <v>1347</v>
      </c>
      <c r="M976" t="s">
        <v>72</v>
      </c>
      <c r="N976" t="s">
        <v>1348</v>
      </c>
      <c r="O976" t="s">
        <v>1347</v>
      </c>
      <c r="P976" t="s">
        <v>1349</v>
      </c>
      <c r="Q976" t="s">
        <v>75</v>
      </c>
      <c r="R976" t="s">
        <v>3816</v>
      </c>
      <c r="S976" t="s">
        <v>3767</v>
      </c>
      <c r="T976" t="s">
        <v>78</v>
      </c>
      <c r="U976" t="s">
        <v>3817</v>
      </c>
      <c r="V976" t="s">
        <v>80</v>
      </c>
      <c r="W976" s="1">
        <v>44519</v>
      </c>
      <c r="X976" t="s">
        <v>3818</v>
      </c>
      <c r="Y976" t="s">
        <v>3895</v>
      </c>
      <c r="Z976" t="s">
        <v>83</v>
      </c>
      <c r="AA976">
        <v>1</v>
      </c>
      <c r="AB976" t="s">
        <v>103</v>
      </c>
      <c r="AD976" t="s">
        <v>116</v>
      </c>
      <c r="AE976" t="s">
        <v>86</v>
      </c>
      <c r="AF976" t="s">
        <v>146</v>
      </c>
      <c r="AG976" t="s">
        <v>3897</v>
      </c>
      <c r="AH976" t="s">
        <v>3902</v>
      </c>
      <c r="AI976" t="s">
        <v>90</v>
      </c>
      <c r="AJ976">
        <v>32.515863000000003</v>
      </c>
      <c r="AK976">
        <v>-110.68825200000001</v>
      </c>
      <c r="AL976">
        <v>3</v>
      </c>
      <c r="AN976">
        <v>1361</v>
      </c>
      <c r="AP976">
        <v>1361</v>
      </c>
      <c r="AQ976">
        <v>1366.3425890000001</v>
      </c>
      <c r="AT976">
        <v>19</v>
      </c>
      <c r="AU976">
        <v>11</v>
      </c>
      <c r="AV976">
        <v>2021</v>
      </c>
      <c r="AW976">
        <v>2438454</v>
      </c>
      <c r="AX976">
        <v>2438454</v>
      </c>
      <c r="AY976" t="s">
        <v>106</v>
      </c>
      <c r="AZ976" t="s">
        <v>92</v>
      </c>
      <c r="BA976" t="s">
        <v>107</v>
      </c>
      <c r="BB976" t="s">
        <v>3903</v>
      </c>
      <c r="BC976" t="s">
        <v>97</v>
      </c>
      <c r="BE976" t="s">
        <v>96</v>
      </c>
      <c r="BG976" t="s">
        <v>97</v>
      </c>
      <c r="BI976" t="s">
        <v>98</v>
      </c>
      <c r="BJ976" t="s">
        <v>2459</v>
      </c>
      <c r="BL976" t="s">
        <v>110</v>
      </c>
    </row>
    <row r="977" spans="1:64" hidden="1" x14ac:dyDescent="0.2">
      <c r="A977">
        <v>1597</v>
      </c>
      <c r="B977">
        <v>3744741536</v>
      </c>
      <c r="C977" t="s">
        <v>101</v>
      </c>
      <c r="D977" t="s">
        <v>3904</v>
      </c>
      <c r="E977" t="s">
        <v>65</v>
      </c>
      <c r="F977" t="s">
        <v>66</v>
      </c>
      <c r="G977" t="s">
        <v>67</v>
      </c>
      <c r="H977" t="s">
        <v>68</v>
      </c>
      <c r="I977" t="s">
        <v>176</v>
      </c>
      <c r="J977" t="s">
        <v>773</v>
      </c>
      <c r="K977" t="s">
        <v>1347</v>
      </c>
      <c r="M977" t="s">
        <v>72</v>
      </c>
      <c r="N977" t="s">
        <v>1348</v>
      </c>
      <c r="O977" t="s">
        <v>1347</v>
      </c>
      <c r="P977" t="s">
        <v>1349</v>
      </c>
      <c r="Q977" t="s">
        <v>75</v>
      </c>
      <c r="R977" t="s">
        <v>3816</v>
      </c>
      <c r="S977" t="s">
        <v>3767</v>
      </c>
      <c r="T977" t="s">
        <v>78</v>
      </c>
      <c r="U977" t="s">
        <v>3817</v>
      </c>
      <c r="V977" t="s">
        <v>80</v>
      </c>
      <c r="W977" s="1">
        <v>44519</v>
      </c>
      <c r="X977" t="s">
        <v>3818</v>
      </c>
      <c r="Y977" t="s">
        <v>3895</v>
      </c>
      <c r="Z977" t="s">
        <v>83</v>
      </c>
      <c r="AA977">
        <v>1</v>
      </c>
      <c r="AB977" t="s">
        <v>103</v>
      </c>
      <c r="AD977" t="s">
        <v>104</v>
      </c>
      <c r="AE977" t="s">
        <v>86</v>
      </c>
      <c r="AF977" t="s">
        <v>146</v>
      </c>
      <c r="AG977" t="s">
        <v>3897</v>
      </c>
      <c r="AH977" t="s">
        <v>3902</v>
      </c>
      <c r="AI977" t="s">
        <v>90</v>
      </c>
      <c r="AJ977">
        <v>32.515863000000003</v>
      </c>
      <c r="AK977">
        <v>-110.68825200000001</v>
      </c>
      <c r="AL977">
        <v>3</v>
      </c>
      <c r="AN977">
        <v>1361</v>
      </c>
      <c r="AP977">
        <v>1361</v>
      </c>
      <c r="AQ977">
        <v>1366.3425890000001</v>
      </c>
      <c r="AT977">
        <v>19</v>
      </c>
      <c r="AU977">
        <v>11</v>
      </c>
      <c r="AV977">
        <v>2021</v>
      </c>
      <c r="AW977">
        <v>2438454</v>
      </c>
      <c r="AX977">
        <v>2438454</v>
      </c>
      <c r="AY977" t="s">
        <v>106</v>
      </c>
      <c r="AZ977" t="s">
        <v>92</v>
      </c>
      <c r="BA977" t="s">
        <v>107</v>
      </c>
      <c r="BB977" t="s">
        <v>3905</v>
      </c>
      <c r="BC977" t="s">
        <v>97</v>
      </c>
      <c r="BE977" t="s">
        <v>96</v>
      </c>
      <c r="BG977" t="s">
        <v>97</v>
      </c>
      <c r="BI977" t="s">
        <v>98</v>
      </c>
      <c r="BJ977" t="s">
        <v>2422</v>
      </c>
      <c r="BL977" t="s">
        <v>110</v>
      </c>
    </row>
    <row r="978" spans="1:64" hidden="1" x14ac:dyDescent="0.2">
      <c r="A978">
        <v>1600</v>
      </c>
      <c r="B978">
        <v>3744741533</v>
      </c>
      <c r="C978" t="s">
        <v>101</v>
      </c>
      <c r="D978" t="s">
        <v>3906</v>
      </c>
      <c r="E978" t="s">
        <v>65</v>
      </c>
      <c r="F978" t="s">
        <v>66</v>
      </c>
      <c r="G978" t="s">
        <v>67</v>
      </c>
      <c r="H978" t="s">
        <v>68</v>
      </c>
      <c r="I978" t="s">
        <v>176</v>
      </c>
      <c r="J978" t="s">
        <v>773</v>
      </c>
      <c r="K978" t="s">
        <v>1347</v>
      </c>
      <c r="M978" t="s">
        <v>72</v>
      </c>
      <c r="N978" t="s">
        <v>1348</v>
      </c>
      <c r="O978" t="s">
        <v>1347</v>
      </c>
      <c r="P978" t="s">
        <v>1349</v>
      </c>
      <c r="Q978" t="s">
        <v>75</v>
      </c>
      <c r="R978" t="s">
        <v>3816</v>
      </c>
      <c r="S978" t="s">
        <v>3767</v>
      </c>
      <c r="T978" t="s">
        <v>78</v>
      </c>
      <c r="U978" t="s">
        <v>3817</v>
      </c>
      <c r="V978" t="s">
        <v>80</v>
      </c>
      <c r="W978" s="1">
        <v>44519</v>
      </c>
      <c r="X978" t="s">
        <v>3818</v>
      </c>
      <c r="Y978" t="s">
        <v>3895</v>
      </c>
      <c r="Z978" t="s">
        <v>83</v>
      </c>
      <c r="AA978">
        <v>1</v>
      </c>
      <c r="AB978" t="s">
        <v>103</v>
      </c>
      <c r="AD978" t="s">
        <v>112</v>
      </c>
      <c r="AE978" t="s">
        <v>86</v>
      </c>
      <c r="AF978" t="s">
        <v>146</v>
      </c>
      <c r="AG978" t="s">
        <v>3897</v>
      </c>
      <c r="AH978" t="s">
        <v>3902</v>
      </c>
      <c r="AI978" t="s">
        <v>90</v>
      </c>
      <c r="AJ978">
        <v>32.515863000000003</v>
      </c>
      <c r="AK978">
        <v>-110.68825200000001</v>
      </c>
      <c r="AL978">
        <v>3</v>
      </c>
      <c r="AN978">
        <v>1361</v>
      </c>
      <c r="AP978">
        <v>1361</v>
      </c>
      <c r="AQ978">
        <v>1366.3425890000001</v>
      </c>
      <c r="AT978">
        <v>19</v>
      </c>
      <c r="AU978">
        <v>11</v>
      </c>
      <c r="AV978">
        <v>2021</v>
      </c>
      <c r="AW978">
        <v>2438454</v>
      </c>
      <c r="AX978">
        <v>2438454</v>
      </c>
      <c r="AY978" t="s">
        <v>106</v>
      </c>
      <c r="AZ978" t="s">
        <v>92</v>
      </c>
      <c r="BA978" t="s">
        <v>107</v>
      </c>
      <c r="BB978" t="s">
        <v>3907</v>
      </c>
      <c r="BC978" t="s">
        <v>97</v>
      </c>
      <c r="BE978" t="s">
        <v>96</v>
      </c>
      <c r="BG978" t="s">
        <v>97</v>
      </c>
      <c r="BI978" t="s">
        <v>98</v>
      </c>
      <c r="BJ978" t="s">
        <v>2459</v>
      </c>
      <c r="BL978" t="s">
        <v>110</v>
      </c>
    </row>
    <row r="979" spans="1:64" hidden="1" x14ac:dyDescent="0.2">
      <c r="A979">
        <v>1599</v>
      </c>
      <c r="B979">
        <v>3744741534</v>
      </c>
      <c r="C979" t="s">
        <v>101</v>
      </c>
      <c r="D979" t="s">
        <v>3908</v>
      </c>
      <c r="E979" t="s">
        <v>65</v>
      </c>
      <c r="F979" t="s">
        <v>66</v>
      </c>
      <c r="G979" t="s">
        <v>67</v>
      </c>
      <c r="H979" t="s">
        <v>68</v>
      </c>
      <c r="I979" t="s">
        <v>176</v>
      </c>
      <c r="J979" t="s">
        <v>773</v>
      </c>
      <c r="K979" t="s">
        <v>1347</v>
      </c>
      <c r="M979" t="s">
        <v>72</v>
      </c>
      <c r="N979" t="s">
        <v>1348</v>
      </c>
      <c r="O979" t="s">
        <v>1347</v>
      </c>
      <c r="P979" t="s">
        <v>1349</v>
      </c>
      <c r="Q979" t="s">
        <v>75</v>
      </c>
      <c r="R979" t="s">
        <v>3816</v>
      </c>
      <c r="S979" t="s">
        <v>3767</v>
      </c>
      <c r="T979" t="s">
        <v>78</v>
      </c>
      <c r="U979" t="s">
        <v>3817</v>
      </c>
      <c r="V979" t="s">
        <v>80</v>
      </c>
      <c r="W979" s="1">
        <v>44519</v>
      </c>
      <c r="X979" t="s">
        <v>3818</v>
      </c>
      <c r="Y979" t="s">
        <v>3895</v>
      </c>
      <c r="Z979" t="s">
        <v>83</v>
      </c>
      <c r="AA979">
        <v>1</v>
      </c>
      <c r="AB979" t="s">
        <v>103</v>
      </c>
      <c r="AD979" t="s">
        <v>116</v>
      </c>
      <c r="AE979" t="s">
        <v>86</v>
      </c>
      <c r="AF979" t="s">
        <v>146</v>
      </c>
      <c r="AG979" t="s">
        <v>3897</v>
      </c>
      <c r="AH979" t="s">
        <v>3902</v>
      </c>
      <c r="AI979" t="s">
        <v>90</v>
      </c>
      <c r="AJ979">
        <v>32.515863000000003</v>
      </c>
      <c r="AK979">
        <v>-110.68825200000001</v>
      </c>
      <c r="AL979">
        <v>3</v>
      </c>
      <c r="AN979">
        <v>1361</v>
      </c>
      <c r="AP979">
        <v>1361</v>
      </c>
      <c r="AQ979">
        <v>1366.3425890000001</v>
      </c>
      <c r="AT979">
        <v>19</v>
      </c>
      <c r="AU979">
        <v>11</v>
      </c>
      <c r="AV979">
        <v>2021</v>
      </c>
      <c r="AW979">
        <v>2438454</v>
      </c>
      <c r="AX979">
        <v>2438454</v>
      </c>
      <c r="AY979" t="s">
        <v>106</v>
      </c>
      <c r="AZ979" t="s">
        <v>92</v>
      </c>
      <c r="BA979" t="s">
        <v>107</v>
      </c>
      <c r="BB979" t="s">
        <v>3909</v>
      </c>
      <c r="BC979" t="s">
        <v>97</v>
      </c>
      <c r="BE979" t="s">
        <v>96</v>
      </c>
      <c r="BG979" t="s">
        <v>97</v>
      </c>
      <c r="BI979" t="s">
        <v>98</v>
      </c>
      <c r="BJ979" t="s">
        <v>2456</v>
      </c>
      <c r="BL979" t="s">
        <v>110</v>
      </c>
    </row>
    <row r="980" spans="1:64" x14ac:dyDescent="0.2">
      <c r="A980">
        <v>350</v>
      </c>
      <c r="B980">
        <v>4403380315</v>
      </c>
      <c r="C980" t="s">
        <v>63</v>
      </c>
      <c r="D980" t="s">
        <v>436</v>
      </c>
      <c r="E980" t="s">
        <v>65</v>
      </c>
      <c r="F980" t="s">
        <v>66</v>
      </c>
      <c r="G980" t="s">
        <v>67</v>
      </c>
      <c r="H980" t="s">
        <v>68</v>
      </c>
      <c r="I980" t="s">
        <v>176</v>
      </c>
      <c r="J980" t="s">
        <v>177</v>
      </c>
      <c r="K980" t="s">
        <v>178</v>
      </c>
      <c r="M980" t="s">
        <v>72</v>
      </c>
      <c r="N980" t="s">
        <v>179</v>
      </c>
      <c r="O980" t="s">
        <v>178</v>
      </c>
      <c r="P980" t="s">
        <v>180</v>
      </c>
      <c r="Q980" t="s">
        <v>75</v>
      </c>
      <c r="R980" t="s">
        <v>354</v>
      </c>
      <c r="S980" t="s">
        <v>437</v>
      </c>
      <c r="T980" t="s">
        <v>78</v>
      </c>
      <c r="U980" t="s">
        <v>79</v>
      </c>
      <c r="V980" t="s">
        <v>80</v>
      </c>
      <c r="W980" s="1">
        <v>45115</v>
      </c>
      <c r="X980" t="s">
        <v>356</v>
      </c>
      <c r="Y980" t="s">
        <v>438</v>
      </c>
      <c r="Z980" t="s">
        <v>83</v>
      </c>
      <c r="AA980">
        <v>1</v>
      </c>
      <c r="AB980" t="s">
        <v>439</v>
      </c>
      <c r="AC980">
        <v>1</v>
      </c>
      <c r="AD980" s="6" t="s">
        <v>85</v>
      </c>
      <c r="AE980" s="6" t="s">
        <v>86</v>
      </c>
      <c r="AF980" s="6" t="s">
        <v>402</v>
      </c>
      <c r="AG980" s="6" t="s">
        <v>440</v>
      </c>
      <c r="AH980" s="6" t="s">
        <v>441</v>
      </c>
      <c r="AI980" s="6" t="s">
        <v>90</v>
      </c>
      <c r="AJ980" s="6">
        <v>32.372531000000002</v>
      </c>
      <c r="AK980" s="6">
        <v>-110.702724</v>
      </c>
      <c r="AL980" s="6">
        <v>3</v>
      </c>
      <c r="AM980" s="6"/>
      <c r="AN980" s="6">
        <v>1920</v>
      </c>
      <c r="AO980" s="6"/>
      <c r="AP980" s="6">
        <v>1920</v>
      </c>
      <c r="AQ980" s="6">
        <v>1911.5636179999999</v>
      </c>
      <c r="AR980" s="6"/>
      <c r="AS980" s="6"/>
      <c r="AT980" s="6">
        <v>8</v>
      </c>
      <c r="AU980" s="6">
        <v>7</v>
      </c>
      <c r="AV980" s="6">
        <v>2023</v>
      </c>
      <c r="AW980" s="6">
        <v>2438038</v>
      </c>
      <c r="AX980" s="6">
        <v>2438038</v>
      </c>
      <c r="AY980" s="6" t="s">
        <v>91</v>
      </c>
      <c r="AZ980" t="s">
        <v>92</v>
      </c>
      <c r="BA980" t="s">
        <v>93</v>
      </c>
      <c r="BB980" t="s">
        <v>442</v>
      </c>
      <c r="BC980" t="s">
        <v>95</v>
      </c>
      <c r="BD980" s="1">
        <v>45115</v>
      </c>
      <c r="BE980" t="s">
        <v>96</v>
      </c>
      <c r="BG980" t="s">
        <v>363</v>
      </c>
      <c r="BI980" t="s">
        <v>98</v>
      </c>
      <c r="BJ980" t="s">
        <v>443</v>
      </c>
      <c r="BK980" t="s">
        <v>365</v>
      </c>
      <c r="BL980" t="s">
        <v>100</v>
      </c>
    </row>
    <row r="981" spans="1:64" x14ac:dyDescent="0.2">
      <c r="A981">
        <v>356</v>
      </c>
      <c r="B981">
        <v>4403380309</v>
      </c>
      <c r="C981" t="s">
        <v>63</v>
      </c>
      <c r="D981" t="s">
        <v>468</v>
      </c>
      <c r="E981" t="s">
        <v>65</v>
      </c>
      <c r="F981" t="s">
        <v>66</v>
      </c>
      <c r="G981" t="s">
        <v>67</v>
      </c>
      <c r="H981" t="s">
        <v>68</v>
      </c>
      <c r="I981" t="s">
        <v>176</v>
      </c>
      <c r="J981" t="s">
        <v>177</v>
      </c>
      <c r="K981" t="s">
        <v>178</v>
      </c>
      <c r="M981" t="s">
        <v>72</v>
      </c>
      <c r="N981" t="s">
        <v>179</v>
      </c>
      <c r="O981" t="s">
        <v>178</v>
      </c>
      <c r="P981" t="s">
        <v>180</v>
      </c>
      <c r="Q981" t="s">
        <v>75</v>
      </c>
      <c r="R981" t="s">
        <v>354</v>
      </c>
      <c r="S981" t="s">
        <v>469</v>
      </c>
      <c r="T981" t="s">
        <v>78</v>
      </c>
      <c r="U981" t="s">
        <v>79</v>
      </c>
      <c r="V981" t="s">
        <v>80</v>
      </c>
      <c r="W981" s="1">
        <v>45115</v>
      </c>
      <c r="X981" t="s">
        <v>356</v>
      </c>
      <c r="Y981" t="s">
        <v>470</v>
      </c>
      <c r="Z981" t="s">
        <v>83</v>
      </c>
      <c r="AA981">
        <v>1</v>
      </c>
      <c r="AB981" t="s">
        <v>471</v>
      </c>
      <c r="AC981">
        <v>1</v>
      </c>
      <c r="AD981" s="6" t="s">
        <v>85</v>
      </c>
      <c r="AE981" s="6" t="s">
        <v>145</v>
      </c>
      <c r="AF981" s="6" t="s">
        <v>402</v>
      </c>
      <c r="AG981" s="6" t="s">
        <v>218</v>
      </c>
      <c r="AH981" s="6" t="s">
        <v>472</v>
      </c>
      <c r="AI981" s="6" t="s">
        <v>90</v>
      </c>
      <c r="AJ981" s="6">
        <v>32.373109999999997</v>
      </c>
      <c r="AK981" s="6">
        <v>-110.701633</v>
      </c>
      <c r="AL981" s="6">
        <v>3</v>
      </c>
      <c r="AM981" s="6"/>
      <c r="AN981" s="6">
        <v>1912</v>
      </c>
      <c r="AO981" s="6"/>
      <c r="AP981" s="6">
        <v>1912</v>
      </c>
      <c r="AQ981" s="6">
        <v>1928.124309</v>
      </c>
      <c r="AR981" s="6"/>
      <c r="AS981" s="6"/>
      <c r="AT981" s="6">
        <v>8</v>
      </c>
      <c r="AU981" s="6">
        <v>7</v>
      </c>
      <c r="AV981" s="6">
        <v>2023</v>
      </c>
      <c r="AW981" s="6">
        <v>2438038</v>
      </c>
      <c r="AX981" s="6">
        <v>2438038</v>
      </c>
      <c r="AY981" s="6" t="s">
        <v>91</v>
      </c>
      <c r="AZ981" t="s">
        <v>92</v>
      </c>
      <c r="BA981" t="s">
        <v>93</v>
      </c>
      <c r="BB981" t="s">
        <v>473</v>
      </c>
      <c r="BC981" t="s">
        <v>95</v>
      </c>
      <c r="BD981" s="1">
        <v>45115</v>
      </c>
      <c r="BE981" t="s">
        <v>96</v>
      </c>
      <c r="BG981" t="s">
        <v>363</v>
      </c>
      <c r="BI981" t="s">
        <v>98</v>
      </c>
      <c r="BJ981" t="s">
        <v>474</v>
      </c>
      <c r="BK981" t="s">
        <v>365</v>
      </c>
      <c r="BL981" t="s">
        <v>407</v>
      </c>
    </row>
    <row r="982" spans="1:64" hidden="1" x14ac:dyDescent="0.2">
      <c r="A982">
        <v>1634</v>
      </c>
      <c r="B982">
        <v>3744741499</v>
      </c>
      <c r="C982" t="s">
        <v>101</v>
      </c>
      <c r="D982" t="s">
        <v>3917</v>
      </c>
      <c r="E982" t="s">
        <v>65</v>
      </c>
      <c r="F982" t="s">
        <v>66</v>
      </c>
      <c r="G982" t="s">
        <v>67</v>
      </c>
      <c r="H982" t="s">
        <v>68</v>
      </c>
      <c r="I982" t="s">
        <v>176</v>
      </c>
      <c r="J982" t="s">
        <v>773</v>
      </c>
      <c r="K982" t="s">
        <v>1347</v>
      </c>
      <c r="M982" t="s">
        <v>72</v>
      </c>
      <c r="N982" t="s">
        <v>1348</v>
      </c>
      <c r="O982" t="s">
        <v>1347</v>
      </c>
      <c r="P982" t="s">
        <v>1349</v>
      </c>
      <c r="Q982" t="s">
        <v>75</v>
      </c>
      <c r="R982" t="s">
        <v>3816</v>
      </c>
      <c r="S982" t="s">
        <v>3767</v>
      </c>
      <c r="T982" t="s">
        <v>78</v>
      </c>
      <c r="U982" t="s">
        <v>3817</v>
      </c>
      <c r="V982" t="s">
        <v>80</v>
      </c>
      <c r="W982" s="1">
        <v>44519</v>
      </c>
      <c r="X982" t="s">
        <v>3818</v>
      </c>
      <c r="Y982" t="s">
        <v>3895</v>
      </c>
      <c r="Z982" t="s">
        <v>83</v>
      </c>
      <c r="AA982">
        <v>1</v>
      </c>
      <c r="AB982" t="s">
        <v>103</v>
      </c>
      <c r="AD982" t="s">
        <v>139</v>
      </c>
      <c r="AE982" t="s">
        <v>86</v>
      </c>
      <c r="AF982" t="s">
        <v>146</v>
      </c>
      <c r="AG982" t="s">
        <v>3897</v>
      </c>
      <c r="AH982" t="s">
        <v>3902</v>
      </c>
      <c r="AI982" t="s">
        <v>90</v>
      </c>
      <c r="AJ982">
        <v>32.515863000000003</v>
      </c>
      <c r="AK982">
        <v>-110.68825200000001</v>
      </c>
      <c r="AL982">
        <v>3</v>
      </c>
      <c r="AN982">
        <v>1361</v>
      </c>
      <c r="AP982">
        <v>1361</v>
      </c>
      <c r="AQ982">
        <v>1366.3425890000001</v>
      </c>
      <c r="AT982">
        <v>19</v>
      </c>
      <c r="AU982">
        <v>11</v>
      </c>
      <c r="AV982">
        <v>2021</v>
      </c>
      <c r="AW982">
        <v>2438454</v>
      </c>
      <c r="AX982">
        <v>2438454</v>
      </c>
      <c r="AY982" t="s">
        <v>106</v>
      </c>
      <c r="AZ982" t="s">
        <v>92</v>
      </c>
      <c r="BA982" t="s">
        <v>107</v>
      </c>
      <c r="BB982" t="s">
        <v>3918</v>
      </c>
      <c r="BC982" t="s">
        <v>97</v>
      </c>
      <c r="BE982" t="s">
        <v>96</v>
      </c>
      <c r="BG982" t="s">
        <v>97</v>
      </c>
      <c r="BI982" t="s">
        <v>98</v>
      </c>
      <c r="BJ982" t="s">
        <v>1729</v>
      </c>
      <c r="BL982" t="s">
        <v>110</v>
      </c>
    </row>
    <row r="983" spans="1:64" hidden="1" x14ac:dyDescent="0.2">
      <c r="A983">
        <v>1632</v>
      </c>
      <c r="B983">
        <v>3744741501</v>
      </c>
      <c r="C983" t="s">
        <v>101</v>
      </c>
      <c r="D983" t="s">
        <v>3919</v>
      </c>
      <c r="E983" t="s">
        <v>65</v>
      </c>
      <c r="F983" t="s">
        <v>66</v>
      </c>
      <c r="G983" t="s">
        <v>67</v>
      </c>
      <c r="H983" t="s">
        <v>68</v>
      </c>
      <c r="I983" t="s">
        <v>176</v>
      </c>
      <c r="J983" t="s">
        <v>773</v>
      </c>
      <c r="K983" t="s">
        <v>1347</v>
      </c>
      <c r="M983" t="s">
        <v>72</v>
      </c>
      <c r="N983" t="s">
        <v>1348</v>
      </c>
      <c r="O983" t="s">
        <v>1347</v>
      </c>
      <c r="P983" t="s">
        <v>1349</v>
      </c>
      <c r="Q983" t="s">
        <v>75</v>
      </c>
      <c r="R983" t="s">
        <v>3816</v>
      </c>
      <c r="S983" t="s">
        <v>3767</v>
      </c>
      <c r="T983" t="s">
        <v>78</v>
      </c>
      <c r="U983" t="s">
        <v>3817</v>
      </c>
      <c r="V983" t="s">
        <v>80</v>
      </c>
      <c r="W983" s="1">
        <v>44519</v>
      </c>
      <c r="X983" t="s">
        <v>3818</v>
      </c>
      <c r="Y983" t="s">
        <v>3895</v>
      </c>
      <c r="Z983" t="s">
        <v>83</v>
      </c>
      <c r="AA983">
        <v>1</v>
      </c>
      <c r="AB983" t="s">
        <v>103</v>
      </c>
      <c r="AD983" t="s">
        <v>123</v>
      </c>
      <c r="AE983" t="s">
        <v>86</v>
      </c>
      <c r="AF983" t="s">
        <v>146</v>
      </c>
      <c r="AG983" t="s">
        <v>3897</v>
      </c>
      <c r="AH983" t="s">
        <v>3902</v>
      </c>
      <c r="AI983" t="s">
        <v>90</v>
      </c>
      <c r="AJ983">
        <v>32.515863000000003</v>
      </c>
      <c r="AK983">
        <v>-110.68825200000001</v>
      </c>
      <c r="AL983">
        <v>3</v>
      </c>
      <c r="AN983">
        <v>1361</v>
      </c>
      <c r="AP983">
        <v>1361</v>
      </c>
      <c r="AQ983">
        <v>1366.3425890000001</v>
      </c>
      <c r="AT983">
        <v>19</v>
      </c>
      <c r="AU983">
        <v>11</v>
      </c>
      <c r="AV983">
        <v>2021</v>
      </c>
      <c r="AW983">
        <v>2438454</v>
      </c>
      <c r="AX983">
        <v>2438454</v>
      </c>
      <c r="AY983" t="s">
        <v>106</v>
      </c>
      <c r="AZ983" t="s">
        <v>92</v>
      </c>
      <c r="BA983" t="s">
        <v>107</v>
      </c>
      <c r="BB983" t="s">
        <v>3920</v>
      </c>
      <c r="BC983" t="s">
        <v>97</v>
      </c>
      <c r="BE983" t="s">
        <v>96</v>
      </c>
      <c r="BG983" t="s">
        <v>97</v>
      </c>
      <c r="BI983" t="s">
        <v>98</v>
      </c>
      <c r="BJ983" t="s">
        <v>1729</v>
      </c>
      <c r="BL983" t="s">
        <v>110</v>
      </c>
    </row>
    <row r="984" spans="1:64" hidden="1" x14ac:dyDescent="0.2">
      <c r="A984">
        <v>1638</v>
      </c>
      <c r="B984">
        <v>3744741495</v>
      </c>
      <c r="C984" t="s">
        <v>101</v>
      </c>
      <c r="D984" t="s">
        <v>3921</v>
      </c>
      <c r="E984" t="s">
        <v>65</v>
      </c>
      <c r="F984" t="s">
        <v>66</v>
      </c>
      <c r="G984" t="s">
        <v>67</v>
      </c>
      <c r="H984" t="s">
        <v>68</v>
      </c>
      <c r="I984" t="s">
        <v>176</v>
      </c>
      <c r="J984" t="s">
        <v>773</v>
      </c>
      <c r="K984" t="s">
        <v>1347</v>
      </c>
      <c r="M984" t="s">
        <v>72</v>
      </c>
      <c r="N984" t="s">
        <v>1348</v>
      </c>
      <c r="O984" t="s">
        <v>1347</v>
      </c>
      <c r="P984" t="s">
        <v>1349</v>
      </c>
      <c r="Q984" t="s">
        <v>75</v>
      </c>
      <c r="R984" t="s">
        <v>3816</v>
      </c>
      <c r="S984" t="s">
        <v>3767</v>
      </c>
      <c r="T984" t="s">
        <v>78</v>
      </c>
      <c r="U984" t="s">
        <v>3817</v>
      </c>
      <c r="V984" t="s">
        <v>80</v>
      </c>
      <c r="W984" s="1">
        <v>44519</v>
      </c>
      <c r="X984" t="s">
        <v>3818</v>
      </c>
      <c r="Y984" t="s">
        <v>3895</v>
      </c>
      <c r="Z984" t="s">
        <v>83</v>
      </c>
      <c r="AA984">
        <v>1</v>
      </c>
      <c r="AB984" t="s">
        <v>133</v>
      </c>
      <c r="AD984" t="s">
        <v>134</v>
      </c>
      <c r="AE984" t="s">
        <v>86</v>
      </c>
      <c r="AF984" t="s">
        <v>146</v>
      </c>
      <c r="AG984" t="s">
        <v>3897</v>
      </c>
      <c r="AH984" t="s">
        <v>3922</v>
      </c>
      <c r="AI984" t="s">
        <v>90</v>
      </c>
      <c r="AJ984">
        <v>32.515863000000003</v>
      </c>
      <c r="AK984">
        <v>-110.68825200000001</v>
      </c>
      <c r="AL984">
        <v>3</v>
      </c>
      <c r="AN984">
        <v>1361</v>
      </c>
      <c r="AP984">
        <v>1361</v>
      </c>
      <c r="AQ984">
        <v>1366.3425890000001</v>
      </c>
      <c r="AT984">
        <v>19</v>
      </c>
      <c r="AU984">
        <v>11</v>
      </c>
      <c r="AV984">
        <v>2021</v>
      </c>
      <c r="AW984">
        <v>2438454</v>
      </c>
      <c r="AX984">
        <v>2438454</v>
      </c>
      <c r="AY984" t="s">
        <v>106</v>
      </c>
      <c r="AZ984" t="s">
        <v>92</v>
      </c>
      <c r="BA984" t="s">
        <v>107</v>
      </c>
      <c r="BB984" t="s">
        <v>3923</v>
      </c>
      <c r="BC984" t="s">
        <v>97</v>
      </c>
      <c r="BE984" t="s">
        <v>96</v>
      </c>
      <c r="BG984" t="s">
        <v>97</v>
      </c>
      <c r="BI984" t="s">
        <v>98</v>
      </c>
      <c r="BJ984" t="s">
        <v>1729</v>
      </c>
      <c r="BL984" t="s">
        <v>110</v>
      </c>
    </row>
    <row r="985" spans="1:64" hidden="1" x14ac:dyDescent="0.2">
      <c r="A985">
        <v>1636</v>
      </c>
      <c r="B985">
        <v>3744741497</v>
      </c>
      <c r="C985" t="s">
        <v>101</v>
      </c>
      <c r="D985" t="s">
        <v>3933</v>
      </c>
      <c r="E985" t="s">
        <v>65</v>
      </c>
      <c r="F985" t="s">
        <v>66</v>
      </c>
      <c r="G985" t="s">
        <v>67</v>
      </c>
      <c r="H985" t="s">
        <v>68</v>
      </c>
      <c r="I985" t="s">
        <v>176</v>
      </c>
      <c r="J985" t="s">
        <v>177</v>
      </c>
      <c r="K985" t="s">
        <v>3925</v>
      </c>
      <c r="M985" t="s">
        <v>72</v>
      </c>
      <c r="N985" t="s">
        <v>3926</v>
      </c>
      <c r="O985" t="s">
        <v>3925</v>
      </c>
      <c r="P985" t="s">
        <v>1176</v>
      </c>
      <c r="Q985" t="s">
        <v>75</v>
      </c>
      <c r="R985" t="s">
        <v>3816</v>
      </c>
      <c r="S985" t="s">
        <v>3804</v>
      </c>
      <c r="T985" t="s">
        <v>78</v>
      </c>
      <c r="U985" t="s">
        <v>3817</v>
      </c>
      <c r="V985" t="s">
        <v>80</v>
      </c>
      <c r="W985" s="1">
        <v>44519</v>
      </c>
      <c r="X985" t="s">
        <v>3818</v>
      </c>
      <c r="Y985" t="s">
        <v>3927</v>
      </c>
      <c r="Z985" t="s">
        <v>83</v>
      </c>
      <c r="AA985">
        <v>1</v>
      </c>
      <c r="AB985" t="s">
        <v>103</v>
      </c>
      <c r="AD985" t="s">
        <v>104</v>
      </c>
      <c r="AE985" t="s">
        <v>86</v>
      </c>
      <c r="AF985" t="s">
        <v>146</v>
      </c>
      <c r="AG985" t="s">
        <v>3929</v>
      </c>
      <c r="AH985" t="s">
        <v>3934</v>
      </c>
      <c r="AI985" t="s">
        <v>90</v>
      </c>
      <c r="AJ985">
        <v>32.516367000000002</v>
      </c>
      <c r="AK985">
        <v>-110.68760399999999</v>
      </c>
      <c r="AL985">
        <v>3</v>
      </c>
      <c r="AN985">
        <v>1343</v>
      </c>
      <c r="AP985">
        <v>1343</v>
      </c>
      <c r="AQ985">
        <v>1364.783201</v>
      </c>
      <c r="AT985">
        <v>19</v>
      </c>
      <c r="AU985">
        <v>11</v>
      </c>
      <c r="AV985">
        <v>2021</v>
      </c>
      <c r="AW985">
        <v>2437981</v>
      </c>
      <c r="AX985">
        <v>2437981</v>
      </c>
      <c r="AY985" t="s">
        <v>106</v>
      </c>
      <c r="AZ985" t="s">
        <v>92</v>
      </c>
      <c r="BA985" t="s">
        <v>107</v>
      </c>
      <c r="BB985" t="s">
        <v>3935</v>
      </c>
      <c r="BC985" t="s">
        <v>95</v>
      </c>
      <c r="BD985" s="1">
        <v>44722</v>
      </c>
      <c r="BE985" t="s">
        <v>96</v>
      </c>
      <c r="BG985" t="s">
        <v>97</v>
      </c>
      <c r="BI985" t="s">
        <v>98</v>
      </c>
      <c r="BJ985" t="s">
        <v>1729</v>
      </c>
      <c r="BL985" t="s">
        <v>110</v>
      </c>
    </row>
    <row r="986" spans="1:64" hidden="1" x14ac:dyDescent="0.2">
      <c r="A986">
        <v>1642</v>
      </c>
      <c r="B986">
        <v>3744741491</v>
      </c>
      <c r="C986" t="s">
        <v>101</v>
      </c>
      <c r="D986" t="s">
        <v>3936</v>
      </c>
      <c r="E986" t="s">
        <v>65</v>
      </c>
      <c r="F986" t="s">
        <v>66</v>
      </c>
      <c r="G986" t="s">
        <v>67</v>
      </c>
      <c r="H986" t="s">
        <v>68</v>
      </c>
      <c r="I986" t="s">
        <v>176</v>
      </c>
      <c r="J986" t="s">
        <v>177</v>
      </c>
      <c r="K986" t="s">
        <v>3925</v>
      </c>
      <c r="M986" t="s">
        <v>72</v>
      </c>
      <c r="N986" t="s">
        <v>3926</v>
      </c>
      <c r="O986" t="s">
        <v>3925</v>
      </c>
      <c r="P986" t="s">
        <v>1176</v>
      </c>
      <c r="Q986" t="s">
        <v>75</v>
      </c>
      <c r="R986" t="s">
        <v>3816</v>
      </c>
      <c r="S986" t="s">
        <v>3804</v>
      </c>
      <c r="T986" t="s">
        <v>78</v>
      </c>
      <c r="U986" t="s">
        <v>3817</v>
      </c>
      <c r="V986" t="s">
        <v>80</v>
      </c>
      <c r="W986" s="1">
        <v>44519</v>
      </c>
      <c r="X986" t="s">
        <v>3818</v>
      </c>
      <c r="Y986" t="s">
        <v>3927</v>
      </c>
      <c r="Z986" t="s">
        <v>83</v>
      </c>
      <c r="AA986">
        <v>1</v>
      </c>
      <c r="AB986" t="s">
        <v>103</v>
      </c>
      <c r="AD986" t="s">
        <v>112</v>
      </c>
      <c r="AE986" t="s">
        <v>86</v>
      </c>
      <c r="AF986" t="s">
        <v>146</v>
      </c>
      <c r="AG986" t="s">
        <v>3929</v>
      </c>
      <c r="AH986" t="s">
        <v>3934</v>
      </c>
      <c r="AI986" t="s">
        <v>90</v>
      </c>
      <c r="AJ986">
        <v>32.516367000000002</v>
      </c>
      <c r="AK986">
        <v>-110.68760399999999</v>
      </c>
      <c r="AL986">
        <v>3</v>
      </c>
      <c r="AN986">
        <v>1343</v>
      </c>
      <c r="AP986">
        <v>1343</v>
      </c>
      <c r="AQ986">
        <v>1364.783201</v>
      </c>
      <c r="AT986">
        <v>19</v>
      </c>
      <c r="AU986">
        <v>11</v>
      </c>
      <c r="AV986">
        <v>2021</v>
      </c>
      <c r="AW986">
        <v>2437981</v>
      </c>
      <c r="AX986">
        <v>2437981</v>
      </c>
      <c r="AY986" t="s">
        <v>106</v>
      </c>
      <c r="AZ986" t="s">
        <v>92</v>
      </c>
      <c r="BA986" t="s">
        <v>107</v>
      </c>
      <c r="BB986" t="s">
        <v>3937</v>
      </c>
      <c r="BC986" t="s">
        <v>95</v>
      </c>
      <c r="BD986" s="1">
        <v>44722</v>
      </c>
      <c r="BE986" t="s">
        <v>96</v>
      </c>
      <c r="BG986" t="s">
        <v>97</v>
      </c>
      <c r="BI986" t="s">
        <v>98</v>
      </c>
      <c r="BJ986" t="s">
        <v>1729</v>
      </c>
      <c r="BL986" t="s">
        <v>110</v>
      </c>
    </row>
    <row r="987" spans="1:64" hidden="1" x14ac:dyDescent="0.2">
      <c r="A987">
        <v>1640</v>
      </c>
      <c r="B987">
        <v>3744741493</v>
      </c>
      <c r="C987" t="s">
        <v>101</v>
      </c>
      <c r="D987" t="s">
        <v>3938</v>
      </c>
      <c r="E987" t="s">
        <v>65</v>
      </c>
      <c r="F987" t="s">
        <v>66</v>
      </c>
      <c r="G987" t="s">
        <v>67</v>
      </c>
      <c r="H987" t="s">
        <v>68</v>
      </c>
      <c r="I987" t="s">
        <v>176</v>
      </c>
      <c r="J987" t="s">
        <v>177</v>
      </c>
      <c r="K987" t="s">
        <v>3925</v>
      </c>
      <c r="M987" t="s">
        <v>72</v>
      </c>
      <c r="N987" t="s">
        <v>3926</v>
      </c>
      <c r="O987" t="s">
        <v>3925</v>
      </c>
      <c r="P987" t="s">
        <v>1176</v>
      </c>
      <c r="Q987" t="s">
        <v>75</v>
      </c>
      <c r="R987" t="s">
        <v>3816</v>
      </c>
      <c r="S987" t="s">
        <v>3804</v>
      </c>
      <c r="T987" t="s">
        <v>78</v>
      </c>
      <c r="U987" t="s">
        <v>3817</v>
      </c>
      <c r="V987" t="s">
        <v>80</v>
      </c>
      <c r="W987" s="1">
        <v>44519</v>
      </c>
      <c r="X987" t="s">
        <v>3818</v>
      </c>
      <c r="Y987" t="s">
        <v>3927</v>
      </c>
      <c r="Z987" t="s">
        <v>83</v>
      </c>
      <c r="AA987">
        <v>1</v>
      </c>
      <c r="AB987" t="s">
        <v>103</v>
      </c>
      <c r="AD987" t="s">
        <v>116</v>
      </c>
      <c r="AE987" t="s">
        <v>86</v>
      </c>
      <c r="AF987" t="s">
        <v>146</v>
      </c>
      <c r="AG987" t="s">
        <v>3929</v>
      </c>
      <c r="AH987" t="s">
        <v>3934</v>
      </c>
      <c r="AI987" t="s">
        <v>90</v>
      </c>
      <c r="AJ987">
        <v>32.516367000000002</v>
      </c>
      <c r="AK987">
        <v>-110.68760399999999</v>
      </c>
      <c r="AL987">
        <v>3</v>
      </c>
      <c r="AN987">
        <v>1343</v>
      </c>
      <c r="AP987">
        <v>1343</v>
      </c>
      <c r="AQ987">
        <v>1364.783201</v>
      </c>
      <c r="AT987">
        <v>19</v>
      </c>
      <c r="AU987">
        <v>11</v>
      </c>
      <c r="AV987">
        <v>2021</v>
      </c>
      <c r="AW987">
        <v>2437981</v>
      </c>
      <c r="AX987">
        <v>2437981</v>
      </c>
      <c r="AY987" t="s">
        <v>106</v>
      </c>
      <c r="AZ987" t="s">
        <v>92</v>
      </c>
      <c r="BA987" t="s">
        <v>107</v>
      </c>
      <c r="BB987" t="s">
        <v>3939</v>
      </c>
      <c r="BC987" t="s">
        <v>95</v>
      </c>
      <c r="BD987" s="1">
        <v>44722</v>
      </c>
      <c r="BE987" t="s">
        <v>96</v>
      </c>
      <c r="BG987" t="s">
        <v>97</v>
      </c>
      <c r="BI987" t="s">
        <v>98</v>
      </c>
      <c r="BJ987" t="s">
        <v>1729</v>
      </c>
      <c r="BL987" t="s">
        <v>110</v>
      </c>
    </row>
    <row r="988" spans="1:64" x14ac:dyDescent="0.2">
      <c r="A988">
        <v>666</v>
      </c>
      <c r="B988">
        <v>4079061304</v>
      </c>
      <c r="C988" t="s">
        <v>63</v>
      </c>
      <c r="D988" t="s">
        <v>2231</v>
      </c>
      <c r="E988" t="s">
        <v>65</v>
      </c>
      <c r="F988" t="s">
        <v>66</v>
      </c>
      <c r="G988" t="s">
        <v>67</v>
      </c>
      <c r="H988" t="s">
        <v>2232</v>
      </c>
      <c r="I988" t="s">
        <v>2233</v>
      </c>
      <c r="J988" t="s">
        <v>2234</v>
      </c>
      <c r="K988" t="s">
        <v>2235</v>
      </c>
      <c r="M988" t="s">
        <v>72</v>
      </c>
      <c r="N988" t="s">
        <v>2236</v>
      </c>
      <c r="O988" t="s">
        <v>2235</v>
      </c>
      <c r="P988" t="s">
        <v>2237</v>
      </c>
      <c r="Q988" t="s">
        <v>75</v>
      </c>
      <c r="R988" t="s">
        <v>2238</v>
      </c>
      <c r="S988" t="s">
        <v>2239</v>
      </c>
      <c r="T988" t="s">
        <v>78</v>
      </c>
      <c r="U988" t="s">
        <v>1822</v>
      </c>
      <c r="V988" t="s">
        <v>80</v>
      </c>
      <c r="W988" s="1">
        <v>44813</v>
      </c>
      <c r="X988" t="s">
        <v>1823</v>
      </c>
      <c r="Y988" t="s">
        <v>2240</v>
      </c>
      <c r="Z988" t="s">
        <v>83</v>
      </c>
      <c r="AA988">
        <v>1</v>
      </c>
      <c r="AB988" t="s">
        <v>2241</v>
      </c>
      <c r="AC988">
        <v>1</v>
      </c>
      <c r="AD988" s="6" t="s">
        <v>85</v>
      </c>
      <c r="AE988" s="6" t="s">
        <v>145</v>
      </c>
      <c r="AF988" s="6" t="s">
        <v>146</v>
      </c>
      <c r="AG988" s="6" t="s">
        <v>2242</v>
      </c>
      <c r="AH988" s="6" t="s">
        <v>2243</v>
      </c>
      <c r="AI988" s="6" t="s">
        <v>90</v>
      </c>
      <c r="AJ988" s="6">
        <v>32.441406999999998</v>
      </c>
      <c r="AK988" s="6">
        <v>-110.78778200000001</v>
      </c>
      <c r="AL988" s="6">
        <v>15</v>
      </c>
      <c r="AM988" s="6"/>
      <c r="AN988" s="6">
        <v>2770</v>
      </c>
      <c r="AO988" s="6"/>
      <c r="AP988" s="6">
        <v>2770</v>
      </c>
      <c r="AQ988" s="6">
        <v>2788.9607980000001</v>
      </c>
      <c r="AR988" s="6"/>
      <c r="AS988" s="6"/>
      <c r="AT988" s="6">
        <v>9</v>
      </c>
      <c r="AU988" s="6">
        <v>9</v>
      </c>
      <c r="AV988" s="6">
        <v>2022</v>
      </c>
      <c r="AW988" s="6">
        <v>2436019</v>
      </c>
      <c r="AX988" s="6">
        <v>2436019</v>
      </c>
      <c r="AY988" s="6" t="s">
        <v>91</v>
      </c>
      <c r="AZ988" t="s">
        <v>92</v>
      </c>
      <c r="BA988" t="s">
        <v>93</v>
      </c>
      <c r="BB988" t="s">
        <v>2244</v>
      </c>
      <c r="BC988" t="s">
        <v>2245</v>
      </c>
      <c r="BE988" t="s">
        <v>96</v>
      </c>
      <c r="BG988" t="s">
        <v>2246</v>
      </c>
      <c r="BI988" t="s">
        <v>98</v>
      </c>
      <c r="BJ988" t="s">
        <v>1313</v>
      </c>
      <c r="BK988" t="s">
        <v>365</v>
      </c>
      <c r="BL988" t="s">
        <v>407</v>
      </c>
    </row>
    <row r="989" spans="1:64" x14ac:dyDescent="0.2">
      <c r="A989">
        <v>665</v>
      </c>
      <c r="B989">
        <v>4079061305</v>
      </c>
      <c r="C989" t="s">
        <v>63</v>
      </c>
      <c r="D989" t="s">
        <v>2278</v>
      </c>
      <c r="E989" t="s">
        <v>65</v>
      </c>
      <c r="F989" t="s">
        <v>66</v>
      </c>
      <c r="G989" t="s">
        <v>67</v>
      </c>
      <c r="H989" t="s">
        <v>68</v>
      </c>
      <c r="I989" t="s">
        <v>176</v>
      </c>
      <c r="J989" t="s">
        <v>773</v>
      </c>
      <c r="K989" t="s">
        <v>774</v>
      </c>
      <c r="M989" t="s">
        <v>72</v>
      </c>
      <c r="N989" t="s">
        <v>775</v>
      </c>
      <c r="O989" t="s">
        <v>774</v>
      </c>
      <c r="P989" t="s">
        <v>776</v>
      </c>
      <c r="Q989" t="s">
        <v>75</v>
      </c>
      <c r="R989" t="s">
        <v>2238</v>
      </c>
      <c r="S989" t="s">
        <v>2279</v>
      </c>
      <c r="T989" t="s">
        <v>78</v>
      </c>
      <c r="U989" t="s">
        <v>1822</v>
      </c>
      <c r="V989" t="s">
        <v>80</v>
      </c>
      <c r="W989" s="1">
        <v>44813</v>
      </c>
      <c r="X989" t="s">
        <v>1823</v>
      </c>
      <c r="Y989" t="s">
        <v>2280</v>
      </c>
      <c r="Z989" t="s">
        <v>83</v>
      </c>
      <c r="AA989">
        <v>1</v>
      </c>
      <c r="AB989" t="s">
        <v>2281</v>
      </c>
      <c r="AC989">
        <v>1</v>
      </c>
      <c r="AD989" s="6" t="s">
        <v>85</v>
      </c>
      <c r="AE989" s="6" t="s">
        <v>86</v>
      </c>
      <c r="AF989" s="6" t="s">
        <v>146</v>
      </c>
      <c r="AG989" s="6" t="s">
        <v>2282</v>
      </c>
      <c r="AH989" s="6" t="s">
        <v>2283</v>
      </c>
      <c r="AI989" s="6" t="s">
        <v>90</v>
      </c>
      <c r="AJ989" s="6">
        <v>32.441125</v>
      </c>
      <c r="AK989" s="6">
        <v>-110.786114</v>
      </c>
      <c r="AL989" s="6">
        <v>15</v>
      </c>
      <c r="AM989" s="6"/>
      <c r="AN989" s="6">
        <v>2760</v>
      </c>
      <c r="AO989" s="6"/>
      <c r="AP989" s="6">
        <v>2760</v>
      </c>
      <c r="AQ989" s="6">
        <v>2778.4598810000002</v>
      </c>
      <c r="AR989" s="6"/>
      <c r="AS989" s="6"/>
      <c r="AT989" s="6">
        <v>9</v>
      </c>
      <c r="AU989" s="6">
        <v>9</v>
      </c>
      <c r="AV989" s="6">
        <v>2022</v>
      </c>
      <c r="AW989" s="6">
        <v>2438447</v>
      </c>
      <c r="AX989" s="6">
        <v>2438447</v>
      </c>
      <c r="AY989" s="6" t="s">
        <v>91</v>
      </c>
      <c r="AZ989" t="s">
        <v>92</v>
      </c>
      <c r="BA989" t="s">
        <v>93</v>
      </c>
      <c r="BB989" t="s">
        <v>2284</v>
      </c>
      <c r="BC989" t="s">
        <v>2245</v>
      </c>
      <c r="BE989" t="s">
        <v>96</v>
      </c>
      <c r="BG989" t="s">
        <v>2246</v>
      </c>
      <c r="BI989" t="s">
        <v>98</v>
      </c>
      <c r="BJ989" t="s">
        <v>2285</v>
      </c>
      <c r="BK989" t="s">
        <v>365</v>
      </c>
      <c r="BL989" t="s">
        <v>407</v>
      </c>
    </row>
    <row r="990" spans="1:64" hidden="1" x14ac:dyDescent="0.2">
      <c r="A990">
        <v>1647</v>
      </c>
      <c r="B990">
        <v>3744741486</v>
      </c>
      <c r="C990" t="s">
        <v>101</v>
      </c>
      <c r="D990" t="s">
        <v>3947</v>
      </c>
      <c r="E990" t="s">
        <v>65</v>
      </c>
      <c r="F990" t="s">
        <v>66</v>
      </c>
      <c r="G990" t="s">
        <v>67</v>
      </c>
      <c r="H990" t="s">
        <v>68</v>
      </c>
      <c r="I990" t="s">
        <v>176</v>
      </c>
      <c r="J990" t="s">
        <v>177</v>
      </c>
      <c r="K990" t="s">
        <v>3925</v>
      </c>
      <c r="M990" t="s">
        <v>72</v>
      </c>
      <c r="N990" t="s">
        <v>3926</v>
      </c>
      <c r="O990" t="s">
        <v>3925</v>
      </c>
      <c r="P990" t="s">
        <v>1176</v>
      </c>
      <c r="Q990" t="s">
        <v>75</v>
      </c>
      <c r="R990" t="s">
        <v>3816</v>
      </c>
      <c r="S990" t="s">
        <v>3804</v>
      </c>
      <c r="T990" t="s">
        <v>78</v>
      </c>
      <c r="U990" t="s">
        <v>3817</v>
      </c>
      <c r="V990" t="s">
        <v>80</v>
      </c>
      <c r="W990" s="1">
        <v>44519</v>
      </c>
      <c r="X990" t="s">
        <v>3818</v>
      </c>
      <c r="Y990" t="s">
        <v>3927</v>
      </c>
      <c r="Z990" t="s">
        <v>83</v>
      </c>
      <c r="AA990">
        <v>1</v>
      </c>
      <c r="AB990" t="s">
        <v>103</v>
      </c>
      <c r="AD990" t="s">
        <v>123</v>
      </c>
      <c r="AE990" t="s">
        <v>86</v>
      </c>
      <c r="AF990" t="s">
        <v>146</v>
      </c>
      <c r="AG990" t="s">
        <v>3929</v>
      </c>
      <c r="AH990" t="s">
        <v>3934</v>
      </c>
      <c r="AI990" t="s">
        <v>90</v>
      </c>
      <c r="AJ990">
        <v>32.516367000000002</v>
      </c>
      <c r="AK990">
        <v>-110.68760399999999</v>
      </c>
      <c r="AL990">
        <v>3</v>
      </c>
      <c r="AN990">
        <v>1343</v>
      </c>
      <c r="AP990">
        <v>1343</v>
      </c>
      <c r="AQ990">
        <v>1364.783201</v>
      </c>
      <c r="AT990">
        <v>19</v>
      </c>
      <c r="AU990">
        <v>11</v>
      </c>
      <c r="AV990">
        <v>2021</v>
      </c>
      <c r="AW990">
        <v>2437981</v>
      </c>
      <c r="AX990">
        <v>2437981</v>
      </c>
      <c r="AY990" t="s">
        <v>106</v>
      </c>
      <c r="AZ990" t="s">
        <v>92</v>
      </c>
      <c r="BA990" t="s">
        <v>107</v>
      </c>
      <c r="BB990" t="s">
        <v>3948</v>
      </c>
      <c r="BC990" t="s">
        <v>95</v>
      </c>
      <c r="BD990" s="1">
        <v>44722</v>
      </c>
      <c r="BE990" t="s">
        <v>96</v>
      </c>
      <c r="BG990" t="s">
        <v>97</v>
      </c>
      <c r="BI990" t="s">
        <v>98</v>
      </c>
      <c r="BJ990" t="s">
        <v>1815</v>
      </c>
      <c r="BL990" t="s">
        <v>110</v>
      </c>
    </row>
    <row r="991" spans="1:64" hidden="1" x14ac:dyDescent="0.2">
      <c r="A991">
        <v>1652</v>
      </c>
      <c r="B991">
        <v>3744741481</v>
      </c>
      <c r="C991" t="s">
        <v>101</v>
      </c>
      <c r="D991" t="s">
        <v>3949</v>
      </c>
      <c r="E991" t="s">
        <v>65</v>
      </c>
      <c r="F991" t="s">
        <v>66</v>
      </c>
      <c r="G991" t="s">
        <v>67</v>
      </c>
      <c r="H991" t="s">
        <v>68</v>
      </c>
      <c r="I991" t="s">
        <v>176</v>
      </c>
      <c r="J991" t="s">
        <v>177</v>
      </c>
      <c r="K991" t="s">
        <v>3925</v>
      </c>
      <c r="M991" t="s">
        <v>72</v>
      </c>
      <c r="N991" t="s">
        <v>3926</v>
      </c>
      <c r="O991" t="s">
        <v>3925</v>
      </c>
      <c r="P991" t="s">
        <v>1176</v>
      </c>
      <c r="Q991" t="s">
        <v>75</v>
      </c>
      <c r="R991" t="s">
        <v>3816</v>
      </c>
      <c r="S991" t="s">
        <v>3804</v>
      </c>
      <c r="T991" t="s">
        <v>78</v>
      </c>
      <c r="U991" t="s">
        <v>3817</v>
      </c>
      <c r="V991" t="s">
        <v>80</v>
      </c>
      <c r="W991" s="1">
        <v>44519</v>
      </c>
      <c r="X991" t="s">
        <v>3818</v>
      </c>
      <c r="Y991" t="s">
        <v>3927</v>
      </c>
      <c r="Z991" t="s">
        <v>83</v>
      </c>
      <c r="AA991">
        <v>1</v>
      </c>
      <c r="AB991" t="s">
        <v>133</v>
      </c>
      <c r="AD991" t="s">
        <v>134</v>
      </c>
      <c r="AE991" t="s">
        <v>86</v>
      </c>
      <c r="AF991" t="s">
        <v>146</v>
      </c>
      <c r="AG991" t="s">
        <v>3929</v>
      </c>
      <c r="AH991" t="s">
        <v>3950</v>
      </c>
      <c r="AI991" t="s">
        <v>90</v>
      </c>
      <c r="AJ991">
        <v>32.516367000000002</v>
      </c>
      <c r="AK991">
        <v>-110.68760399999999</v>
      </c>
      <c r="AL991">
        <v>3</v>
      </c>
      <c r="AN991">
        <v>1343</v>
      </c>
      <c r="AP991">
        <v>1343</v>
      </c>
      <c r="AQ991">
        <v>1364.783201</v>
      </c>
      <c r="AT991">
        <v>19</v>
      </c>
      <c r="AU991">
        <v>11</v>
      </c>
      <c r="AV991">
        <v>2021</v>
      </c>
      <c r="AW991">
        <v>2437981</v>
      </c>
      <c r="AX991">
        <v>2437981</v>
      </c>
      <c r="AY991" t="s">
        <v>106</v>
      </c>
      <c r="AZ991" t="s">
        <v>92</v>
      </c>
      <c r="BA991" t="s">
        <v>107</v>
      </c>
      <c r="BB991" t="s">
        <v>3951</v>
      </c>
      <c r="BC991" t="s">
        <v>95</v>
      </c>
      <c r="BD991" s="1">
        <v>44722</v>
      </c>
      <c r="BE991" t="s">
        <v>96</v>
      </c>
      <c r="BG991" t="s">
        <v>97</v>
      </c>
      <c r="BI991" t="s">
        <v>98</v>
      </c>
      <c r="BJ991" t="s">
        <v>2848</v>
      </c>
      <c r="BL991" t="s">
        <v>110</v>
      </c>
    </row>
    <row r="992" spans="1:64" hidden="1" x14ac:dyDescent="0.2">
      <c r="A992">
        <v>1650</v>
      </c>
      <c r="B992">
        <v>3744741483</v>
      </c>
      <c r="C992" t="s">
        <v>101</v>
      </c>
      <c r="D992" t="s">
        <v>3952</v>
      </c>
      <c r="E992" t="s">
        <v>65</v>
      </c>
      <c r="F992" t="s">
        <v>66</v>
      </c>
      <c r="G992" t="s">
        <v>67</v>
      </c>
      <c r="H992" t="s">
        <v>68</v>
      </c>
      <c r="I992" t="s">
        <v>176</v>
      </c>
      <c r="J992" t="s">
        <v>177</v>
      </c>
      <c r="K992" t="s">
        <v>3925</v>
      </c>
      <c r="M992" t="s">
        <v>72</v>
      </c>
      <c r="N992" t="s">
        <v>3926</v>
      </c>
      <c r="O992" t="s">
        <v>3925</v>
      </c>
      <c r="P992" t="s">
        <v>1176</v>
      </c>
      <c r="Q992" t="s">
        <v>75</v>
      </c>
      <c r="R992" t="s">
        <v>3816</v>
      </c>
      <c r="S992" t="s">
        <v>3804</v>
      </c>
      <c r="T992" t="s">
        <v>78</v>
      </c>
      <c r="U992" t="s">
        <v>3817</v>
      </c>
      <c r="V992" t="s">
        <v>80</v>
      </c>
      <c r="W992" s="1">
        <v>44519</v>
      </c>
      <c r="X992" t="s">
        <v>3818</v>
      </c>
      <c r="Y992" t="s">
        <v>3927</v>
      </c>
      <c r="Z992" t="s">
        <v>83</v>
      </c>
      <c r="AA992">
        <v>1</v>
      </c>
      <c r="AB992" t="s">
        <v>103</v>
      </c>
      <c r="AD992" t="s">
        <v>139</v>
      </c>
      <c r="AE992" t="s">
        <v>86</v>
      </c>
      <c r="AF992" t="s">
        <v>146</v>
      </c>
      <c r="AG992" t="s">
        <v>3929</v>
      </c>
      <c r="AH992" t="s">
        <v>3934</v>
      </c>
      <c r="AI992" t="s">
        <v>90</v>
      </c>
      <c r="AJ992">
        <v>32.516367000000002</v>
      </c>
      <c r="AK992">
        <v>-110.68760399999999</v>
      </c>
      <c r="AL992">
        <v>3</v>
      </c>
      <c r="AN992">
        <v>1343</v>
      </c>
      <c r="AP992">
        <v>1343</v>
      </c>
      <c r="AQ992">
        <v>1364.783201</v>
      </c>
      <c r="AT992">
        <v>19</v>
      </c>
      <c r="AU992">
        <v>11</v>
      </c>
      <c r="AV992">
        <v>2021</v>
      </c>
      <c r="AW992">
        <v>2437981</v>
      </c>
      <c r="AX992">
        <v>2437981</v>
      </c>
      <c r="AY992" t="s">
        <v>106</v>
      </c>
      <c r="AZ992" t="s">
        <v>92</v>
      </c>
      <c r="BA992" t="s">
        <v>107</v>
      </c>
      <c r="BB992" t="s">
        <v>3953</v>
      </c>
      <c r="BC992" t="s">
        <v>95</v>
      </c>
      <c r="BD992" s="1">
        <v>44722</v>
      </c>
      <c r="BE992" t="s">
        <v>96</v>
      </c>
      <c r="BG992" t="s">
        <v>97</v>
      </c>
      <c r="BI992" t="s">
        <v>98</v>
      </c>
      <c r="BJ992" t="s">
        <v>1795</v>
      </c>
      <c r="BL992" t="s">
        <v>110</v>
      </c>
    </row>
    <row r="993" spans="1:64" hidden="1" x14ac:dyDescent="0.2">
      <c r="A993">
        <v>1656</v>
      </c>
      <c r="B993">
        <v>3744741477</v>
      </c>
      <c r="C993" t="s">
        <v>101</v>
      </c>
      <c r="D993" t="s">
        <v>3962</v>
      </c>
      <c r="E993" t="s">
        <v>65</v>
      </c>
      <c r="F993" t="s">
        <v>66</v>
      </c>
      <c r="G993" t="s">
        <v>67</v>
      </c>
      <c r="H993" t="s">
        <v>68</v>
      </c>
      <c r="I993" t="s">
        <v>176</v>
      </c>
      <c r="J993" t="s">
        <v>773</v>
      </c>
      <c r="K993" t="s">
        <v>1347</v>
      </c>
      <c r="M993" t="s">
        <v>72</v>
      </c>
      <c r="N993" t="s">
        <v>1348</v>
      </c>
      <c r="O993" t="s">
        <v>1347</v>
      </c>
      <c r="P993" t="s">
        <v>1349</v>
      </c>
      <c r="Q993" t="s">
        <v>75</v>
      </c>
      <c r="R993" t="s">
        <v>3955</v>
      </c>
      <c r="S993" t="s">
        <v>3956</v>
      </c>
      <c r="T993" t="s">
        <v>78</v>
      </c>
      <c r="U993" t="s">
        <v>3817</v>
      </c>
      <c r="V993" t="s">
        <v>80</v>
      </c>
      <c r="W993" s="1">
        <v>44519</v>
      </c>
      <c r="X993" t="s">
        <v>3818</v>
      </c>
      <c r="Y993" t="s">
        <v>3957</v>
      </c>
      <c r="Z993" t="s">
        <v>83</v>
      </c>
      <c r="AA993">
        <v>1</v>
      </c>
      <c r="AB993" t="s">
        <v>103</v>
      </c>
      <c r="AD993" t="s">
        <v>104</v>
      </c>
      <c r="AE993" t="s">
        <v>86</v>
      </c>
      <c r="AF993" t="s">
        <v>146</v>
      </c>
      <c r="AG993" t="s">
        <v>3959</v>
      </c>
      <c r="AH993" t="s">
        <v>3963</v>
      </c>
      <c r="AI993" t="s">
        <v>90</v>
      </c>
      <c r="AJ993">
        <v>32.516480000000001</v>
      </c>
      <c r="AK993">
        <v>-110.685751</v>
      </c>
      <c r="AL993">
        <v>3</v>
      </c>
      <c r="AN993">
        <v>1358</v>
      </c>
      <c r="AP993">
        <v>1358</v>
      </c>
      <c r="AQ993">
        <v>1349.1764189999999</v>
      </c>
      <c r="AT993">
        <v>19</v>
      </c>
      <c r="AU993">
        <v>11</v>
      </c>
      <c r="AV993">
        <v>2021</v>
      </c>
      <c r="AW993">
        <v>2438454</v>
      </c>
      <c r="AX993">
        <v>2438454</v>
      </c>
      <c r="AY993" t="s">
        <v>106</v>
      </c>
      <c r="AZ993" t="s">
        <v>92</v>
      </c>
      <c r="BA993" t="s">
        <v>107</v>
      </c>
      <c r="BB993" t="s">
        <v>3964</v>
      </c>
      <c r="BC993" t="s">
        <v>97</v>
      </c>
      <c r="BE993" t="s">
        <v>96</v>
      </c>
      <c r="BG993" t="s">
        <v>97</v>
      </c>
      <c r="BI993" t="s">
        <v>98</v>
      </c>
      <c r="BJ993" t="s">
        <v>1789</v>
      </c>
      <c r="BL993" t="s">
        <v>110</v>
      </c>
    </row>
    <row r="994" spans="1:64" hidden="1" x14ac:dyDescent="0.2">
      <c r="A994">
        <v>1654</v>
      </c>
      <c r="B994">
        <v>3744741479</v>
      </c>
      <c r="C994" t="s">
        <v>101</v>
      </c>
      <c r="D994" t="s">
        <v>3965</v>
      </c>
      <c r="E994" t="s">
        <v>65</v>
      </c>
      <c r="F994" t="s">
        <v>66</v>
      </c>
      <c r="G994" t="s">
        <v>67</v>
      </c>
      <c r="H994" t="s">
        <v>68</v>
      </c>
      <c r="I994" t="s">
        <v>176</v>
      </c>
      <c r="J994" t="s">
        <v>773</v>
      </c>
      <c r="K994" t="s">
        <v>1347</v>
      </c>
      <c r="M994" t="s">
        <v>72</v>
      </c>
      <c r="N994" t="s">
        <v>1348</v>
      </c>
      <c r="O994" t="s">
        <v>1347</v>
      </c>
      <c r="P994" t="s">
        <v>1349</v>
      </c>
      <c r="Q994" t="s">
        <v>75</v>
      </c>
      <c r="R994" t="s">
        <v>3955</v>
      </c>
      <c r="S994" t="s">
        <v>3956</v>
      </c>
      <c r="T994" t="s">
        <v>78</v>
      </c>
      <c r="U994" t="s">
        <v>3817</v>
      </c>
      <c r="V994" t="s">
        <v>80</v>
      </c>
      <c r="W994" s="1">
        <v>44519</v>
      </c>
      <c r="X994" t="s">
        <v>3818</v>
      </c>
      <c r="Y994" t="s">
        <v>3957</v>
      </c>
      <c r="Z994" t="s">
        <v>83</v>
      </c>
      <c r="AA994">
        <v>1</v>
      </c>
      <c r="AB994" t="s">
        <v>103</v>
      </c>
      <c r="AD994" t="s">
        <v>104</v>
      </c>
      <c r="AE994" t="s">
        <v>86</v>
      </c>
      <c r="AF994" t="s">
        <v>146</v>
      </c>
      <c r="AG994" t="s">
        <v>3959</v>
      </c>
      <c r="AH994" t="s">
        <v>3963</v>
      </c>
      <c r="AI994" t="s">
        <v>90</v>
      </c>
      <c r="AJ994">
        <v>32.516480000000001</v>
      </c>
      <c r="AK994">
        <v>-110.685751</v>
      </c>
      <c r="AL994">
        <v>3</v>
      </c>
      <c r="AN994">
        <v>1358</v>
      </c>
      <c r="AP994">
        <v>1358</v>
      </c>
      <c r="AQ994">
        <v>1349.1764189999999</v>
      </c>
      <c r="AT994">
        <v>19</v>
      </c>
      <c r="AU994">
        <v>11</v>
      </c>
      <c r="AV994">
        <v>2021</v>
      </c>
      <c r="AW994">
        <v>2438454</v>
      </c>
      <c r="AX994">
        <v>2438454</v>
      </c>
      <c r="AY994" t="s">
        <v>106</v>
      </c>
      <c r="AZ994" t="s">
        <v>92</v>
      </c>
      <c r="BA994" t="s">
        <v>107</v>
      </c>
      <c r="BB994" t="s">
        <v>3966</v>
      </c>
      <c r="BC994" t="s">
        <v>97</v>
      </c>
      <c r="BE994" t="s">
        <v>96</v>
      </c>
      <c r="BG994" t="s">
        <v>97</v>
      </c>
      <c r="BI994" t="s">
        <v>98</v>
      </c>
      <c r="BJ994" t="s">
        <v>1815</v>
      </c>
      <c r="BL994" t="s">
        <v>110</v>
      </c>
    </row>
    <row r="995" spans="1:64" hidden="1" x14ac:dyDescent="0.2">
      <c r="A995">
        <v>1660</v>
      </c>
      <c r="B995">
        <v>3744741473</v>
      </c>
      <c r="C995" t="s">
        <v>101</v>
      </c>
      <c r="D995" s="2" t="s">
        <v>3967</v>
      </c>
      <c r="E995" t="s">
        <v>65</v>
      </c>
      <c r="F995" t="s">
        <v>66</v>
      </c>
      <c r="G995" t="s">
        <v>67</v>
      </c>
      <c r="H995" t="s">
        <v>68</v>
      </c>
      <c r="I995" t="s">
        <v>176</v>
      </c>
      <c r="J995" t="s">
        <v>773</v>
      </c>
      <c r="K995" t="s">
        <v>1347</v>
      </c>
      <c r="M995" t="s">
        <v>72</v>
      </c>
      <c r="N995" t="s">
        <v>1348</v>
      </c>
      <c r="O995" t="s">
        <v>1347</v>
      </c>
      <c r="P995" t="s">
        <v>1349</v>
      </c>
      <c r="Q995" t="s">
        <v>75</v>
      </c>
      <c r="R995" t="s">
        <v>3955</v>
      </c>
      <c r="S995" t="s">
        <v>3956</v>
      </c>
      <c r="T995" t="s">
        <v>78</v>
      </c>
      <c r="U995" t="s">
        <v>3817</v>
      </c>
      <c r="V995" t="s">
        <v>80</v>
      </c>
      <c r="W995" s="1">
        <v>44519</v>
      </c>
      <c r="X995" t="s">
        <v>3818</v>
      </c>
      <c r="Y995" t="s">
        <v>3957</v>
      </c>
      <c r="Z995" t="s">
        <v>83</v>
      </c>
      <c r="AA995">
        <v>1</v>
      </c>
      <c r="AB995" t="s">
        <v>103</v>
      </c>
      <c r="AD995" t="s">
        <v>116</v>
      </c>
      <c r="AE995" t="s">
        <v>86</v>
      </c>
      <c r="AF995" t="s">
        <v>146</v>
      </c>
      <c r="AG995" t="s">
        <v>3959</v>
      </c>
      <c r="AH995" t="s">
        <v>3963</v>
      </c>
      <c r="AI995" t="s">
        <v>90</v>
      </c>
      <c r="AJ995">
        <v>32.516480000000001</v>
      </c>
      <c r="AK995">
        <v>-110.685751</v>
      </c>
      <c r="AL995">
        <v>3</v>
      </c>
      <c r="AN995">
        <v>1358</v>
      </c>
      <c r="AP995">
        <v>1358</v>
      </c>
      <c r="AQ995">
        <v>1349.1764189999999</v>
      </c>
      <c r="AT995">
        <v>19</v>
      </c>
      <c r="AU995">
        <v>11</v>
      </c>
      <c r="AV995">
        <v>2021</v>
      </c>
      <c r="AW995">
        <v>2438454</v>
      </c>
      <c r="AX995">
        <v>2438454</v>
      </c>
      <c r="AY995" t="s">
        <v>106</v>
      </c>
      <c r="AZ995" t="s">
        <v>92</v>
      </c>
      <c r="BA995" t="s">
        <v>107</v>
      </c>
      <c r="BB995" t="s">
        <v>3968</v>
      </c>
      <c r="BC995" t="s">
        <v>97</v>
      </c>
      <c r="BE995" t="s">
        <v>96</v>
      </c>
      <c r="BG995" t="s">
        <v>97</v>
      </c>
      <c r="BI995" t="s">
        <v>98</v>
      </c>
      <c r="BJ995" t="s">
        <v>3969</v>
      </c>
      <c r="BL995" t="s">
        <v>110</v>
      </c>
    </row>
    <row r="996" spans="1:64" hidden="1" x14ac:dyDescent="0.2">
      <c r="A996">
        <v>1658</v>
      </c>
      <c r="B996">
        <v>3744741475</v>
      </c>
      <c r="C996" t="s">
        <v>101</v>
      </c>
      <c r="D996" t="s">
        <v>3970</v>
      </c>
      <c r="E996" t="s">
        <v>65</v>
      </c>
      <c r="F996" t="s">
        <v>66</v>
      </c>
      <c r="G996" t="s">
        <v>67</v>
      </c>
      <c r="H996" t="s">
        <v>68</v>
      </c>
      <c r="I996" t="s">
        <v>176</v>
      </c>
      <c r="J996" t="s">
        <v>773</v>
      </c>
      <c r="K996" t="s">
        <v>1347</v>
      </c>
      <c r="M996" t="s">
        <v>72</v>
      </c>
      <c r="N996" t="s">
        <v>1348</v>
      </c>
      <c r="O996" t="s">
        <v>1347</v>
      </c>
      <c r="P996" t="s">
        <v>1349</v>
      </c>
      <c r="Q996" t="s">
        <v>75</v>
      </c>
      <c r="R996" t="s">
        <v>3955</v>
      </c>
      <c r="S996" t="s">
        <v>3956</v>
      </c>
      <c r="T996" t="s">
        <v>78</v>
      </c>
      <c r="U996" t="s">
        <v>3817</v>
      </c>
      <c r="V996" t="s">
        <v>80</v>
      </c>
      <c r="W996" s="1">
        <v>44519</v>
      </c>
      <c r="X996" t="s">
        <v>3818</v>
      </c>
      <c r="Y996" t="s">
        <v>3957</v>
      </c>
      <c r="Z996" t="s">
        <v>83</v>
      </c>
      <c r="AA996">
        <v>1</v>
      </c>
      <c r="AB996" t="s">
        <v>103</v>
      </c>
      <c r="AD996" t="s">
        <v>116</v>
      </c>
      <c r="AE996" t="s">
        <v>86</v>
      </c>
      <c r="AF996" t="s">
        <v>146</v>
      </c>
      <c r="AG996" t="s">
        <v>3959</v>
      </c>
      <c r="AH996" t="s">
        <v>3963</v>
      </c>
      <c r="AI996" t="s">
        <v>90</v>
      </c>
      <c r="AJ996">
        <v>32.516480000000001</v>
      </c>
      <c r="AK996">
        <v>-110.685751</v>
      </c>
      <c r="AL996">
        <v>3</v>
      </c>
      <c r="AN996">
        <v>1358</v>
      </c>
      <c r="AP996">
        <v>1358</v>
      </c>
      <c r="AQ996">
        <v>1349.1764189999999</v>
      </c>
      <c r="AT996">
        <v>19</v>
      </c>
      <c r="AU996">
        <v>11</v>
      </c>
      <c r="AV996">
        <v>2021</v>
      </c>
      <c r="AW996">
        <v>2438454</v>
      </c>
      <c r="AX996">
        <v>2438454</v>
      </c>
      <c r="AY996" t="s">
        <v>106</v>
      </c>
      <c r="AZ996" t="s">
        <v>92</v>
      </c>
      <c r="BA996" t="s">
        <v>107</v>
      </c>
      <c r="BB996" t="s">
        <v>3971</v>
      </c>
      <c r="BC996" t="s">
        <v>97</v>
      </c>
      <c r="BE996" t="s">
        <v>96</v>
      </c>
      <c r="BG996" t="s">
        <v>97</v>
      </c>
      <c r="BI996" t="s">
        <v>98</v>
      </c>
      <c r="BJ996" t="s">
        <v>1795</v>
      </c>
      <c r="BL996" t="s">
        <v>110</v>
      </c>
    </row>
    <row r="997" spans="1:64" x14ac:dyDescent="0.2">
      <c r="A997">
        <v>663</v>
      </c>
      <c r="B997">
        <v>4079061307</v>
      </c>
      <c r="C997" t="s">
        <v>63</v>
      </c>
      <c r="D997" t="s">
        <v>2362</v>
      </c>
      <c r="E997" t="s">
        <v>65</v>
      </c>
      <c r="F997" t="s">
        <v>66</v>
      </c>
      <c r="G997" t="s">
        <v>67</v>
      </c>
      <c r="H997" t="s">
        <v>68</v>
      </c>
      <c r="I997" t="s">
        <v>176</v>
      </c>
      <c r="J997" t="s">
        <v>177</v>
      </c>
      <c r="K997" t="s">
        <v>1817</v>
      </c>
      <c r="M997" t="s">
        <v>72</v>
      </c>
      <c r="N997" t="s">
        <v>1818</v>
      </c>
      <c r="O997" t="s">
        <v>1817</v>
      </c>
      <c r="P997" t="s">
        <v>1819</v>
      </c>
      <c r="Q997" t="s">
        <v>75</v>
      </c>
      <c r="R997" t="s">
        <v>2238</v>
      </c>
      <c r="S997" t="s">
        <v>2363</v>
      </c>
      <c r="T997" t="s">
        <v>78</v>
      </c>
      <c r="U997" t="s">
        <v>1822</v>
      </c>
      <c r="V997" t="s">
        <v>80</v>
      </c>
      <c r="W997" s="1">
        <v>44813</v>
      </c>
      <c r="X997" t="s">
        <v>1823</v>
      </c>
      <c r="Y997" t="s">
        <v>2364</v>
      </c>
      <c r="Z997" t="s">
        <v>83</v>
      </c>
      <c r="AA997">
        <v>1</v>
      </c>
      <c r="AB997" t="s">
        <v>2365</v>
      </c>
      <c r="AC997">
        <v>1</v>
      </c>
      <c r="AD997" s="6" t="s">
        <v>85</v>
      </c>
      <c r="AE997" s="6" t="s">
        <v>145</v>
      </c>
      <c r="AF997" s="6" t="s">
        <v>87</v>
      </c>
      <c r="AG997" s="6" t="s">
        <v>2366</v>
      </c>
      <c r="AH997" s="6" t="s">
        <v>2367</v>
      </c>
      <c r="AI997" s="6" t="s">
        <v>90</v>
      </c>
      <c r="AJ997" s="6">
        <v>32.44106</v>
      </c>
      <c r="AK997" s="6">
        <v>-110.78533899999999</v>
      </c>
      <c r="AL997" s="6">
        <v>15</v>
      </c>
      <c r="AM997" s="6"/>
      <c r="AN997" s="6">
        <v>2758</v>
      </c>
      <c r="AO997" s="6"/>
      <c r="AP997" s="6">
        <v>2758</v>
      </c>
      <c r="AQ997" s="6">
        <v>2779.596708</v>
      </c>
      <c r="AR997" s="6"/>
      <c r="AS997" s="6"/>
      <c r="AT997" s="6">
        <v>9</v>
      </c>
      <c r="AU997" s="6">
        <v>9</v>
      </c>
      <c r="AV997" s="6">
        <v>2022</v>
      </c>
      <c r="AW997" s="6">
        <v>2437967</v>
      </c>
      <c r="AX997" s="6">
        <v>2437967</v>
      </c>
      <c r="AY997" s="6" t="s">
        <v>91</v>
      </c>
      <c r="AZ997" t="s">
        <v>92</v>
      </c>
      <c r="BA997" t="s">
        <v>93</v>
      </c>
      <c r="BB997" t="s">
        <v>2368</v>
      </c>
      <c r="BC997" t="s">
        <v>2245</v>
      </c>
      <c r="BE997" t="s">
        <v>96</v>
      </c>
      <c r="BG997" t="s">
        <v>2246</v>
      </c>
      <c r="BI997" t="s">
        <v>98</v>
      </c>
      <c r="BJ997" t="s">
        <v>2369</v>
      </c>
      <c r="BK997" t="s">
        <v>365</v>
      </c>
      <c r="BL997" t="s">
        <v>407</v>
      </c>
    </row>
    <row r="998" spans="1:64" hidden="1" x14ac:dyDescent="0.2">
      <c r="A998">
        <v>1662</v>
      </c>
      <c r="B998">
        <v>3744741471</v>
      </c>
      <c r="C998" t="s">
        <v>101</v>
      </c>
      <c r="D998" t="s">
        <v>3976</v>
      </c>
      <c r="E998" t="s">
        <v>65</v>
      </c>
      <c r="F998" t="s">
        <v>66</v>
      </c>
      <c r="G998" t="s">
        <v>67</v>
      </c>
      <c r="H998" t="s">
        <v>68</v>
      </c>
      <c r="I998" t="s">
        <v>176</v>
      </c>
      <c r="J998" t="s">
        <v>773</v>
      </c>
      <c r="K998" t="s">
        <v>1347</v>
      </c>
      <c r="M998" t="s">
        <v>72</v>
      </c>
      <c r="N998" t="s">
        <v>1348</v>
      </c>
      <c r="O998" t="s">
        <v>1347</v>
      </c>
      <c r="P998" t="s">
        <v>1349</v>
      </c>
      <c r="Q998" t="s">
        <v>75</v>
      </c>
      <c r="R998" t="s">
        <v>3955</v>
      </c>
      <c r="S998" t="s">
        <v>3956</v>
      </c>
      <c r="T998" t="s">
        <v>78</v>
      </c>
      <c r="U998" t="s">
        <v>3817</v>
      </c>
      <c r="V998" t="s">
        <v>80</v>
      </c>
      <c r="W998" s="1">
        <v>44519</v>
      </c>
      <c r="X998" t="s">
        <v>3818</v>
      </c>
      <c r="Y998" t="s">
        <v>3957</v>
      </c>
      <c r="Z998" t="s">
        <v>83</v>
      </c>
      <c r="AA998">
        <v>1</v>
      </c>
      <c r="AB998" t="s">
        <v>103</v>
      </c>
      <c r="AD998" t="s">
        <v>112</v>
      </c>
      <c r="AE998" t="s">
        <v>86</v>
      </c>
      <c r="AF998" t="s">
        <v>146</v>
      </c>
      <c r="AG998" t="s">
        <v>3959</v>
      </c>
      <c r="AH998" t="s">
        <v>3963</v>
      </c>
      <c r="AI998" t="s">
        <v>90</v>
      </c>
      <c r="AJ998">
        <v>32.516480000000001</v>
      </c>
      <c r="AK998">
        <v>-110.685751</v>
      </c>
      <c r="AL998">
        <v>3</v>
      </c>
      <c r="AN998">
        <v>1358</v>
      </c>
      <c r="AP998">
        <v>1358</v>
      </c>
      <c r="AQ998">
        <v>1349.1764189999999</v>
      </c>
      <c r="AT998">
        <v>19</v>
      </c>
      <c r="AU998">
        <v>11</v>
      </c>
      <c r="AV998">
        <v>2021</v>
      </c>
      <c r="AW998">
        <v>2438454</v>
      </c>
      <c r="AX998">
        <v>2438454</v>
      </c>
      <c r="AY998" t="s">
        <v>106</v>
      </c>
      <c r="AZ998" t="s">
        <v>92</v>
      </c>
      <c r="BA998" t="s">
        <v>107</v>
      </c>
      <c r="BB998" t="s">
        <v>3977</v>
      </c>
      <c r="BC998" t="s">
        <v>97</v>
      </c>
      <c r="BE998" t="s">
        <v>96</v>
      </c>
      <c r="BG998" t="s">
        <v>97</v>
      </c>
      <c r="BI998" t="s">
        <v>98</v>
      </c>
      <c r="BJ998" t="s">
        <v>3969</v>
      </c>
      <c r="BL998" t="s">
        <v>110</v>
      </c>
    </row>
    <row r="999" spans="1:64" x14ac:dyDescent="0.2">
      <c r="A999">
        <v>661</v>
      </c>
      <c r="B999">
        <v>4079061309</v>
      </c>
      <c r="C999" t="s">
        <v>63</v>
      </c>
      <c r="D999" t="s">
        <v>2403</v>
      </c>
      <c r="E999" t="s">
        <v>65</v>
      </c>
      <c r="F999" t="s">
        <v>66</v>
      </c>
      <c r="G999" t="s">
        <v>67</v>
      </c>
      <c r="H999" t="s">
        <v>68</v>
      </c>
      <c r="I999" t="s">
        <v>176</v>
      </c>
      <c r="J999" t="s">
        <v>177</v>
      </c>
      <c r="K999" t="s">
        <v>1817</v>
      </c>
      <c r="M999" t="s">
        <v>72</v>
      </c>
      <c r="N999" t="s">
        <v>1856</v>
      </c>
      <c r="O999" t="s">
        <v>1817</v>
      </c>
      <c r="P999" t="s">
        <v>1857</v>
      </c>
      <c r="Q999" t="s">
        <v>75</v>
      </c>
      <c r="R999" t="s">
        <v>2238</v>
      </c>
      <c r="S999" t="s">
        <v>2404</v>
      </c>
      <c r="T999" t="s">
        <v>78</v>
      </c>
      <c r="U999" t="s">
        <v>1822</v>
      </c>
      <c r="V999" t="s">
        <v>80</v>
      </c>
      <c r="W999" s="1">
        <v>44813</v>
      </c>
      <c r="X999" t="s">
        <v>1823</v>
      </c>
      <c r="Y999" t="s">
        <v>2405</v>
      </c>
      <c r="Z999" t="s">
        <v>83</v>
      </c>
      <c r="AA999">
        <v>1</v>
      </c>
      <c r="AB999" t="s">
        <v>2406</v>
      </c>
      <c r="AC999">
        <v>1</v>
      </c>
      <c r="AD999" s="6" t="s">
        <v>85</v>
      </c>
      <c r="AE999" s="6" t="s">
        <v>86</v>
      </c>
      <c r="AF999" s="6" t="s">
        <v>146</v>
      </c>
      <c r="AG999" s="6" t="s">
        <v>2407</v>
      </c>
      <c r="AH999" s="6" t="s">
        <v>2408</v>
      </c>
      <c r="AI999" s="6" t="s">
        <v>90</v>
      </c>
      <c r="AJ999" s="6">
        <v>32.441080999999997</v>
      </c>
      <c r="AK999" s="6">
        <v>-110.785628</v>
      </c>
      <c r="AL999" s="6">
        <v>15</v>
      </c>
      <c r="AM999" s="6"/>
      <c r="AN999" s="6">
        <v>2759</v>
      </c>
      <c r="AO999" s="6"/>
      <c r="AP999" s="6">
        <v>2759</v>
      </c>
      <c r="AQ999" s="6">
        <v>2778.6786710000001</v>
      </c>
      <c r="AR999" s="6"/>
      <c r="AS999" s="6"/>
      <c r="AT999" s="6">
        <v>9</v>
      </c>
      <c r="AU999" s="6">
        <v>9</v>
      </c>
      <c r="AV999" s="6">
        <v>2022</v>
      </c>
      <c r="AW999" s="6">
        <v>2438019</v>
      </c>
      <c r="AX999" s="6">
        <v>2438019</v>
      </c>
      <c r="AY999" s="6" t="s">
        <v>91</v>
      </c>
      <c r="AZ999" t="s">
        <v>92</v>
      </c>
      <c r="BA999" t="s">
        <v>93</v>
      </c>
      <c r="BB999" t="s">
        <v>2409</v>
      </c>
      <c r="BC999" t="s">
        <v>2245</v>
      </c>
      <c r="BE999" t="s">
        <v>96</v>
      </c>
      <c r="BG999" t="s">
        <v>2246</v>
      </c>
      <c r="BI999" t="s">
        <v>98</v>
      </c>
      <c r="BJ999" t="s">
        <v>2410</v>
      </c>
      <c r="BK999" t="s">
        <v>365</v>
      </c>
      <c r="BL999" t="s">
        <v>407</v>
      </c>
    </row>
    <row r="1000" spans="1:64" hidden="1" x14ac:dyDescent="0.2">
      <c r="A1000">
        <v>1670</v>
      </c>
      <c r="B1000">
        <v>3744741463</v>
      </c>
      <c r="C1000" t="s">
        <v>101</v>
      </c>
      <c r="D1000" t="s">
        <v>3981</v>
      </c>
      <c r="E1000" t="s">
        <v>65</v>
      </c>
      <c r="F1000" t="s">
        <v>66</v>
      </c>
      <c r="G1000" t="s">
        <v>67</v>
      </c>
      <c r="H1000" t="s">
        <v>68</v>
      </c>
      <c r="I1000" t="s">
        <v>176</v>
      </c>
      <c r="J1000" t="s">
        <v>773</v>
      </c>
      <c r="K1000" t="s">
        <v>1347</v>
      </c>
      <c r="M1000" t="s">
        <v>72</v>
      </c>
      <c r="N1000" t="s">
        <v>1348</v>
      </c>
      <c r="O1000" t="s">
        <v>1347</v>
      </c>
      <c r="P1000" t="s">
        <v>1349</v>
      </c>
      <c r="Q1000" t="s">
        <v>75</v>
      </c>
      <c r="R1000" t="s">
        <v>3955</v>
      </c>
      <c r="S1000" t="s">
        <v>3956</v>
      </c>
      <c r="T1000" t="s">
        <v>78</v>
      </c>
      <c r="U1000" t="s">
        <v>3817</v>
      </c>
      <c r="V1000" t="s">
        <v>80</v>
      </c>
      <c r="W1000" s="1">
        <v>44519</v>
      </c>
      <c r="X1000" t="s">
        <v>3818</v>
      </c>
      <c r="Y1000" t="s">
        <v>3957</v>
      </c>
      <c r="Z1000" t="s">
        <v>83</v>
      </c>
      <c r="AA1000">
        <v>1</v>
      </c>
      <c r="AB1000" t="s">
        <v>103</v>
      </c>
      <c r="AD1000" t="s">
        <v>139</v>
      </c>
      <c r="AE1000" t="s">
        <v>86</v>
      </c>
      <c r="AF1000" t="s">
        <v>146</v>
      </c>
      <c r="AG1000" t="s">
        <v>3959</v>
      </c>
      <c r="AH1000" t="s">
        <v>3963</v>
      </c>
      <c r="AI1000" t="s">
        <v>90</v>
      </c>
      <c r="AJ1000">
        <v>32.516480000000001</v>
      </c>
      <c r="AK1000">
        <v>-110.685751</v>
      </c>
      <c r="AL1000">
        <v>3</v>
      </c>
      <c r="AN1000">
        <v>1358</v>
      </c>
      <c r="AP1000">
        <v>1358</v>
      </c>
      <c r="AQ1000">
        <v>1349.1764189999999</v>
      </c>
      <c r="AT1000">
        <v>19</v>
      </c>
      <c r="AU1000">
        <v>11</v>
      </c>
      <c r="AV1000">
        <v>2021</v>
      </c>
      <c r="AW1000">
        <v>2438454</v>
      </c>
      <c r="AX1000">
        <v>2438454</v>
      </c>
      <c r="AY1000" t="s">
        <v>106</v>
      </c>
      <c r="AZ1000" t="s">
        <v>92</v>
      </c>
      <c r="BA1000" t="s">
        <v>107</v>
      </c>
      <c r="BB1000" t="s">
        <v>3982</v>
      </c>
      <c r="BC1000" t="s">
        <v>97</v>
      </c>
      <c r="BE1000" t="s">
        <v>96</v>
      </c>
      <c r="BG1000" t="s">
        <v>97</v>
      </c>
      <c r="BI1000" t="s">
        <v>98</v>
      </c>
      <c r="BJ1000" t="s">
        <v>1729</v>
      </c>
      <c r="BL1000" t="s">
        <v>110</v>
      </c>
    </row>
    <row r="1001" spans="1:64" hidden="1" x14ac:dyDescent="0.2">
      <c r="A1001">
        <v>1668</v>
      </c>
      <c r="B1001">
        <v>3744741465</v>
      </c>
      <c r="C1001" t="s">
        <v>101</v>
      </c>
      <c r="D1001" t="s">
        <v>3983</v>
      </c>
      <c r="E1001" t="s">
        <v>65</v>
      </c>
      <c r="F1001" t="s">
        <v>66</v>
      </c>
      <c r="G1001" t="s">
        <v>67</v>
      </c>
      <c r="H1001" t="s">
        <v>68</v>
      </c>
      <c r="I1001" t="s">
        <v>176</v>
      </c>
      <c r="J1001" t="s">
        <v>773</v>
      </c>
      <c r="K1001" t="s">
        <v>1347</v>
      </c>
      <c r="M1001" t="s">
        <v>72</v>
      </c>
      <c r="N1001" t="s">
        <v>1348</v>
      </c>
      <c r="O1001" t="s">
        <v>1347</v>
      </c>
      <c r="P1001" t="s">
        <v>1349</v>
      </c>
      <c r="Q1001" t="s">
        <v>75</v>
      </c>
      <c r="R1001" t="s">
        <v>3955</v>
      </c>
      <c r="S1001" t="s">
        <v>3956</v>
      </c>
      <c r="T1001" t="s">
        <v>78</v>
      </c>
      <c r="U1001" t="s">
        <v>3817</v>
      </c>
      <c r="V1001" t="s">
        <v>80</v>
      </c>
      <c r="W1001" s="1">
        <v>44519</v>
      </c>
      <c r="X1001" t="s">
        <v>3818</v>
      </c>
      <c r="Y1001" t="s">
        <v>3957</v>
      </c>
      <c r="Z1001" t="s">
        <v>83</v>
      </c>
      <c r="AA1001">
        <v>1</v>
      </c>
      <c r="AB1001" t="s">
        <v>103</v>
      </c>
      <c r="AD1001" t="s">
        <v>123</v>
      </c>
      <c r="AE1001" t="s">
        <v>86</v>
      </c>
      <c r="AF1001" t="s">
        <v>146</v>
      </c>
      <c r="AG1001" t="s">
        <v>3959</v>
      </c>
      <c r="AH1001" t="s">
        <v>3963</v>
      </c>
      <c r="AI1001" t="s">
        <v>90</v>
      </c>
      <c r="AJ1001">
        <v>32.516480000000001</v>
      </c>
      <c r="AK1001">
        <v>-110.685751</v>
      </c>
      <c r="AL1001">
        <v>3</v>
      </c>
      <c r="AN1001">
        <v>1358</v>
      </c>
      <c r="AP1001">
        <v>1358</v>
      </c>
      <c r="AQ1001">
        <v>1349.1764189999999</v>
      </c>
      <c r="AT1001">
        <v>19</v>
      </c>
      <c r="AU1001">
        <v>11</v>
      </c>
      <c r="AV1001">
        <v>2021</v>
      </c>
      <c r="AW1001">
        <v>2438454</v>
      </c>
      <c r="AX1001">
        <v>2438454</v>
      </c>
      <c r="AY1001" t="s">
        <v>106</v>
      </c>
      <c r="AZ1001" t="s">
        <v>92</v>
      </c>
      <c r="BA1001" t="s">
        <v>107</v>
      </c>
      <c r="BB1001" t="s">
        <v>3984</v>
      </c>
      <c r="BC1001" t="s">
        <v>97</v>
      </c>
      <c r="BE1001" t="s">
        <v>96</v>
      </c>
      <c r="BG1001" t="s">
        <v>97</v>
      </c>
      <c r="BI1001" t="s">
        <v>98</v>
      </c>
      <c r="BJ1001" t="s">
        <v>2819</v>
      </c>
      <c r="BL1001" t="s">
        <v>110</v>
      </c>
    </row>
    <row r="1002" spans="1:64" hidden="1" x14ac:dyDescent="0.2">
      <c r="A1002">
        <v>1674</v>
      </c>
      <c r="B1002">
        <v>3744741459</v>
      </c>
      <c r="C1002" t="s">
        <v>101</v>
      </c>
      <c r="D1002" t="s">
        <v>3985</v>
      </c>
      <c r="E1002" t="s">
        <v>65</v>
      </c>
      <c r="F1002" t="s">
        <v>66</v>
      </c>
      <c r="G1002" t="s">
        <v>67</v>
      </c>
      <c r="H1002" t="s">
        <v>68</v>
      </c>
      <c r="I1002" t="s">
        <v>176</v>
      </c>
      <c r="J1002" t="s">
        <v>773</v>
      </c>
      <c r="K1002" t="s">
        <v>1347</v>
      </c>
      <c r="M1002" t="s">
        <v>72</v>
      </c>
      <c r="N1002" t="s">
        <v>1348</v>
      </c>
      <c r="O1002" t="s">
        <v>1347</v>
      </c>
      <c r="P1002" t="s">
        <v>1349</v>
      </c>
      <c r="Q1002" t="s">
        <v>75</v>
      </c>
      <c r="R1002" t="s">
        <v>3955</v>
      </c>
      <c r="S1002" t="s">
        <v>3956</v>
      </c>
      <c r="T1002" t="s">
        <v>78</v>
      </c>
      <c r="U1002" t="s">
        <v>3817</v>
      </c>
      <c r="V1002" t="s">
        <v>80</v>
      </c>
      <c r="W1002" s="1">
        <v>44519</v>
      </c>
      <c r="X1002" t="s">
        <v>3818</v>
      </c>
      <c r="Y1002" t="s">
        <v>3957</v>
      </c>
      <c r="Z1002" t="s">
        <v>83</v>
      </c>
      <c r="AA1002">
        <v>1</v>
      </c>
      <c r="AB1002" t="s">
        <v>133</v>
      </c>
      <c r="AD1002" t="s">
        <v>134</v>
      </c>
      <c r="AE1002" t="s">
        <v>86</v>
      </c>
      <c r="AF1002" t="s">
        <v>146</v>
      </c>
      <c r="AG1002" t="s">
        <v>3959</v>
      </c>
      <c r="AH1002" t="s">
        <v>3986</v>
      </c>
      <c r="AI1002" t="s">
        <v>90</v>
      </c>
      <c r="AJ1002">
        <v>32.516480000000001</v>
      </c>
      <c r="AK1002">
        <v>-110.685751</v>
      </c>
      <c r="AL1002">
        <v>3</v>
      </c>
      <c r="AN1002">
        <v>1358</v>
      </c>
      <c r="AP1002">
        <v>1358</v>
      </c>
      <c r="AQ1002">
        <v>1349.1764189999999</v>
      </c>
      <c r="AT1002">
        <v>19</v>
      </c>
      <c r="AU1002">
        <v>11</v>
      </c>
      <c r="AV1002">
        <v>2021</v>
      </c>
      <c r="AW1002">
        <v>2438454</v>
      </c>
      <c r="AX1002">
        <v>2438454</v>
      </c>
      <c r="AY1002" t="s">
        <v>106</v>
      </c>
      <c r="AZ1002" t="s">
        <v>92</v>
      </c>
      <c r="BA1002" t="s">
        <v>107</v>
      </c>
      <c r="BB1002" t="s">
        <v>3987</v>
      </c>
      <c r="BC1002" t="s">
        <v>97</v>
      </c>
      <c r="BE1002" t="s">
        <v>96</v>
      </c>
      <c r="BG1002" t="s">
        <v>97</v>
      </c>
      <c r="BI1002" t="s">
        <v>98</v>
      </c>
      <c r="BJ1002" t="s">
        <v>3988</v>
      </c>
      <c r="BL1002" t="s">
        <v>110</v>
      </c>
    </row>
    <row r="1003" spans="1:64" hidden="1" x14ac:dyDescent="0.2">
      <c r="A1003">
        <v>1672</v>
      </c>
      <c r="B1003">
        <v>3744741461</v>
      </c>
      <c r="C1003" t="s">
        <v>101</v>
      </c>
      <c r="D1003" t="s">
        <v>3995</v>
      </c>
      <c r="E1003" t="s">
        <v>65</v>
      </c>
      <c r="F1003" t="s">
        <v>66</v>
      </c>
      <c r="G1003" t="s">
        <v>67</v>
      </c>
      <c r="H1003" t="s">
        <v>68</v>
      </c>
      <c r="I1003" t="s">
        <v>176</v>
      </c>
      <c r="J1003" t="s">
        <v>177</v>
      </c>
      <c r="K1003" t="s">
        <v>3925</v>
      </c>
      <c r="M1003" t="s">
        <v>72</v>
      </c>
      <c r="N1003" t="s">
        <v>3926</v>
      </c>
      <c r="O1003" t="s">
        <v>3925</v>
      </c>
      <c r="P1003" t="s">
        <v>1176</v>
      </c>
      <c r="Q1003" t="s">
        <v>75</v>
      </c>
      <c r="R1003" t="s">
        <v>3955</v>
      </c>
      <c r="S1003" t="s">
        <v>3990</v>
      </c>
      <c r="T1003" t="s">
        <v>78</v>
      </c>
      <c r="U1003" t="s">
        <v>3817</v>
      </c>
      <c r="V1003" t="s">
        <v>80</v>
      </c>
      <c r="W1003" s="1">
        <v>44519</v>
      </c>
      <c r="X1003" t="s">
        <v>3818</v>
      </c>
      <c r="Y1003" t="s">
        <v>3991</v>
      </c>
      <c r="Z1003" t="s">
        <v>83</v>
      </c>
      <c r="AA1003">
        <v>1</v>
      </c>
      <c r="AB1003" t="s">
        <v>103</v>
      </c>
      <c r="AD1003" t="s">
        <v>104</v>
      </c>
      <c r="AE1003" t="s">
        <v>86</v>
      </c>
      <c r="AF1003" t="s">
        <v>146</v>
      </c>
      <c r="AG1003" t="s">
        <v>996</v>
      </c>
      <c r="AH1003" t="s">
        <v>3996</v>
      </c>
      <c r="AI1003" t="s">
        <v>90</v>
      </c>
      <c r="AJ1003">
        <v>32.516362000000001</v>
      </c>
      <c r="AK1003">
        <v>-110.68627499999999</v>
      </c>
      <c r="AL1003">
        <v>3</v>
      </c>
      <c r="AN1003">
        <v>1353</v>
      </c>
      <c r="AP1003">
        <v>1353</v>
      </c>
      <c r="AQ1003">
        <v>1353.6867999999999</v>
      </c>
      <c r="AT1003">
        <v>19</v>
      </c>
      <c r="AU1003">
        <v>11</v>
      </c>
      <c r="AV1003">
        <v>2021</v>
      </c>
      <c r="AW1003">
        <v>2437981</v>
      </c>
      <c r="AX1003">
        <v>2437981</v>
      </c>
      <c r="AY1003" t="s">
        <v>106</v>
      </c>
      <c r="AZ1003" t="s">
        <v>92</v>
      </c>
      <c r="BA1003" t="s">
        <v>107</v>
      </c>
      <c r="BB1003" t="s">
        <v>3997</v>
      </c>
      <c r="BC1003" t="s">
        <v>95</v>
      </c>
      <c r="BD1003" s="1">
        <v>44722</v>
      </c>
      <c r="BE1003" t="s">
        <v>96</v>
      </c>
      <c r="BG1003" t="s">
        <v>97</v>
      </c>
      <c r="BI1003" t="s">
        <v>98</v>
      </c>
      <c r="BJ1003" t="s">
        <v>2767</v>
      </c>
      <c r="BL1003" t="s">
        <v>110</v>
      </c>
    </row>
    <row r="1004" spans="1:64" hidden="1" x14ac:dyDescent="0.2">
      <c r="A1004">
        <v>1679</v>
      </c>
      <c r="B1004">
        <v>3744741454</v>
      </c>
      <c r="C1004" t="s">
        <v>101</v>
      </c>
      <c r="D1004" t="s">
        <v>3998</v>
      </c>
      <c r="E1004" t="s">
        <v>65</v>
      </c>
      <c r="F1004" t="s">
        <v>66</v>
      </c>
      <c r="G1004" t="s">
        <v>67</v>
      </c>
      <c r="H1004" t="s">
        <v>68</v>
      </c>
      <c r="I1004" t="s">
        <v>176</v>
      </c>
      <c r="J1004" t="s">
        <v>177</v>
      </c>
      <c r="K1004" t="s">
        <v>3925</v>
      </c>
      <c r="M1004" t="s">
        <v>72</v>
      </c>
      <c r="N1004" t="s">
        <v>3926</v>
      </c>
      <c r="O1004" t="s">
        <v>3925</v>
      </c>
      <c r="P1004" t="s">
        <v>1176</v>
      </c>
      <c r="Q1004" t="s">
        <v>75</v>
      </c>
      <c r="R1004" t="s">
        <v>3955</v>
      </c>
      <c r="S1004" t="s">
        <v>3990</v>
      </c>
      <c r="T1004" t="s">
        <v>78</v>
      </c>
      <c r="U1004" t="s">
        <v>3817</v>
      </c>
      <c r="V1004" t="s">
        <v>80</v>
      </c>
      <c r="W1004" s="1">
        <v>44519</v>
      </c>
      <c r="X1004" t="s">
        <v>3818</v>
      </c>
      <c r="Y1004" t="s">
        <v>3991</v>
      </c>
      <c r="Z1004" t="s">
        <v>83</v>
      </c>
      <c r="AA1004">
        <v>1</v>
      </c>
      <c r="AB1004" t="s">
        <v>103</v>
      </c>
      <c r="AD1004" t="s">
        <v>112</v>
      </c>
      <c r="AE1004" t="s">
        <v>86</v>
      </c>
      <c r="AF1004" t="s">
        <v>146</v>
      </c>
      <c r="AG1004" t="s">
        <v>996</v>
      </c>
      <c r="AH1004" t="s">
        <v>3996</v>
      </c>
      <c r="AI1004" t="s">
        <v>90</v>
      </c>
      <c r="AJ1004">
        <v>32.516362000000001</v>
      </c>
      <c r="AK1004">
        <v>-110.68627499999999</v>
      </c>
      <c r="AL1004">
        <v>3</v>
      </c>
      <c r="AN1004">
        <v>1353</v>
      </c>
      <c r="AP1004">
        <v>1353</v>
      </c>
      <c r="AQ1004">
        <v>1353.6867999999999</v>
      </c>
      <c r="AT1004">
        <v>19</v>
      </c>
      <c r="AU1004">
        <v>11</v>
      </c>
      <c r="AV1004">
        <v>2021</v>
      </c>
      <c r="AW1004">
        <v>2437981</v>
      </c>
      <c r="AX1004">
        <v>2437981</v>
      </c>
      <c r="AY1004" t="s">
        <v>106</v>
      </c>
      <c r="AZ1004" t="s">
        <v>92</v>
      </c>
      <c r="BA1004" t="s">
        <v>107</v>
      </c>
      <c r="BB1004" t="s">
        <v>3999</v>
      </c>
      <c r="BC1004" t="s">
        <v>95</v>
      </c>
      <c r="BD1004" s="1">
        <v>44722</v>
      </c>
      <c r="BE1004" t="s">
        <v>96</v>
      </c>
      <c r="BG1004" t="s">
        <v>97</v>
      </c>
      <c r="BI1004" t="s">
        <v>98</v>
      </c>
      <c r="BJ1004" t="s">
        <v>4000</v>
      </c>
      <c r="BL1004" t="s">
        <v>110</v>
      </c>
    </row>
    <row r="1005" spans="1:64" hidden="1" x14ac:dyDescent="0.2">
      <c r="A1005">
        <v>1676</v>
      </c>
      <c r="B1005">
        <v>3744741457</v>
      </c>
      <c r="C1005" t="s">
        <v>101</v>
      </c>
      <c r="D1005" t="s">
        <v>4001</v>
      </c>
      <c r="E1005" t="s">
        <v>65</v>
      </c>
      <c r="F1005" t="s">
        <v>66</v>
      </c>
      <c r="G1005" t="s">
        <v>67</v>
      </c>
      <c r="H1005" t="s">
        <v>68</v>
      </c>
      <c r="I1005" t="s">
        <v>176</v>
      </c>
      <c r="J1005" t="s">
        <v>177</v>
      </c>
      <c r="K1005" t="s">
        <v>3925</v>
      </c>
      <c r="M1005" t="s">
        <v>72</v>
      </c>
      <c r="N1005" t="s">
        <v>3926</v>
      </c>
      <c r="O1005" t="s">
        <v>3925</v>
      </c>
      <c r="P1005" t="s">
        <v>1176</v>
      </c>
      <c r="Q1005" t="s">
        <v>75</v>
      </c>
      <c r="R1005" t="s">
        <v>3955</v>
      </c>
      <c r="S1005" t="s">
        <v>3990</v>
      </c>
      <c r="T1005" t="s">
        <v>78</v>
      </c>
      <c r="U1005" t="s">
        <v>3817</v>
      </c>
      <c r="V1005" t="s">
        <v>80</v>
      </c>
      <c r="W1005" s="1">
        <v>44519</v>
      </c>
      <c r="X1005" t="s">
        <v>3818</v>
      </c>
      <c r="Y1005" t="s">
        <v>3991</v>
      </c>
      <c r="Z1005" t="s">
        <v>83</v>
      </c>
      <c r="AA1005">
        <v>1</v>
      </c>
      <c r="AB1005" t="s">
        <v>103</v>
      </c>
      <c r="AD1005" t="s">
        <v>116</v>
      </c>
      <c r="AE1005" t="s">
        <v>86</v>
      </c>
      <c r="AF1005" t="s">
        <v>146</v>
      </c>
      <c r="AG1005" t="s">
        <v>996</v>
      </c>
      <c r="AH1005" t="s">
        <v>3996</v>
      </c>
      <c r="AI1005" t="s">
        <v>90</v>
      </c>
      <c r="AJ1005">
        <v>32.516362000000001</v>
      </c>
      <c r="AK1005">
        <v>-110.68627499999999</v>
      </c>
      <c r="AL1005">
        <v>3</v>
      </c>
      <c r="AN1005">
        <v>1353</v>
      </c>
      <c r="AP1005">
        <v>1353</v>
      </c>
      <c r="AQ1005">
        <v>1353.6867999999999</v>
      </c>
      <c r="AT1005">
        <v>19</v>
      </c>
      <c r="AU1005">
        <v>11</v>
      </c>
      <c r="AV1005">
        <v>2021</v>
      </c>
      <c r="AW1005">
        <v>2437981</v>
      </c>
      <c r="AX1005">
        <v>2437981</v>
      </c>
      <c r="AY1005" t="s">
        <v>106</v>
      </c>
      <c r="AZ1005" t="s">
        <v>92</v>
      </c>
      <c r="BA1005" t="s">
        <v>107</v>
      </c>
      <c r="BB1005" t="s">
        <v>4002</v>
      </c>
      <c r="BC1005" t="s">
        <v>95</v>
      </c>
      <c r="BD1005" s="1">
        <v>44722</v>
      </c>
      <c r="BE1005" t="s">
        <v>96</v>
      </c>
      <c r="BG1005" t="s">
        <v>97</v>
      </c>
      <c r="BI1005" t="s">
        <v>98</v>
      </c>
      <c r="BJ1005" t="s">
        <v>3988</v>
      </c>
      <c r="BL1005" t="s">
        <v>110</v>
      </c>
    </row>
    <row r="1006" spans="1:64" hidden="1" x14ac:dyDescent="0.2">
      <c r="A1006">
        <v>1684</v>
      </c>
      <c r="B1006">
        <v>3744741449</v>
      </c>
      <c r="C1006" t="s">
        <v>101</v>
      </c>
      <c r="D1006" t="s">
        <v>4003</v>
      </c>
      <c r="E1006" t="s">
        <v>65</v>
      </c>
      <c r="F1006" t="s">
        <v>66</v>
      </c>
      <c r="G1006" t="s">
        <v>67</v>
      </c>
      <c r="H1006" t="s">
        <v>68</v>
      </c>
      <c r="I1006" t="s">
        <v>176</v>
      </c>
      <c r="J1006" t="s">
        <v>177</v>
      </c>
      <c r="K1006" t="s">
        <v>3925</v>
      </c>
      <c r="M1006" t="s">
        <v>72</v>
      </c>
      <c r="N1006" t="s">
        <v>3926</v>
      </c>
      <c r="O1006" t="s">
        <v>3925</v>
      </c>
      <c r="P1006" t="s">
        <v>1176</v>
      </c>
      <c r="Q1006" t="s">
        <v>75</v>
      </c>
      <c r="R1006" t="s">
        <v>3955</v>
      </c>
      <c r="S1006" t="s">
        <v>3990</v>
      </c>
      <c r="T1006" t="s">
        <v>78</v>
      </c>
      <c r="U1006" t="s">
        <v>3817</v>
      </c>
      <c r="V1006" t="s">
        <v>80</v>
      </c>
      <c r="W1006" s="1">
        <v>44519</v>
      </c>
      <c r="X1006" t="s">
        <v>3818</v>
      </c>
      <c r="Y1006" t="s">
        <v>3991</v>
      </c>
      <c r="Z1006" t="s">
        <v>83</v>
      </c>
      <c r="AA1006">
        <v>1</v>
      </c>
      <c r="AB1006" t="s">
        <v>103</v>
      </c>
      <c r="AD1006" t="s">
        <v>123</v>
      </c>
      <c r="AE1006" t="s">
        <v>86</v>
      </c>
      <c r="AF1006" t="s">
        <v>146</v>
      </c>
      <c r="AG1006" t="s">
        <v>996</v>
      </c>
      <c r="AH1006" t="s">
        <v>3996</v>
      </c>
      <c r="AI1006" t="s">
        <v>90</v>
      </c>
      <c r="AJ1006">
        <v>32.516362000000001</v>
      </c>
      <c r="AK1006">
        <v>-110.68627499999999</v>
      </c>
      <c r="AL1006">
        <v>3</v>
      </c>
      <c r="AN1006">
        <v>1353</v>
      </c>
      <c r="AP1006">
        <v>1353</v>
      </c>
      <c r="AQ1006">
        <v>1353.6867999999999</v>
      </c>
      <c r="AT1006">
        <v>19</v>
      </c>
      <c r="AU1006">
        <v>11</v>
      </c>
      <c r="AV1006">
        <v>2021</v>
      </c>
      <c r="AW1006">
        <v>2437981</v>
      </c>
      <c r="AX1006">
        <v>2437981</v>
      </c>
      <c r="AY1006" t="s">
        <v>106</v>
      </c>
      <c r="AZ1006" t="s">
        <v>92</v>
      </c>
      <c r="BA1006" t="s">
        <v>107</v>
      </c>
      <c r="BB1006" t="s">
        <v>4004</v>
      </c>
      <c r="BC1006" t="s">
        <v>95</v>
      </c>
      <c r="BD1006" s="1">
        <v>44722</v>
      </c>
      <c r="BE1006" t="s">
        <v>96</v>
      </c>
      <c r="BG1006" t="s">
        <v>97</v>
      </c>
      <c r="BI1006" t="s">
        <v>98</v>
      </c>
      <c r="BJ1006" t="s">
        <v>4005</v>
      </c>
      <c r="BL1006" t="s">
        <v>110</v>
      </c>
    </row>
    <row r="1007" spans="1:64" x14ac:dyDescent="0.2">
      <c r="A1007">
        <v>659</v>
      </c>
      <c r="B1007">
        <v>4079061311</v>
      </c>
      <c r="C1007" t="s">
        <v>63</v>
      </c>
      <c r="D1007" t="s">
        <v>2441</v>
      </c>
      <c r="E1007" t="s">
        <v>65</v>
      </c>
      <c r="F1007" t="s">
        <v>66</v>
      </c>
      <c r="G1007" t="s">
        <v>67</v>
      </c>
      <c r="H1007" t="s">
        <v>68</v>
      </c>
      <c r="I1007" t="s">
        <v>176</v>
      </c>
      <c r="J1007" t="s">
        <v>773</v>
      </c>
      <c r="K1007" t="s">
        <v>774</v>
      </c>
      <c r="M1007" t="s">
        <v>72</v>
      </c>
      <c r="N1007" t="s">
        <v>775</v>
      </c>
      <c r="O1007" t="s">
        <v>774</v>
      </c>
      <c r="P1007" t="s">
        <v>776</v>
      </c>
      <c r="Q1007" t="s">
        <v>75</v>
      </c>
      <c r="R1007" t="s">
        <v>2238</v>
      </c>
      <c r="S1007" t="s">
        <v>2442</v>
      </c>
      <c r="T1007" t="s">
        <v>78</v>
      </c>
      <c r="U1007" t="s">
        <v>1822</v>
      </c>
      <c r="V1007" t="s">
        <v>80</v>
      </c>
      <c r="W1007" s="1">
        <v>44813</v>
      </c>
      <c r="X1007" t="s">
        <v>1823</v>
      </c>
      <c r="Y1007" t="s">
        <v>2443</v>
      </c>
      <c r="Z1007" t="s">
        <v>83</v>
      </c>
      <c r="AA1007">
        <v>1</v>
      </c>
      <c r="AB1007" t="s">
        <v>2444</v>
      </c>
      <c r="AC1007">
        <v>1</v>
      </c>
      <c r="AD1007" s="6" t="s">
        <v>85</v>
      </c>
      <c r="AE1007" s="6" t="s">
        <v>145</v>
      </c>
      <c r="AF1007" s="6" t="s">
        <v>146</v>
      </c>
      <c r="AG1007" s="6" t="s">
        <v>2445</v>
      </c>
      <c r="AH1007" s="6" t="s">
        <v>2446</v>
      </c>
      <c r="AI1007" s="6" t="s">
        <v>90</v>
      </c>
      <c r="AJ1007" s="6">
        <v>32.441257</v>
      </c>
      <c r="AK1007" s="6">
        <v>-110.78762</v>
      </c>
      <c r="AL1007" s="6">
        <v>15</v>
      </c>
      <c r="AM1007" s="6"/>
      <c r="AN1007" s="6">
        <v>2774</v>
      </c>
      <c r="AO1007" s="6"/>
      <c r="AP1007" s="6">
        <v>2774</v>
      </c>
      <c r="AQ1007" s="6">
        <v>2788.5512319999998</v>
      </c>
      <c r="AR1007" s="6"/>
      <c r="AS1007" s="6"/>
      <c r="AT1007" s="6">
        <v>9</v>
      </c>
      <c r="AU1007" s="6">
        <v>9</v>
      </c>
      <c r="AV1007" s="6">
        <v>2022</v>
      </c>
      <c r="AW1007" s="6">
        <v>2438447</v>
      </c>
      <c r="AX1007" s="6">
        <v>2438447</v>
      </c>
      <c r="AY1007" s="6" t="s">
        <v>91</v>
      </c>
      <c r="AZ1007" t="s">
        <v>92</v>
      </c>
      <c r="BA1007" t="s">
        <v>93</v>
      </c>
      <c r="BB1007" t="s">
        <v>2447</v>
      </c>
      <c r="BC1007" t="s">
        <v>2245</v>
      </c>
      <c r="BE1007" t="s">
        <v>96</v>
      </c>
      <c r="BG1007" t="s">
        <v>2246</v>
      </c>
      <c r="BI1007" t="s">
        <v>98</v>
      </c>
      <c r="BJ1007" t="s">
        <v>2448</v>
      </c>
      <c r="BK1007" t="s">
        <v>365</v>
      </c>
      <c r="BL1007" t="s">
        <v>407</v>
      </c>
    </row>
    <row r="1008" spans="1:64" hidden="1" x14ac:dyDescent="0.2">
      <c r="A1008">
        <v>1689</v>
      </c>
      <c r="B1008">
        <v>3744741444</v>
      </c>
      <c r="C1008" t="s">
        <v>101</v>
      </c>
      <c r="D1008" t="s">
        <v>4009</v>
      </c>
      <c r="E1008" t="s">
        <v>65</v>
      </c>
      <c r="F1008" t="s">
        <v>66</v>
      </c>
      <c r="G1008" t="s">
        <v>67</v>
      </c>
      <c r="H1008" t="s">
        <v>68</v>
      </c>
      <c r="I1008" t="s">
        <v>176</v>
      </c>
      <c r="J1008" t="s">
        <v>177</v>
      </c>
      <c r="K1008" t="s">
        <v>3925</v>
      </c>
      <c r="M1008" t="s">
        <v>72</v>
      </c>
      <c r="N1008" t="s">
        <v>3926</v>
      </c>
      <c r="O1008" t="s">
        <v>3925</v>
      </c>
      <c r="P1008" t="s">
        <v>1176</v>
      </c>
      <c r="Q1008" t="s">
        <v>75</v>
      </c>
      <c r="R1008" t="s">
        <v>3955</v>
      </c>
      <c r="S1008" t="s">
        <v>3990</v>
      </c>
      <c r="T1008" t="s">
        <v>78</v>
      </c>
      <c r="U1008" t="s">
        <v>3817</v>
      </c>
      <c r="V1008" t="s">
        <v>80</v>
      </c>
      <c r="W1008" s="1">
        <v>44519</v>
      </c>
      <c r="X1008" t="s">
        <v>3818</v>
      </c>
      <c r="Y1008" t="s">
        <v>3991</v>
      </c>
      <c r="Z1008" t="s">
        <v>83</v>
      </c>
      <c r="AA1008">
        <v>1</v>
      </c>
      <c r="AB1008" t="s">
        <v>3840</v>
      </c>
      <c r="AD1008" t="s">
        <v>134</v>
      </c>
      <c r="AE1008" t="s">
        <v>86</v>
      </c>
      <c r="AF1008" t="s">
        <v>146</v>
      </c>
      <c r="AG1008" t="s">
        <v>996</v>
      </c>
      <c r="AH1008" t="s">
        <v>4010</v>
      </c>
      <c r="AI1008" t="s">
        <v>90</v>
      </c>
      <c r="AJ1008">
        <v>32.516362000000001</v>
      </c>
      <c r="AK1008">
        <v>-110.68627499999999</v>
      </c>
      <c r="AL1008">
        <v>3</v>
      </c>
      <c r="AN1008">
        <v>1353</v>
      </c>
      <c r="AP1008">
        <v>1353</v>
      </c>
      <c r="AQ1008">
        <v>1353.6867999999999</v>
      </c>
      <c r="AT1008">
        <v>19</v>
      </c>
      <c r="AU1008">
        <v>11</v>
      </c>
      <c r="AV1008">
        <v>2021</v>
      </c>
      <c r="AW1008">
        <v>2437981</v>
      </c>
      <c r="AX1008">
        <v>2437981</v>
      </c>
      <c r="AY1008" t="s">
        <v>106</v>
      </c>
      <c r="AZ1008" t="s">
        <v>92</v>
      </c>
      <c r="BA1008" t="s">
        <v>107</v>
      </c>
      <c r="BB1008" t="s">
        <v>4011</v>
      </c>
      <c r="BC1008" t="s">
        <v>95</v>
      </c>
      <c r="BD1008" s="1">
        <v>44722</v>
      </c>
      <c r="BE1008" t="s">
        <v>96</v>
      </c>
      <c r="BG1008" t="s">
        <v>97</v>
      </c>
      <c r="BI1008" t="s">
        <v>98</v>
      </c>
      <c r="BJ1008" t="s">
        <v>4000</v>
      </c>
      <c r="BL1008" t="s">
        <v>110</v>
      </c>
    </row>
    <row r="1009" spans="1:64" hidden="1" x14ac:dyDescent="0.2">
      <c r="A1009">
        <v>1686</v>
      </c>
      <c r="B1009">
        <v>3744741447</v>
      </c>
      <c r="C1009" t="s">
        <v>101</v>
      </c>
      <c r="D1009" t="s">
        <v>4012</v>
      </c>
      <c r="E1009" t="s">
        <v>65</v>
      </c>
      <c r="F1009" t="s">
        <v>66</v>
      </c>
      <c r="G1009" t="s">
        <v>67</v>
      </c>
      <c r="H1009" t="s">
        <v>68</v>
      </c>
      <c r="I1009" t="s">
        <v>176</v>
      </c>
      <c r="J1009" t="s">
        <v>177</v>
      </c>
      <c r="K1009" t="s">
        <v>3925</v>
      </c>
      <c r="M1009" t="s">
        <v>72</v>
      </c>
      <c r="N1009" t="s">
        <v>3926</v>
      </c>
      <c r="O1009" t="s">
        <v>3925</v>
      </c>
      <c r="P1009" t="s">
        <v>1176</v>
      </c>
      <c r="Q1009" t="s">
        <v>75</v>
      </c>
      <c r="R1009" t="s">
        <v>3955</v>
      </c>
      <c r="S1009" t="s">
        <v>3990</v>
      </c>
      <c r="T1009" t="s">
        <v>78</v>
      </c>
      <c r="U1009" t="s">
        <v>3817</v>
      </c>
      <c r="V1009" t="s">
        <v>80</v>
      </c>
      <c r="W1009" s="1">
        <v>44519</v>
      </c>
      <c r="X1009" t="s">
        <v>3818</v>
      </c>
      <c r="Y1009" t="s">
        <v>3991</v>
      </c>
      <c r="Z1009" t="s">
        <v>83</v>
      </c>
      <c r="AA1009">
        <v>1</v>
      </c>
      <c r="AB1009" t="s">
        <v>103</v>
      </c>
      <c r="AD1009" t="s">
        <v>139</v>
      </c>
      <c r="AE1009" t="s">
        <v>86</v>
      </c>
      <c r="AF1009" t="s">
        <v>146</v>
      </c>
      <c r="AG1009" t="s">
        <v>996</v>
      </c>
      <c r="AH1009" t="s">
        <v>3996</v>
      </c>
      <c r="AI1009" t="s">
        <v>90</v>
      </c>
      <c r="AJ1009">
        <v>32.516362000000001</v>
      </c>
      <c r="AK1009">
        <v>-110.68627499999999</v>
      </c>
      <c r="AL1009">
        <v>3</v>
      </c>
      <c r="AN1009">
        <v>1353</v>
      </c>
      <c r="AP1009">
        <v>1353</v>
      </c>
      <c r="AQ1009">
        <v>1353.6867999999999</v>
      </c>
      <c r="AT1009">
        <v>19</v>
      </c>
      <c r="AU1009">
        <v>11</v>
      </c>
      <c r="AV1009">
        <v>2021</v>
      </c>
      <c r="AW1009">
        <v>2437981</v>
      </c>
      <c r="AX1009">
        <v>2437981</v>
      </c>
      <c r="AY1009" t="s">
        <v>106</v>
      </c>
      <c r="AZ1009" t="s">
        <v>92</v>
      </c>
      <c r="BA1009" t="s">
        <v>107</v>
      </c>
      <c r="BB1009" t="s">
        <v>4013</v>
      </c>
      <c r="BC1009" t="s">
        <v>95</v>
      </c>
      <c r="BD1009" s="1">
        <v>44722</v>
      </c>
      <c r="BE1009" t="s">
        <v>96</v>
      </c>
      <c r="BG1009" t="s">
        <v>97</v>
      </c>
      <c r="BI1009" t="s">
        <v>98</v>
      </c>
      <c r="BJ1009" t="s">
        <v>4014</v>
      </c>
      <c r="BL1009" t="s">
        <v>110</v>
      </c>
    </row>
    <row r="1010" spans="1:64" hidden="1" x14ac:dyDescent="0.2">
      <c r="A1010">
        <v>1693</v>
      </c>
      <c r="B1010">
        <v>3744741440</v>
      </c>
      <c r="C1010" t="s">
        <v>101</v>
      </c>
      <c r="D1010" s="2" t="s">
        <v>4022</v>
      </c>
      <c r="E1010" t="s">
        <v>65</v>
      </c>
      <c r="F1010" t="s">
        <v>66</v>
      </c>
      <c r="G1010" t="s">
        <v>67</v>
      </c>
      <c r="H1010" t="s">
        <v>68</v>
      </c>
      <c r="I1010" t="s">
        <v>176</v>
      </c>
      <c r="J1010" t="s">
        <v>773</v>
      </c>
      <c r="K1010" t="s">
        <v>1347</v>
      </c>
      <c r="M1010" t="s">
        <v>72</v>
      </c>
      <c r="N1010" t="s">
        <v>1348</v>
      </c>
      <c r="O1010" t="s">
        <v>1347</v>
      </c>
      <c r="P1010" t="s">
        <v>1349</v>
      </c>
      <c r="Q1010" t="s">
        <v>75</v>
      </c>
      <c r="R1010" t="s">
        <v>3955</v>
      </c>
      <c r="S1010" t="s">
        <v>4016</v>
      </c>
      <c r="T1010" t="s">
        <v>78</v>
      </c>
      <c r="U1010" t="s">
        <v>3817</v>
      </c>
      <c r="V1010" t="s">
        <v>80</v>
      </c>
      <c r="W1010" s="1">
        <v>44519</v>
      </c>
      <c r="X1010" t="s">
        <v>3818</v>
      </c>
      <c r="Y1010" t="s">
        <v>4017</v>
      </c>
      <c r="Z1010" t="s">
        <v>83</v>
      </c>
      <c r="AA1010">
        <v>1</v>
      </c>
      <c r="AB1010" t="s">
        <v>133</v>
      </c>
      <c r="AD1010" t="s">
        <v>134</v>
      </c>
      <c r="AE1010" t="s">
        <v>86</v>
      </c>
      <c r="AF1010" t="s">
        <v>146</v>
      </c>
      <c r="AG1010" t="s">
        <v>4019</v>
      </c>
      <c r="AH1010" t="s">
        <v>4023</v>
      </c>
      <c r="AI1010" t="s">
        <v>90</v>
      </c>
      <c r="AJ1010">
        <v>32.516331000000001</v>
      </c>
      <c r="AK1010">
        <v>-110.686217</v>
      </c>
      <c r="AL1010">
        <v>3</v>
      </c>
      <c r="AN1010">
        <v>1348</v>
      </c>
      <c r="AP1010">
        <v>1348</v>
      </c>
      <c r="AQ1010">
        <v>1353.5896</v>
      </c>
      <c r="AT1010">
        <v>19</v>
      </c>
      <c r="AU1010">
        <v>11</v>
      </c>
      <c r="AV1010">
        <v>2021</v>
      </c>
      <c r="AW1010">
        <v>2438454</v>
      </c>
      <c r="AX1010">
        <v>2438454</v>
      </c>
      <c r="AY1010" t="s">
        <v>106</v>
      </c>
      <c r="AZ1010" t="s">
        <v>92</v>
      </c>
      <c r="BA1010" t="s">
        <v>107</v>
      </c>
      <c r="BB1010" t="s">
        <v>4024</v>
      </c>
      <c r="BC1010" t="s">
        <v>97</v>
      </c>
      <c r="BE1010" t="s">
        <v>96</v>
      </c>
      <c r="BG1010" t="s">
        <v>97</v>
      </c>
      <c r="BI1010" t="s">
        <v>98</v>
      </c>
      <c r="BJ1010" t="s">
        <v>1572</v>
      </c>
      <c r="BL1010" t="s">
        <v>110</v>
      </c>
    </row>
    <row r="1011" spans="1:64" hidden="1" x14ac:dyDescent="0.2">
      <c r="A1011">
        <v>1699</v>
      </c>
      <c r="B1011">
        <v>3744741434</v>
      </c>
      <c r="C1011" t="s">
        <v>101</v>
      </c>
      <c r="D1011" t="s">
        <v>4025</v>
      </c>
      <c r="E1011" t="s">
        <v>65</v>
      </c>
      <c r="F1011" t="s">
        <v>66</v>
      </c>
      <c r="G1011" t="s">
        <v>67</v>
      </c>
      <c r="H1011" t="s">
        <v>68</v>
      </c>
      <c r="I1011" t="s">
        <v>176</v>
      </c>
      <c r="J1011" t="s">
        <v>773</v>
      </c>
      <c r="K1011" t="s">
        <v>1347</v>
      </c>
      <c r="M1011" t="s">
        <v>72</v>
      </c>
      <c r="N1011" t="s">
        <v>1348</v>
      </c>
      <c r="O1011" t="s">
        <v>1347</v>
      </c>
      <c r="P1011" t="s">
        <v>1349</v>
      </c>
      <c r="Q1011" t="s">
        <v>75</v>
      </c>
      <c r="R1011" t="s">
        <v>3955</v>
      </c>
      <c r="S1011" t="s">
        <v>4016</v>
      </c>
      <c r="T1011" t="s">
        <v>78</v>
      </c>
      <c r="U1011" t="s">
        <v>3817</v>
      </c>
      <c r="V1011" t="s">
        <v>80</v>
      </c>
      <c r="W1011" s="1">
        <v>44519</v>
      </c>
      <c r="X1011" t="s">
        <v>3818</v>
      </c>
      <c r="Y1011" t="s">
        <v>4017</v>
      </c>
      <c r="Z1011" t="s">
        <v>83</v>
      </c>
      <c r="AA1011">
        <v>1</v>
      </c>
      <c r="AB1011" t="s">
        <v>103</v>
      </c>
      <c r="AD1011" t="s">
        <v>104</v>
      </c>
      <c r="AE1011" t="s">
        <v>86</v>
      </c>
      <c r="AF1011" t="s">
        <v>146</v>
      </c>
      <c r="AG1011" t="s">
        <v>4019</v>
      </c>
      <c r="AH1011" t="s">
        <v>4026</v>
      </c>
      <c r="AI1011" t="s">
        <v>90</v>
      </c>
      <c r="AJ1011">
        <v>32.516331000000001</v>
      </c>
      <c r="AK1011">
        <v>-110.686217</v>
      </c>
      <c r="AL1011">
        <v>3</v>
      </c>
      <c r="AN1011">
        <v>1348</v>
      </c>
      <c r="AP1011">
        <v>1348</v>
      </c>
      <c r="AQ1011">
        <v>1353.5896</v>
      </c>
      <c r="AT1011">
        <v>19</v>
      </c>
      <c r="AU1011">
        <v>11</v>
      </c>
      <c r="AV1011">
        <v>2021</v>
      </c>
      <c r="AW1011">
        <v>2438454</v>
      </c>
      <c r="AX1011">
        <v>2438454</v>
      </c>
      <c r="AY1011" t="s">
        <v>106</v>
      </c>
      <c r="AZ1011" t="s">
        <v>92</v>
      </c>
      <c r="BA1011" t="s">
        <v>107</v>
      </c>
      <c r="BB1011" t="s">
        <v>4027</v>
      </c>
      <c r="BC1011" t="s">
        <v>97</v>
      </c>
      <c r="BE1011" t="s">
        <v>96</v>
      </c>
      <c r="BG1011" t="s">
        <v>97</v>
      </c>
      <c r="BI1011" t="s">
        <v>98</v>
      </c>
      <c r="BJ1011" t="s">
        <v>1572</v>
      </c>
      <c r="BL1011" t="s">
        <v>110</v>
      </c>
    </row>
    <row r="1012" spans="1:64" hidden="1" x14ac:dyDescent="0.2">
      <c r="A1012">
        <v>1696</v>
      </c>
      <c r="B1012">
        <v>3744741437</v>
      </c>
      <c r="C1012" t="s">
        <v>101</v>
      </c>
      <c r="D1012" t="s">
        <v>4028</v>
      </c>
      <c r="E1012" t="s">
        <v>65</v>
      </c>
      <c r="F1012" t="s">
        <v>66</v>
      </c>
      <c r="G1012" t="s">
        <v>67</v>
      </c>
      <c r="H1012" t="s">
        <v>68</v>
      </c>
      <c r="I1012" t="s">
        <v>176</v>
      </c>
      <c r="J1012" t="s">
        <v>773</v>
      </c>
      <c r="K1012" t="s">
        <v>1347</v>
      </c>
      <c r="M1012" t="s">
        <v>72</v>
      </c>
      <c r="N1012" t="s">
        <v>1348</v>
      </c>
      <c r="O1012" t="s">
        <v>1347</v>
      </c>
      <c r="P1012" t="s">
        <v>1349</v>
      </c>
      <c r="Q1012" t="s">
        <v>75</v>
      </c>
      <c r="R1012" t="s">
        <v>3955</v>
      </c>
      <c r="S1012" t="s">
        <v>4016</v>
      </c>
      <c r="T1012" t="s">
        <v>78</v>
      </c>
      <c r="U1012" t="s">
        <v>3817</v>
      </c>
      <c r="V1012" t="s">
        <v>80</v>
      </c>
      <c r="W1012" s="1">
        <v>44519</v>
      </c>
      <c r="X1012" t="s">
        <v>3818</v>
      </c>
      <c r="Y1012" t="s">
        <v>4017</v>
      </c>
      <c r="Z1012" t="s">
        <v>83</v>
      </c>
      <c r="AA1012">
        <v>1</v>
      </c>
      <c r="AB1012" t="s">
        <v>103</v>
      </c>
      <c r="AD1012" t="s">
        <v>104</v>
      </c>
      <c r="AE1012" t="s">
        <v>86</v>
      </c>
      <c r="AF1012" t="s">
        <v>146</v>
      </c>
      <c r="AG1012" t="s">
        <v>4019</v>
      </c>
      <c r="AH1012" t="s">
        <v>4026</v>
      </c>
      <c r="AI1012" t="s">
        <v>90</v>
      </c>
      <c r="AJ1012">
        <v>32.516331000000001</v>
      </c>
      <c r="AK1012">
        <v>-110.686217</v>
      </c>
      <c r="AL1012">
        <v>3</v>
      </c>
      <c r="AN1012">
        <v>1348</v>
      </c>
      <c r="AP1012">
        <v>1348</v>
      </c>
      <c r="AQ1012">
        <v>1353.5896</v>
      </c>
      <c r="AT1012">
        <v>19</v>
      </c>
      <c r="AU1012">
        <v>11</v>
      </c>
      <c r="AV1012">
        <v>2021</v>
      </c>
      <c r="AW1012">
        <v>2438454</v>
      </c>
      <c r="AX1012">
        <v>2438454</v>
      </c>
      <c r="AY1012" t="s">
        <v>106</v>
      </c>
      <c r="AZ1012" t="s">
        <v>92</v>
      </c>
      <c r="BA1012" t="s">
        <v>107</v>
      </c>
      <c r="BB1012" t="s">
        <v>4029</v>
      </c>
      <c r="BC1012" t="s">
        <v>97</v>
      </c>
      <c r="BE1012" t="s">
        <v>96</v>
      </c>
      <c r="BG1012" t="s">
        <v>97</v>
      </c>
      <c r="BI1012" t="s">
        <v>98</v>
      </c>
      <c r="BJ1012" t="s">
        <v>1575</v>
      </c>
      <c r="BL1012" t="s">
        <v>110</v>
      </c>
    </row>
    <row r="1013" spans="1:64" hidden="1" x14ac:dyDescent="0.2">
      <c r="A1013">
        <v>1705</v>
      </c>
      <c r="B1013">
        <v>3744741428</v>
      </c>
      <c r="C1013" t="s">
        <v>101</v>
      </c>
      <c r="D1013" t="s">
        <v>4030</v>
      </c>
      <c r="E1013" t="s">
        <v>65</v>
      </c>
      <c r="F1013" t="s">
        <v>66</v>
      </c>
      <c r="G1013" t="s">
        <v>67</v>
      </c>
      <c r="H1013" t="s">
        <v>68</v>
      </c>
      <c r="I1013" t="s">
        <v>176</v>
      </c>
      <c r="J1013" t="s">
        <v>773</v>
      </c>
      <c r="K1013" t="s">
        <v>1347</v>
      </c>
      <c r="M1013" t="s">
        <v>72</v>
      </c>
      <c r="N1013" t="s">
        <v>1348</v>
      </c>
      <c r="O1013" t="s">
        <v>1347</v>
      </c>
      <c r="P1013" t="s">
        <v>1349</v>
      </c>
      <c r="Q1013" t="s">
        <v>75</v>
      </c>
      <c r="R1013" t="s">
        <v>3955</v>
      </c>
      <c r="S1013" t="s">
        <v>4016</v>
      </c>
      <c r="T1013" t="s">
        <v>78</v>
      </c>
      <c r="U1013" t="s">
        <v>3817</v>
      </c>
      <c r="V1013" t="s">
        <v>80</v>
      </c>
      <c r="W1013" s="1">
        <v>44519</v>
      </c>
      <c r="X1013" t="s">
        <v>3818</v>
      </c>
      <c r="Y1013" t="s">
        <v>4017</v>
      </c>
      <c r="Z1013" t="s">
        <v>83</v>
      </c>
      <c r="AA1013">
        <v>1</v>
      </c>
      <c r="AB1013" t="s">
        <v>103</v>
      </c>
      <c r="AD1013" t="s">
        <v>116</v>
      </c>
      <c r="AE1013" t="s">
        <v>86</v>
      </c>
      <c r="AF1013" t="s">
        <v>146</v>
      </c>
      <c r="AG1013" t="s">
        <v>4019</v>
      </c>
      <c r="AH1013" t="s">
        <v>4026</v>
      </c>
      <c r="AI1013" t="s">
        <v>90</v>
      </c>
      <c r="AJ1013">
        <v>32.516331000000001</v>
      </c>
      <c r="AK1013">
        <v>-110.686217</v>
      </c>
      <c r="AL1013">
        <v>3</v>
      </c>
      <c r="AN1013">
        <v>1348</v>
      </c>
      <c r="AP1013">
        <v>1348</v>
      </c>
      <c r="AQ1013">
        <v>1353.5896</v>
      </c>
      <c r="AT1013">
        <v>19</v>
      </c>
      <c r="AU1013">
        <v>11</v>
      </c>
      <c r="AV1013">
        <v>2021</v>
      </c>
      <c r="AW1013">
        <v>2438454</v>
      </c>
      <c r="AX1013">
        <v>2438454</v>
      </c>
      <c r="AY1013" t="s">
        <v>106</v>
      </c>
      <c r="AZ1013" t="s">
        <v>92</v>
      </c>
      <c r="BA1013" t="s">
        <v>107</v>
      </c>
      <c r="BB1013" t="s">
        <v>4031</v>
      </c>
      <c r="BC1013" t="s">
        <v>97</v>
      </c>
      <c r="BE1013" t="s">
        <v>96</v>
      </c>
      <c r="BG1013" t="s">
        <v>97</v>
      </c>
      <c r="BI1013" t="s">
        <v>98</v>
      </c>
      <c r="BJ1013" t="s">
        <v>4032</v>
      </c>
      <c r="BL1013" t="s">
        <v>110</v>
      </c>
    </row>
    <row r="1014" spans="1:64" hidden="1" x14ac:dyDescent="0.2">
      <c r="A1014">
        <v>1702</v>
      </c>
      <c r="B1014">
        <v>3744741431</v>
      </c>
      <c r="C1014" t="s">
        <v>101</v>
      </c>
      <c r="D1014" s="2" t="s">
        <v>4033</v>
      </c>
      <c r="E1014" t="s">
        <v>65</v>
      </c>
      <c r="F1014" t="s">
        <v>66</v>
      </c>
      <c r="G1014" t="s">
        <v>67</v>
      </c>
      <c r="H1014" t="s">
        <v>68</v>
      </c>
      <c r="I1014" t="s">
        <v>176</v>
      </c>
      <c r="J1014" t="s">
        <v>773</v>
      </c>
      <c r="K1014" t="s">
        <v>1347</v>
      </c>
      <c r="M1014" t="s">
        <v>72</v>
      </c>
      <c r="N1014" t="s">
        <v>1348</v>
      </c>
      <c r="O1014" t="s">
        <v>1347</v>
      </c>
      <c r="P1014" t="s">
        <v>1349</v>
      </c>
      <c r="Q1014" t="s">
        <v>75</v>
      </c>
      <c r="R1014" t="s">
        <v>3955</v>
      </c>
      <c r="S1014" t="s">
        <v>4016</v>
      </c>
      <c r="T1014" t="s">
        <v>78</v>
      </c>
      <c r="U1014" t="s">
        <v>3817</v>
      </c>
      <c r="V1014" t="s">
        <v>80</v>
      </c>
      <c r="W1014" s="1">
        <v>44519</v>
      </c>
      <c r="X1014" t="s">
        <v>3818</v>
      </c>
      <c r="Y1014" t="s">
        <v>4017</v>
      </c>
      <c r="Z1014" t="s">
        <v>83</v>
      </c>
      <c r="AA1014">
        <v>1</v>
      </c>
      <c r="AB1014" t="s">
        <v>103</v>
      </c>
      <c r="AD1014" t="s">
        <v>116</v>
      </c>
      <c r="AE1014" t="s">
        <v>86</v>
      </c>
      <c r="AF1014" t="s">
        <v>146</v>
      </c>
      <c r="AG1014" t="s">
        <v>4019</v>
      </c>
      <c r="AH1014" t="s">
        <v>4026</v>
      </c>
      <c r="AI1014" t="s">
        <v>90</v>
      </c>
      <c r="AJ1014">
        <v>32.516331000000001</v>
      </c>
      <c r="AK1014">
        <v>-110.686217</v>
      </c>
      <c r="AL1014">
        <v>3</v>
      </c>
      <c r="AN1014">
        <v>1348</v>
      </c>
      <c r="AP1014">
        <v>1348</v>
      </c>
      <c r="AQ1014">
        <v>1353.5896</v>
      </c>
      <c r="AT1014">
        <v>19</v>
      </c>
      <c r="AU1014">
        <v>11</v>
      </c>
      <c r="AV1014">
        <v>2021</v>
      </c>
      <c r="AW1014">
        <v>2438454</v>
      </c>
      <c r="AX1014">
        <v>2438454</v>
      </c>
      <c r="AY1014" t="s">
        <v>106</v>
      </c>
      <c r="AZ1014" t="s">
        <v>92</v>
      </c>
      <c r="BA1014" t="s">
        <v>107</v>
      </c>
      <c r="BB1014" t="s">
        <v>4034</v>
      </c>
      <c r="BC1014" t="s">
        <v>97</v>
      </c>
      <c r="BE1014" t="s">
        <v>96</v>
      </c>
      <c r="BG1014" t="s">
        <v>97</v>
      </c>
      <c r="BI1014" t="s">
        <v>98</v>
      </c>
      <c r="BJ1014" t="s">
        <v>1575</v>
      </c>
      <c r="BL1014" t="s">
        <v>110</v>
      </c>
    </row>
    <row r="1015" spans="1:64" x14ac:dyDescent="0.2">
      <c r="A1015">
        <v>657</v>
      </c>
      <c r="B1015">
        <v>4079061313</v>
      </c>
      <c r="C1015" t="s">
        <v>63</v>
      </c>
      <c r="D1015" t="s">
        <v>2494</v>
      </c>
      <c r="E1015" t="s">
        <v>65</v>
      </c>
      <c r="F1015" t="s">
        <v>66</v>
      </c>
      <c r="G1015" t="s">
        <v>67</v>
      </c>
      <c r="H1015" t="s">
        <v>68</v>
      </c>
      <c r="I1015" t="s">
        <v>176</v>
      </c>
      <c r="J1015" t="s">
        <v>177</v>
      </c>
      <c r="K1015" t="s">
        <v>1817</v>
      </c>
      <c r="M1015" t="s">
        <v>72</v>
      </c>
      <c r="N1015" t="s">
        <v>1818</v>
      </c>
      <c r="O1015" t="s">
        <v>1817</v>
      </c>
      <c r="P1015" t="s">
        <v>1819</v>
      </c>
      <c r="Q1015" t="s">
        <v>75</v>
      </c>
      <c r="R1015" t="s">
        <v>2238</v>
      </c>
      <c r="S1015" t="s">
        <v>2495</v>
      </c>
      <c r="T1015" t="s">
        <v>78</v>
      </c>
      <c r="U1015" t="s">
        <v>1822</v>
      </c>
      <c r="V1015" t="s">
        <v>80</v>
      </c>
      <c r="W1015" s="1">
        <v>44813</v>
      </c>
      <c r="X1015" t="s">
        <v>1823</v>
      </c>
      <c r="Y1015" t="s">
        <v>2496</v>
      </c>
      <c r="Z1015" t="s">
        <v>83</v>
      </c>
      <c r="AA1015">
        <v>1</v>
      </c>
      <c r="AB1015" t="s">
        <v>2497</v>
      </c>
      <c r="AC1015">
        <v>1</v>
      </c>
      <c r="AD1015" s="6" t="s">
        <v>85</v>
      </c>
      <c r="AE1015" s="6" t="s">
        <v>145</v>
      </c>
      <c r="AF1015" s="6" t="s">
        <v>146</v>
      </c>
      <c r="AG1015" s="6" t="s">
        <v>2498</v>
      </c>
      <c r="AH1015" s="6" t="s">
        <v>2499</v>
      </c>
      <c r="AI1015" s="6" t="s">
        <v>90</v>
      </c>
      <c r="AJ1015" s="6">
        <v>32.441178000000001</v>
      </c>
      <c r="AK1015" s="6">
        <v>-110.785135</v>
      </c>
      <c r="AL1015" s="6">
        <v>15</v>
      </c>
      <c r="AM1015" s="6"/>
      <c r="AN1015" s="6">
        <v>2755</v>
      </c>
      <c r="AO1015" s="6"/>
      <c r="AP1015" s="6">
        <v>2755</v>
      </c>
      <c r="AQ1015" s="6">
        <v>2777.9454300000002</v>
      </c>
      <c r="AR1015" s="6"/>
      <c r="AS1015" s="6"/>
      <c r="AT1015" s="6">
        <v>9</v>
      </c>
      <c r="AU1015" s="6">
        <v>9</v>
      </c>
      <c r="AV1015" s="6">
        <v>2022</v>
      </c>
      <c r="AW1015" s="6">
        <v>2437967</v>
      </c>
      <c r="AX1015" s="6">
        <v>2437967</v>
      </c>
      <c r="AY1015" s="6" t="s">
        <v>91</v>
      </c>
      <c r="AZ1015" t="s">
        <v>92</v>
      </c>
      <c r="BA1015" t="s">
        <v>93</v>
      </c>
      <c r="BB1015" t="s">
        <v>2500</v>
      </c>
      <c r="BC1015" t="s">
        <v>2245</v>
      </c>
      <c r="BE1015" t="s">
        <v>96</v>
      </c>
      <c r="BG1015" t="s">
        <v>2246</v>
      </c>
      <c r="BI1015" t="s">
        <v>98</v>
      </c>
      <c r="BJ1015" t="s">
        <v>2501</v>
      </c>
      <c r="BK1015" t="s">
        <v>365</v>
      </c>
      <c r="BL1015" t="s">
        <v>407</v>
      </c>
    </row>
    <row r="1016" spans="1:64" hidden="1" x14ac:dyDescent="0.2">
      <c r="A1016">
        <v>1708</v>
      </c>
      <c r="B1016">
        <v>3744741425</v>
      </c>
      <c r="C1016" t="s">
        <v>101</v>
      </c>
      <c r="D1016" t="s">
        <v>4038</v>
      </c>
      <c r="E1016" t="s">
        <v>65</v>
      </c>
      <c r="F1016" t="s">
        <v>66</v>
      </c>
      <c r="G1016" t="s">
        <v>67</v>
      </c>
      <c r="H1016" t="s">
        <v>68</v>
      </c>
      <c r="I1016" t="s">
        <v>176</v>
      </c>
      <c r="J1016" t="s">
        <v>773</v>
      </c>
      <c r="K1016" t="s">
        <v>1347</v>
      </c>
      <c r="M1016" t="s">
        <v>72</v>
      </c>
      <c r="N1016" t="s">
        <v>1348</v>
      </c>
      <c r="O1016" t="s">
        <v>1347</v>
      </c>
      <c r="P1016" t="s">
        <v>1349</v>
      </c>
      <c r="Q1016" t="s">
        <v>75</v>
      </c>
      <c r="R1016" t="s">
        <v>3955</v>
      </c>
      <c r="S1016" t="s">
        <v>4016</v>
      </c>
      <c r="T1016" t="s">
        <v>78</v>
      </c>
      <c r="U1016" t="s">
        <v>3817</v>
      </c>
      <c r="V1016" t="s">
        <v>80</v>
      </c>
      <c r="W1016" s="1">
        <v>44519</v>
      </c>
      <c r="X1016" t="s">
        <v>3818</v>
      </c>
      <c r="Y1016" t="s">
        <v>4017</v>
      </c>
      <c r="Z1016" t="s">
        <v>83</v>
      </c>
      <c r="AA1016">
        <v>1</v>
      </c>
      <c r="AB1016" t="s">
        <v>103</v>
      </c>
      <c r="AD1016" t="s">
        <v>112</v>
      </c>
      <c r="AE1016" t="s">
        <v>86</v>
      </c>
      <c r="AF1016" t="s">
        <v>146</v>
      </c>
      <c r="AG1016" t="s">
        <v>4019</v>
      </c>
      <c r="AH1016" t="s">
        <v>4026</v>
      </c>
      <c r="AI1016" t="s">
        <v>90</v>
      </c>
      <c r="AJ1016">
        <v>32.516331000000001</v>
      </c>
      <c r="AK1016">
        <v>-110.686217</v>
      </c>
      <c r="AL1016">
        <v>3</v>
      </c>
      <c r="AN1016">
        <v>1348</v>
      </c>
      <c r="AP1016">
        <v>1348</v>
      </c>
      <c r="AQ1016">
        <v>1353.5896</v>
      </c>
      <c r="AT1016">
        <v>19</v>
      </c>
      <c r="AU1016">
        <v>11</v>
      </c>
      <c r="AV1016">
        <v>2021</v>
      </c>
      <c r="AW1016">
        <v>2438454</v>
      </c>
      <c r="AX1016">
        <v>2438454</v>
      </c>
      <c r="AY1016" t="s">
        <v>106</v>
      </c>
      <c r="AZ1016" t="s">
        <v>92</v>
      </c>
      <c r="BA1016" t="s">
        <v>107</v>
      </c>
      <c r="BB1016" t="s">
        <v>4039</v>
      </c>
      <c r="BC1016" t="s">
        <v>97</v>
      </c>
      <c r="BE1016" t="s">
        <v>96</v>
      </c>
      <c r="BG1016" t="s">
        <v>97</v>
      </c>
      <c r="BI1016" t="s">
        <v>98</v>
      </c>
      <c r="BJ1016" t="s">
        <v>4032</v>
      </c>
      <c r="BL1016" t="s">
        <v>110</v>
      </c>
    </row>
    <row r="1017" spans="1:64" x14ac:dyDescent="0.2">
      <c r="A1017">
        <v>655</v>
      </c>
      <c r="B1017">
        <v>4079061315</v>
      </c>
      <c r="C1017" t="s">
        <v>63</v>
      </c>
      <c r="D1017" t="s">
        <v>2563</v>
      </c>
      <c r="E1017" t="s">
        <v>65</v>
      </c>
      <c r="F1017" t="s">
        <v>66</v>
      </c>
      <c r="G1017" t="s">
        <v>67</v>
      </c>
      <c r="H1017" t="s">
        <v>68</v>
      </c>
      <c r="I1017" t="s">
        <v>176</v>
      </c>
      <c r="J1017" t="s">
        <v>773</v>
      </c>
      <c r="K1017" t="s">
        <v>774</v>
      </c>
      <c r="M1017" t="s">
        <v>72</v>
      </c>
      <c r="N1017" t="s">
        <v>775</v>
      </c>
      <c r="O1017" t="s">
        <v>774</v>
      </c>
      <c r="P1017" t="s">
        <v>776</v>
      </c>
      <c r="Q1017" t="s">
        <v>75</v>
      </c>
      <c r="R1017" t="s">
        <v>2238</v>
      </c>
      <c r="S1017" t="s">
        <v>2564</v>
      </c>
      <c r="T1017" t="s">
        <v>78</v>
      </c>
      <c r="U1017" t="s">
        <v>1822</v>
      </c>
      <c r="V1017" t="s">
        <v>80</v>
      </c>
      <c r="W1017" s="1">
        <v>44813</v>
      </c>
      <c r="X1017" t="s">
        <v>1823</v>
      </c>
      <c r="Y1017" t="s">
        <v>2565</v>
      </c>
      <c r="Z1017" t="s">
        <v>83</v>
      </c>
      <c r="AA1017">
        <v>1</v>
      </c>
      <c r="AB1017" t="s">
        <v>2566</v>
      </c>
      <c r="AC1017">
        <v>1</v>
      </c>
      <c r="AD1017" s="6" t="s">
        <v>85</v>
      </c>
      <c r="AE1017" s="6" t="s">
        <v>145</v>
      </c>
      <c r="AF1017" s="6" t="s">
        <v>146</v>
      </c>
      <c r="AG1017" s="6" t="s">
        <v>2567</v>
      </c>
      <c r="AH1017" s="6" t="s">
        <v>2568</v>
      </c>
      <c r="AI1017" s="6" t="s">
        <v>90</v>
      </c>
      <c r="AJ1017" s="6">
        <v>32.441026000000001</v>
      </c>
      <c r="AK1017" s="6">
        <v>-110.785635</v>
      </c>
      <c r="AL1017" s="6">
        <v>15</v>
      </c>
      <c r="AM1017" s="6"/>
      <c r="AN1017" s="6">
        <v>2759</v>
      </c>
      <c r="AO1017" s="6"/>
      <c r="AP1017" s="6">
        <v>2759</v>
      </c>
      <c r="AQ1017" s="6">
        <v>2779.926031</v>
      </c>
      <c r="AR1017" s="6"/>
      <c r="AS1017" s="6"/>
      <c r="AT1017" s="6">
        <v>9</v>
      </c>
      <c r="AU1017" s="6">
        <v>9</v>
      </c>
      <c r="AV1017" s="6">
        <v>2022</v>
      </c>
      <c r="AW1017" s="6">
        <v>2438447</v>
      </c>
      <c r="AX1017" s="6">
        <v>2438447</v>
      </c>
      <c r="AY1017" s="6" t="s">
        <v>91</v>
      </c>
      <c r="AZ1017" t="s">
        <v>92</v>
      </c>
      <c r="BA1017" t="s">
        <v>93</v>
      </c>
      <c r="BB1017" t="s">
        <v>2569</v>
      </c>
      <c r="BC1017" t="s">
        <v>2245</v>
      </c>
      <c r="BE1017" t="s">
        <v>96</v>
      </c>
      <c r="BG1017" t="s">
        <v>2246</v>
      </c>
      <c r="BI1017" t="s">
        <v>98</v>
      </c>
      <c r="BJ1017" t="s">
        <v>2570</v>
      </c>
      <c r="BK1017" t="s">
        <v>365</v>
      </c>
      <c r="BL1017" t="s">
        <v>407</v>
      </c>
    </row>
    <row r="1018" spans="1:64" x14ac:dyDescent="0.2">
      <c r="A1018">
        <v>654</v>
      </c>
      <c r="B1018">
        <v>4079061316</v>
      </c>
      <c r="C1018" t="s">
        <v>63</v>
      </c>
      <c r="D1018" t="s">
        <v>2646</v>
      </c>
      <c r="E1018" t="s">
        <v>65</v>
      </c>
      <c r="F1018" t="s">
        <v>66</v>
      </c>
      <c r="G1018" t="s">
        <v>67</v>
      </c>
      <c r="H1018" t="s">
        <v>68</v>
      </c>
      <c r="I1018" t="s">
        <v>350</v>
      </c>
      <c r="J1018" t="s">
        <v>351</v>
      </c>
      <c r="K1018" t="s">
        <v>352</v>
      </c>
      <c r="M1018" t="s">
        <v>72</v>
      </c>
      <c r="N1018" t="s">
        <v>353</v>
      </c>
      <c r="O1018" t="s">
        <v>352</v>
      </c>
      <c r="P1018" t="s">
        <v>180</v>
      </c>
      <c r="Q1018" t="s">
        <v>75</v>
      </c>
      <c r="R1018" t="s">
        <v>2238</v>
      </c>
      <c r="S1018" t="s">
        <v>2647</v>
      </c>
      <c r="T1018" t="s">
        <v>78</v>
      </c>
      <c r="U1018" t="s">
        <v>1822</v>
      </c>
      <c r="V1018" t="s">
        <v>1179</v>
      </c>
      <c r="W1018" s="1">
        <v>44813</v>
      </c>
      <c r="X1018" t="s">
        <v>1823</v>
      </c>
      <c r="Y1018" t="s">
        <v>2648</v>
      </c>
      <c r="Z1018" t="s">
        <v>83</v>
      </c>
      <c r="AA1018">
        <v>1</v>
      </c>
      <c r="AB1018" t="s">
        <v>2649</v>
      </c>
      <c r="AC1018">
        <v>1</v>
      </c>
      <c r="AD1018" s="6" t="s">
        <v>85</v>
      </c>
      <c r="AE1018" s="6" t="s">
        <v>86</v>
      </c>
      <c r="AF1018" s="6" t="s">
        <v>146</v>
      </c>
      <c r="AG1018" s="6" t="s">
        <v>2650</v>
      </c>
      <c r="AH1018" s="6" t="s">
        <v>2651</v>
      </c>
      <c r="AI1018" s="6" t="s">
        <v>90</v>
      </c>
      <c r="AJ1018" s="6">
        <v>32.439857000000003</v>
      </c>
      <c r="AK1018" s="6">
        <v>-110.788887</v>
      </c>
      <c r="AL1018" s="6">
        <v>3</v>
      </c>
      <c r="AM1018" s="6"/>
      <c r="AN1018" s="6">
        <v>2771</v>
      </c>
      <c r="AO1018" s="6"/>
      <c r="AP1018" s="6">
        <v>2771</v>
      </c>
      <c r="AQ1018" s="6">
        <v>2774.9837990000001</v>
      </c>
      <c r="AR1018" s="6"/>
      <c r="AS1018" s="6"/>
      <c r="AT1018" s="6">
        <v>9</v>
      </c>
      <c r="AU1018" s="6">
        <v>9</v>
      </c>
      <c r="AV1018" s="6">
        <v>2022</v>
      </c>
      <c r="AW1018" s="6">
        <v>4972385</v>
      </c>
      <c r="AX1018" s="6">
        <v>2437431</v>
      </c>
      <c r="AY1018" s="6" t="s">
        <v>91</v>
      </c>
      <c r="AZ1018" t="s">
        <v>92</v>
      </c>
      <c r="BA1018" t="s">
        <v>93</v>
      </c>
      <c r="BB1018" t="s">
        <v>2652</v>
      </c>
      <c r="BC1018" t="s">
        <v>2245</v>
      </c>
      <c r="BE1018" t="s">
        <v>96</v>
      </c>
      <c r="BG1018" t="s">
        <v>2246</v>
      </c>
      <c r="BI1018" t="s">
        <v>98</v>
      </c>
      <c r="BJ1018" t="s">
        <v>2653</v>
      </c>
      <c r="BK1018" t="s">
        <v>365</v>
      </c>
      <c r="BL1018" t="s">
        <v>100</v>
      </c>
    </row>
    <row r="1019" spans="1:64" hidden="1" x14ac:dyDescent="0.2">
      <c r="A1019">
        <v>1720</v>
      </c>
      <c r="B1019">
        <v>3744741413</v>
      </c>
      <c r="C1019" t="s">
        <v>101</v>
      </c>
      <c r="D1019" t="s">
        <v>4045</v>
      </c>
      <c r="E1019" t="s">
        <v>65</v>
      </c>
      <c r="F1019" t="s">
        <v>66</v>
      </c>
      <c r="G1019" t="s">
        <v>67</v>
      </c>
      <c r="H1019" t="s">
        <v>68</v>
      </c>
      <c r="I1019" t="s">
        <v>176</v>
      </c>
      <c r="J1019" t="s">
        <v>773</v>
      </c>
      <c r="K1019" t="s">
        <v>1347</v>
      </c>
      <c r="M1019" t="s">
        <v>72</v>
      </c>
      <c r="N1019" t="s">
        <v>1348</v>
      </c>
      <c r="O1019" t="s">
        <v>1347</v>
      </c>
      <c r="P1019" t="s">
        <v>1349</v>
      </c>
      <c r="Q1019" t="s">
        <v>75</v>
      </c>
      <c r="R1019" t="s">
        <v>3955</v>
      </c>
      <c r="S1019" t="s">
        <v>4016</v>
      </c>
      <c r="T1019" t="s">
        <v>78</v>
      </c>
      <c r="U1019" t="s">
        <v>3817</v>
      </c>
      <c r="V1019" t="s">
        <v>80</v>
      </c>
      <c r="W1019" s="1">
        <v>44519</v>
      </c>
      <c r="X1019" t="s">
        <v>3818</v>
      </c>
      <c r="Y1019" t="s">
        <v>4017</v>
      </c>
      <c r="Z1019" t="s">
        <v>83</v>
      </c>
      <c r="AA1019">
        <v>1</v>
      </c>
      <c r="AB1019" t="s">
        <v>103</v>
      </c>
      <c r="AD1019" t="s">
        <v>123</v>
      </c>
      <c r="AE1019" t="s">
        <v>86</v>
      </c>
      <c r="AF1019" t="s">
        <v>146</v>
      </c>
      <c r="AG1019" t="s">
        <v>4019</v>
      </c>
      <c r="AH1019" t="s">
        <v>4026</v>
      </c>
      <c r="AI1019" t="s">
        <v>90</v>
      </c>
      <c r="AJ1019">
        <v>32.516331000000001</v>
      </c>
      <c r="AK1019">
        <v>-110.686217</v>
      </c>
      <c r="AL1019">
        <v>3</v>
      </c>
      <c r="AN1019">
        <v>1348</v>
      </c>
      <c r="AP1019">
        <v>1348</v>
      </c>
      <c r="AQ1019">
        <v>1353.5896</v>
      </c>
      <c r="AT1019">
        <v>19</v>
      </c>
      <c r="AU1019">
        <v>11</v>
      </c>
      <c r="AV1019">
        <v>2021</v>
      </c>
      <c r="AW1019">
        <v>2438454</v>
      </c>
      <c r="AX1019">
        <v>2438454</v>
      </c>
      <c r="AY1019" t="s">
        <v>106</v>
      </c>
      <c r="AZ1019" t="s">
        <v>92</v>
      </c>
      <c r="BA1019" t="s">
        <v>107</v>
      </c>
      <c r="BB1019" t="s">
        <v>4046</v>
      </c>
      <c r="BC1019" t="s">
        <v>97</v>
      </c>
      <c r="BE1019" t="s">
        <v>96</v>
      </c>
      <c r="BG1019" t="s">
        <v>97</v>
      </c>
      <c r="BI1019" t="s">
        <v>98</v>
      </c>
      <c r="BJ1019" t="s">
        <v>2860</v>
      </c>
      <c r="BL1019" t="s">
        <v>110</v>
      </c>
    </row>
    <row r="1020" spans="1:64" hidden="1" x14ac:dyDescent="0.2">
      <c r="A1020">
        <v>1727</v>
      </c>
      <c r="B1020">
        <v>3744741406</v>
      </c>
      <c r="C1020" t="s">
        <v>101</v>
      </c>
      <c r="D1020" t="s">
        <v>4047</v>
      </c>
      <c r="E1020" t="s">
        <v>65</v>
      </c>
      <c r="F1020" t="s">
        <v>66</v>
      </c>
      <c r="G1020" t="s">
        <v>67</v>
      </c>
      <c r="H1020" t="s">
        <v>68</v>
      </c>
      <c r="I1020" t="s">
        <v>176</v>
      </c>
      <c r="J1020" t="s">
        <v>773</v>
      </c>
      <c r="K1020" t="s">
        <v>1347</v>
      </c>
      <c r="M1020" t="s">
        <v>72</v>
      </c>
      <c r="N1020" t="s">
        <v>1348</v>
      </c>
      <c r="O1020" t="s">
        <v>1347</v>
      </c>
      <c r="P1020" t="s">
        <v>1349</v>
      </c>
      <c r="Q1020" t="s">
        <v>75</v>
      </c>
      <c r="R1020" t="s">
        <v>3955</v>
      </c>
      <c r="S1020" t="s">
        <v>4016</v>
      </c>
      <c r="T1020" t="s">
        <v>78</v>
      </c>
      <c r="U1020" t="s">
        <v>3817</v>
      </c>
      <c r="V1020" t="s">
        <v>80</v>
      </c>
      <c r="W1020" s="1">
        <v>44519</v>
      </c>
      <c r="X1020" t="s">
        <v>3818</v>
      </c>
      <c r="Y1020" t="s">
        <v>4017</v>
      </c>
      <c r="Z1020" t="s">
        <v>83</v>
      </c>
      <c r="AA1020">
        <v>1</v>
      </c>
      <c r="AB1020" t="s">
        <v>103</v>
      </c>
      <c r="AD1020" t="s">
        <v>139</v>
      </c>
      <c r="AE1020" t="s">
        <v>86</v>
      </c>
      <c r="AF1020" t="s">
        <v>146</v>
      </c>
      <c r="AG1020" t="s">
        <v>4019</v>
      </c>
      <c r="AH1020" t="s">
        <v>4026</v>
      </c>
      <c r="AI1020" t="s">
        <v>90</v>
      </c>
      <c r="AJ1020">
        <v>32.516331000000001</v>
      </c>
      <c r="AK1020">
        <v>-110.686217</v>
      </c>
      <c r="AL1020">
        <v>3</v>
      </c>
      <c r="AN1020">
        <v>1348</v>
      </c>
      <c r="AP1020">
        <v>1348</v>
      </c>
      <c r="AQ1020">
        <v>1353.5896</v>
      </c>
      <c r="AT1020">
        <v>19</v>
      </c>
      <c r="AU1020">
        <v>11</v>
      </c>
      <c r="AV1020">
        <v>2021</v>
      </c>
      <c r="AW1020">
        <v>2438454</v>
      </c>
      <c r="AX1020">
        <v>2438454</v>
      </c>
      <c r="AY1020" t="s">
        <v>106</v>
      </c>
      <c r="AZ1020" t="s">
        <v>92</v>
      </c>
      <c r="BA1020" t="s">
        <v>107</v>
      </c>
      <c r="BB1020" t="s">
        <v>4048</v>
      </c>
      <c r="BC1020" t="s">
        <v>97</v>
      </c>
      <c r="BE1020" t="s">
        <v>96</v>
      </c>
      <c r="BG1020" t="s">
        <v>97</v>
      </c>
      <c r="BI1020" t="s">
        <v>98</v>
      </c>
      <c r="BJ1020" t="s">
        <v>1607</v>
      </c>
      <c r="BL1020" t="s">
        <v>110</v>
      </c>
    </row>
    <row r="1021" spans="1:64" hidden="1" x14ac:dyDescent="0.2">
      <c r="A1021">
        <v>1724</v>
      </c>
      <c r="B1021">
        <v>3744741409</v>
      </c>
      <c r="C1021" t="s">
        <v>101</v>
      </c>
      <c r="D1021" t="s">
        <v>4060</v>
      </c>
      <c r="E1021" t="s">
        <v>65</v>
      </c>
      <c r="F1021" t="s">
        <v>66</v>
      </c>
      <c r="G1021" t="s">
        <v>67</v>
      </c>
      <c r="H1021" t="s">
        <v>68</v>
      </c>
      <c r="I1021" t="s">
        <v>350</v>
      </c>
      <c r="J1021" t="s">
        <v>4050</v>
      </c>
      <c r="K1021" t="s">
        <v>4051</v>
      </c>
      <c r="M1021" t="s">
        <v>72</v>
      </c>
      <c r="N1021" t="s">
        <v>4052</v>
      </c>
      <c r="O1021" t="s">
        <v>4051</v>
      </c>
      <c r="P1021" t="s">
        <v>4053</v>
      </c>
      <c r="Q1021" t="s">
        <v>75</v>
      </c>
      <c r="R1021" t="s">
        <v>3816</v>
      </c>
      <c r="S1021" t="s">
        <v>3788</v>
      </c>
      <c r="T1021" t="s">
        <v>78</v>
      </c>
      <c r="U1021" t="s">
        <v>3817</v>
      </c>
      <c r="V1021" t="s">
        <v>80</v>
      </c>
      <c r="W1021" s="1">
        <v>44519</v>
      </c>
      <c r="X1021" t="s">
        <v>3818</v>
      </c>
      <c r="Y1021" t="s">
        <v>4054</v>
      </c>
      <c r="Z1021" t="s">
        <v>83</v>
      </c>
      <c r="AA1021">
        <v>1</v>
      </c>
      <c r="AB1021" t="s">
        <v>103</v>
      </c>
      <c r="AD1021" t="s">
        <v>104</v>
      </c>
      <c r="AE1021" t="s">
        <v>86</v>
      </c>
      <c r="AF1021" t="s">
        <v>146</v>
      </c>
      <c r="AG1021" t="s">
        <v>4056</v>
      </c>
      <c r="AH1021" t="s">
        <v>4061</v>
      </c>
      <c r="AI1021" t="s">
        <v>90</v>
      </c>
      <c r="AJ1021">
        <v>32.516258999999998</v>
      </c>
      <c r="AK1021">
        <v>-110.68764400000001</v>
      </c>
      <c r="AL1021">
        <v>3</v>
      </c>
      <c r="AN1021">
        <v>1347</v>
      </c>
      <c r="AP1021">
        <v>1347</v>
      </c>
      <c r="AQ1021">
        <v>1365.4168010000001</v>
      </c>
      <c r="AT1021">
        <v>19</v>
      </c>
      <c r="AU1021">
        <v>11</v>
      </c>
      <c r="AV1021">
        <v>2021</v>
      </c>
      <c r="AW1021">
        <v>2437568</v>
      </c>
      <c r="AX1021">
        <v>2437568</v>
      </c>
      <c r="AY1021" t="s">
        <v>106</v>
      </c>
      <c r="AZ1021" t="s">
        <v>92</v>
      </c>
      <c r="BA1021" t="s">
        <v>107</v>
      </c>
      <c r="BB1021" t="s">
        <v>4062</v>
      </c>
      <c r="BC1021" t="s">
        <v>97</v>
      </c>
      <c r="BE1021" t="s">
        <v>96</v>
      </c>
      <c r="BG1021" t="s">
        <v>97</v>
      </c>
      <c r="BI1021" t="s">
        <v>98</v>
      </c>
      <c r="BJ1021" t="s">
        <v>1607</v>
      </c>
      <c r="BL1021" t="s">
        <v>110</v>
      </c>
    </row>
    <row r="1022" spans="1:64" hidden="1" x14ac:dyDescent="0.2">
      <c r="A1022">
        <v>1732</v>
      </c>
      <c r="B1022">
        <v>3744741401</v>
      </c>
      <c r="C1022" t="s">
        <v>101</v>
      </c>
      <c r="D1022" t="s">
        <v>4063</v>
      </c>
      <c r="E1022" t="s">
        <v>65</v>
      </c>
      <c r="F1022" t="s">
        <v>66</v>
      </c>
      <c r="G1022" t="s">
        <v>67</v>
      </c>
      <c r="H1022" t="s">
        <v>68</v>
      </c>
      <c r="I1022" t="s">
        <v>350</v>
      </c>
      <c r="J1022" t="s">
        <v>4050</v>
      </c>
      <c r="K1022" t="s">
        <v>4051</v>
      </c>
      <c r="M1022" t="s">
        <v>72</v>
      </c>
      <c r="N1022" t="s">
        <v>4052</v>
      </c>
      <c r="O1022" t="s">
        <v>4051</v>
      </c>
      <c r="P1022" t="s">
        <v>4053</v>
      </c>
      <c r="Q1022" t="s">
        <v>75</v>
      </c>
      <c r="R1022" t="s">
        <v>3816</v>
      </c>
      <c r="S1022" t="s">
        <v>3788</v>
      </c>
      <c r="T1022" t="s">
        <v>78</v>
      </c>
      <c r="U1022" t="s">
        <v>3817</v>
      </c>
      <c r="V1022" t="s">
        <v>80</v>
      </c>
      <c r="W1022" s="1">
        <v>44519</v>
      </c>
      <c r="X1022" t="s">
        <v>3818</v>
      </c>
      <c r="Y1022" t="s">
        <v>4054</v>
      </c>
      <c r="Z1022" t="s">
        <v>83</v>
      </c>
      <c r="AA1022">
        <v>1</v>
      </c>
      <c r="AB1022" t="s">
        <v>103</v>
      </c>
      <c r="AD1022" t="s">
        <v>112</v>
      </c>
      <c r="AE1022" t="s">
        <v>86</v>
      </c>
      <c r="AF1022" t="s">
        <v>146</v>
      </c>
      <c r="AG1022" t="s">
        <v>4056</v>
      </c>
      <c r="AH1022" t="s">
        <v>4061</v>
      </c>
      <c r="AI1022" t="s">
        <v>90</v>
      </c>
      <c r="AJ1022">
        <v>32.516258999999998</v>
      </c>
      <c r="AK1022">
        <v>-110.68764400000001</v>
      </c>
      <c r="AL1022">
        <v>3</v>
      </c>
      <c r="AN1022">
        <v>1347</v>
      </c>
      <c r="AP1022">
        <v>1347</v>
      </c>
      <c r="AQ1022">
        <v>1365.4168010000001</v>
      </c>
      <c r="AT1022">
        <v>19</v>
      </c>
      <c r="AU1022">
        <v>11</v>
      </c>
      <c r="AV1022">
        <v>2021</v>
      </c>
      <c r="AW1022">
        <v>2437568</v>
      </c>
      <c r="AX1022">
        <v>2437568</v>
      </c>
      <c r="AY1022" t="s">
        <v>106</v>
      </c>
      <c r="AZ1022" t="s">
        <v>92</v>
      </c>
      <c r="BA1022" t="s">
        <v>107</v>
      </c>
      <c r="BB1022" t="s">
        <v>4064</v>
      </c>
      <c r="BC1022" t="s">
        <v>97</v>
      </c>
      <c r="BE1022" t="s">
        <v>96</v>
      </c>
      <c r="BG1022" t="s">
        <v>97</v>
      </c>
      <c r="BI1022" t="s">
        <v>98</v>
      </c>
      <c r="BJ1022" t="s">
        <v>4065</v>
      </c>
      <c r="BL1022" t="s">
        <v>110</v>
      </c>
    </row>
    <row r="1023" spans="1:64" hidden="1" x14ac:dyDescent="0.2">
      <c r="A1023">
        <v>1729</v>
      </c>
      <c r="B1023">
        <v>3744741404</v>
      </c>
      <c r="C1023" t="s">
        <v>101</v>
      </c>
      <c r="D1023" t="s">
        <v>4066</v>
      </c>
      <c r="E1023" t="s">
        <v>65</v>
      </c>
      <c r="F1023" t="s">
        <v>66</v>
      </c>
      <c r="G1023" t="s">
        <v>67</v>
      </c>
      <c r="H1023" t="s">
        <v>68</v>
      </c>
      <c r="I1023" t="s">
        <v>350</v>
      </c>
      <c r="J1023" t="s">
        <v>4050</v>
      </c>
      <c r="K1023" t="s">
        <v>4051</v>
      </c>
      <c r="M1023" t="s">
        <v>72</v>
      </c>
      <c r="N1023" t="s">
        <v>4052</v>
      </c>
      <c r="O1023" t="s">
        <v>4051</v>
      </c>
      <c r="P1023" t="s">
        <v>4053</v>
      </c>
      <c r="Q1023" t="s">
        <v>75</v>
      </c>
      <c r="R1023" t="s">
        <v>3816</v>
      </c>
      <c r="S1023" t="s">
        <v>3788</v>
      </c>
      <c r="T1023" t="s">
        <v>78</v>
      </c>
      <c r="U1023" t="s">
        <v>3817</v>
      </c>
      <c r="V1023" t="s">
        <v>80</v>
      </c>
      <c r="W1023" s="1">
        <v>44519</v>
      </c>
      <c r="X1023" t="s">
        <v>3818</v>
      </c>
      <c r="Y1023" t="s">
        <v>4054</v>
      </c>
      <c r="Z1023" t="s">
        <v>83</v>
      </c>
      <c r="AA1023">
        <v>1</v>
      </c>
      <c r="AB1023" t="s">
        <v>103</v>
      </c>
      <c r="AD1023" t="s">
        <v>116</v>
      </c>
      <c r="AE1023" t="s">
        <v>86</v>
      </c>
      <c r="AF1023" t="s">
        <v>146</v>
      </c>
      <c r="AG1023" t="s">
        <v>4056</v>
      </c>
      <c r="AH1023" t="s">
        <v>4061</v>
      </c>
      <c r="AI1023" t="s">
        <v>90</v>
      </c>
      <c r="AJ1023">
        <v>32.516258999999998</v>
      </c>
      <c r="AK1023">
        <v>-110.68764400000001</v>
      </c>
      <c r="AL1023">
        <v>3</v>
      </c>
      <c r="AN1023">
        <v>1347</v>
      </c>
      <c r="AP1023">
        <v>1347</v>
      </c>
      <c r="AQ1023">
        <v>1365.4168010000001</v>
      </c>
      <c r="AT1023">
        <v>19</v>
      </c>
      <c r="AU1023">
        <v>11</v>
      </c>
      <c r="AV1023">
        <v>2021</v>
      </c>
      <c r="AW1023">
        <v>2437568</v>
      </c>
      <c r="AX1023">
        <v>2437568</v>
      </c>
      <c r="AY1023" t="s">
        <v>106</v>
      </c>
      <c r="AZ1023" t="s">
        <v>92</v>
      </c>
      <c r="BA1023" t="s">
        <v>107</v>
      </c>
      <c r="BB1023" t="s">
        <v>4067</v>
      </c>
      <c r="BC1023" t="s">
        <v>97</v>
      </c>
      <c r="BE1023" t="s">
        <v>96</v>
      </c>
      <c r="BG1023" t="s">
        <v>97</v>
      </c>
      <c r="BI1023" t="s">
        <v>98</v>
      </c>
      <c r="BJ1023" t="s">
        <v>1657</v>
      </c>
      <c r="BL1023" t="s">
        <v>110</v>
      </c>
    </row>
    <row r="1024" spans="1:64" hidden="1" x14ac:dyDescent="0.2">
      <c r="A1024">
        <v>1738</v>
      </c>
      <c r="B1024">
        <v>3744741395</v>
      </c>
      <c r="C1024" t="s">
        <v>101</v>
      </c>
      <c r="D1024" t="s">
        <v>4068</v>
      </c>
      <c r="E1024" t="s">
        <v>65</v>
      </c>
      <c r="F1024" t="s">
        <v>66</v>
      </c>
      <c r="G1024" t="s">
        <v>67</v>
      </c>
      <c r="H1024" t="s">
        <v>68</v>
      </c>
      <c r="I1024" t="s">
        <v>350</v>
      </c>
      <c r="J1024" t="s">
        <v>4050</v>
      </c>
      <c r="K1024" t="s">
        <v>4051</v>
      </c>
      <c r="M1024" t="s">
        <v>72</v>
      </c>
      <c r="N1024" t="s">
        <v>4052</v>
      </c>
      <c r="O1024" t="s">
        <v>4051</v>
      </c>
      <c r="P1024" t="s">
        <v>4053</v>
      </c>
      <c r="Q1024" t="s">
        <v>75</v>
      </c>
      <c r="R1024" t="s">
        <v>3816</v>
      </c>
      <c r="S1024" t="s">
        <v>3788</v>
      </c>
      <c r="T1024" t="s">
        <v>78</v>
      </c>
      <c r="U1024" t="s">
        <v>3817</v>
      </c>
      <c r="V1024" t="s">
        <v>80</v>
      </c>
      <c r="W1024" s="1">
        <v>44519</v>
      </c>
      <c r="X1024" t="s">
        <v>3818</v>
      </c>
      <c r="Y1024" t="s">
        <v>4054</v>
      </c>
      <c r="Z1024" t="s">
        <v>83</v>
      </c>
      <c r="AA1024">
        <v>1</v>
      </c>
      <c r="AB1024" t="s">
        <v>103</v>
      </c>
      <c r="AD1024" t="s">
        <v>123</v>
      </c>
      <c r="AE1024" t="s">
        <v>86</v>
      </c>
      <c r="AF1024" t="s">
        <v>146</v>
      </c>
      <c r="AG1024" t="s">
        <v>4056</v>
      </c>
      <c r="AH1024" t="s">
        <v>4061</v>
      </c>
      <c r="AI1024" t="s">
        <v>90</v>
      </c>
      <c r="AJ1024">
        <v>32.516258999999998</v>
      </c>
      <c r="AK1024">
        <v>-110.68764400000001</v>
      </c>
      <c r="AL1024">
        <v>3</v>
      </c>
      <c r="AN1024">
        <v>1347</v>
      </c>
      <c r="AP1024">
        <v>1347</v>
      </c>
      <c r="AQ1024">
        <v>1365.4168010000001</v>
      </c>
      <c r="AT1024">
        <v>19</v>
      </c>
      <c r="AU1024">
        <v>11</v>
      </c>
      <c r="AV1024">
        <v>2021</v>
      </c>
      <c r="AW1024">
        <v>2437568</v>
      </c>
      <c r="AX1024">
        <v>2437568</v>
      </c>
      <c r="AY1024" t="s">
        <v>106</v>
      </c>
      <c r="AZ1024" t="s">
        <v>92</v>
      </c>
      <c r="BA1024" t="s">
        <v>107</v>
      </c>
      <c r="BB1024" t="s">
        <v>4069</v>
      </c>
      <c r="BC1024" t="s">
        <v>97</v>
      </c>
      <c r="BE1024" t="s">
        <v>96</v>
      </c>
      <c r="BG1024" t="s">
        <v>97</v>
      </c>
      <c r="BI1024" t="s">
        <v>98</v>
      </c>
      <c r="BJ1024" t="s">
        <v>2704</v>
      </c>
      <c r="BL1024" t="s">
        <v>110</v>
      </c>
    </row>
    <row r="1025" spans="1:64" x14ac:dyDescent="0.2">
      <c r="A1025">
        <v>668</v>
      </c>
      <c r="B1025">
        <v>4079061302</v>
      </c>
      <c r="C1025" t="s">
        <v>63</v>
      </c>
      <c r="D1025" t="s">
        <v>2775</v>
      </c>
      <c r="E1025" t="s">
        <v>65</v>
      </c>
      <c r="F1025" t="s">
        <v>66</v>
      </c>
      <c r="G1025" t="s">
        <v>67</v>
      </c>
      <c r="H1025" t="s">
        <v>68</v>
      </c>
      <c r="I1025" t="s">
        <v>176</v>
      </c>
      <c r="J1025" t="s">
        <v>1173</v>
      </c>
      <c r="K1025" t="s">
        <v>1174</v>
      </c>
      <c r="M1025" t="s">
        <v>72</v>
      </c>
      <c r="N1025" t="s">
        <v>1175</v>
      </c>
      <c r="O1025" t="s">
        <v>1174</v>
      </c>
      <c r="P1025" t="s">
        <v>1176</v>
      </c>
      <c r="Q1025" t="s">
        <v>75</v>
      </c>
      <c r="R1025" t="s">
        <v>2776</v>
      </c>
      <c r="S1025" t="s">
        <v>2777</v>
      </c>
      <c r="T1025" t="s">
        <v>78</v>
      </c>
      <c r="U1025" t="s">
        <v>1822</v>
      </c>
      <c r="V1025" t="s">
        <v>80</v>
      </c>
      <c r="W1025" s="1">
        <v>44813</v>
      </c>
      <c r="X1025" t="s">
        <v>2778</v>
      </c>
      <c r="Y1025" t="s">
        <v>2779</v>
      </c>
      <c r="Z1025" t="s">
        <v>83</v>
      </c>
      <c r="AA1025">
        <v>1</v>
      </c>
      <c r="AB1025" t="s">
        <v>2780</v>
      </c>
      <c r="AC1025">
        <v>1</v>
      </c>
      <c r="AD1025" s="6" t="s">
        <v>85</v>
      </c>
      <c r="AE1025" s="6" t="s">
        <v>86</v>
      </c>
      <c r="AF1025" s="6" t="s">
        <v>281</v>
      </c>
      <c r="AG1025" s="6" t="s">
        <v>2781</v>
      </c>
      <c r="AH1025" s="6" t="s">
        <v>2782</v>
      </c>
      <c r="AI1025" s="6" t="s">
        <v>90</v>
      </c>
      <c r="AJ1025" s="6">
        <v>32.450885</v>
      </c>
      <c r="AK1025" s="6">
        <v>-110.754127</v>
      </c>
      <c r="AL1025" s="6">
        <v>15</v>
      </c>
      <c r="AM1025" s="6"/>
      <c r="AN1025" s="6">
        <v>2383</v>
      </c>
      <c r="AO1025" s="6"/>
      <c r="AP1025" s="6">
        <v>2383</v>
      </c>
      <c r="AQ1025" s="6">
        <v>2390.0241590000001</v>
      </c>
      <c r="AR1025" s="6"/>
      <c r="AS1025" s="6"/>
      <c r="AT1025" s="6">
        <v>9</v>
      </c>
      <c r="AU1025" s="6">
        <v>9</v>
      </c>
      <c r="AV1025" s="6">
        <v>2022</v>
      </c>
      <c r="AW1025" s="6">
        <v>2437874</v>
      </c>
      <c r="AX1025" s="6">
        <v>2437874</v>
      </c>
      <c r="AY1025" s="6" t="s">
        <v>91</v>
      </c>
      <c r="AZ1025" t="s">
        <v>92</v>
      </c>
      <c r="BA1025" t="s">
        <v>93</v>
      </c>
      <c r="BB1025" t="s">
        <v>2783</v>
      </c>
      <c r="BC1025" t="s">
        <v>2245</v>
      </c>
      <c r="BE1025" t="s">
        <v>96</v>
      </c>
      <c r="BG1025" t="s">
        <v>2246</v>
      </c>
      <c r="BI1025" t="s">
        <v>98</v>
      </c>
      <c r="BJ1025" t="s">
        <v>2369</v>
      </c>
      <c r="BL1025" t="s">
        <v>407</v>
      </c>
    </row>
    <row r="1026" spans="1:64" hidden="1" x14ac:dyDescent="0.2">
      <c r="A1026">
        <v>1744</v>
      </c>
      <c r="B1026">
        <v>3744741389</v>
      </c>
      <c r="C1026" t="s">
        <v>101</v>
      </c>
      <c r="D1026" t="s">
        <v>4073</v>
      </c>
      <c r="E1026" t="s">
        <v>65</v>
      </c>
      <c r="F1026" t="s">
        <v>66</v>
      </c>
      <c r="G1026" t="s">
        <v>67</v>
      </c>
      <c r="H1026" t="s">
        <v>68</v>
      </c>
      <c r="I1026" t="s">
        <v>350</v>
      </c>
      <c r="J1026" t="s">
        <v>4050</v>
      </c>
      <c r="K1026" t="s">
        <v>4051</v>
      </c>
      <c r="M1026" t="s">
        <v>72</v>
      </c>
      <c r="N1026" t="s">
        <v>4052</v>
      </c>
      <c r="O1026" t="s">
        <v>4051</v>
      </c>
      <c r="P1026" t="s">
        <v>4053</v>
      </c>
      <c r="Q1026" t="s">
        <v>75</v>
      </c>
      <c r="R1026" t="s">
        <v>3816</v>
      </c>
      <c r="S1026" t="s">
        <v>3788</v>
      </c>
      <c r="T1026" t="s">
        <v>78</v>
      </c>
      <c r="U1026" t="s">
        <v>3817</v>
      </c>
      <c r="V1026" t="s">
        <v>80</v>
      </c>
      <c r="W1026" s="1">
        <v>44519</v>
      </c>
      <c r="X1026" t="s">
        <v>3818</v>
      </c>
      <c r="Y1026" t="s">
        <v>4054</v>
      </c>
      <c r="Z1026" t="s">
        <v>83</v>
      </c>
      <c r="AA1026">
        <v>1</v>
      </c>
      <c r="AB1026" t="s">
        <v>133</v>
      </c>
      <c r="AD1026" t="s">
        <v>134</v>
      </c>
      <c r="AE1026" t="s">
        <v>86</v>
      </c>
      <c r="AF1026" t="s">
        <v>146</v>
      </c>
      <c r="AG1026" t="s">
        <v>4056</v>
      </c>
      <c r="AH1026" t="s">
        <v>4074</v>
      </c>
      <c r="AI1026" t="s">
        <v>90</v>
      </c>
      <c r="AJ1026">
        <v>32.516258999999998</v>
      </c>
      <c r="AK1026">
        <v>-110.68764400000001</v>
      </c>
      <c r="AL1026">
        <v>3</v>
      </c>
      <c r="AN1026">
        <v>1347</v>
      </c>
      <c r="AP1026">
        <v>1347</v>
      </c>
      <c r="AQ1026">
        <v>1365.4168010000001</v>
      </c>
      <c r="AT1026">
        <v>19</v>
      </c>
      <c r="AU1026">
        <v>11</v>
      </c>
      <c r="AV1026">
        <v>2021</v>
      </c>
      <c r="AW1026">
        <v>2437568</v>
      </c>
      <c r="AX1026">
        <v>2437568</v>
      </c>
      <c r="AY1026" t="s">
        <v>106</v>
      </c>
      <c r="AZ1026" t="s">
        <v>92</v>
      </c>
      <c r="BA1026" t="s">
        <v>107</v>
      </c>
      <c r="BB1026" t="s">
        <v>4075</v>
      </c>
      <c r="BC1026" t="s">
        <v>97</v>
      </c>
      <c r="BE1026" t="s">
        <v>96</v>
      </c>
      <c r="BG1026" t="s">
        <v>97</v>
      </c>
      <c r="BI1026" t="s">
        <v>98</v>
      </c>
      <c r="BJ1026" t="s">
        <v>1653</v>
      </c>
      <c r="BL1026" t="s">
        <v>110</v>
      </c>
    </row>
    <row r="1027" spans="1:64" hidden="1" x14ac:dyDescent="0.2">
      <c r="A1027">
        <v>1741</v>
      </c>
      <c r="B1027">
        <v>3744741392</v>
      </c>
      <c r="C1027" t="s">
        <v>101</v>
      </c>
      <c r="D1027" t="s">
        <v>4076</v>
      </c>
      <c r="E1027" t="s">
        <v>65</v>
      </c>
      <c r="F1027" t="s">
        <v>66</v>
      </c>
      <c r="G1027" t="s">
        <v>67</v>
      </c>
      <c r="H1027" t="s">
        <v>68</v>
      </c>
      <c r="I1027" t="s">
        <v>350</v>
      </c>
      <c r="J1027" t="s">
        <v>4050</v>
      </c>
      <c r="K1027" t="s">
        <v>4051</v>
      </c>
      <c r="M1027" t="s">
        <v>72</v>
      </c>
      <c r="N1027" t="s">
        <v>4052</v>
      </c>
      <c r="O1027" t="s">
        <v>4051</v>
      </c>
      <c r="P1027" t="s">
        <v>4053</v>
      </c>
      <c r="Q1027" t="s">
        <v>75</v>
      </c>
      <c r="R1027" t="s">
        <v>3816</v>
      </c>
      <c r="S1027" t="s">
        <v>3788</v>
      </c>
      <c r="T1027" t="s">
        <v>78</v>
      </c>
      <c r="U1027" t="s">
        <v>3817</v>
      </c>
      <c r="V1027" t="s">
        <v>80</v>
      </c>
      <c r="W1027" s="1">
        <v>44519</v>
      </c>
      <c r="X1027" t="s">
        <v>3818</v>
      </c>
      <c r="Y1027" t="s">
        <v>4054</v>
      </c>
      <c r="Z1027" t="s">
        <v>83</v>
      </c>
      <c r="AA1027">
        <v>1</v>
      </c>
      <c r="AB1027" t="s">
        <v>103</v>
      </c>
      <c r="AD1027" t="s">
        <v>139</v>
      </c>
      <c r="AE1027" t="s">
        <v>86</v>
      </c>
      <c r="AF1027" t="s">
        <v>146</v>
      </c>
      <c r="AG1027" t="s">
        <v>4056</v>
      </c>
      <c r="AH1027" t="s">
        <v>4061</v>
      </c>
      <c r="AI1027" t="s">
        <v>90</v>
      </c>
      <c r="AJ1027">
        <v>32.516258999999998</v>
      </c>
      <c r="AK1027">
        <v>-110.68764400000001</v>
      </c>
      <c r="AL1027">
        <v>3</v>
      </c>
      <c r="AN1027">
        <v>1347</v>
      </c>
      <c r="AP1027">
        <v>1347</v>
      </c>
      <c r="AQ1027">
        <v>1365.4168010000001</v>
      </c>
      <c r="AT1027">
        <v>19</v>
      </c>
      <c r="AU1027">
        <v>11</v>
      </c>
      <c r="AV1027">
        <v>2021</v>
      </c>
      <c r="AW1027">
        <v>2437568</v>
      </c>
      <c r="AX1027">
        <v>2437568</v>
      </c>
      <c r="AY1027" t="s">
        <v>106</v>
      </c>
      <c r="AZ1027" t="s">
        <v>92</v>
      </c>
      <c r="BA1027" t="s">
        <v>107</v>
      </c>
      <c r="BB1027" t="s">
        <v>4077</v>
      </c>
      <c r="BC1027" t="s">
        <v>97</v>
      </c>
      <c r="BE1027" t="s">
        <v>96</v>
      </c>
      <c r="BG1027" t="s">
        <v>97</v>
      </c>
      <c r="BI1027" t="s">
        <v>98</v>
      </c>
      <c r="BJ1027" t="s">
        <v>2704</v>
      </c>
      <c r="BL1027" t="s">
        <v>110</v>
      </c>
    </row>
    <row r="1028" spans="1:64" hidden="1" x14ac:dyDescent="0.2">
      <c r="A1028">
        <v>1749</v>
      </c>
      <c r="B1028">
        <v>3744741384</v>
      </c>
      <c r="C1028" t="s">
        <v>101</v>
      </c>
      <c r="D1028" s="2" t="s">
        <v>4085</v>
      </c>
      <c r="E1028" t="s">
        <v>65</v>
      </c>
      <c r="F1028" t="s">
        <v>66</v>
      </c>
      <c r="G1028" t="s">
        <v>67</v>
      </c>
      <c r="H1028" t="s">
        <v>68</v>
      </c>
      <c r="I1028" t="s">
        <v>350</v>
      </c>
      <c r="J1028" t="s">
        <v>4050</v>
      </c>
      <c r="K1028" t="s">
        <v>4051</v>
      </c>
      <c r="M1028" t="s">
        <v>72</v>
      </c>
      <c r="N1028" t="s">
        <v>4052</v>
      </c>
      <c r="O1028" t="s">
        <v>4051</v>
      </c>
      <c r="P1028" t="s">
        <v>4053</v>
      </c>
      <c r="Q1028" t="s">
        <v>75</v>
      </c>
      <c r="R1028" t="s">
        <v>3816</v>
      </c>
      <c r="S1028" t="s">
        <v>3812</v>
      </c>
      <c r="T1028" t="s">
        <v>78</v>
      </c>
      <c r="U1028" t="s">
        <v>3817</v>
      </c>
      <c r="V1028" t="s">
        <v>80</v>
      </c>
      <c r="W1028" s="1">
        <v>44519</v>
      </c>
      <c r="X1028" t="s">
        <v>3818</v>
      </c>
      <c r="Y1028" t="s">
        <v>4079</v>
      </c>
      <c r="Z1028" t="s">
        <v>83</v>
      </c>
      <c r="AA1028">
        <v>1</v>
      </c>
      <c r="AB1028" t="s">
        <v>103</v>
      </c>
      <c r="AD1028" t="s">
        <v>116</v>
      </c>
      <c r="AE1028" t="s">
        <v>86</v>
      </c>
      <c r="AF1028" t="s">
        <v>146</v>
      </c>
      <c r="AG1028" t="s">
        <v>4081</v>
      </c>
      <c r="AH1028" t="s">
        <v>4086</v>
      </c>
      <c r="AI1028" t="s">
        <v>90</v>
      </c>
      <c r="AJ1028">
        <v>32.516331999999998</v>
      </c>
      <c r="AK1028">
        <v>-110.68724</v>
      </c>
      <c r="AL1028">
        <v>3</v>
      </c>
      <c r="AN1028">
        <v>1346</v>
      </c>
      <c r="AP1028">
        <v>1346</v>
      </c>
      <c r="AQ1028">
        <v>1364.834521</v>
      </c>
      <c r="AT1028">
        <v>19</v>
      </c>
      <c r="AU1028">
        <v>11</v>
      </c>
      <c r="AV1028">
        <v>2021</v>
      </c>
      <c r="AW1028">
        <v>2437568</v>
      </c>
      <c r="AX1028">
        <v>2437568</v>
      </c>
      <c r="AY1028" t="s">
        <v>106</v>
      </c>
      <c r="AZ1028" t="s">
        <v>92</v>
      </c>
      <c r="BA1028" t="s">
        <v>107</v>
      </c>
      <c r="BB1028" t="s">
        <v>4087</v>
      </c>
      <c r="BC1028" t="s">
        <v>97</v>
      </c>
      <c r="BE1028" t="s">
        <v>96</v>
      </c>
      <c r="BG1028" t="s">
        <v>97</v>
      </c>
      <c r="BI1028" t="s">
        <v>98</v>
      </c>
      <c r="BJ1028" t="s">
        <v>4065</v>
      </c>
      <c r="BL1028" t="s">
        <v>110</v>
      </c>
    </row>
    <row r="1029" spans="1:64" hidden="1" x14ac:dyDescent="0.2">
      <c r="A1029">
        <v>1746</v>
      </c>
      <c r="B1029">
        <v>3744741387</v>
      </c>
      <c r="C1029" t="s">
        <v>101</v>
      </c>
      <c r="D1029" t="s">
        <v>4088</v>
      </c>
      <c r="E1029" t="s">
        <v>65</v>
      </c>
      <c r="F1029" t="s">
        <v>66</v>
      </c>
      <c r="G1029" t="s">
        <v>67</v>
      </c>
      <c r="H1029" t="s">
        <v>68</v>
      </c>
      <c r="I1029" t="s">
        <v>350</v>
      </c>
      <c r="J1029" t="s">
        <v>4050</v>
      </c>
      <c r="K1029" t="s">
        <v>4051</v>
      </c>
      <c r="M1029" t="s">
        <v>72</v>
      </c>
      <c r="N1029" t="s">
        <v>4052</v>
      </c>
      <c r="O1029" t="s">
        <v>4051</v>
      </c>
      <c r="P1029" t="s">
        <v>4053</v>
      </c>
      <c r="Q1029" t="s">
        <v>75</v>
      </c>
      <c r="R1029" t="s">
        <v>3816</v>
      </c>
      <c r="S1029" t="s">
        <v>3812</v>
      </c>
      <c r="T1029" t="s">
        <v>78</v>
      </c>
      <c r="U1029" t="s">
        <v>3817</v>
      </c>
      <c r="V1029" t="s">
        <v>80</v>
      </c>
      <c r="W1029" s="1">
        <v>44519</v>
      </c>
      <c r="X1029" t="s">
        <v>3818</v>
      </c>
      <c r="Y1029" t="s">
        <v>4079</v>
      </c>
      <c r="Z1029" t="s">
        <v>83</v>
      </c>
      <c r="AA1029">
        <v>1</v>
      </c>
      <c r="AB1029" t="s">
        <v>103</v>
      </c>
      <c r="AD1029" t="s">
        <v>104</v>
      </c>
      <c r="AE1029" t="s">
        <v>86</v>
      </c>
      <c r="AF1029" t="s">
        <v>146</v>
      </c>
      <c r="AG1029" t="s">
        <v>4081</v>
      </c>
      <c r="AH1029" t="s">
        <v>4086</v>
      </c>
      <c r="AI1029" t="s">
        <v>90</v>
      </c>
      <c r="AJ1029">
        <v>32.516331999999998</v>
      </c>
      <c r="AK1029">
        <v>-110.68724</v>
      </c>
      <c r="AL1029">
        <v>3</v>
      </c>
      <c r="AN1029">
        <v>1346</v>
      </c>
      <c r="AP1029">
        <v>1346</v>
      </c>
      <c r="AQ1029">
        <v>1364.834521</v>
      </c>
      <c r="AT1029">
        <v>19</v>
      </c>
      <c r="AU1029">
        <v>11</v>
      </c>
      <c r="AV1029">
        <v>2021</v>
      </c>
      <c r="AW1029">
        <v>2437568</v>
      </c>
      <c r="AX1029">
        <v>2437568</v>
      </c>
      <c r="AY1029" t="s">
        <v>106</v>
      </c>
      <c r="AZ1029" t="s">
        <v>92</v>
      </c>
      <c r="BA1029" t="s">
        <v>107</v>
      </c>
      <c r="BB1029" t="s">
        <v>4089</v>
      </c>
      <c r="BC1029" t="s">
        <v>97</v>
      </c>
      <c r="BE1029" t="s">
        <v>96</v>
      </c>
      <c r="BG1029" t="s">
        <v>97</v>
      </c>
      <c r="BI1029" t="s">
        <v>98</v>
      </c>
      <c r="BJ1029" t="s">
        <v>1888</v>
      </c>
      <c r="BL1029" t="s">
        <v>110</v>
      </c>
    </row>
    <row r="1030" spans="1:64" hidden="1" x14ac:dyDescent="0.2">
      <c r="A1030">
        <v>1753</v>
      </c>
      <c r="B1030">
        <v>3744741380</v>
      </c>
      <c r="C1030" t="s">
        <v>101</v>
      </c>
      <c r="D1030" t="s">
        <v>4090</v>
      </c>
      <c r="E1030" t="s">
        <v>65</v>
      </c>
      <c r="F1030" t="s">
        <v>66</v>
      </c>
      <c r="G1030" t="s">
        <v>67</v>
      </c>
      <c r="H1030" t="s">
        <v>68</v>
      </c>
      <c r="I1030" t="s">
        <v>350</v>
      </c>
      <c r="J1030" t="s">
        <v>4050</v>
      </c>
      <c r="K1030" t="s">
        <v>4051</v>
      </c>
      <c r="M1030" t="s">
        <v>72</v>
      </c>
      <c r="N1030" t="s">
        <v>4052</v>
      </c>
      <c r="O1030" t="s">
        <v>4051</v>
      </c>
      <c r="P1030" t="s">
        <v>4053</v>
      </c>
      <c r="Q1030" t="s">
        <v>75</v>
      </c>
      <c r="R1030" t="s">
        <v>3816</v>
      </c>
      <c r="S1030" t="s">
        <v>3812</v>
      </c>
      <c r="T1030" t="s">
        <v>78</v>
      </c>
      <c r="U1030" t="s">
        <v>3817</v>
      </c>
      <c r="V1030" t="s">
        <v>80</v>
      </c>
      <c r="W1030" s="1">
        <v>44519</v>
      </c>
      <c r="X1030" t="s">
        <v>3818</v>
      </c>
      <c r="Y1030" t="s">
        <v>4079</v>
      </c>
      <c r="Z1030" t="s">
        <v>83</v>
      </c>
      <c r="AA1030">
        <v>1</v>
      </c>
      <c r="AB1030" t="s">
        <v>103</v>
      </c>
      <c r="AD1030" t="s">
        <v>112</v>
      </c>
      <c r="AE1030" t="s">
        <v>86</v>
      </c>
      <c r="AF1030" t="s">
        <v>146</v>
      </c>
      <c r="AG1030" t="s">
        <v>4081</v>
      </c>
      <c r="AH1030" t="s">
        <v>4086</v>
      </c>
      <c r="AI1030" t="s">
        <v>90</v>
      </c>
      <c r="AJ1030">
        <v>32.516331999999998</v>
      </c>
      <c r="AK1030">
        <v>-110.68724</v>
      </c>
      <c r="AL1030">
        <v>3</v>
      </c>
      <c r="AN1030">
        <v>1346</v>
      </c>
      <c r="AP1030">
        <v>1346</v>
      </c>
      <c r="AQ1030">
        <v>1364.834521</v>
      </c>
      <c r="AT1030">
        <v>19</v>
      </c>
      <c r="AU1030">
        <v>11</v>
      </c>
      <c r="AV1030">
        <v>2021</v>
      </c>
      <c r="AW1030">
        <v>2437568</v>
      </c>
      <c r="AX1030">
        <v>2437568</v>
      </c>
      <c r="AY1030" t="s">
        <v>106</v>
      </c>
      <c r="AZ1030" t="s">
        <v>92</v>
      </c>
      <c r="BA1030" t="s">
        <v>107</v>
      </c>
      <c r="BB1030" t="s">
        <v>4091</v>
      </c>
      <c r="BC1030" t="s">
        <v>97</v>
      </c>
      <c r="BE1030" t="s">
        <v>96</v>
      </c>
      <c r="BG1030" t="s">
        <v>97</v>
      </c>
      <c r="BI1030" t="s">
        <v>98</v>
      </c>
      <c r="BJ1030" t="s">
        <v>1641</v>
      </c>
      <c r="BL1030" t="s">
        <v>110</v>
      </c>
    </row>
    <row r="1031" spans="1:64" x14ac:dyDescent="0.2">
      <c r="A1031">
        <v>667</v>
      </c>
      <c r="B1031">
        <v>4079061303</v>
      </c>
      <c r="C1031" t="s">
        <v>63</v>
      </c>
      <c r="D1031" t="s">
        <v>2805</v>
      </c>
      <c r="E1031" t="s">
        <v>65</v>
      </c>
      <c r="F1031" t="s">
        <v>66</v>
      </c>
      <c r="G1031" t="s">
        <v>67</v>
      </c>
      <c r="H1031" t="s">
        <v>68</v>
      </c>
      <c r="I1031" t="s">
        <v>176</v>
      </c>
      <c r="J1031" t="s">
        <v>177</v>
      </c>
      <c r="K1031" t="s">
        <v>178</v>
      </c>
      <c r="M1031" t="s">
        <v>72</v>
      </c>
      <c r="N1031" t="s">
        <v>179</v>
      </c>
      <c r="O1031" t="s">
        <v>178</v>
      </c>
      <c r="P1031" t="s">
        <v>180</v>
      </c>
      <c r="Q1031" t="s">
        <v>75</v>
      </c>
      <c r="R1031" t="s">
        <v>2806</v>
      </c>
      <c r="S1031" t="s">
        <v>645</v>
      </c>
      <c r="T1031" t="s">
        <v>78</v>
      </c>
      <c r="U1031" t="s">
        <v>1822</v>
      </c>
      <c r="V1031" t="s">
        <v>80</v>
      </c>
      <c r="W1031" s="1">
        <v>44814</v>
      </c>
      <c r="X1031" t="s">
        <v>2778</v>
      </c>
      <c r="Y1031" t="s">
        <v>2807</v>
      </c>
      <c r="Z1031" t="s">
        <v>83</v>
      </c>
      <c r="AA1031">
        <v>1</v>
      </c>
      <c r="AB1031" t="s">
        <v>2808</v>
      </c>
      <c r="AC1031">
        <v>1</v>
      </c>
      <c r="AD1031" s="6" t="s">
        <v>85</v>
      </c>
      <c r="AE1031" s="6" t="s">
        <v>145</v>
      </c>
      <c r="AF1031" s="6" t="s">
        <v>146</v>
      </c>
      <c r="AG1031" s="6" t="s">
        <v>1526</v>
      </c>
      <c r="AH1031" s="6" t="s">
        <v>2809</v>
      </c>
      <c r="AI1031" s="6" t="s">
        <v>90</v>
      </c>
      <c r="AJ1031" s="6">
        <v>32.453336</v>
      </c>
      <c r="AK1031" s="6">
        <v>-110.74580400000001</v>
      </c>
      <c r="AL1031" s="6">
        <v>3</v>
      </c>
      <c r="AM1031" s="6"/>
      <c r="AN1031" s="6">
        <v>2229</v>
      </c>
      <c r="AO1031" s="6"/>
      <c r="AP1031" s="6">
        <v>2229</v>
      </c>
      <c r="AQ1031" s="6">
        <v>2231.3719430000001</v>
      </c>
      <c r="AR1031" s="6"/>
      <c r="AS1031" s="6"/>
      <c r="AT1031" s="6">
        <v>10</v>
      </c>
      <c r="AU1031" s="6">
        <v>9</v>
      </c>
      <c r="AV1031" s="6">
        <v>2022</v>
      </c>
      <c r="AW1031" s="6">
        <v>2438038</v>
      </c>
      <c r="AX1031" s="6">
        <v>2438038</v>
      </c>
      <c r="AY1031" s="6" t="s">
        <v>91</v>
      </c>
      <c r="AZ1031" t="s">
        <v>92</v>
      </c>
      <c r="BA1031" t="s">
        <v>93</v>
      </c>
      <c r="BB1031" t="s">
        <v>2810</v>
      </c>
      <c r="BC1031" t="s">
        <v>2245</v>
      </c>
      <c r="BE1031" t="s">
        <v>96</v>
      </c>
      <c r="BG1031" t="s">
        <v>2811</v>
      </c>
      <c r="BI1031" t="s">
        <v>98</v>
      </c>
      <c r="BJ1031" t="s">
        <v>2812</v>
      </c>
      <c r="BK1031" t="s">
        <v>365</v>
      </c>
      <c r="BL1031" t="s">
        <v>407</v>
      </c>
    </row>
    <row r="1032" spans="1:64" x14ac:dyDescent="0.2">
      <c r="A1032">
        <v>669</v>
      </c>
      <c r="B1032">
        <v>4079061301</v>
      </c>
      <c r="C1032" t="s">
        <v>63</v>
      </c>
      <c r="D1032" t="s">
        <v>2838</v>
      </c>
      <c r="E1032" t="s">
        <v>65</v>
      </c>
      <c r="F1032" t="s">
        <v>66</v>
      </c>
      <c r="G1032" t="s">
        <v>67</v>
      </c>
      <c r="H1032" t="s">
        <v>68</v>
      </c>
      <c r="I1032" t="s">
        <v>176</v>
      </c>
      <c r="J1032" t="s">
        <v>177</v>
      </c>
      <c r="K1032" t="s">
        <v>178</v>
      </c>
      <c r="M1032" t="s">
        <v>72</v>
      </c>
      <c r="N1032" t="s">
        <v>179</v>
      </c>
      <c r="O1032" t="s">
        <v>178</v>
      </c>
      <c r="P1032" t="s">
        <v>180</v>
      </c>
      <c r="Q1032" t="s">
        <v>75</v>
      </c>
      <c r="R1032" t="s">
        <v>2806</v>
      </c>
      <c r="S1032" t="s">
        <v>694</v>
      </c>
      <c r="T1032" t="s">
        <v>78</v>
      </c>
      <c r="U1032" t="s">
        <v>1822</v>
      </c>
      <c r="V1032" t="s">
        <v>80</v>
      </c>
      <c r="W1032" s="1">
        <v>44814</v>
      </c>
      <c r="X1032" t="s">
        <v>2778</v>
      </c>
      <c r="Y1032" t="s">
        <v>2839</v>
      </c>
      <c r="Z1032" t="s">
        <v>83</v>
      </c>
      <c r="AA1032">
        <v>1</v>
      </c>
      <c r="AB1032" t="s">
        <v>2840</v>
      </c>
      <c r="AC1032">
        <v>1</v>
      </c>
      <c r="AD1032" s="6" t="s">
        <v>85</v>
      </c>
      <c r="AE1032" s="6" t="s">
        <v>145</v>
      </c>
      <c r="AF1032" s="6" t="s">
        <v>146</v>
      </c>
      <c r="AG1032" s="6" t="s">
        <v>2841</v>
      </c>
      <c r="AH1032" s="6" t="s">
        <v>2842</v>
      </c>
      <c r="AI1032" s="6" t="s">
        <v>90</v>
      </c>
      <c r="AJ1032" s="6">
        <v>32.453328999999997</v>
      </c>
      <c r="AK1032" s="6">
        <v>-110.745807</v>
      </c>
      <c r="AL1032" s="6">
        <v>3</v>
      </c>
      <c r="AM1032" s="6"/>
      <c r="AN1032" s="6">
        <v>2228</v>
      </c>
      <c r="AO1032" s="6"/>
      <c r="AP1032" s="6">
        <v>2228</v>
      </c>
      <c r="AQ1032" s="6">
        <v>2231.4839139999999</v>
      </c>
      <c r="AR1032" s="6"/>
      <c r="AS1032" s="6"/>
      <c r="AT1032" s="6">
        <v>10</v>
      </c>
      <c r="AU1032" s="6">
        <v>9</v>
      </c>
      <c r="AV1032" s="6">
        <v>2022</v>
      </c>
      <c r="AW1032" s="6">
        <v>2438038</v>
      </c>
      <c r="AX1032" s="6">
        <v>2438038</v>
      </c>
      <c r="AY1032" s="6" t="s">
        <v>91</v>
      </c>
      <c r="AZ1032" t="s">
        <v>92</v>
      </c>
      <c r="BA1032" t="s">
        <v>93</v>
      </c>
      <c r="BB1032" t="s">
        <v>2843</v>
      </c>
      <c r="BC1032" t="s">
        <v>2245</v>
      </c>
      <c r="BE1032" t="s">
        <v>96</v>
      </c>
      <c r="BG1032" t="s">
        <v>2811</v>
      </c>
      <c r="BI1032" t="s">
        <v>98</v>
      </c>
      <c r="BJ1032" t="s">
        <v>2844</v>
      </c>
      <c r="BK1032" t="s">
        <v>365</v>
      </c>
      <c r="BL1032" t="s">
        <v>407</v>
      </c>
    </row>
    <row r="1033" spans="1:64" hidden="1" x14ac:dyDescent="0.2">
      <c r="A1033">
        <v>1765</v>
      </c>
      <c r="B1033">
        <v>3744741368</v>
      </c>
      <c r="C1033" t="s">
        <v>101</v>
      </c>
      <c r="D1033" t="s">
        <v>4098</v>
      </c>
      <c r="E1033" t="s">
        <v>65</v>
      </c>
      <c r="F1033" t="s">
        <v>66</v>
      </c>
      <c r="G1033" t="s">
        <v>67</v>
      </c>
      <c r="H1033" t="s">
        <v>68</v>
      </c>
      <c r="I1033" t="s">
        <v>350</v>
      </c>
      <c r="J1033" t="s">
        <v>4050</v>
      </c>
      <c r="K1033" t="s">
        <v>4051</v>
      </c>
      <c r="M1033" t="s">
        <v>72</v>
      </c>
      <c r="N1033" t="s">
        <v>4052</v>
      </c>
      <c r="O1033" t="s">
        <v>4051</v>
      </c>
      <c r="P1033" t="s">
        <v>4053</v>
      </c>
      <c r="Q1033" t="s">
        <v>75</v>
      </c>
      <c r="R1033" t="s">
        <v>3816</v>
      </c>
      <c r="S1033" t="s">
        <v>3812</v>
      </c>
      <c r="T1033" t="s">
        <v>78</v>
      </c>
      <c r="U1033" t="s">
        <v>3817</v>
      </c>
      <c r="V1033" t="s">
        <v>80</v>
      </c>
      <c r="W1033" s="1">
        <v>44519</v>
      </c>
      <c r="X1033" t="s">
        <v>3818</v>
      </c>
      <c r="Y1033" t="s">
        <v>4079</v>
      </c>
      <c r="Z1033" t="s">
        <v>83</v>
      </c>
      <c r="AA1033">
        <v>1</v>
      </c>
      <c r="AB1033" t="s">
        <v>103</v>
      </c>
      <c r="AD1033" t="s">
        <v>139</v>
      </c>
      <c r="AE1033" t="s">
        <v>86</v>
      </c>
      <c r="AF1033" t="s">
        <v>146</v>
      </c>
      <c r="AG1033" t="s">
        <v>4081</v>
      </c>
      <c r="AH1033" t="s">
        <v>4086</v>
      </c>
      <c r="AI1033" t="s">
        <v>90</v>
      </c>
      <c r="AJ1033">
        <v>32.516331999999998</v>
      </c>
      <c r="AK1033">
        <v>-110.68724</v>
      </c>
      <c r="AL1033">
        <v>3</v>
      </c>
      <c r="AN1033">
        <v>1346</v>
      </c>
      <c r="AP1033">
        <v>1346</v>
      </c>
      <c r="AQ1033">
        <v>1364.834521</v>
      </c>
      <c r="AT1033">
        <v>19</v>
      </c>
      <c r="AU1033">
        <v>11</v>
      </c>
      <c r="AV1033">
        <v>2021</v>
      </c>
      <c r="AW1033">
        <v>2437568</v>
      </c>
      <c r="AX1033">
        <v>2437568</v>
      </c>
      <c r="AY1033" t="s">
        <v>106</v>
      </c>
      <c r="AZ1033" t="s">
        <v>92</v>
      </c>
      <c r="BA1033" t="s">
        <v>107</v>
      </c>
      <c r="BB1033" t="s">
        <v>4099</v>
      </c>
      <c r="BC1033" t="s">
        <v>97</v>
      </c>
      <c r="BE1033" t="s">
        <v>96</v>
      </c>
      <c r="BG1033" t="s">
        <v>97</v>
      </c>
      <c r="BI1033" t="s">
        <v>98</v>
      </c>
      <c r="BJ1033" t="s">
        <v>1641</v>
      </c>
      <c r="BL1033" t="s">
        <v>110</v>
      </c>
    </row>
    <row r="1034" spans="1:64" hidden="1" x14ac:dyDescent="0.2">
      <c r="A1034">
        <v>1762</v>
      </c>
      <c r="B1034">
        <v>3744741371</v>
      </c>
      <c r="C1034" t="s">
        <v>101</v>
      </c>
      <c r="D1034" t="s">
        <v>4100</v>
      </c>
      <c r="E1034" t="s">
        <v>65</v>
      </c>
      <c r="F1034" t="s">
        <v>66</v>
      </c>
      <c r="G1034" t="s">
        <v>67</v>
      </c>
      <c r="H1034" t="s">
        <v>68</v>
      </c>
      <c r="I1034" t="s">
        <v>350</v>
      </c>
      <c r="J1034" t="s">
        <v>4050</v>
      </c>
      <c r="K1034" t="s">
        <v>4051</v>
      </c>
      <c r="M1034" t="s">
        <v>72</v>
      </c>
      <c r="N1034" t="s">
        <v>4052</v>
      </c>
      <c r="O1034" t="s">
        <v>4051</v>
      </c>
      <c r="P1034" t="s">
        <v>4053</v>
      </c>
      <c r="Q1034" t="s">
        <v>75</v>
      </c>
      <c r="R1034" t="s">
        <v>3816</v>
      </c>
      <c r="S1034" t="s">
        <v>3812</v>
      </c>
      <c r="T1034" t="s">
        <v>78</v>
      </c>
      <c r="U1034" t="s">
        <v>3817</v>
      </c>
      <c r="V1034" t="s">
        <v>80</v>
      </c>
      <c r="W1034" s="1">
        <v>44519</v>
      </c>
      <c r="X1034" t="s">
        <v>3818</v>
      </c>
      <c r="Y1034" t="s">
        <v>4079</v>
      </c>
      <c r="Z1034" t="s">
        <v>83</v>
      </c>
      <c r="AA1034">
        <v>1</v>
      </c>
      <c r="AB1034" t="s">
        <v>103</v>
      </c>
      <c r="AD1034" t="s">
        <v>123</v>
      </c>
      <c r="AE1034" t="s">
        <v>86</v>
      </c>
      <c r="AF1034" t="s">
        <v>146</v>
      </c>
      <c r="AG1034" t="s">
        <v>4081</v>
      </c>
      <c r="AH1034" t="s">
        <v>4086</v>
      </c>
      <c r="AI1034" t="s">
        <v>90</v>
      </c>
      <c r="AJ1034">
        <v>32.516331999999998</v>
      </c>
      <c r="AK1034">
        <v>-110.68724</v>
      </c>
      <c r="AL1034">
        <v>3</v>
      </c>
      <c r="AN1034">
        <v>1346</v>
      </c>
      <c r="AP1034">
        <v>1346</v>
      </c>
      <c r="AQ1034">
        <v>1364.834521</v>
      </c>
      <c r="AT1034">
        <v>19</v>
      </c>
      <c r="AU1034">
        <v>11</v>
      </c>
      <c r="AV1034">
        <v>2021</v>
      </c>
      <c r="AW1034">
        <v>2437568</v>
      </c>
      <c r="AX1034">
        <v>2437568</v>
      </c>
      <c r="AY1034" t="s">
        <v>106</v>
      </c>
      <c r="AZ1034" t="s">
        <v>92</v>
      </c>
      <c r="BA1034" t="s">
        <v>107</v>
      </c>
      <c r="BB1034" t="s">
        <v>4101</v>
      </c>
      <c r="BC1034" t="s">
        <v>97</v>
      </c>
      <c r="BE1034" t="s">
        <v>96</v>
      </c>
      <c r="BG1034" t="s">
        <v>97</v>
      </c>
      <c r="BI1034" t="s">
        <v>98</v>
      </c>
      <c r="BJ1034" t="s">
        <v>1641</v>
      </c>
      <c r="BL1034" t="s">
        <v>110</v>
      </c>
    </row>
    <row r="1035" spans="1:64" hidden="1" x14ac:dyDescent="0.2">
      <c r="A1035">
        <v>1771</v>
      </c>
      <c r="B1035">
        <v>3744741362</v>
      </c>
      <c r="C1035" t="s">
        <v>101</v>
      </c>
      <c r="D1035" t="s">
        <v>4102</v>
      </c>
      <c r="E1035" t="s">
        <v>65</v>
      </c>
      <c r="F1035" t="s">
        <v>66</v>
      </c>
      <c r="G1035" t="s">
        <v>67</v>
      </c>
      <c r="H1035" t="s">
        <v>68</v>
      </c>
      <c r="I1035" t="s">
        <v>350</v>
      </c>
      <c r="J1035" t="s">
        <v>4050</v>
      </c>
      <c r="K1035" t="s">
        <v>4051</v>
      </c>
      <c r="M1035" t="s">
        <v>72</v>
      </c>
      <c r="N1035" t="s">
        <v>4052</v>
      </c>
      <c r="O1035" t="s">
        <v>4051</v>
      </c>
      <c r="P1035" t="s">
        <v>4053</v>
      </c>
      <c r="Q1035" t="s">
        <v>75</v>
      </c>
      <c r="R1035" t="s">
        <v>3816</v>
      </c>
      <c r="S1035" t="s">
        <v>3812</v>
      </c>
      <c r="T1035" t="s">
        <v>78</v>
      </c>
      <c r="U1035" t="s">
        <v>3817</v>
      </c>
      <c r="V1035" t="s">
        <v>80</v>
      </c>
      <c r="W1035" s="1">
        <v>44519</v>
      </c>
      <c r="X1035" t="s">
        <v>3818</v>
      </c>
      <c r="Y1035" t="s">
        <v>4079</v>
      </c>
      <c r="Z1035" t="s">
        <v>83</v>
      </c>
      <c r="AA1035">
        <v>1</v>
      </c>
      <c r="AB1035" t="s">
        <v>133</v>
      </c>
      <c r="AD1035" t="s">
        <v>134</v>
      </c>
      <c r="AE1035" t="s">
        <v>86</v>
      </c>
      <c r="AF1035" t="s">
        <v>146</v>
      </c>
      <c r="AG1035" t="s">
        <v>4081</v>
      </c>
      <c r="AH1035" t="s">
        <v>4103</v>
      </c>
      <c r="AI1035" t="s">
        <v>90</v>
      </c>
      <c r="AJ1035">
        <v>32.516331999999998</v>
      </c>
      <c r="AK1035">
        <v>-110.68724</v>
      </c>
      <c r="AL1035">
        <v>3</v>
      </c>
      <c r="AN1035">
        <v>1346</v>
      </c>
      <c r="AP1035">
        <v>1346</v>
      </c>
      <c r="AQ1035">
        <v>1364.834521</v>
      </c>
      <c r="AT1035">
        <v>19</v>
      </c>
      <c r="AU1035">
        <v>11</v>
      </c>
      <c r="AV1035">
        <v>2021</v>
      </c>
      <c r="AW1035">
        <v>2437568</v>
      </c>
      <c r="AX1035">
        <v>2437568</v>
      </c>
      <c r="AY1035" t="s">
        <v>106</v>
      </c>
      <c r="AZ1035" t="s">
        <v>92</v>
      </c>
      <c r="BA1035" t="s">
        <v>107</v>
      </c>
      <c r="BB1035" t="s">
        <v>4104</v>
      </c>
      <c r="BC1035" t="s">
        <v>97</v>
      </c>
      <c r="BE1035" t="s">
        <v>96</v>
      </c>
      <c r="BG1035" t="s">
        <v>97</v>
      </c>
      <c r="BI1035" t="s">
        <v>98</v>
      </c>
      <c r="BJ1035" t="s">
        <v>2111</v>
      </c>
      <c r="BL1035" t="s">
        <v>110</v>
      </c>
    </row>
    <row r="1036" spans="1:64" hidden="1" x14ac:dyDescent="0.2">
      <c r="A1036">
        <v>1494</v>
      </c>
      <c r="B1036">
        <v>3744741639</v>
      </c>
      <c r="C1036" t="s">
        <v>101</v>
      </c>
      <c r="D1036" t="s">
        <v>4113</v>
      </c>
      <c r="E1036" t="s">
        <v>65</v>
      </c>
      <c r="F1036" t="s">
        <v>66</v>
      </c>
      <c r="G1036" t="s">
        <v>67</v>
      </c>
      <c r="H1036" t="s">
        <v>68</v>
      </c>
      <c r="I1036" t="s">
        <v>69</v>
      </c>
      <c r="J1036" t="s">
        <v>70</v>
      </c>
      <c r="K1036" t="s">
        <v>71</v>
      </c>
      <c r="M1036" t="s">
        <v>72</v>
      </c>
      <c r="N1036" t="s">
        <v>73</v>
      </c>
      <c r="O1036" t="s">
        <v>71</v>
      </c>
      <c r="P1036" t="s">
        <v>74</v>
      </c>
      <c r="Q1036" t="s">
        <v>75</v>
      </c>
      <c r="R1036" t="s">
        <v>4106</v>
      </c>
      <c r="S1036" t="s">
        <v>4107</v>
      </c>
      <c r="T1036" t="s">
        <v>78</v>
      </c>
      <c r="U1036" t="s">
        <v>3817</v>
      </c>
      <c r="V1036" t="s">
        <v>80</v>
      </c>
      <c r="W1036" s="1">
        <v>44520</v>
      </c>
      <c r="X1036" t="s">
        <v>3818</v>
      </c>
      <c r="Y1036" t="s">
        <v>4108</v>
      </c>
      <c r="Z1036" t="s">
        <v>83</v>
      </c>
      <c r="AA1036">
        <v>1</v>
      </c>
      <c r="AB1036" t="s">
        <v>103</v>
      </c>
      <c r="AD1036" t="s">
        <v>104</v>
      </c>
      <c r="AE1036" t="s">
        <v>86</v>
      </c>
      <c r="AF1036" t="s">
        <v>87</v>
      </c>
      <c r="AG1036" t="s">
        <v>1803</v>
      </c>
      <c r="AH1036" t="s">
        <v>4114</v>
      </c>
      <c r="AI1036" t="s">
        <v>90</v>
      </c>
      <c r="AJ1036">
        <v>32.516429000000002</v>
      </c>
      <c r="AK1036">
        <v>-110.68749200000001</v>
      </c>
      <c r="AL1036">
        <v>3</v>
      </c>
      <c r="AN1036">
        <v>1352</v>
      </c>
      <c r="AP1036">
        <v>1352</v>
      </c>
      <c r="AQ1036">
        <v>1364.4223999999999</v>
      </c>
      <c r="AT1036">
        <v>20</v>
      </c>
      <c r="AU1036">
        <v>11</v>
      </c>
      <c r="AV1036">
        <v>2021</v>
      </c>
      <c r="AW1036">
        <v>2439581</v>
      </c>
      <c r="AX1036">
        <v>2439581</v>
      </c>
      <c r="AY1036" t="s">
        <v>106</v>
      </c>
      <c r="AZ1036" t="s">
        <v>92</v>
      </c>
      <c r="BA1036" t="s">
        <v>107</v>
      </c>
      <c r="BB1036" t="s">
        <v>4115</v>
      </c>
      <c r="BC1036" t="s">
        <v>95</v>
      </c>
      <c r="BD1036" s="1">
        <v>45126</v>
      </c>
      <c r="BE1036" t="s">
        <v>96</v>
      </c>
      <c r="BG1036" t="s">
        <v>97</v>
      </c>
      <c r="BI1036" t="s">
        <v>98</v>
      </c>
      <c r="BJ1036" t="s">
        <v>3161</v>
      </c>
      <c r="BL1036" t="s">
        <v>110</v>
      </c>
    </row>
    <row r="1037" spans="1:64" hidden="1" x14ac:dyDescent="0.2">
      <c r="A1037">
        <v>1503</v>
      </c>
      <c r="B1037">
        <v>3744741630</v>
      </c>
      <c r="C1037" t="s">
        <v>101</v>
      </c>
      <c r="D1037" t="s">
        <v>4116</v>
      </c>
      <c r="E1037" t="s">
        <v>65</v>
      </c>
      <c r="F1037" t="s">
        <v>66</v>
      </c>
      <c r="G1037" t="s">
        <v>67</v>
      </c>
      <c r="H1037" t="s">
        <v>68</v>
      </c>
      <c r="I1037" t="s">
        <v>69</v>
      </c>
      <c r="J1037" t="s">
        <v>70</v>
      </c>
      <c r="K1037" t="s">
        <v>71</v>
      </c>
      <c r="M1037" t="s">
        <v>72</v>
      </c>
      <c r="N1037" t="s">
        <v>73</v>
      </c>
      <c r="O1037" t="s">
        <v>71</v>
      </c>
      <c r="P1037" t="s">
        <v>74</v>
      </c>
      <c r="Q1037" t="s">
        <v>75</v>
      </c>
      <c r="R1037" t="s">
        <v>4106</v>
      </c>
      <c r="S1037" t="s">
        <v>4107</v>
      </c>
      <c r="T1037" t="s">
        <v>78</v>
      </c>
      <c r="U1037" t="s">
        <v>3817</v>
      </c>
      <c r="V1037" t="s">
        <v>80</v>
      </c>
      <c r="W1037" s="1">
        <v>44520</v>
      </c>
      <c r="X1037" t="s">
        <v>3818</v>
      </c>
      <c r="Y1037" t="s">
        <v>4108</v>
      </c>
      <c r="Z1037" t="s">
        <v>83</v>
      </c>
      <c r="AA1037">
        <v>1</v>
      </c>
      <c r="AB1037" t="s">
        <v>103</v>
      </c>
      <c r="AD1037" t="s">
        <v>112</v>
      </c>
      <c r="AE1037" t="s">
        <v>86</v>
      </c>
      <c r="AF1037" t="s">
        <v>87</v>
      </c>
      <c r="AG1037" t="s">
        <v>1803</v>
      </c>
      <c r="AH1037" t="s">
        <v>4114</v>
      </c>
      <c r="AI1037" t="s">
        <v>90</v>
      </c>
      <c r="AJ1037">
        <v>32.516429000000002</v>
      </c>
      <c r="AK1037">
        <v>-110.68749200000001</v>
      </c>
      <c r="AL1037">
        <v>3</v>
      </c>
      <c r="AN1037">
        <v>1352</v>
      </c>
      <c r="AP1037">
        <v>1352</v>
      </c>
      <c r="AQ1037">
        <v>1364.4223999999999</v>
      </c>
      <c r="AT1037">
        <v>20</v>
      </c>
      <c r="AU1037">
        <v>11</v>
      </c>
      <c r="AV1037">
        <v>2021</v>
      </c>
      <c r="AW1037">
        <v>2439581</v>
      </c>
      <c r="AX1037">
        <v>2439581</v>
      </c>
      <c r="AY1037" t="s">
        <v>106</v>
      </c>
      <c r="AZ1037" t="s">
        <v>92</v>
      </c>
      <c r="BA1037" t="s">
        <v>107</v>
      </c>
      <c r="BB1037" t="s">
        <v>4117</v>
      </c>
      <c r="BC1037" t="s">
        <v>95</v>
      </c>
      <c r="BD1037" s="1">
        <v>45126</v>
      </c>
      <c r="BE1037" t="s">
        <v>96</v>
      </c>
      <c r="BG1037" t="s">
        <v>97</v>
      </c>
      <c r="BI1037" t="s">
        <v>98</v>
      </c>
      <c r="BJ1037" t="s">
        <v>3122</v>
      </c>
      <c r="BL1037" t="s">
        <v>110</v>
      </c>
    </row>
    <row r="1038" spans="1:64" hidden="1" x14ac:dyDescent="0.2">
      <c r="A1038">
        <v>1500</v>
      </c>
      <c r="B1038">
        <v>3744741633</v>
      </c>
      <c r="C1038" t="s">
        <v>101</v>
      </c>
      <c r="D1038" t="s">
        <v>4118</v>
      </c>
      <c r="E1038" t="s">
        <v>65</v>
      </c>
      <c r="F1038" t="s">
        <v>66</v>
      </c>
      <c r="G1038" t="s">
        <v>67</v>
      </c>
      <c r="H1038" t="s">
        <v>68</v>
      </c>
      <c r="I1038" t="s">
        <v>69</v>
      </c>
      <c r="J1038" t="s">
        <v>70</v>
      </c>
      <c r="K1038" t="s">
        <v>71</v>
      </c>
      <c r="M1038" t="s">
        <v>72</v>
      </c>
      <c r="N1038" t="s">
        <v>73</v>
      </c>
      <c r="O1038" t="s">
        <v>71</v>
      </c>
      <c r="P1038" t="s">
        <v>74</v>
      </c>
      <c r="Q1038" t="s">
        <v>75</v>
      </c>
      <c r="R1038" t="s">
        <v>4106</v>
      </c>
      <c r="S1038" t="s">
        <v>4107</v>
      </c>
      <c r="T1038" t="s">
        <v>78</v>
      </c>
      <c r="U1038" t="s">
        <v>3817</v>
      </c>
      <c r="V1038" t="s">
        <v>80</v>
      </c>
      <c r="W1038" s="1">
        <v>44520</v>
      </c>
      <c r="X1038" t="s">
        <v>3818</v>
      </c>
      <c r="Y1038" t="s">
        <v>4108</v>
      </c>
      <c r="Z1038" t="s">
        <v>83</v>
      </c>
      <c r="AA1038">
        <v>1</v>
      </c>
      <c r="AB1038" t="s">
        <v>103</v>
      </c>
      <c r="AD1038" t="s">
        <v>116</v>
      </c>
      <c r="AE1038" t="s">
        <v>86</v>
      </c>
      <c r="AF1038" t="s">
        <v>87</v>
      </c>
      <c r="AG1038" t="s">
        <v>1803</v>
      </c>
      <c r="AH1038" t="s">
        <v>4114</v>
      </c>
      <c r="AI1038" t="s">
        <v>90</v>
      </c>
      <c r="AJ1038">
        <v>32.516429000000002</v>
      </c>
      <c r="AK1038">
        <v>-110.68749200000001</v>
      </c>
      <c r="AL1038">
        <v>3</v>
      </c>
      <c r="AN1038">
        <v>1352</v>
      </c>
      <c r="AP1038">
        <v>1352</v>
      </c>
      <c r="AQ1038">
        <v>1364.4223999999999</v>
      </c>
      <c r="AT1038">
        <v>20</v>
      </c>
      <c r="AU1038">
        <v>11</v>
      </c>
      <c r="AV1038">
        <v>2021</v>
      </c>
      <c r="AW1038">
        <v>2439581</v>
      </c>
      <c r="AX1038">
        <v>2439581</v>
      </c>
      <c r="AY1038" t="s">
        <v>106</v>
      </c>
      <c r="AZ1038" t="s">
        <v>92</v>
      </c>
      <c r="BA1038" t="s">
        <v>107</v>
      </c>
      <c r="BB1038" t="s">
        <v>4119</v>
      </c>
      <c r="BC1038" t="s">
        <v>95</v>
      </c>
      <c r="BD1038" s="1">
        <v>45126</v>
      </c>
      <c r="BE1038" t="s">
        <v>96</v>
      </c>
      <c r="BG1038" t="s">
        <v>97</v>
      </c>
      <c r="BI1038" t="s">
        <v>98</v>
      </c>
      <c r="BJ1038" t="s">
        <v>4120</v>
      </c>
      <c r="BL1038" t="s">
        <v>110</v>
      </c>
    </row>
    <row r="1039" spans="1:64" hidden="1" x14ac:dyDescent="0.2">
      <c r="A1039">
        <v>1508</v>
      </c>
      <c r="B1039">
        <v>3744741625</v>
      </c>
      <c r="C1039" t="s">
        <v>101</v>
      </c>
      <c r="D1039" t="s">
        <v>4121</v>
      </c>
      <c r="E1039" t="s">
        <v>65</v>
      </c>
      <c r="F1039" t="s">
        <v>66</v>
      </c>
      <c r="G1039" t="s">
        <v>67</v>
      </c>
      <c r="H1039" t="s">
        <v>68</v>
      </c>
      <c r="I1039" t="s">
        <v>69</v>
      </c>
      <c r="J1039" t="s">
        <v>70</v>
      </c>
      <c r="K1039" t="s">
        <v>71</v>
      </c>
      <c r="M1039" t="s">
        <v>72</v>
      </c>
      <c r="N1039" t="s">
        <v>73</v>
      </c>
      <c r="O1039" t="s">
        <v>71</v>
      </c>
      <c r="P1039" t="s">
        <v>74</v>
      </c>
      <c r="Q1039" t="s">
        <v>75</v>
      </c>
      <c r="R1039" t="s">
        <v>4106</v>
      </c>
      <c r="S1039" t="s">
        <v>4107</v>
      </c>
      <c r="T1039" t="s">
        <v>78</v>
      </c>
      <c r="U1039" t="s">
        <v>3817</v>
      </c>
      <c r="V1039" t="s">
        <v>80</v>
      </c>
      <c r="W1039" s="1">
        <v>44520</v>
      </c>
      <c r="X1039" t="s">
        <v>3818</v>
      </c>
      <c r="Y1039" t="s">
        <v>4108</v>
      </c>
      <c r="Z1039" t="s">
        <v>83</v>
      </c>
      <c r="AA1039">
        <v>1</v>
      </c>
      <c r="AB1039" t="s">
        <v>103</v>
      </c>
      <c r="AD1039" t="s">
        <v>139</v>
      </c>
      <c r="AE1039" t="s">
        <v>86</v>
      </c>
      <c r="AF1039" t="s">
        <v>87</v>
      </c>
      <c r="AG1039" t="s">
        <v>1803</v>
      </c>
      <c r="AH1039" t="s">
        <v>4114</v>
      </c>
      <c r="AI1039" t="s">
        <v>90</v>
      </c>
      <c r="AJ1039">
        <v>32.516429000000002</v>
      </c>
      <c r="AK1039">
        <v>-110.68749200000001</v>
      </c>
      <c r="AL1039">
        <v>3</v>
      </c>
      <c r="AN1039">
        <v>1352</v>
      </c>
      <c r="AP1039">
        <v>1352</v>
      </c>
      <c r="AQ1039">
        <v>1364.4223999999999</v>
      </c>
      <c r="AT1039">
        <v>20</v>
      </c>
      <c r="AU1039">
        <v>11</v>
      </c>
      <c r="AV1039">
        <v>2021</v>
      </c>
      <c r="AW1039">
        <v>2439581</v>
      </c>
      <c r="AX1039">
        <v>2439581</v>
      </c>
      <c r="AY1039" t="s">
        <v>106</v>
      </c>
      <c r="AZ1039" t="s">
        <v>92</v>
      </c>
      <c r="BA1039" t="s">
        <v>107</v>
      </c>
      <c r="BB1039" t="s">
        <v>4122</v>
      </c>
      <c r="BC1039" t="s">
        <v>95</v>
      </c>
      <c r="BD1039" s="1">
        <v>45126</v>
      </c>
      <c r="BE1039" t="s">
        <v>96</v>
      </c>
      <c r="BG1039" t="s">
        <v>97</v>
      </c>
      <c r="BI1039" t="s">
        <v>98</v>
      </c>
      <c r="BJ1039" t="s">
        <v>2304</v>
      </c>
      <c r="BL1039" t="s">
        <v>110</v>
      </c>
    </row>
    <row r="1040" spans="1:64" hidden="1" x14ac:dyDescent="0.2">
      <c r="A1040">
        <v>1505</v>
      </c>
      <c r="B1040">
        <v>3744741628</v>
      </c>
      <c r="C1040" t="s">
        <v>101</v>
      </c>
      <c r="D1040" t="s">
        <v>4123</v>
      </c>
      <c r="E1040" t="s">
        <v>65</v>
      </c>
      <c r="F1040" t="s">
        <v>66</v>
      </c>
      <c r="G1040" t="s">
        <v>67</v>
      </c>
      <c r="H1040" t="s">
        <v>68</v>
      </c>
      <c r="I1040" t="s">
        <v>69</v>
      </c>
      <c r="J1040" t="s">
        <v>70</v>
      </c>
      <c r="K1040" t="s">
        <v>71</v>
      </c>
      <c r="M1040" t="s">
        <v>72</v>
      </c>
      <c r="N1040" t="s">
        <v>73</v>
      </c>
      <c r="O1040" t="s">
        <v>71</v>
      </c>
      <c r="P1040" t="s">
        <v>74</v>
      </c>
      <c r="Q1040" t="s">
        <v>75</v>
      </c>
      <c r="R1040" t="s">
        <v>4106</v>
      </c>
      <c r="S1040" t="s">
        <v>4107</v>
      </c>
      <c r="T1040" t="s">
        <v>78</v>
      </c>
      <c r="U1040" t="s">
        <v>3817</v>
      </c>
      <c r="V1040" t="s">
        <v>80</v>
      </c>
      <c r="W1040" s="1">
        <v>44520</v>
      </c>
      <c r="X1040" t="s">
        <v>3818</v>
      </c>
      <c r="Y1040" t="s">
        <v>4108</v>
      </c>
      <c r="Z1040" t="s">
        <v>83</v>
      </c>
      <c r="AA1040">
        <v>1</v>
      </c>
      <c r="AB1040" t="s">
        <v>103</v>
      </c>
      <c r="AD1040" t="s">
        <v>123</v>
      </c>
      <c r="AE1040" t="s">
        <v>86</v>
      </c>
      <c r="AF1040" t="s">
        <v>87</v>
      </c>
      <c r="AG1040" t="s">
        <v>1803</v>
      </c>
      <c r="AH1040" t="s">
        <v>4114</v>
      </c>
      <c r="AI1040" t="s">
        <v>90</v>
      </c>
      <c r="AJ1040">
        <v>32.516429000000002</v>
      </c>
      <c r="AK1040">
        <v>-110.68749200000001</v>
      </c>
      <c r="AL1040">
        <v>3</v>
      </c>
      <c r="AN1040">
        <v>1352</v>
      </c>
      <c r="AP1040">
        <v>1352</v>
      </c>
      <c r="AQ1040">
        <v>1364.4223999999999</v>
      </c>
      <c r="AT1040">
        <v>20</v>
      </c>
      <c r="AU1040">
        <v>11</v>
      </c>
      <c r="AV1040">
        <v>2021</v>
      </c>
      <c r="AW1040">
        <v>2439581</v>
      </c>
      <c r="AX1040">
        <v>2439581</v>
      </c>
      <c r="AY1040" t="s">
        <v>106</v>
      </c>
      <c r="AZ1040" t="s">
        <v>92</v>
      </c>
      <c r="BA1040" t="s">
        <v>107</v>
      </c>
      <c r="BB1040" t="s">
        <v>4124</v>
      </c>
      <c r="BC1040" t="s">
        <v>95</v>
      </c>
      <c r="BD1040" s="1">
        <v>45126</v>
      </c>
      <c r="BE1040" t="s">
        <v>96</v>
      </c>
      <c r="BG1040" t="s">
        <v>97</v>
      </c>
      <c r="BI1040" t="s">
        <v>98</v>
      </c>
      <c r="BJ1040" t="s">
        <v>2267</v>
      </c>
      <c r="BL1040" t="s">
        <v>110</v>
      </c>
    </row>
    <row r="1041" spans="1:64" hidden="1" x14ac:dyDescent="0.2">
      <c r="A1041">
        <v>1512</v>
      </c>
      <c r="B1041">
        <v>3744741621</v>
      </c>
      <c r="C1041" t="s">
        <v>101</v>
      </c>
      <c r="D1041" t="s">
        <v>4125</v>
      </c>
      <c r="E1041" t="s">
        <v>65</v>
      </c>
      <c r="F1041" t="s">
        <v>66</v>
      </c>
      <c r="G1041" t="s">
        <v>67</v>
      </c>
      <c r="H1041" t="s">
        <v>68</v>
      </c>
      <c r="I1041" t="s">
        <v>176</v>
      </c>
      <c r="J1041" t="s">
        <v>773</v>
      </c>
      <c r="K1041" t="s">
        <v>1347</v>
      </c>
      <c r="M1041" t="s">
        <v>72</v>
      </c>
      <c r="N1041" t="s">
        <v>1348</v>
      </c>
      <c r="O1041" t="s">
        <v>1347</v>
      </c>
      <c r="P1041" t="s">
        <v>1349</v>
      </c>
      <c r="Q1041" t="s">
        <v>75</v>
      </c>
      <c r="R1041" t="s">
        <v>4106</v>
      </c>
      <c r="S1041" t="s">
        <v>1829</v>
      </c>
      <c r="T1041" t="s">
        <v>78</v>
      </c>
      <c r="U1041" t="s">
        <v>3817</v>
      </c>
      <c r="V1041" t="s">
        <v>80</v>
      </c>
      <c r="W1041" s="1">
        <v>44520</v>
      </c>
      <c r="X1041" t="s">
        <v>3818</v>
      </c>
      <c r="Y1041" t="s">
        <v>4126</v>
      </c>
      <c r="Z1041" t="s">
        <v>83</v>
      </c>
      <c r="AA1041">
        <v>1</v>
      </c>
      <c r="AB1041" t="s">
        <v>103</v>
      </c>
      <c r="AD1041" t="s">
        <v>343</v>
      </c>
      <c r="AE1041" t="s">
        <v>145</v>
      </c>
      <c r="AF1041" t="s">
        <v>146</v>
      </c>
      <c r="AG1041" t="s">
        <v>344</v>
      </c>
      <c r="AI1041" t="s">
        <v>90</v>
      </c>
      <c r="AJ1041">
        <v>32.516385</v>
      </c>
      <c r="AK1041">
        <v>-110.688001</v>
      </c>
      <c r="AL1041">
        <v>3</v>
      </c>
      <c r="AN1041">
        <v>1362</v>
      </c>
      <c r="AP1041">
        <v>1362</v>
      </c>
      <c r="AQ1041">
        <v>1361.6397019999999</v>
      </c>
      <c r="AT1041">
        <v>20</v>
      </c>
      <c r="AU1041">
        <v>11</v>
      </c>
      <c r="AV1041">
        <v>2021</v>
      </c>
      <c r="AW1041">
        <v>2438454</v>
      </c>
      <c r="AX1041">
        <v>2438454</v>
      </c>
      <c r="AY1041" t="s">
        <v>106</v>
      </c>
      <c r="AZ1041" t="s">
        <v>92</v>
      </c>
      <c r="BA1041" t="s">
        <v>107</v>
      </c>
      <c r="BB1041" t="s">
        <v>4127</v>
      </c>
      <c r="BC1041" t="s">
        <v>97</v>
      </c>
      <c r="BE1041" t="s">
        <v>96</v>
      </c>
      <c r="BG1041" t="s">
        <v>97</v>
      </c>
      <c r="BI1041" t="s">
        <v>98</v>
      </c>
      <c r="BJ1041" t="s">
        <v>4128</v>
      </c>
      <c r="BL1041" t="s">
        <v>110</v>
      </c>
    </row>
    <row r="1042" spans="1:64" hidden="1" x14ac:dyDescent="0.2">
      <c r="A1042">
        <v>1768</v>
      </c>
      <c r="B1042">
        <v>3744741365</v>
      </c>
      <c r="C1042" t="s">
        <v>101</v>
      </c>
      <c r="D1042" t="s">
        <v>4129</v>
      </c>
      <c r="E1042" t="s">
        <v>65</v>
      </c>
      <c r="F1042" t="s">
        <v>66</v>
      </c>
      <c r="G1042" t="s">
        <v>67</v>
      </c>
      <c r="H1042" t="s">
        <v>68</v>
      </c>
      <c r="I1042" t="s">
        <v>69</v>
      </c>
      <c r="J1042" t="s">
        <v>70</v>
      </c>
      <c r="K1042" t="s">
        <v>4130</v>
      </c>
      <c r="M1042" t="s">
        <v>72</v>
      </c>
      <c r="N1042" t="s">
        <v>4131</v>
      </c>
      <c r="O1042" t="s">
        <v>4130</v>
      </c>
      <c r="P1042" t="s">
        <v>4132</v>
      </c>
      <c r="Q1042" t="s">
        <v>75</v>
      </c>
      <c r="R1042" t="s">
        <v>3816</v>
      </c>
      <c r="S1042" t="s">
        <v>3796</v>
      </c>
      <c r="T1042" t="s">
        <v>78</v>
      </c>
      <c r="U1042" t="s">
        <v>3817</v>
      </c>
      <c r="V1042" t="s">
        <v>80</v>
      </c>
      <c r="W1042" s="1">
        <v>44520</v>
      </c>
      <c r="X1042" t="s">
        <v>3818</v>
      </c>
      <c r="Y1042" t="s">
        <v>4133</v>
      </c>
      <c r="Z1042" t="s">
        <v>83</v>
      </c>
      <c r="AA1042">
        <v>1</v>
      </c>
      <c r="AB1042" t="s">
        <v>103</v>
      </c>
      <c r="AD1042" t="s">
        <v>343</v>
      </c>
      <c r="AE1042" t="s">
        <v>145</v>
      </c>
      <c r="AF1042" t="s">
        <v>146</v>
      </c>
      <c r="AG1042" t="s">
        <v>344</v>
      </c>
      <c r="AI1042" t="s">
        <v>90</v>
      </c>
      <c r="AJ1042">
        <v>32.516185999999998</v>
      </c>
      <c r="AK1042">
        <v>-110.68823999999999</v>
      </c>
      <c r="AL1042">
        <v>3</v>
      </c>
      <c r="AN1042">
        <v>1353</v>
      </c>
      <c r="AP1042">
        <v>1353</v>
      </c>
      <c r="AQ1042">
        <v>1362.4666440000001</v>
      </c>
      <c r="AT1042">
        <v>20</v>
      </c>
      <c r="AU1042">
        <v>11</v>
      </c>
      <c r="AV1042">
        <v>2021</v>
      </c>
      <c r="AW1042">
        <v>2439591</v>
      </c>
      <c r="AX1042">
        <v>2439591</v>
      </c>
      <c r="AY1042" t="s">
        <v>106</v>
      </c>
      <c r="AZ1042" t="s">
        <v>92</v>
      </c>
      <c r="BA1042" t="s">
        <v>107</v>
      </c>
      <c r="BB1042" t="s">
        <v>4134</v>
      </c>
      <c r="BC1042" t="s">
        <v>97</v>
      </c>
      <c r="BE1042" t="s">
        <v>96</v>
      </c>
      <c r="BG1042" t="s">
        <v>97</v>
      </c>
      <c r="BI1042" t="s">
        <v>98</v>
      </c>
      <c r="BJ1042" t="s">
        <v>4135</v>
      </c>
      <c r="BL1042" t="s">
        <v>110</v>
      </c>
    </row>
    <row r="1043" spans="1:64" hidden="1" x14ac:dyDescent="0.2">
      <c r="A1043">
        <v>1777</v>
      </c>
      <c r="B1043">
        <v>3744741356</v>
      </c>
      <c r="C1043" t="s">
        <v>101</v>
      </c>
      <c r="D1043" t="s">
        <v>4143</v>
      </c>
      <c r="E1043" t="s">
        <v>65</v>
      </c>
      <c r="F1043" t="s">
        <v>66</v>
      </c>
      <c r="G1043" t="s">
        <v>67</v>
      </c>
      <c r="H1043" t="s">
        <v>68</v>
      </c>
      <c r="I1043" t="s">
        <v>69</v>
      </c>
      <c r="J1043" t="s">
        <v>70</v>
      </c>
      <c r="K1043" t="s">
        <v>71</v>
      </c>
      <c r="M1043" t="s">
        <v>72</v>
      </c>
      <c r="N1043" t="s">
        <v>73</v>
      </c>
      <c r="O1043" t="s">
        <v>71</v>
      </c>
      <c r="P1043" t="s">
        <v>74</v>
      </c>
      <c r="Q1043" t="s">
        <v>75</v>
      </c>
      <c r="R1043" t="s">
        <v>3816</v>
      </c>
      <c r="S1043" t="s">
        <v>4137</v>
      </c>
      <c r="T1043" t="s">
        <v>78</v>
      </c>
      <c r="U1043" t="s">
        <v>3817</v>
      </c>
      <c r="V1043" t="s">
        <v>80</v>
      </c>
      <c r="W1043" s="1">
        <v>44520</v>
      </c>
      <c r="X1043" t="s">
        <v>3818</v>
      </c>
      <c r="Y1043" t="s">
        <v>4138</v>
      </c>
      <c r="Z1043" t="s">
        <v>83</v>
      </c>
      <c r="AA1043">
        <v>1</v>
      </c>
      <c r="AB1043" t="s">
        <v>103</v>
      </c>
      <c r="AD1043" t="s">
        <v>139</v>
      </c>
      <c r="AE1043" t="s">
        <v>86</v>
      </c>
      <c r="AF1043" t="s">
        <v>146</v>
      </c>
      <c r="AG1043" t="s">
        <v>4140</v>
      </c>
      <c r="AH1043" t="s">
        <v>4144</v>
      </c>
      <c r="AI1043" t="s">
        <v>90</v>
      </c>
      <c r="AJ1043">
        <v>32.516061999999998</v>
      </c>
      <c r="AK1043">
        <v>-110.688182</v>
      </c>
      <c r="AL1043">
        <v>3</v>
      </c>
      <c r="AN1043">
        <v>1357</v>
      </c>
      <c r="AP1043">
        <v>1357</v>
      </c>
      <c r="AQ1043">
        <v>1364.453763</v>
      </c>
      <c r="AT1043">
        <v>20</v>
      </c>
      <c r="AU1043">
        <v>11</v>
      </c>
      <c r="AV1043">
        <v>2021</v>
      </c>
      <c r="AW1043">
        <v>2439581</v>
      </c>
      <c r="AX1043">
        <v>2439581</v>
      </c>
      <c r="AY1043" t="s">
        <v>106</v>
      </c>
      <c r="AZ1043" t="s">
        <v>92</v>
      </c>
      <c r="BA1043" t="s">
        <v>107</v>
      </c>
      <c r="BB1043" t="s">
        <v>4145</v>
      </c>
      <c r="BC1043" t="s">
        <v>97</v>
      </c>
      <c r="BE1043" t="s">
        <v>96</v>
      </c>
      <c r="BG1043" t="s">
        <v>97</v>
      </c>
      <c r="BI1043" t="s">
        <v>98</v>
      </c>
      <c r="BJ1043" t="s">
        <v>4135</v>
      </c>
      <c r="BL1043" t="s">
        <v>110</v>
      </c>
    </row>
    <row r="1044" spans="1:64" hidden="1" x14ac:dyDescent="0.2">
      <c r="A1044">
        <v>1774</v>
      </c>
      <c r="B1044">
        <v>3744741359</v>
      </c>
      <c r="C1044" t="s">
        <v>101</v>
      </c>
      <c r="D1044" t="s">
        <v>4146</v>
      </c>
      <c r="E1044" t="s">
        <v>65</v>
      </c>
      <c r="F1044" t="s">
        <v>66</v>
      </c>
      <c r="G1044" t="s">
        <v>67</v>
      </c>
      <c r="H1044" t="s">
        <v>68</v>
      </c>
      <c r="I1044" t="s">
        <v>69</v>
      </c>
      <c r="J1044" t="s">
        <v>70</v>
      </c>
      <c r="K1044" t="s">
        <v>71</v>
      </c>
      <c r="M1044" t="s">
        <v>72</v>
      </c>
      <c r="N1044" t="s">
        <v>73</v>
      </c>
      <c r="O1044" t="s">
        <v>71</v>
      </c>
      <c r="P1044" t="s">
        <v>74</v>
      </c>
      <c r="Q1044" t="s">
        <v>75</v>
      </c>
      <c r="R1044" t="s">
        <v>3816</v>
      </c>
      <c r="S1044" t="s">
        <v>4137</v>
      </c>
      <c r="T1044" t="s">
        <v>78</v>
      </c>
      <c r="U1044" t="s">
        <v>3817</v>
      </c>
      <c r="V1044" t="s">
        <v>80</v>
      </c>
      <c r="W1044" s="1">
        <v>44520</v>
      </c>
      <c r="X1044" t="s">
        <v>3818</v>
      </c>
      <c r="Y1044" t="s">
        <v>4138</v>
      </c>
      <c r="Z1044" t="s">
        <v>83</v>
      </c>
      <c r="AA1044">
        <v>1</v>
      </c>
      <c r="AB1044" t="s">
        <v>103</v>
      </c>
      <c r="AD1044" t="s">
        <v>123</v>
      </c>
      <c r="AE1044" t="s">
        <v>86</v>
      </c>
      <c r="AF1044" t="s">
        <v>146</v>
      </c>
      <c r="AG1044" t="s">
        <v>4140</v>
      </c>
      <c r="AH1044" t="s">
        <v>4144</v>
      </c>
      <c r="AI1044" t="s">
        <v>90</v>
      </c>
      <c r="AJ1044">
        <v>32.516061999999998</v>
      </c>
      <c r="AK1044">
        <v>-110.688182</v>
      </c>
      <c r="AL1044">
        <v>3</v>
      </c>
      <c r="AN1044">
        <v>1357</v>
      </c>
      <c r="AP1044">
        <v>1357</v>
      </c>
      <c r="AQ1044">
        <v>1364.453763</v>
      </c>
      <c r="AT1044">
        <v>20</v>
      </c>
      <c r="AU1044">
        <v>11</v>
      </c>
      <c r="AV1044">
        <v>2021</v>
      </c>
      <c r="AW1044">
        <v>2439581</v>
      </c>
      <c r="AX1044">
        <v>2439581</v>
      </c>
      <c r="AY1044" t="s">
        <v>106</v>
      </c>
      <c r="AZ1044" t="s">
        <v>92</v>
      </c>
      <c r="BA1044" t="s">
        <v>107</v>
      </c>
      <c r="BB1044" t="s">
        <v>4147</v>
      </c>
      <c r="BC1044" t="s">
        <v>97</v>
      </c>
      <c r="BE1044" t="s">
        <v>96</v>
      </c>
      <c r="BG1044" t="s">
        <v>97</v>
      </c>
      <c r="BI1044" t="s">
        <v>98</v>
      </c>
      <c r="BJ1044" t="s">
        <v>4135</v>
      </c>
      <c r="BL1044" t="s">
        <v>110</v>
      </c>
    </row>
    <row r="1045" spans="1:64" hidden="1" x14ac:dyDescent="0.2">
      <c r="A1045">
        <v>1780</v>
      </c>
      <c r="B1045">
        <v>3744741353</v>
      </c>
      <c r="C1045" t="s">
        <v>101</v>
      </c>
      <c r="D1045" t="s">
        <v>4148</v>
      </c>
      <c r="E1045" t="s">
        <v>65</v>
      </c>
      <c r="F1045" t="s">
        <v>66</v>
      </c>
      <c r="G1045" t="s">
        <v>67</v>
      </c>
      <c r="H1045" t="s">
        <v>68</v>
      </c>
      <c r="I1045" t="s">
        <v>69</v>
      </c>
      <c r="J1045" t="s">
        <v>70</v>
      </c>
      <c r="K1045" t="s">
        <v>71</v>
      </c>
      <c r="M1045" t="s">
        <v>72</v>
      </c>
      <c r="N1045" t="s">
        <v>73</v>
      </c>
      <c r="O1045" t="s">
        <v>71</v>
      </c>
      <c r="P1045" t="s">
        <v>74</v>
      </c>
      <c r="Q1045" t="s">
        <v>75</v>
      </c>
      <c r="R1045" t="s">
        <v>3816</v>
      </c>
      <c r="S1045" t="s">
        <v>4137</v>
      </c>
      <c r="T1045" t="s">
        <v>78</v>
      </c>
      <c r="U1045" t="s">
        <v>3817</v>
      </c>
      <c r="V1045" t="s">
        <v>80</v>
      </c>
      <c r="W1045" s="1">
        <v>44520</v>
      </c>
      <c r="X1045" t="s">
        <v>3818</v>
      </c>
      <c r="Y1045" t="s">
        <v>4138</v>
      </c>
      <c r="Z1045" t="s">
        <v>83</v>
      </c>
      <c r="AA1045">
        <v>1</v>
      </c>
      <c r="AB1045" t="s">
        <v>133</v>
      </c>
      <c r="AD1045" t="s">
        <v>134</v>
      </c>
      <c r="AE1045" t="s">
        <v>86</v>
      </c>
      <c r="AF1045" t="s">
        <v>146</v>
      </c>
      <c r="AG1045" t="s">
        <v>4140</v>
      </c>
      <c r="AH1045" t="s">
        <v>4149</v>
      </c>
      <c r="AI1045" t="s">
        <v>90</v>
      </c>
      <c r="AJ1045">
        <v>32.516061999999998</v>
      </c>
      <c r="AK1045">
        <v>-110.688182</v>
      </c>
      <c r="AL1045">
        <v>3</v>
      </c>
      <c r="AN1045">
        <v>1357</v>
      </c>
      <c r="AP1045">
        <v>1357</v>
      </c>
      <c r="AQ1045">
        <v>1364.453763</v>
      </c>
      <c r="AT1045">
        <v>20</v>
      </c>
      <c r="AU1045">
        <v>11</v>
      </c>
      <c r="AV1045">
        <v>2021</v>
      </c>
      <c r="AW1045">
        <v>2439581</v>
      </c>
      <c r="AX1045">
        <v>2439581</v>
      </c>
      <c r="AY1045" t="s">
        <v>106</v>
      </c>
      <c r="AZ1045" t="s">
        <v>92</v>
      </c>
      <c r="BA1045" t="s">
        <v>107</v>
      </c>
      <c r="BB1045" t="s">
        <v>4150</v>
      </c>
      <c r="BC1045" t="s">
        <v>97</v>
      </c>
      <c r="BE1045" t="s">
        <v>96</v>
      </c>
      <c r="BG1045" t="s">
        <v>97</v>
      </c>
      <c r="BI1045" t="s">
        <v>98</v>
      </c>
      <c r="BJ1045" t="s">
        <v>4135</v>
      </c>
      <c r="BL1045" t="s">
        <v>110</v>
      </c>
    </row>
    <row r="1046" spans="1:64" hidden="1" x14ac:dyDescent="0.2">
      <c r="A1046">
        <v>1486</v>
      </c>
      <c r="B1046">
        <v>3744741647</v>
      </c>
      <c r="C1046" t="s">
        <v>101</v>
      </c>
      <c r="D1046" t="s">
        <v>4151</v>
      </c>
      <c r="E1046" t="s">
        <v>65</v>
      </c>
      <c r="F1046" t="s">
        <v>66</v>
      </c>
      <c r="G1046" t="s">
        <v>67</v>
      </c>
      <c r="H1046" t="s">
        <v>68</v>
      </c>
      <c r="I1046" t="s">
        <v>69</v>
      </c>
      <c r="J1046" t="s">
        <v>70</v>
      </c>
      <c r="K1046" t="s">
        <v>71</v>
      </c>
      <c r="M1046" t="s">
        <v>72</v>
      </c>
      <c r="N1046" t="s">
        <v>73</v>
      </c>
      <c r="O1046" t="s">
        <v>71</v>
      </c>
      <c r="P1046" t="s">
        <v>74</v>
      </c>
      <c r="Q1046" t="s">
        <v>75</v>
      </c>
      <c r="R1046" t="s">
        <v>3816</v>
      </c>
      <c r="S1046" t="s">
        <v>4137</v>
      </c>
      <c r="T1046" t="s">
        <v>78</v>
      </c>
      <c r="U1046" t="s">
        <v>3817</v>
      </c>
      <c r="V1046" t="s">
        <v>80</v>
      </c>
      <c r="W1046" s="1">
        <v>44520</v>
      </c>
      <c r="X1046" t="s">
        <v>3818</v>
      </c>
      <c r="Y1046" t="s">
        <v>4138</v>
      </c>
      <c r="Z1046" t="s">
        <v>83</v>
      </c>
      <c r="AA1046">
        <v>1</v>
      </c>
      <c r="AB1046" t="s">
        <v>103</v>
      </c>
      <c r="AD1046" t="s">
        <v>116</v>
      </c>
      <c r="AE1046" t="s">
        <v>86</v>
      </c>
      <c r="AF1046" t="s">
        <v>146</v>
      </c>
      <c r="AG1046" t="s">
        <v>4140</v>
      </c>
      <c r="AH1046" t="s">
        <v>4144</v>
      </c>
      <c r="AI1046" t="s">
        <v>90</v>
      </c>
      <c r="AJ1046">
        <v>32.516061999999998</v>
      </c>
      <c r="AK1046">
        <v>-110.688182</v>
      </c>
      <c r="AL1046">
        <v>3</v>
      </c>
      <c r="AN1046">
        <v>1357</v>
      </c>
      <c r="AP1046">
        <v>1357</v>
      </c>
      <c r="AQ1046">
        <v>1364.453763</v>
      </c>
      <c r="AT1046">
        <v>20</v>
      </c>
      <c r="AU1046">
        <v>11</v>
      </c>
      <c r="AV1046">
        <v>2021</v>
      </c>
      <c r="AW1046">
        <v>2439581</v>
      </c>
      <c r="AX1046">
        <v>2439581</v>
      </c>
      <c r="AY1046" t="s">
        <v>106</v>
      </c>
      <c r="AZ1046" t="s">
        <v>92</v>
      </c>
      <c r="BA1046" t="s">
        <v>107</v>
      </c>
      <c r="BB1046" t="s">
        <v>4152</v>
      </c>
      <c r="BC1046" t="s">
        <v>97</v>
      </c>
      <c r="BE1046" t="s">
        <v>96</v>
      </c>
      <c r="BG1046" t="s">
        <v>97</v>
      </c>
      <c r="BI1046" t="s">
        <v>98</v>
      </c>
      <c r="BJ1046" t="s">
        <v>2342</v>
      </c>
      <c r="BL1046" t="s">
        <v>110</v>
      </c>
    </row>
    <row r="1047" spans="1:64" hidden="1" x14ac:dyDescent="0.2">
      <c r="A1047">
        <v>1483</v>
      </c>
      <c r="B1047">
        <v>3744741650</v>
      </c>
      <c r="C1047" t="s">
        <v>101</v>
      </c>
      <c r="D1047" t="s">
        <v>4153</v>
      </c>
      <c r="E1047" t="s">
        <v>65</v>
      </c>
      <c r="F1047" t="s">
        <v>66</v>
      </c>
      <c r="G1047" t="s">
        <v>67</v>
      </c>
      <c r="H1047" t="s">
        <v>68</v>
      </c>
      <c r="I1047" t="s">
        <v>69</v>
      </c>
      <c r="J1047" t="s">
        <v>70</v>
      </c>
      <c r="K1047" t="s">
        <v>71</v>
      </c>
      <c r="M1047" t="s">
        <v>72</v>
      </c>
      <c r="N1047" t="s">
        <v>73</v>
      </c>
      <c r="O1047" t="s">
        <v>71</v>
      </c>
      <c r="P1047" t="s">
        <v>74</v>
      </c>
      <c r="Q1047" t="s">
        <v>75</v>
      </c>
      <c r="R1047" t="s">
        <v>3816</v>
      </c>
      <c r="S1047" t="s">
        <v>4137</v>
      </c>
      <c r="T1047" t="s">
        <v>78</v>
      </c>
      <c r="U1047" t="s">
        <v>3817</v>
      </c>
      <c r="V1047" t="s">
        <v>80</v>
      </c>
      <c r="W1047" s="1">
        <v>44520</v>
      </c>
      <c r="X1047" t="s">
        <v>3818</v>
      </c>
      <c r="Y1047" t="s">
        <v>4138</v>
      </c>
      <c r="Z1047" t="s">
        <v>83</v>
      </c>
      <c r="AA1047">
        <v>1</v>
      </c>
      <c r="AB1047" t="s">
        <v>103</v>
      </c>
      <c r="AD1047" t="s">
        <v>104</v>
      </c>
      <c r="AE1047" t="s">
        <v>86</v>
      </c>
      <c r="AF1047" t="s">
        <v>146</v>
      </c>
      <c r="AG1047" t="s">
        <v>4140</v>
      </c>
      <c r="AH1047" t="s">
        <v>4144</v>
      </c>
      <c r="AI1047" t="s">
        <v>90</v>
      </c>
      <c r="AJ1047">
        <v>32.516061999999998</v>
      </c>
      <c r="AK1047">
        <v>-110.688182</v>
      </c>
      <c r="AL1047">
        <v>3</v>
      </c>
      <c r="AN1047">
        <v>1357</v>
      </c>
      <c r="AP1047">
        <v>1357</v>
      </c>
      <c r="AQ1047">
        <v>1364.453763</v>
      </c>
      <c r="AT1047">
        <v>20</v>
      </c>
      <c r="AU1047">
        <v>11</v>
      </c>
      <c r="AV1047">
        <v>2021</v>
      </c>
      <c r="AW1047">
        <v>2439581</v>
      </c>
      <c r="AX1047">
        <v>2439581</v>
      </c>
      <c r="AY1047" t="s">
        <v>106</v>
      </c>
      <c r="AZ1047" t="s">
        <v>92</v>
      </c>
      <c r="BA1047" t="s">
        <v>107</v>
      </c>
      <c r="BB1047" t="s">
        <v>4154</v>
      </c>
      <c r="BC1047" t="s">
        <v>97</v>
      </c>
      <c r="BE1047" t="s">
        <v>96</v>
      </c>
      <c r="BG1047" t="s">
        <v>97</v>
      </c>
      <c r="BI1047" t="s">
        <v>98</v>
      </c>
      <c r="BJ1047" t="s">
        <v>3122</v>
      </c>
      <c r="BL1047" t="s">
        <v>110</v>
      </c>
    </row>
    <row r="1048" spans="1:64" x14ac:dyDescent="0.2">
      <c r="A1048">
        <v>664</v>
      </c>
      <c r="B1048">
        <v>4079061306</v>
      </c>
      <c r="C1048" t="s">
        <v>63</v>
      </c>
      <c r="D1048" t="s">
        <v>2875</v>
      </c>
      <c r="E1048" t="s">
        <v>65</v>
      </c>
      <c r="F1048" t="s">
        <v>66</v>
      </c>
      <c r="G1048" t="s">
        <v>67</v>
      </c>
      <c r="H1048" t="s">
        <v>68</v>
      </c>
      <c r="I1048" t="s">
        <v>176</v>
      </c>
      <c r="J1048" t="s">
        <v>177</v>
      </c>
      <c r="K1048" t="s">
        <v>178</v>
      </c>
      <c r="M1048" t="s">
        <v>72</v>
      </c>
      <c r="N1048" t="s">
        <v>179</v>
      </c>
      <c r="O1048" t="s">
        <v>178</v>
      </c>
      <c r="P1048" t="s">
        <v>180</v>
      </c>
      <c r="Q1048" t="s">
        <v>75</v>
      </c>
      <c r="R1048" t="s">
        <v>2806</v>
      </c>
      <c r="S1048" t="s">
        <v>763</v>
      </c>
      <c r="T1048" t="s">
        <v>78</v>
      </c>
      <c r="U1048" t="s">
        <v>1822</v>
      </c>
      <c r="V1048" t="s">
        <v>80</v>
      </c>
      <c r="W1048" s="1">
        <v>44814</v>
      </c>
      <c r="X1048" t="s">
        <v>2778</v>
      </c>
      <c r="Y1048" t="s">
        <v>2876</v>
      </c>
      <c r="Z1048" t="s">
        <v>83</v>
      </c>
      <c r="AA1048">
        <v>1</v>
      </c>
      <c r="AB1048" t="s">
        <v>2877</v>
      </c>
      <c r="AC1048">
        <v>1</v>
      </c>
      <c r="AD1048" s="6" t="s">
        <v>85</v>
      </c>
      <c r="AE1048" s="6" t="s">
        <v>145</v>
      </c>
      <c r="AF1048" s="6" t="s">
        <v>146</v>
      </c>
      <c r="AG1048" s="6" t="s">
        <v>2878</v>
      </c>
      <c r="AH1048" s="6" t="s">
        <v>2879</v>
      </c>
      <c r="AI1048" s="6" t="s">
        <v>90</v>
      </c>
      <c r="AJ1048" s="6">
        <v>32.453510000000001</v>
      </c>
      <c r="AK1048" s="6">
        <v>-110.745014</v>
      </c>
      <c r="AL1048" s="6">
        <v>3</v>
      </c>
      <c r="AM1048" s="6"/>
      <c r="AN1048" s="6">
        <v>2199</v>
      </c>
      <c r="AO1048" s="6"/>
      <c r="AP1048" s="6">
        <v>2199</v>
      </c>
      <c r="AQ1048" s="6">
        <v>2207.513543</v>
      </c>
      <c r="AR1048" s="6"/>
      <c r="AS1048" s="6"/>
      <c r="AT1048" s="6">
        <v>10</v>
      </c>
      <c r="AU1048" s="6">
        <v>9</v>
      </c>
      <c r="AV1048" s="6">
        <v>2022</v>
      </c>
      <c r="AW1048" s="6">
        <v>2438038</v>
      </c>
      <c r="AX1048" s="6">
        <v>2438038</v>
      </c>
      <c r="AY1048" s="6" t="s">
        <v>91</v>
      </c>
      <c r="AZ1048" t="s">
        <v>92</v>
      </c>
      <c r="BA1048" t="s">
        <v>93</v>
      </c>
      <c r="BB1048" t="s">
        <v>2880</v>
      </c>
      <c r="BC1048" t="s">
        <v>2245</v>
      </c>
      <c r="BE1048" t="s">
        <v>96</v>
      </c>
      <c r="BG1048" t="s">
        <v>2811</v>
      </c>
      <c r="BI1048" t="s">
        <v>98</v>
      </c>
      <c r="BJ1048" t="s">
        <v>2881</v>
      </c>
      <c r="BK1048" t="s">
        <v>365</v>
      </c>
      <c r="BL1048" t="s">
        <v>407</v>
      </c>
    </row>
    <row r="1049" spans="1:64" hidden="1" x14ac:dyDescent="0.2">
      <c r="A1049">
        <v>1488</v>
      </c>
      <c r="B1049">
        <v>3744741645</v>
      </c>
      <c r="C1049" t="s">
        <v>101</v>
      </c>
      <c r="D1049" t="s">
        <v>4158</v>
      </c>
      <c r="E1049" t="s">
        <v>65</v>
      </c>
      <c r="F1049" t="s">
        <v>66</v>
      </c>
      <c r="G1049" t="s">
        <v>67</v>
      </c>
      <c r="H1049" t="s">
        <v>68</v>
      </c>
      <c r="I1049" t="s">
        <v>69</v>
      </c>
      <c r="J1049" t="s">
        <v>70</v>
      </c>
      <c r="K1049" t="s">
        <v>71</v>
      </c>
      <c r="M1049" t="s">
        <v>72</v>
      </c>
      <c r="N1049" t="s">
        <v>73</v>
      </c>
      <c r="O1049" t="s">
        <v>71</v>
      </c>
      <c r="P1049" t="s">
        <v>74</v>
      </c>
      <c r="Q1049" t="s">
        <v>75</v>
      </c>
      <c r="R1049" t="s">
        <v>3816</v>
      </c>
      <c r="S1049" t="s">
        <v>4137</v>
      </c>
      <c r="T1049" t="s">
        <v>78</v>
      </c>
      <c r="U1049" t="s">
        <v>3817</v>
      </c>
      <c r="V1049" t="s">
        <v>80</v>
      </c>
      <c r="W1049" s="1">
        <v>44520</v>
      </c>
      <c r="X1049" t="s">
        <v>3818</v>
      </c>
      <c r="Y1049" t="s">
        <v>4138</v>
      </c>
      <c r="Z1049" t="s">
        <v>83</v>
      </c>
      <c r="AA1049">
        <v>1</v>
      </c>
      <c r="AB1049" t="s">
        <v>103</v>
      </c>
      <c r="AD1049" t="s">
        <v>112</v>
      </c>
      <c r="AE1049" t="s">
        <v>86</v>
      </c>
      <c r="AF1049" t="s">
        <v>146</v>
      </c>
      <c r="AG1049" t="s">
        <v>4140</v>
      </c>
      <c r="AH1049" t="s">
        <v>4144</v>
      </c>
      <c r="AI1049" t="s">
        <v>90</v>
      </c>
      <c r="AJ1049">
        <v>32.516061999999998</v>
      </c>
      <c r="AK1049">
        <v>-110.688182</v>
      </c>
      <c r="AL1049">
        <v>3</v>
      </c>
      <c r="AN1049">
        <v>1357</v>
      </c>
      <c r="AP1049">
        <v>1357</v>
      </c>
      <c r="AQ1049">
        <v>1364.453763</v>
      </c>
      <c r="AT1049">
        <v>20</v>
      </c>
      <c r="AU1049">
        <v>11</v>
      </c>
      <c r="AV1049">
        <v>2021</v>
      </c>
      <c r="AW1049">
        <v>2439581</v>
      </c>
      <c r="AX1049">
        <v>2439581</v>
      </c>
      <c r="AY1049" t="s">
        <v>106</v>
      </c>
      <c r="AZ1049" t="s">
        <v>92</v>
      </c>
      <c r="BA1049" t="s">
        <v>107</v>
      </c>
      <c r="BB1049" t="s">
        <v>4159</v>
      </c>
      <c r="BC1049" t="s">
        <v>97</v>
      </c>
      <c r="BE1049" t="s">
        <v>96</v>
      </c>
      <c r="BG1049" t="s">
        <v>97</v>
      </c>
      <c r="BI1049" t="s">
        <v>98</v>
      </c>
      <c r="BJ1049" t="s">
        <v>2307</v>
      </c>
      <c r="BL1049" t="s">
        <v>110</v>
      </c>
    </row>
    <row r="1050" spans="1:64" x14ac:dyDescent="0.2">
      <c r="A1050">
        <v>662</v>
      </c>
      <c r="B1050">
        <v>4079061308</v>
      </c>
      <c r="C1050" t="s">
        <v>63</v>
      </c>
      <c r="D1050" t="s">
        <v>3079</v>
      </c>
      <c r="E1050" t="s">
        <v>65</v>
      </c>
      <c r="F1050" t="s">
        <v>66</v>
      </c>
      <c r="G1050" t="s">
        <v>67</v>
      </c>
      <c r="H1050" t="s">
        <v>68</v>
      </c>
      <c r="I1050" t="s">
        <v>350</v>
      </c>
      <c r="J1050" t="s">
        <v>351</v>
      </c>
      <c r="K1050" t="s">
        <v>352</v>
      </c>
      <c r="M1050" t="s">
        <v>72</v>
      </c>
      <c r="N1050" t="s">
        <v>353</v>
      </c>
      <c r="O1050" t="s">
        <v>352</v>
      </c>
      <c r="P1050" t="s">
        <v>180</v>
      </c>
      <c r="Q1050" t="s">
        <v>75</v>
      </c>
      <c r="R1050" t="s">
        <v>2806</v>
      </c>
      <c r="S1050" t="s">
        <v>961</v>
      </c>
      <c r="T1050" t="s">
        <v>78</v>
      </c>
      <c r="U1050" t="s">
        <v>1822</v>
      </c>
      <c r="V1050" t="s">
        <v>80</v>
      </c>
      <c r="W1050" s="1">
        <v>44814</v>
      </c>
      <c r="X1050" t="s">
        <v>2778</v>
      </c>
      <c r="Y1050" t="s">
        <v>3080</v>
      </c>
      <c r="Z1050" t="s">
        <v>83</v>
      </c>
      <c r="AA1050">
        <v>1</v>
      </c>
      <c r="AB1050" t="s">
        <v>3081</v>
      </c>
      <c r="AC1050">
        <v>1</v>
      </c>
      <c r="AD1050" s="6" t="s">
        <v>85</v>
      </c>
      <c r="AE1050" s="6" t="s">
        <v>145</v>
      </c>
      <c r="AF1050" s="6" t="s">
        <v>146</v>
      </c>
      <c r="AG1050" s="6" t="s">
        <v>3082</v>
      </c>
      <c r="AH1050" s="6" t="s">
        <v>3083</v>
      </c>
      <c r="AI1050" s="6" t="s">
        <v>90</v>
      </c>
      <c r="AJ1050" s="6">
        <v>32.452097000000002</v>
      </c>
      <c r="AK1050" s="6">
        <v>-110.74662600000001</v>
      </c>
      <c r="AL1050" s="6">
        <v>3</v>
      </c>
      <c r="AM1050" s="6"/>
      <c r="AN1050" s="6">
        <v>2204</v>
      </c>
      <c r="AO1050" s="6"/>
      <c r="AP1050" s="6">
        <v>2204</v>
      </c>
      <c r="AQ1050" s="6">
        <v>2207.9480010000002</v>
      </c>
      <c r="AR1050" s="6"/>
      <c r="AS1050" s="6"/>
      <c r="AT1050" s="6">
        <v>10</v>
      </c>
      <c r="AU1050" s="6">
        <v>9</v>
      </c>
      <c r="AV1050" s="6">
        <v>2022</v>
      </c>
      <c r="AW1050" s="6">
        <v>4972385</v>
      </c>
      <c r="AX1050" s="6">
        <v>2437431</v>
      </c>
      <c r="AY1050" s="6" t="s">
        <v>91</v>
      </c>
      <c r="AZ1050" t="s">
        <v>92</v>
      </c>
      <c r="BA1050" t="s">
        <v>93</v>
      </c>
      <c r="BB1050" t="s">
        <v>3084</v>
      </c>
      <c r="BC1050" t="s">
        <v>2245</v>
      </c>
      <c r="BE1050" t="s">
        <v>96</v>
      </c>
      <c r="BG1050" t="s">
        <v>2811</v>
      </c>
      <c r="BI1050" t="s">
        <v>98</v>
      </c>
      <c r="BJ1050" t="s">
        <v>3085</v>
      </c>
      <c r="BK1050" t="s">
        <v>365</v>
      </c>
      <c r="BL1050" t="s">
        <v>100</v>
      </c>
    </row>
    <row r="1051" spans="1:64" hidden="1" x14ac:dyDescent="0.2">
      <c r="A1051">
        <v>1518</v>
      </c>
      <c r="B1051">
        <v>3744741615</v>
      </c>
      <c r="C1051" t="s">
        <v>101</v>
      </c>
      <c r="D1051" t="s">
        <v>4170</v>
      </c>
      <c r="E1051" t="s">
        <v>65</v>
      </c>
      <c r="F1051" t="s">
        <v>66</v>
      </c>
      <c r="G1051" t="s">
        <v>67</v>
      </c>
      <c r="H1051" t="s">
        <v>68</v>
      </c>
      <c r="I1051" t="s">
        <v>69</v>
      </c>
      <c r="J1051" t="s">
        <v>70</v>
      </c>
      <c r="M1051" t="s">
        <v>1072</v>
      </c>
      <c r="N1051" t="s">
        <v>4171</v>
      </c>
      <c r="O1051" t="s">
        <v>70</v>
      </c>
      <c r="P1051" t="s">
        <v>4172</v>
      </c>
      <c r="Q1051" t="s">
        <v>75</v>
      </c>
      <c r="R1051" t="s">
        <v>3955</v>
      </c>
      <c r="S1051" t="s">
        <v>4164</v>
      </c>
      <c r="T1051" t="s">
        <v>78</v>
      </c>
      <c r="U1051" t="s">
        <v>3817</v>
      </c>
      <c r="V1051" t="s">
        <v>80</v>
      </c>
      <c r="W1051" s="1">
        <v>44520</v>
      </c>
      <c r="X1051" t="s">
        <v>3818</v>
      </c>
      <c r="Y1051" t="s">
        <v>4165</v>
      </c>
      <c r="Z1051" t="s">
        <v>83</v>
      </c>
      <c r="AA1051">
        <v>1</v>
      </c>
      <c r="AB1051" t="s">
        <v>103</v>
      </c>
      <c r="AD1051" t="s">
        <v>116</v>
      </c>
      <c r="AE1051" t="s">
        <v>145</v>
      </c>
      <c r="AF1051" t="s">
        <v>146</v>
      </c>
      <c r="AG1051" t="s">
        <v>4173</v>
      </c>
      <c r="AH1051" t="s">
        <v>4174</v>
      </c>
      <c r="AI1051" t="s">
        <v>90</v>
      </c>
      <c r="AJ1051">
        <v>32.516522999999999</v>
      </c>
      <c r="AK1051">
        <v>-110.685723</v>
      </c>
      <c r="AL1051">
        <v>3</v>
      </c>
      <c r="AN1051">
        <v>1353</v>
      </c>
      <c r="AP1051">
        <v>1353</v>
      </c>
      <c r="AQ1051">
        <v>1348.9145679999999</v>
      </c>
      <c r="AT1051">
        <v>20</v>
      </c>
      <c r="AU1051">
        <v>11</v>
      </c>
      <c r="AV1051">
        <v>2021</v>
      </c>
      <c r="AW1051">
        <v>2439576</v>
      </c>
      <c r="AY1051" t="s">
        <v>106</v>
      </c>
      <c r="AZ1051" t="s">
        <v>92</v>
      </c>
      <c r="BA1051" t="s">
        <v>107</v>
      </c>
      <c r="BB1051" t="s">
        <v>4175</v>
      </c>
      <c r="BC1051" t="s">
        <v>97</v>
      </c>
      <c r="BE1051" t="s">
        <v>96</v>
      </c>
      <c r="BG1051" t="s">
        <v>97</v>
      </c>
      <c r="BI1051" t="s">
        <v>98</v>
      </c>
      <c r="BJ1051" t="s">
        <v>4176</v>
      </c>
      <c r="BL1051" t="s">
        <v>110</v>
      </c>
    </row>
    <row r="1052" spans="1:64" hidden="1" x14ac:dyDescent="0.2">
      <c r="A1052">
        <v>1515</v>
      </c>
      <c r="B1052">
        <v>3744741618</v>
      </c>
      <c r="C1052" t="s">
        <v>101</v>
      </c>
      <c r="D1052" t="s">
        <v>4177</v>
      </c>
      <c r="E1052" t="s">
        <v>65</v>
      </c>
      <c r="F1052" t="s">
        <v>66</v>
      </c>
      <c r="G1052" t="s">
        <v>67</v>
      </c>
      <c r="H1052" t="s">
        <v>68</v>
      </c>
      <c r="I1052" t="s">
        <v>69</v>
      </c>
      <c r="J1052" t="s">
        <v>70</v>
      </c>
      <c r="M1052" t="s">
        <v>1072</v>
      </c>
      <c r="N1052" t="s">
        <v>4171</v>
      </c>
      <c r="O1052" t="s">
        <v>70</v>
      </c>
      <c r="P1052" t="s">
        <v>4172</v>
      </c>
      <c r="Q1052" t="s">
        <v>75</v>
      </c>
      <c r="R1052" t="s">
        <v>3955</v>
      </c>
      <c r="S1052" t="s">
        <v>4164</v>
      </c>
      <c r="T1052" t="s">
        <v>78</v>
      </c>
      <c r="U1052" t="s">
        <v>3817</v>
      </c>
      <c r="V1052" t="s">
        <v>80</v>
      </c>
      <c r="W1052" s="1">
        <v>44520</v>
      </c>
      <c r="X1052" t="s">
        <v>3818</v>
      </c>
      <c r="Y1052" t="s">
        <v>4165</v>
      </c>
      <c r="Z1052" t="s">
        <v>83</v>
      </c>
      <c r="AA1052">
        <v>1</v>
      </c>
      <c r="AB1052" t="s">
        <v>103</v>
      </c>
      <c r="AD1052" t="s">
        <v>104</v>
      </c>
      <c r="AE1052" t="s">
        <v>145</v>
      </c>
      <c r="AF1052" t="s">
        <v>146</v>
      </c>
      <c r="AG1052" t="s">
        <v>4173</v>
      </c>
      <c r="AH1052" t="s">
        <v>4174</v>
      </c>
      <c r="AI1052" t="s">
        <v>90</v>
      </c>
      <c r="AJ1052">
        <v>32.516522999999999</v>
      </c>
      <c r="AK1052">
        <v>-110.685723</v>
      </c>
      <c r="AL1052">
        <v>3</v>
      </c>
      <c r="AN1052">
        <v>1353</v>
      </c>
      <c r="AP1052">
        <v>1353</v>
      </c>
      <c r="AQ1052">
        <v>1348.9145679999999</v>
      </c>
      <c r="AT1052">
        <v>20</v>
      </c>
      <c r="AU1052">
        <v>11</v>
      </c>
      <c r="AV1052">
        <v>2021</v>
      </c>
      <c r="AW1052">
        <v>2439576</v>
      </c>
      <c r="AY1052" t="s">
        <v>106</v>
      </c>
      <c r="AZ1052" t="s">
        <v>92</v>
      </c>
      <c r="BA1052" t="s">
        <v>107</v>
      </c>
      <c r="BB1052" t="s">
        <v>4178</v>
      </c>
      <c r="BC1052" t="s">
        <v>97</v>
      </c>
      <c r="BE1052" t="s">
        <v>96</v>
      </c>
      <c r="BG1052" t="s">
        <v>97</v>
      </c>
      <c r="BI1052" t="s">
        <v>98</v>
      </c>
      <c r="BJ1052" t="s">
        <v>4176</v>
      </c>
      <c r="BL1052" t="s">
        <v>110</v>
      </c>
    </row>
    <row r="1053" spans="1:64" x14ac:dyDescent="0.2">
      <c r="A1053">
        <v>660</v>
      </c>
      <c r="B1053">
        <v>4079061310</v>
      </c>
      <c r="C1053" t="s">
        <v>63</v>
      </c>
      <c r="D1053" t="s">
        <v>3113</v>
      </c>
      <c r="E1053" t="s">
        <v>65</v>
      </c>
      <c r="F1053" t="s">
        <v>66</v>
      </c>
      <c r="G1053" t="s">
        <v>67</v>
      </c>
      <c r="H1053" t="s">
        <v>68</v>
      </c>
      <c r="I1053" t="s">
        <v>350</v>
      </c>
      <c r="J1053" t="s">
        <v>351</v>
      </c>
      <c r="K1053" t="s">
        <v>352</v>
      </c>
      <c r="M1053" t="s">
        <v>72</v>
      </c>
      <c r="N1053" t="s">
        <v>353</v>
      </c>
      <c r="O1053" t="s">
        <v>352</v>
      </c>
      <c r="P1053" t="s">
        <v>180</v>
      </c>
      <c r="Q1053" t="s">
        <v>75</v>
      </c>
      <c r="R1053" t="s">
        <v>2806</v>
      </c>
      <c r="S1053" t="s">
        <v>968</v>
      </c>
      <c r="T1053" t="s">
        <v>78</v>
      </c>
      <c r="U1053" t="s">
        <v>1822</v>
      </c>
      <c r="V1053" t="s">
        <v>80</v>
      </c>
      <c r="W1053" s="1">
        <v>44814</v>
      </c>
      <c r="X1053" t="s">
        <v>2778</v>
      </c>
      <c r="Y1053" t="s">
        <v>3114</v>
      </c>
      <c r="Z1053" t="s">
        <v>83</v>
      </c>
      <c r="AA1053">
        <v>1</v>
      </c>
      <c r="AB1053" t="s">
        <v>3115</v>
      </c>
      <c r="AC1053">
        <v>1</v>
      </c>
      <c r="AD1053" s="6" t="s">
        <v>85</v>
      </c>
      <c r="AE1053" s="6" t="s">
        <v>86</v>
      </c>
      <c r="AF1053" s="6" t="s">
        <v>146</v>
      </c>
      <c r="AG1053" s="6" t="s">
        <v>1393</v>
      </c>
      <c r="AH1053" s="6" t="s">
        <v>3116</v>
      </c>
      <c r="AI1053" s="6" t="s">
        <v>90</v>
      </c>
      <c r="AJ1053" s="6">
        <v>32.451968000000001</v>
      </c>
      <c r="AK1053" s="6">
        <v>-110.746624</v>
      </c>
      <c r="AL1053" s="6">
        <v>4</v>
      </c>
      <c r="AM1053" s="6"/>
      <c r="AN1053" s="6">
        <v>2204</v>
      </c>
      <c r="AO1053" s="6"/>
      <c r="AP1053" s="6">
        <v>2204</v>
      </c>
      <c r="AQ1053" s="6">
        <v>2205.5154229999998</v>
      </c>
      <c r="AR1053" s="6"/>
      <c r="AS1053" s="6"/>
      <c r="AT1053" s="6">
        <v>10</v>
      </c>
      <c r="AU1053" s="6">
        <v>9</v>
      </c>
      <c r="AV1053" s="6">
        <v>2022</v>
      </c>
      <c r="AW1053" s="6">
        <v>4972385</v>
      </c>
      <c r="AX1053" s="6">
        <v>2437431</v>
      </c>
      <c r="AY1053" s="6" t="s">
        <v>91</v>
      </c>
      <c r="AZ1053" t="s">
        <v>92</v>
      </c>
      <c r="BA1053" t="s">
        <v>93</v>
      </c>
      <c r="BB1053" t="s">
        <v>3117</v>
      </c>
      <c r="BC1053" t="s">
        <v>2245</v>
      </c>
      <c r="BE1053" t="s">
        <v>96</v>
      </c>
      <c r="BG1053" t="s">
        <v>2811</v>
      </c>
      <c r="BI1053" t="s">
        <v>98</v>
      </c>
      <c r="BJ1053" t="s">
        <v>3118</v>
      </c>
      <c r="BK1053" t="s">
        <v>365</v>
      </c>
      <c r="BL1053" t="s">
        <v>100</v>
      </c>
    </row>
    <row r="1054" spans="1:64" hidden="1" x14ac:dyDescent="0.2">
      <c r="A1054">
        <v>1521</v>
      </c>
      <c r="B1054">
        <v>3744741612</v>
      </c>
      <c r="C1054" t="s">
        <v>101</v>
      </c>
      <c r="D1054" t="s">
        <v>4182</v>
      </c>
      <c r="E1054" t="s">
        <v>65</v>
      </c>
      <c r="F1054" t="s">
        <v>66</v>
      </c>
      <c r="G1054" t="s">
        <v>67</v>
      </c>
      <c r="H1054" t="s">
        <v>68</v>
      </c>
      <c r="I1054" t="s">
        <v>69</v>
      </c>
      <c r="J1054" t="s">
        <v>70</v>
      </c>
      <c r="M1054" t="s">
        <v>1072</v>
      </c>
      <c r="N1054" t="s">
        <v>4171</v>
      </c>
      <c r="O1054" t="s">
        <v>70</v>
      </c>
      <c r="P1054" t="s">
        <v>4172</v>
      </c>
      <c r="Q1054" t="s">
        <v>75</v>
      </c>
      <c r="R1054" t="s">
        <v>3955</v>
      </c>
      <c r="S1054" t="s">
        <v>4164</v>
      </c>
      <c r="T1054" t="s">
        <v>78</v>
      </c>
      <c r="U1054" t="s">
        <v>3817</v>
      </c>
      <c r="V1054" t="s">
        <v>80</v>
      </c>
      <c r="W1054" s="1">
        <v>44520</v>
      </c>
      <c r="X1054" t="s">
        <v>3818</v>
      </c>
      <c r="Y1054" t="s">
        <v>4165</v>
      </c>
      <c r="Z1054" t="s">
        <v>83</v>
      </c>
      <c r="AA1054">
        <v>1</v>
      </c>
      <c r="AB1054" t="s">
        <v>103</v>
      </c>
      <c r="AD1054" t="s">
        <v>112</v>
      </c>
      <c r="AE1054" t="s">
        <v>145</v>
      </c>
      <c r="AF1054" t="s">
        <v>146</v>
      </c>
      <c r="AG1054" t="s">
        <v>4173</v>
      </c>
      <c r="AH1054" t="s">
        <v>4174</v>
      </c>
      <c r="AI1054" t="s">
        <v>90</v>
      </c>
      <c r="AJ1054">
        <v>32.516522999999999</v>
      </c>
      <c r="AK1054">
        <v>-110.685723</v>
      </c>
      <c r="AL1054">
        <v>3</v>
      </c>
      <c r="AN1054">
        <v>1353</v>
      </c>
      <c r="AP1054">
        <v>1353</v>
      </c>
      <c r="AQ1054">
        <v>1348.9145679999999</v>
      </c>
      <c r="AT1054">
        <v>20</v>
      </c>
      <c r="AU1054">
        <v>11</v>
      </c>
      <c r="AV1054">
        <v>2021</v>
      </c>
      <c r="AW1054">
        <v>2439576</v>
      </c>
      <c r="AY1054" t="s">
        <v>106</v>
      </c>
      <c r="AZ1054" t="s">
        <v>92</v>
      </c>
      <c r="BA1054" t="s">
        <v>107</v>
      </c>
      <c r="BB1054" t="s">
        <v>4183</v>
      </c>
      <c r="BC1054" t="s">
        <v>97</v>
      </c>
      <c r="BE1054" t="s">
        <v>96</v>
      </c>
      <c r="BG1054" t="s">
        <v>97</v>
      </c>
      <c r="BI1054" t="s">
        <v>98</v>
      </c>
      <c r="BJ1054" t="s">
        <v>4128</v>
      </c>
      <c r="BL1054" t="s">
        <v>110</v>
      </c>
    </row>
    <row r="1055" spans="1:64" hidden="1" x14ac:dyDescent="0.2">
      <c r="A1055">
        <v>1530</v>
      </c>
      <c r="B1055">
        <v>3744741603</v>
      </c>
      <c r="C1055" t="s">
        <v>101</v>
      </c>
      <c r="D1055" t="s">
        <v>4184</v>
      </c>
      <c r="E1055" t="s">
        <v>65</v>
      </c>
      <c r="F1055" t="s">
        <v>66</v>
      </c>
      <c r="G1055" t="s">
        <v>67</v>
      </c>
      <c r="H1055" t="s">
        <v>68</v>
      </c>
      <c r="I1055" t="s">
        <v>69</v>
      </c>
      <c r="J1055" t="s">
        <v>70</v>
      </c>
      <c r="M1055" t="s">
        <v>1072</v>
      </c>
      <c r="N1055" t="s">
        <v>4171</v>
      </c>
      <c r="O1055" t="s">
        <v>70</v>
      </c>
      <c r="P1055" t="s">
        <v>4172</v>
      </c>
      <c r="Q1055" t="s">
        <v>75</v>
      </c>
      <c r="R1055" t="s">
        <v>3955</v>
      </c>
      <c r="S1055" t="s">
        <v>4164</v>
      </c>
      <c r="T1055" t="s">
        <v>78</v>
      </c>
      <c r="U1055" t="s">
        <v>3817</v>
      </c>
      <c r="V1055" t="s">
        <v>80</v>
      </c>
      <c r="W1055" s="1">
        <v>44520</v>
      </c>
      <c r="X1055" t="s">
        <v>3818</v>
      </c>
      <c r="Y1055" t="s">
        <v>4165</v>
      </c>
      <c r="Z1055" t="s">
        <v>83</v>
      </c>
      <c r="AA1055">
        <v>1</v>
      </c>
      <c r="AB1055" t="s">
        <v>103</v>
      </c>
      <c r="AD1055" t="s">
        <v>123</v>
      </c>
      <c r="AE1055" t="s">
        <v>145</v>
      </c>
      <c r="AF1055" t="s">
        <v>146</v>
      </c>
      <c r="AG1055" t="s">
        <v>4173</v>
      </c>
      <c r="AH1055" t="s">
        <v>4174</v>
      </c>
      <c r="AI1055" t="s">
        <v>90</v>
      </c>
      <c r="AJ1055">
        <v>32.516522999999999</v>
      </c>
      <c r="AK1055">
        <v>-110.685723</v>
      </c>
      <c r="AL1055">
        <v>3</v>
      </c>
      <c r="AN1055">
        <v>1353</v>
      </c>
      <c r="AP1055">
        <v>1353</v>
      </c>
      <c r="AQ1055">
        <v>1348.9145679999999</v>
      </c>
      <c r="AT1055">
        <v>20</v>
      </c>
      <c r="AU1055">
        <v>11</v>
      </c>
      <c r="AV1055">
        <v>2021</v>
      </c>
      <c r="AW1055">
        <v>2439576</v>
      </c>
      <c r="AY1055" t="s">
        <v>106</v>
      </c>
      <c r="AZ1055" t="s">
        <v>92</v>
      </c>
      <c r="BA1055" t="s">
        <v>107</v>
      </c>
      <c r="BB1055" t="s">
        <v>4185</v>
      </c>
      <c r="BC1055" t="s">
        <v>97</v>
      </c>
      <c r="BE1055" t="s">
        <v>96</v>
      </c>
      <c r="BG1055" t="s">
        <v>97</v>
      </c>
      <c r="BI1055" t="s">
        <v>98</v>
      </c>
      <c r="BJ1055" t="s">
        <v>4176</v>
      </c>
      <c r="BL1055" t="s">
        <v>110</v>
      </c>
    </row>
    <row r="1056" spans="1:64" x14ac:dyDescent="0.2">
      <c r="A1056">
        <v>658</v>
      </c>
      <c r="B1056">
        <v>4079061312</v>
      </c>
      <c r="C1056" t="s">
        <v>63</v>
      </c>
      <c r="D1056" t="s">
        <v>3143</v>
      </c>
      <c r="E1056" t="s">
        <v>65</v>
      </c>
      <c r="F1056" t="s">
        <v>66</v>
      </c>
      <c r="G1056" t="s">
        <v>67</v>
      </c>
      <c r="H1056" t="s">
        <v>68</v>
      </c>
      <c r="I1056" t="s">
        <v>350</v>
      </c>
      <c r="J1056" t="s">
        <v>351</v>
      </c>
      <c r="K1056" t="s">
        <v>352</v>
      </c>
      <c r="M1056" t="s">
        <v>72</v>
      </c>
      <c r="N1056" t="s">
        <v>353</v>
      </c>
      <c r="O1056" t="s">
        <v>352</v>
      </c>
      <c r="P1056" t="s">
        <v>180</v>
      </c>
      <c r="Q1056" t="s">
        <v>75</v>
      </c>
      <c r="R1056" t="s">
        <v>2806</v>
      </c>
      <c r="S1056" t="s">
        <v>3144</v>
      </c>
      <c r="T1056" t="s">
        <v>78</v>
      </c>
      <c r="U1056" t="s">
        <v>1822</v>
      </c>
      <c r="V1056" t="s">
        <v>80</v>
      </c>
      <c r="W1056" s="1">
        <v>44815</v>
      </c>
      <c r="X1056" t="s">
        <v>2778</v>
      </c>
      <c r="Y1056" t="s">
        <v>3145</v>
      </c>
      <c r="Z1056" t="s">
        <v>83</v>
      </c>
      <c r="AA1056">
        <v>1</v>
      </c>
      <c r="AB1056" t="s">
        <v>3146</v>
      </c>
      <c r="AC1056">
        <v>1</v>
      </c>
      <c r="AD1056" s="6" t="s">
        <v>85</v>
      </c>
      <c r="AE1056" s="6" t="s">
        <v>145</v>
      </c>
      <c r="AF1056" s="6" t="s">
        <v>146</v>
      </c>
      <c r="AG1056" s="6" t="s">
        <v>3147</v>
      </c>
      <c r="AH1056" s="6" t="s">
        <v>3148</v>
      </c>
      <c r="AI1056" s="6" t="s">
        <v>90</v>
      </c>
      <c r="AJ1056" s="6">
        <v>32.453969000000001</v>
      </c>
      <c r="AK1056" s="6">
        <v>-110.74510600000001</v>
      </c>
      <c r="AL1056" s="6">
        <v>3</v>
      </c>
      <c r="AM1056" s="6"/>
      <c r="AN1056" s="6">
        <v>2201</v>
      </c>
      <c r="AO1056" s="6"/>
      <c r="AP1056" s="6">
        <v>2201</v>
      </c>
      <c r="AQ1056" s="6">
        <v>2206.40085</v>
      </c>
      <c r="AR1056" s="6"/>
      <c r="AS1056" s="6"/>
      <c r="AT1056" s="6">
        <v>11</v>
      </c>
      <c r="AU1056" s="6">
        <v>9</v>
      </c>
      <c r="AV1056" s="6">
        <v>2022</v>
      </c>
      <c r="AW1056" s="6">
        <v>4972385</v>
      </c>
      <c r="AX1056" s="6">
        <v>2437431</v>
      </c>
      <c r="AY1056" s="6" t="s">
        <v>91</v>
      </c>
      <c r="AZ1056" t="s">
        <v>92</v>
      </c>
      <c r="BA1056" t="s">
        <v>93</v>
      </c>
      <c r="BB1056" t="s">
        <v>3149</v>
      </c>
      <c r="BC1056" t="s">
        <v>2245</v>
      </c>
      <c r="BE1056" t="s">
        <v>96</v>
      </c>
      <c r="BG1056" t="s">
        <v>2811</v>
      </c>
      <c r="BI1056" t="s">
        <v>98</v>
      </c>
      <c r="BJ1056" t="s">
        <v>2448</v>
      </c>
      <c r="BK1056" t="s">
        <v>365</v>
      </c>
      <c r="BL1056" t="s">
        <v>407</v>
      </c>
    </row>
    <row r="1057" spans="1:64" hidden="1" x14ac:dyDescent="0.2">
      <c r="A1057">
        <v>1536</v>
      </c>
      <c r="B1057">
        <v>3744741597</v>
      </c>
      <c r="C1057" t="s">
        <v>101</v>
      </c>
      <c r="D1057" t="s">
        <v>4189</v>
      </c>
      <c r="E1057" t="s">
        <v>65</v>
      </c>
      <c r="F1057" t="s">
        <v>66</v>
      </c>
      <c r="G1057" t="s">
        <v>67</v>
      </c>
      <c r="H1057" t="s">
        <v>68</v>
      </c>
      <c r="I1057" t="s">
        <v>69</v>
      </c>
      <c r="J1057" t="s">
        <v>70</v>
      </c>
      <c r="M1057" t="s">
        <v>1072</v>
      </c>
      <c r="N1057" t="s">
        <v>4171</v>
      </c>
      <c r="O1057" t="s">
        <v>70</v>
      </c>
      <c r="P1057" t="s">
        <v>4172</v>
      </c>
      <c r="Q1057" t="s">
        <v>75</v>
      </c>
      <c r="R1057" t="s">
        <v>3955</v>
      </c>
      <c r="S1057" t="s">
        <v>4164</v>
      </c>
      <c r="T1057" t="s">
        <v>78</v>
      </c>
      <c r="U1057" t="s">
        <v>3817</v>
      </c>
      <c r="V1057" t="s">
        <v>80</v>
      </c>
      <c r="W1057" s="1">
        <v>44520</v>
      </c>
      <c r="X1057" t="s">
        <v>3818</v>
      </c>
      <c r="Y1057" t="s">
        <v>4165</v>
      </c>
      <c r="Z1057" t="s">
        <v>83</v>
      </c>
      <c r="AA1057">
        <v>1</v>
      </c>
      <c r="AB1057" t="s">
        <v>133</v>
      </c>
      <c r="AD1057" t="s">
        <v>134</v>
      </c>
      <c r="AE1057" t="s">
        <v>145</v>
      </c>
      <c r="AF1057" t="s">
        <v>146</v>
      </c>
      <c r="AG1057" t="s">
        <v>4173</v>
      </c>
      <c r="AH1057" t="s">
        <v>4190</v>
      </c>
      <c r="AI1057" t="s">
        <v>90</v>
      </c>
      <c r="AJ1057">
        <v>32.516522999999999</v>
      </c>
      <c r="AK1057">
        <v>-110.685723</v>
      </c>
      <c r="AL1057">
        <v>3</v>
      </c>
      <c r="AN1057">
        <v>1353</v>
      </c>
      <c r="AP1057">
        <v>1353</v>
      </c>
      <c r="AQ1057">
        <v>1348.9145679999999</v>
      </c>
      <c r="AT1057">
        <v>20</v>
      </c>
      <c r="AU1057">
        <v>11</v>
      </c>
      <c r="AV1057">
        <v>2021</v>
      </c>
      <c r="AW1057">
        <v>2439576</v>
      </c>
      <c r="AY1057" t="s">
        <v>106</v>
      </c>
      <c r="AZ1057" t="s">
        <v>92</v>
      </c>
      <c r="BA1057" t="s">
        <v>107</v>
      </c>
      <c r="BB1057" t="s">
        <v>4191</v>
      </c>
      <c r="BC1057" t="s">
        <v>97</v>
      </c>
      <c r="BE1057" t="s">
        <v>96</v>
      </c>
      <c r="BG1057" t="s">
        <v>97</v>
      </c>
      <c r="BI1057" t="s">
        <v>98</v>
      </c>
      <c r="BJ1057" t="s">
        <v>4128</v>
      </c>
      <c r="BL1057" t="s">
        <v>110</v>
      </c>
    </row>
    <row r="1058" spans="1:64" hidden="1" x14ac:dyDescent="0.2">
      <c r="A1058">
        <v>1533</v>
      </c>
      <c r="B1058">
        <v>3744741600</v>
      </c>
      <c r="C1058" t="s">
        <v>101</v>
      </c>
      <c r="D1058" t="s">
        <v>4192</v>
      </c>
      <c r="E1058" t="s">
        <v>65</v>
      </c>
      <c r="F1058" t="s">
        <v>66</v>
      </c>
      <c r="G1058" t="s">
        <v>67</v>
      </c>
      <c r="H1058" t="s">
        <v>68</v>
      </c>
      <c r="I1058" t="s">
        <v>69</v>
      </c>
      <c r="J1058" t="s">
        <v>70</v>
      </c>
      <c r="M1058" t="s">
        <v>1072</v>
      </c>
      <c r="N1058" t="s">
        <v>4171</v>
      </c>
      <c r="O1058" t="s">
        <v>70</v>
      </c>
      <c r="P1058" t="s">
        <v>4172</v>
      </c>
      <c r="Q1058" t="s">
        <v>75</v>
      </c>
      <c r="R1058" t="s">
        <v>3955</v>
      </c>
      <c r="S1058" t="s">
        <v>4164</v>
      </c>
      <c r="T1058" t="s">
        <v>78</v>
      </c>
      <c r="U1058" t="s">
        <v>3817</v>
      </c>
      <c r="V1058" t="s">
        <v>80</v>
      </c>
      <c r="W1058" s="1">
        <v>44520</v>
      </c>
      <c r="X1058" t="s">
        <v>3818</v>
      </c>
      <c r="Y1058" t="s">
        <v>4165</v>
      </c>
      <c r="Z1058" t="s">
        <v>83</v>
      </c>
      <c r="AA1058">
        <v>1</v>
      </c>
      <c r="AB1058" t="s">
        <v>103</v>
      </c>
      <c r="AD1058" t="s">
        <v>139</v>
      </c>
      <c r="AE1058" t="s">
        <v>145</v>
      </c>
      <c r="AF1058" t="s">
        <v>146</v>
      </c>
      <c r="AG1058" t="s">
        <v>4173</v>
      </c>
      <c r="AH1058" t="s">
        <v>4174</v>
      </c>
      <c r="AI1058" t="s">
        <v>90</v>
      </c>
      <c r="AJ1058">
        <v>32.516522999999999</v>
      </c>
      <c r="AK1058">
        <v>-110.685723</v>
      </c>
      <c r="AL1058">
        <v>3</v>
      </c>
      <c r="AN1058">
        <v>1353</v>
      </c>
      <c r="AP1058">
        <v>1353</v>
      </c>
      <c r="AQ1058">
        <v>1348.9145679999999</v>
      </c>
      <c r="AT1058">
        <v>20</v>
      </c>
      <c r="AU1058">
        <v>11</v>
      </c>
      <c r="AV1058">
        <v>2021</v>
      </c>
      <c r="AW1058">
        <v>2439576</v>
      </c>
      <c r="AY1058" t="s">
        <v>106</v>
      </c>
      <c r="AZ1058" t="s">
        <v>92</v>
      </c>
      <c r="BA1058" t="s">
        <v>107</v>
      </c>
      <c r="BB1058" t="s">
        <v>4193</v>
      </c>
      <c r="BC1058" t="s">
        <v>97</v>
      </c>
      <c r="BE1058" t="s">
        <v>96</v>
      </c>
      <c r="BG1058" t="s">
        <v>97</v>
      </c>
      <c r="BI1058" t="s">
        <v>98</v>
      </c>
      <c r="BJ1058" t="s">
        <v>4176</v>
      </c>
      <c r="BL1058" t="s">
        <v>110</v>
      </c>
    </row>
    <row r="1059" spans="1:64" hidden="1" x14ac:dyDescent="0.2">
      <c r="A1059">
        <v>1539</v>
      </c>
      <c r="B1059">
        <v>3744741594</v>
      </c>
      <c r="C1059" t="s">
        <v>101</v>
      </c>
      <c r="D1059" t="s">
        <v>4204</v>
      </c>
      <c r="E1059" t="s">
        <v>65</v>
      </c>
      <c r="F1059" t="s">
        <v>66</v>
      </c>
      <c r="G1059" t="s">
        <v>67</v>
      </c>
      <c r="H1059" t="s">
        <v>68</v>
      </c>
      <c r="I1059" t="s">
        <v>69</v>
      </c>
      <c r="J1059" t="s">
        <v>70</v>
      </c>
      <c r="K1059" t="s">
        <v>4195</v>
      </c>
      <c r="M1059" t="s">
        <v>72</v>
      </c>
      <c r="N1059" t="s">
        <v>4196</v>
      </c>
      <c r="O1059" t="s">
        <v>4195</v>
      </c>
      <c r="P1059" t="s">
        <v>4197</v>
      </c>
      <c r="Q1059" t="s">
        <v>75</v>
      </c>
      <c r="R1059" t="s">
        <v>3955</v>
      </c>
      <c r="S1059" t="s">
        <v>4198</v>
      </c>
      <c r="T1059" t="s">
        <v>78</v>
      </c>
      <c r="U1059" t="s">
        <v>3817</v>
      </c>
      <c r="V1059" t="s">
        <v>80</v>
      </c>
      <c r="W1059" s="1">
        <v>44520</v>
      </c>
      <c r="X1059" t="s">
        <v>3818</v>
      </c>
      <c r="Y1059" t="s">
        <v>4199</v>
      </c>
      <c r="Z1059" t="s">
        <v>83</v>
      </c>
      <c r="AA1059">
        <v>1</v>
      </c>
      <c r="AB1059" t="s">
        <v>103</v>
      </c>
      <c r="AD1059" t="s">
        <v>104</v>
      </c>
      <c r="AE1059" t="s">
        <v>145</v>
      </c>
      <c r="AF1059" t="s">
        <v>87</v>
      </c>
      <c r="AG1059" t="s">
        <v>4205</v>
      </c>
      <c r="AH1059" t="s">
        <v>4206</v>
      </c>
      <c r="AI1059" t="s">
        <v>90</v>
      </c>
      <c r="AJ1059">
        <v>32.516452000000001</v>
      </c>
      <c r="AK1059">
        <v>-110.68590500000001</v>
      </c>
      <c r="AL1059">
        <v>3</v>
      </c>
      <c r="AN1059">
        <v>1352</v>
      </c>
      <c r="AP1059">
        <v>1352</v>
      </c>
      <c r="AQ1059">
        <v>1350.546799</v>
      </c>
      <c r="AT1059">
        <v>20</v>
      </c>
      <c r="AU1059">
        <v>11</v>
      </c>
      <c r="AV1059">
        <v>2021</v>
      </c>
      <c r="AW1059">
        <v>2439589</v>
      </c>
      <c r="AX1059">
        <v>2439589</v>
      </c>
      <c r="AY1059" t="s">
        <v>106</v>
      </c>
      <c r="AZ1059" t="s">
        <v>92</v>
      </c>
      <c r="BA1059" t="s">
        <v>107</v>
      </c>
      <c r="BB1059" t="s">
        <v>4207</v>
      </c>
      <c r="BC1059" t="s">
        <v>97</v>
      </c>
      <c r="BE1059" t="s">
        <v>96</v>
      </c>
      <c r="BG1059" t="s">
        <v>97</v>
      </c>
      <c r="BI1059" t="s">
        <v>98</v>
      </c>
      <c r="BJ1059" t="s">
        <v>4128</v>
      </c>
      <c r="BL1059" t="s">
        <v>110</v>
      </c>
    </row>
    <row r="1060" spans="1:64" hidden="1" x14ac:dyDescent="0.2">
      <c r="A1060">
        <v>1543</v>
      </c>
      <c r="B1060">
        <v>3744741590</v>
      </c>
      <c r="C1060" t="s">
        <v>101</v>
      </c>
      <c r="D1060" t="s">
        <v>4208</v>
      </c>
      <c r="E1060" t="s">
        <v>65</v>
      </c>
      <c r="F1060" t="s">
        <v>66</v>
      </c>
      <c r="G1060" t="s">
        <v>67</v>
      </c>
      <c r="H1060" t="s">
        <v>68</v>
      </c>
      <c r="I1060" t="s">
        <v>69</v>
      </c>
      <c r="J1060" t="s">
        <v>70</v>
      </c>
      <c r="K1060" t="s">
        <v>4195</v>
      </c>
      <c r="M1060" t="s">
        <v>72</v>
      </c>
      <c r="N1060" t="s">
        <v>4196</v>
      </c>
      <c r="O1060" t="s">
        <v>4195</v>
      </c>
      <c r="P1060" t="s">
        <v>4197</v>
      </c>
      <c r="Q1060" t="s">
        <v>75</v>
      </c>
      <c r="R1060" t="s">
        <v>3955</v>
      </c>
      <c r="S1060" t="s">
        <v>4198</v>
      </c>
      <c r="T1060" t="s">
        <v>78</v>
      </c>
      <c r="U1060" t="s">
        <v>3817</v>
      </c>
      <c r="V1060" t="s">
        <v>80</v>
      </c>
      <c r="W1060" s="1">
        <v>44520</v>
      </c>
      <c r="X1060" t="s">
        <v>3818</v>
      </c>
      <c r="Y1060" t="s">
        <v>4199</v>
      </c>
      <c r="Z1060" t="s">
        <v>83</v>
      </c>
      <c r="AA1060">
        <v>1</v>
      </c>
      <c r="AB1060" t="s">
        <v>103</v>
      </c>
      <c r="AD1060" t="s">
        <v>112</v>
      </c>
      <c r="AE1060" t="s">
        <v>145</v>
      </c>
      <c r="AF1060" t="s">
        <v>87</v>
      </c>
      <c r="AG1060" t="s">
        <v>4205</v>
      </c>
      <c r="AH1060" t="s">
        <v>4206</v>
      </c>
      <c r="AI1060" t="s">
        <v>90</v>
      </c>
      <c r="AJ1060">
        <v>32.516452000000001</v>
      </c>
      <c r="AK1060">
        <v>-110.68590500000001</v>
      </c>
      <c r="AL1060">
        <v>3</v>
      </c>
      <c r="AN1060">
        <v>1352</v>
      </c>
      <c r="AP1060">
        <v>1352</v>
      </c>
      <c r="AQ1060">
        <v>1350.546799</v>
      </c>
      <c r="AT1060">
        <v>20</v>
      </c>
      <c r="AU1060">
        <v>11</v>
      </c>
      <c r="AV1060">
        <v>2021</v>
      </c>
      <c r="AW1060">
        <v>2439589</v>
      </c>
      <c r="AX1060">
        <v>2439589</v>
      </c>
      <c r="AY1060" t="s">
        <v>106</v>
      </c>
      <c r="AZ1060" t="s">
        <v>92</v>
      </c>
      <c r="BA1060" t="s">
        <v>107</v>
      </c>
      <c r="BB1060" t="s">
        <v>4209</v>
      </c>
      <c r="BC1060" t="s">
        <v>97</v>
      </c>
      <c r="BE1060" t="s">
        <v>96</v>
      </c>
      <c r="BG1060" t="s">
        <v>97</v>
      </c>
      <c r="BI1060" t="s">
        <v>98</v>
      </c>
      <c r="BJ1060" t="s">
        <v>2919</v>
      </c>
      <c r="BL1060" t="s">
        <v>110</v>
      </c>
    </row>
    <row r="1061" spans="1:64" hidden="1" x14ac:dyDescent="0.2">
      <c r="A1061">
        <v>1541</v>
      </c>
      <c r="B1061">
        <v>3744741592</v>
      </c>
      <c r="C1061" t="s">
        <v>101</v>
      </c>
      <c r="D1061" t="s">
        <v>4210</v>
      </c>
      <c r="E1061" t="s">
        <v>65</v>
      </c>
      <c r="F1061" t="s">
        <v>66</v>
      </c>
      <c r="G1061" t="s">
        <v>67</v>
      </c>
      <c r="H1061" t="s">
        <v>68</v>
      </c>
      <c r="I1061" t="s">
        <v>69</v>
      </c>
      <c r="J1061" t="s">
        <v>70</v>
      </c>
      <c r="K1061" t="s">
        <v>4195</v>
      </c>
      <c r="M1061" t="s">
        <v>72</v>
      </c>
      <c r="N1061" t="s">
        <v>4196</v>
      </c>
      <c r="O1061" t="s">
        <v>4195</v>
      </c>
      <c r="P1061" t="s">
        <v>4197</v>
      </c>
      <c r="Q1061" t="s">
        <v>75</v>
      </c>
      <c r="R1061" t="s">
        <v>3955</v>
      </c>
      <c r="S1061" t="s">
        <v>4198</v>
      </c>
      <c r="T1061" t="s">
        <v>78</v>
      </c>
      <c r="U1061" t="s">
        <v>3817</v>
      </c>
      <c r="V1061" t="s">
        <v>80</v>
      </c>
      <c r="W1061" s="1">
        <v>44520</v>
      </c>
      <c r="X1061" t="s">
        <v>3818</v>
      </c>
      <c r="Y1061" t="s">
        <v>4199</v>
      </c>
      <c r="Z1061" t="s">
        <v>83</v>
      </c>
      <c r="AA1061">
        <v>1</v>
      </c>
      <c r="AB1061" t="s">
        <v>103</v>
      </c>
      <c r="AD1061" t="s">
        <v>116</v>
      </c>
      <c r="AE1061" t="s">
        <v>145</v>
      </c>
      <c r="AF1061" t="s">
        <v>87</v>
      </c>
      <c r="AG1061" t="s">
        <v>4205</v>
      </c>
      <c r="AH1061" t="s">
        <v>4206</v>
      </c>
      <c r="AI1061" t="s">
        <v>90</v>
      </c>
      <c r="AJ1061">
        <v>32.516452000000001</v>
      </c>
      <c r="AK1061">
        <v>-110.68590500000001</v>
      </c>
      <c r="AL1061">
        <v>3</v>
      </c>
      <c r="AN1061">
        <v>1352</v>
      </c>
      <c r="AP1061">
        <v>1352</v>
      </c>
      <c r="AQ1061">
        <v>1350.546799</v>
      </c>
      <c r="AT1061">
        <v>20</v>
      </c>
      <c r="AU1061">
        <v>11</v>
      </c>
      <c r="AV1061">
        <v>2021</v>
      </c>
      <c r="AW1061">
        <v>2439589</v>
      </c>
      <c r="AX1061">
        <v>2439589</v>
      </c>
      <c r="AY1061" t="s">
        <v>106</v>
      </c>
      <c r="AZ1061" t="s">
        <v>92</v>
      </c>
      <c r="BA1061" t="s">
        <v>107</v>
      </c>
      <c r="BB1061" t="s">
        <v>4211</v>
      </c>
      <c r="BC1061" t="s">
        <v>97</v>
      </c>
      <c r="BE1061" t="s">
        <v>96</v>
      </c>
      <c r="BG1061" t="s">
        <v>97</v>
      </c>
      <c r="BI1061" t="s">
        <v>98</v>
      </c>
      <c r="BJ1061" t="s">
        <v>2919</v>
      </c>
      <c r="BL1061" t="s">
        <v>110</v>
      </c>
    </row>
    <row r="1062" spans="1:64" hidden="1" x14ac:dyDescent="0.2">
      <c r="A1062">
        <v>1546</v>
      </c>
      <c r="B1062">
        <v>3744741587</v>
      </c>
      <c r="C1062" t="s">
        <v>101</v>
      </c>
      <c r="D1062" t="s">
        <v>4212</v>
      </c>
      <c r="E1062" t="s">
        <v>65</v>
      </c>
      <c r="F1062" t="s">
        <v>66</v>
      </c>
      <c r="G1062" t="s">
        <v>67</v>
      </c>
      <c r="H1062" t="s">
        <v>68</v>
      </c>
      <c r="I1062" t="s">
        <v>69</v>
      </c>
      <c r="J1062" t="s">
        <v>70</v>
      </c>
      <c r="K1062" t="s">
        <v>4195</v>
      </c>
      <c r="M1062" t="s">
        <v>72</v>
      </c>
      <c r="N1062" t="s">
        <v>4196</v>
      </c>
      <c r="O1062" t="s">
        <v>4195</v>
      </c>
      <c r="P1062" t="s">
        <v>4197</v>
      </c>
      <c r="Q1062" t="s">
        <v>75</v>
      </c>
      <c r="R1062" t="s">
        <v>3955</v>
      </c>
      <c r="S1062" t="s">
        <v>4198</v>
      </c>
      <c r="T1062" t="s">
        <v>78</v>
      </c>
      <c r="U1062" t="s">
        <v>3817</v>
      </c>
      <c r="V1062" t="s">
        <v>80</v>
      </c>
      <c r="W1062" s="1">
        <v>44520</v>
      </c>
      <c r="X1062" t="s">
        <v>3818</v>
      </c>
      <c r="Y1062" t="s">
        <v>4199</v>
      </c>
      <c r="Z1062" t="s">
        <v>83</v>
      </c>
      <c r="AA1062">
        <v>1</v>
      </c>
      <c r="AB1062" t="s">
        <v>103</v>
      </c>
      <c r="AD1062" t="s">
        <v>300</v>
      </c>
      <c r="AE1062" t="s">
        <v>145</v>
      </c>
      <c r="AF1062" t="s">
        <v>87</v>
      </c>
      <c r="AG1062" t="s">
        <v>4205</v>
      </c>
      <c r="AH1062" t="s">
        <v>4206</v>
      </c>
      <c r="AI1062" t="s">
        <v>90</v>
      </c>
      <c r="AJ1062">
        <v>32.516452000000001</v>
      </c>
      <c r="AK1062">
        <v>-110.68590500000001</v>
      </c>
      <c r="AL1062">
        <v>3</v>
      </c>
      <c r="AN1062">
        <v>1352</v>
      </c>
      <c r="AP1062">
        <v>1352</v>
      </c>
      <c r="AQ1062">
        <v>1350.546799</v>
      </c>
      <c r="AT1062">
        <v>20</v>
      </c>
      <c r="AU1062">
        <v>11</v>
      </c>
      <c r="AV1062">
        <v>2021</v>
      </c>
      <c r="AW1062">
        <v>2439589</v>
      </c>
      <c r="AX1062">
        <v>2439589</v>
      </c>
      <c r="AY1062" t="s">
        <v>106</v>
      </c>
      <c r="AZ1062" t="s">
        <v>92</v>
      </c>
      <c r="BA1062" t="s">
        <v>107</v>
      </c>
      <c r="BB1062" t="s">
        <v>4213</v>
      </c>
      <c r="BC1062" t="s">
        <v>97</v>
      </c>
      <c r="BE1062" t="s">
        <v>96</v>
      </c>
      <c r="BG1062" t="s">
        <v>97</v>
      </c>
      <c r="BI1062" t="s">
        <v>98</v>
      </c>
      <c r="BJ1062" t="s">
        <v>3070</v>
      </c>
      <c r="BL1062" t="s">
        <v>110</v>
      </c>
    </row>
    <row r="1063" spans="1:64" x14ac:dyDescent="0.2">
      <c r="A1063">
        <v>634</v>
      </c>
      <c r="B1063">
        <v>4126336327</v>
      </c>
      <c r="C1063" t="s">
        <v>63</v>
      </c>
      <c r="D1063" t="s">
        <v>5494</v>
      </c>
      <c r="E1063" t="s">
        <v>65</v>
      </c>
      <c r="F1063" t="s">
        <v>66</v>
      </c>
      <c r="G1063" t="s">
        <v>67</v>
      </c>
      <c r="H1063" t="s">
        <v>68</v>
      </c>
      <c r="I1063" t="s">
        <v>69</v>
      </c>
      <c r="J1063" t="s">
        <v>70</v>
      </c>
      <c r="K1063" t="s">
        <v>4195</v>
      </c>
      <c r="M1063" t="s">
        <v>72</v>
      </c>
      <c r="N1063" t="s">
        <v>4196</v>
      </c>
      <c r="O1063" t="s">
        <v>4195</v>
      </c>
      <c r="P1063" t="s">
        <v>4197</v>
      </c>
      <c r="Q1063" t="s">
        <v>75</v>
      </c>
      <c r="R1063" t="s">
        <v>5008</v>
      </c>
      <c r="S1063" t="s">
        <v>469</v>
      </c>
      <c r="T1063" t="s">
        <v>78</v>
      </c>
      <c r="U1063" t="s">
        <v>5009</v>
      </c>
      <c r="V1063" t="s">
        <v>80</v>
      </c>
      <c r="W1063" s="1">
        <v>44905</v>
      </c>
      <c r="X1063" t="s">
        <v>5010</v>
      </c>
      <c r="Y1063" t="s">
        <v>5495</v>
      </c>
      <c r="Z1063" t="s">
        <v>83</v>
      </c>
      <c r="AA1063">
        <v>1</v>
      </c>
      <c r="AB1063" t="s">
        <v>5496</v>
      </c>
      <c r="AC1063">
        <v>1</v>
      </c>
      <c r="AD1063" s="6" t="s">
        <v>85</v>
      </c>
      <c r="AE1063" s="6" t="s">
        <v>145</v>
      </c>
      <c r="AF1063" s="6" t="s">
        <v>146</v>
      </c>
      <c r="AG1063" s="6" t="s">
        <v>3217</v>
      </c>
      <c r="AH1063" s="6" t="s">
        <v>5497</v>
      </c>
      <c r="AI1063" s="6" t="s">
        <v>90</v>
      </c>
      <c r="AJ1063" s="6">
        <v>32.313670000000002</v>
      </c>
      <c r="AK1063" s="6">
        <v>-110.712413</v>
      </c>
      <c r="AL1063" s="6">
        <v>3</v>
      </c>
      <c r="AM1063" s="6"/>
      <c r="AN1063" s="6">
        <v>1145</v>
      </c>
      <c r="AO1063" s="6"/>
      <c r="AP1063" s="6">
        <v>1145</v>
      </c>
      <c r="AQ1063" s="6">
        <v>1169.9528</v>
      </c>
      <c r="AR1063" s="6"/>
      <c r="AS1063" s="6"/>
      <c r="AT1063" s="6">
        <v>10</v>
      </c>
      <c r="AU1063" s="6">
        <v>12</v>
      </c>
      <c r="AV1063" s="6">
        <v>2022</v>
      </c>
      <c r="AW1063" s="6">
        <v>2439589</v>
      </c>
      <c r="AX1063" s="6">
        <v>2439589</v>
      </c>
      <c r="AY1063" s="6" t="s">
        <v>91</v>
      </c>
      <c r="AZ1063" t="s">
        <v>92</v>
      </c>
      <c r="BA1063" t="s">
        <v>93</v>
      </c>
      <c r="BB1063" t="s">
        <v>5498</v>
      </c>
      <c r="BC1063" t="s">
        <v>95</v>
      </c>
      <c r="BD1063" s="1">
        <v>45126</v>
      </c>
      <c r="BE1063" t="s">
        <v>96</v>
      </c>
      <c r="BG1063" t="s">
        <v>5499</v>
      </c>
      <c r="BI1063" t="s">
        <v>98</v>
      </c>
      <c r="BJ1063" t="s">
        <v>5500</v>
      </c>
      <c r="BK1063" t="s">
        <v>365</v>
      </c>
      <c r="BL1063" t="s">
        <v>407</v>
      </c>
    </row>
    <row r="1064" spans="1:64" hidden="1" x14ac:dyDescent="0.2">
      <c r="A1064">
        <v>1550</v>
      </c>
      <c r="B1064">
        <v>3744741583</v>
      </c>
      <c r="C1064" t="s">
        <v>101</v>
      </c>
      <c r="D1064" t="s">
        <v>4216</v>
      </c>
      <c r="E1064" t="s">
        <v>65</v>
      </c>
      <c r="F1064" t="s">
        <v>66</v>
      </c>
      <c r="G1064" t="s">
        <v>67</v>
      </c>
      <c r="H1064" t="s">
        <v>68</v>
      </c>
      <c r="I1064" t="s">
        <v>69</v>
      </c>
      <c r="J1064" t="s">
        <v>70</v>
      </c>
      <c r="K1064" t="s">
        <v>4195</v>
      </c>
      <c r="M1064" t="s">
        <v>72</v>
      </c>
      <c r="N1064" t="s">
        <v>4196</v>
      </c>
      <c r="O1064" t="s">
        <v>4195</v>
      </c>
      <c r="P1064" t="s">
        <v>4197</v>
      </c>
      <c r="Q1064" t="s">
        <v>75</v>
      </c>
      <c r="R1064" t="s">
        <v>3955</v>
      </c>
      <c r="S1064" t="s">
        <v>4198</v>
      </c>
      <c r="T1064" t="s">
        <v>78</v>
      </c>
      <c r="U1064" t="s">
        <v>3817</v>
      </c>
      <c r="V1064" t="s">
        <v>80</v>
      </c>
      <c r="W1064" s="1">
        <v>44520</v>
      </c>
      <c r="X1064" t="s">
        <v>3818</v>
      </c>
      <c r="Y1064" t="s">
        <v>4199</v>
      </c>
      <c r="Z1064" t="s">
        <v>83</v>
      </c>
      <c r="AA1064">
        <v>1</v>
      </c>
      <c r="AB1064" t="s">
        <v>133</v>
      </c>
      <c r="AD1064" t="s">
        <v>134</v>
      </c>
      <c r="AE1064" t="s">
        <v>145</v>
      </c>
      <c r="AF1064" t="s">
        <v>87</v>
      </c>
      <c r="AG1064" t="s">
        <v>4205</v>
      </c>
      <c r="AH1064" t="s">
        <v>4217</v>
      </c>
      <c r="AI1064" t="s">
        <v>90</v>
      </c>
      <c r="AJ1064">
        <v>32.516452000000001</v>
      </c>
      <c r="AK1064">
        <v>-110.68590500000001</v>
      </c>
      <c r="AL1064">
        <v>3</v>
      </c>
      <c r="AN1064">
        <v>1352</v>
      </c>
      <c r="AP1064">
        <v>1352</v>
      </c>
      <c r="AQ1064">
        <v>1350.546799</v>
      </c>
      <c r="AT1064">
        <v>20</v>
      </c>
      <c r="AU1064">
        <v>11</v>
      </c>
      <c r="AV1064">
        <v>2021</v>
      </c>
      <c r="AW1064">
        <v>2439589</v>
      </c>
      <c r="AX1064">
        <v>2439589</v>
      </c>
      <c r="AY1064" t="s">
        <v>106</v>
      </c>
      <c r="AZ1064" t="s">
        <v>92</v>
      </c>
      <c r="BA1064" t="s">
        <v>107</v>
      </c>
      <c r="BB1064" t="s">
        <v>4218</v>
      </c>
      <c r="BC1064" t="s">
        <v>97</v>
      </c>
      <c r="BE1064" t="s">
        <v>96</v>
      </c>
      <c r="BG1064" t="s">
        <v>97</v>
      </c>
      <c r="BI1064" t="s">
        <v>98</v>
      </c>
      <c r="BJ1064" t="s">
        <v>4219</v>
      </c>
      <c r="BL1064" t="s">
        <v>110</v>
      </c>
    </row>
    <row r="1065" spans="1:64" hidden="1" x14ac:dyDescent="0.2">
      <c r="A1065">
        <v>1548</v>
      </c>
      <c r="B1065">
        <v>3744741585</v>
      </c>
      <c r="C1065" t="s">
        <v>101</v>
      </c>
      <c r="D1065" t="s">
        <v>4227</v>
      </c>
      <c r="E1065" t="s">
        <v>65</v>
      </c>
      <c r="F1065" t="s">
        <v>66</v>
      </c>
      <c r="G1065" t="s">
        <v>67</v>
      </c>
      <c r="H1065" t="s">
        <v>68</v>
      </c>
      <c r="I1065" t="s">
        <v>69</v>
      </c>
      <c r="J1065" t="s">
        <v>70</v>
      </c>
      <c r="K1065" t="s">
        <v>4130</v>
      </c>
      <c r="M1065" t="s">
        <v>72</v>
      </c>
      <c r="N1065" t="s">
        <v>4131</v>
      </c>
      <c r="O1065" t="s">
        <v>4130</v>
      </c>
      <c r="P1065" t="s">
        <v>4132</v>
      </c>
      <c r="Q1065" t="s">
        <v>75</v>
      </c>
      <c r="R1065" t="s">
        <v>3955</v>
      </c>
      <c r="S1065" t="s">
        <v>4221</v>
      </c>
      <c r="T1065" t="s">
        <v>78</v>
      </c>
      <c r="U1065" t="s">
        <v>3817</v>
      </c>
      <c r="V1065" t="s">
        <v>80</v>
      </c>
      <c r="W1065" s="1">
        <v>44520</v>
      </c>
      <c r="X1065" t="s">
        <v>3818</v>
      </c>
      <c r="Y1065" t="s">
        <v>4222</v>
      </c>
      <c r="Z1065" t="s">
        <v>83</v>
      </c>
      <c r="AA1065">
        <v>1</v>
      </c>
      <c r="AB1065" t="s">
        <v>103</v>
      </c>
      <c r="AD1065" t="s">
        <v>104</v>
      </c>
      <c r="AE1065" t="s">
        <v>86</v>
      </c>
      <c r="AF1065" t="s">
        <v>146</v>
      </c>
      <c r="AG1065" t="s">
        <v>4224</v>
      </c>
      <c r="AH1065" t="s">
        <v>4228</v>
      </c>
      <c r="AI1065" t="s">
        <v>90</v>
      </c>
      <c r="AJ1065">
        <v>32.516320999999998</v>
      </c>
      <c r="AK1065">
        <v>-110.686105</v>
      </c>
      <c r="AL1065">
        <v>3</v>
      </c>
      <c r="AN1065">
        <v>1351</v>
      </c>
      <c r="AP1065">
        <v>1351</v>
      </c>
      <c r="AQ1065">
        <v>1353.19453</v>
      </c>
      <c r="AT1065">
        <v>20</v>
      </c>
      <c r="AU1065">
        <v>11</v>
      </c>
      <c r="AV1065">
        <v>2021</v>
      </c>
      <c r="AW1065">
        <v>2439591</v>
      </c>
      <c r="AX1065">
        <v>2439591</v>
      </c>
      <c r="AY1065" t="s">
        <v>106</v>
      </c>
      <c r="AZ1065" t="s">
        <v>92</v>
      </c>
      <c r="BA1065" t="s">
        <v>107</v>
      </c>
      <c r="BB1065" t="s">
        <v>4229</v>
      </c>
      <c r="BC1065" t="s">
        <v>97</v>
      </c>
      <c r="BE1065" t="s">
        <v>96</v>
      </c>
      <c r="BG1065" t="s">
        <v>97</v>
      </c>
      <c r="BI1065" t="s">
        <v>98</v>
      </c>
      <c r="BJ1065" t="s">
        <v>3047</v>
      </c>
      <c r="BL1065" t="s">
        <v>110</v>
      </c>
    </row>
    <row r="1066" spans="1:64" hidden="1" x14ac:dyDescent="0.2">
      <c r="A1066">
        <v>1554</v>
      </c>
      <c r="B1066">
        <v>3744741579</v>
      </c>
      <c r="C1066" t="s">
        <v>101</v>
      </c>
      <c r="D1066" t="s">
        <v>4230</v>
      </c>
      <c r="E1066" t="s">
        <v>65</v>
      </c>
      <c r="F1066" t="s">
        <v>66</v>
      </c>
      <c r="G1066" t="s">
        <v>67</v>
      </c>
      <c r="H1066" t="s">
        <v>68</v>
      </c>
      <c r="I1066" t="s">
        <v>69</v>
      </c>
      <c r="J1066" t="s">
        <v>70</v>
      </c>
      <c r="K1066" t="s">
        <v>4130</v>
      </c>
      <c r="M1066" t="s">
        <v>72</v>
      </c>
      <c r="N1066" t="s">
        <v>4131</v>
      </c>
      <c r="O1066" t="s">
        <v>4130</v>
      </c>
      <c r="P1066" t="s">
        <v>4132</v>
      </c>
      <c r="Q1066" t="s">
        <v>75</v>
      </c>
      <c r="R1066" t="s">
        <v>3955</v>
      </c>
      <c r="S1066" t="s">
        <v>4221</v>
      </c>
      <c r="T1066" t="s">
        <v>78</v>
      </c>
      <c r="U1066" t="s">
        <v>3817</v>
      </c>
      <c r="V1066" t="s">
        <v>80</v>
      </c>
      <c r="W1066" s="1">
        <v>44520</v>
      </c>
      <c r="X1066" t="s">
        <v>3818</v>
      </c>
      <c r="Y1066" t="s">
        <v>4222</v>
      </c>
      <c r="Z1066" t="s">
        <v>83</v>
      </c>
      <c r="AA1066">
        <v>1</v>
      </c>
      <c r="AB1066" t="s">
        <v>103</v>
      </c>
      <c r="AD1066" t="s">
        <v>112</v>
      </c>
      <c r="AE1066" t="s">
        <v>86</v>
      </c>
      <c r="AF1066" t="s">
        <v>146</v>
      </c>
      <c r="AG1066" t="s">
        <v>4224</v>
      </c>
      <c r="AH1066" t="s">
        <v>4228</v>
      </c>
      <c r="AI1066" t="s">
        <v>90</v>
      </c>
      <c r="AJ1066">
        <v>32.516320999999998</v>
      </c>
      <c r="AK1066">
        <v>-110.686105</v>
      </c>
      <c r="AL1066">
        <v>3</v>
      </c>
      <c r="AN1066">
        <v>1351</v>
      </c>
      <c r="AP1066">
        <v>1351</v>
      </c>
      <c r="AQ1066">
        <v>1353.19453</v>
      </c>
      <c r="AT1066">
        <v>20</v>
      </c>
      <c r="AU1066">
        <v>11</v>
      </c>
      <c r="AV1066">
        <v>2021</v>
      </c>
      <c r="AW1066">
        <v>2439591</v>
      </c>
      <c r="AX1066">
        <v>2439591</v>
      </c>
      <c r="AY1066" t="s">
        <v>106</v>
      </c>
      <c r="AZ1066" t="s">
        <v>92</v>
      </c>
      <c r="BA1066" t="s">
        <v>107</v>
      </c>
      <c r="BB1066" t="s">
        <v>4231</v>
      </c>
      <c r="BC1066" t="s">
        <v>97</v>
      </c>
      <c r="BE1066" t="s">
        <v>96</v>
      </c>
      <c r="BG1066" t="s">
        <v>97</v>
      </c>
      <c r="BI1066" t="s">
        <v>98</v>
      </c>
      <c r="BJ1066" t="s">
        <v>3058</v>
      </c>
      <c r="BL1066" t="s">
        <v>110</v>
      </c>
    </row>
    <row r="1067" spans="1:64" hidden="1" x14ac:dyDescent="0.2">
      <c r="A1067">
        <v>1552</v>
      </c>
      <c r="B1067">
        <v>3744741581</v>
      </c>
      <c r="C1067" t="s">
        <v>101</v>
      </c>
      <c r="D1067" t="s">
        <v>4232</v>
      </c>
      <c r="E1067" t="s">
        <v>65</v>
      </c>
      <c r="F1067" t="s">
        <v>66</v>
      </c>
      <c r="G1067" t="s">
        <v>67</v>
      </c>
      <c r="H1067" t="s">
        <v>68</v>
      </c>
      <c r="I1067" t="s">
        <v>69</v>
      </c>
      <c r="J1067" t="s">
        <v>70</v>
      </c>
      <c r="K1067" t="s">
        <v>4130</v>
      </c>
      <c r="M1067" t="s">
        <v>72</v>
      </c>
      <c r="N1067" t="s">
        <v>4131</v>
      </c>
      <c r="O1067" t="s">
        <v>4130</v>
      </c>
      <c r="P1067" t="s">
        <v>4132</v>
      </c>
      <c r="Q1067" t="s">
        <v>75</v>
      </c>
      <c r="R1067" t="s">
        <v>3955</v>
      </c>
      <c r="S1067" t="s">
        <v>4221</v>
      </c>
      <c r="T1067" t="s">
        <v>78</v>
      </c>
      <c r="U1067" t="s">
        <v>3817</v>
      </c>
      <c r="V1067" t="s">
        <v>80</v>
      </c>
      <c r="W1067" s="1">
        <v>44520</v>
      </c>
      <c r="X1067" t="s">
        <v>3818</v>
      </c>
      <c r="Y1067" t="s">
        <v>4222</v>
      </c>
      <c r="Z1067" t="s">
        <v>83</v>
      </c>
      <c r="AA1067">
        <v>1</v>
      </c>
      <c r="AB1067" t="s">
        <v>103</v>
      </c>
      <c r="AD1067" t="s">
        <v>116</v>
      </c>
      <c r="AE1067" t="s">
        <v>86</v>
      </c>
      <c r="AF1067" t="s">
        <v>146</v>
      </c>
      <c r="AG1067" t="s">
        <v>4224</v>
      </c>
      <c r="AH1067" t="s">
        <v>4228</v>
      </c>
      <c r="AI1067" t="s">
        <v>90</v>
      </c>
      <c r="AJ1067">
        <v>32.516320999999998</v>
      </c>
      <c r="AK1067">
        <v>-110.686105</v>
      </c>
      <c r="AL1067">
        <v>3</v>
      </c>
      <c r="AN1067">
        <v>1351</v>
      </c>
      <c r="AP1067">
        <v>1351</v>
      </c>
      <c r="AQ1067">
        <v>1353.19453</v>
      </c>
      <c r="AT1067">
        <v>20</v>
      </c>
      <c r="AU1067">
        <v>11</v>
      </c>
      <c r="AV1067">
        <v>2021</v>
      </c>
      <c r="AW1067">
        <v>2439591</v>
      </c>
      <c r="AX1067">
        <v>2439591</v>
      </c>
      <c r="AY1067" t="s">
        <v>106</v>
      </c>
      <c r="AZ1067" t="s">
        <v>92</v>
      </c>
      <c r="BA1067" t="s">
        <v>107</v>
      </c>
      <c r="BB1067" t="s">
        <v>4233</v>
      </c>
      <c r="BC1067" t="s">
        <v>97</v>
      </c>
      <c r="BE1067" t="s">
        <v>96</v>
      </c>
      <c r="BG1067" t="s">
        <v>97</v>
      </c>
      <c r="BI1067" t="s">
        <v>98</v>
      </c>
      <c r="BJ1067" t="s">
        <v>4219</v>
      </c>
      <c r="BL1067" t="s">
        <v>110</v>
      </c>
    </row>
    <row r="1068" spans="1:64" x14ac:dyDescent="0.2">
      <c r="A1068">
        <v>635</v>
      </c>
      <c r="B1068">
        <v>4126336326</v>
      </c>
      <c r="C1068" t="s">
        <v>63</v>
      </c>
      <c r="D1068" t="s">
        <v>5533</v>
      </c>
      <c r="E1068" t="s">
        <v>65</v>
      </c>
      <c r="F1068" t="s">
        <v>66</v>
      </c>
      <c r="G1068" t="s">
        <v>67</v>
      </c>
      <c r="H1068" t="s">
        <v>68</v>
      </c>
      <c r="I1068" t="s">
        <v>69</v>
      </c>
      <c r="J1068" t="s">
        <v>70</v>
      </c>
      <c r="K1068" t="s">
        <v>71</v>
      </c>
      <c r="M1068" t="s">
        <v>72</v>
      </c>
      <c r="N1068" t="s">
        <v>73</v>
      </c>
      <c r="O1068" t="s">
        <v>71</v>
      </c>
      <c r="P1068" t="s">
        <v>74</v>
      </c>
      <c r="Q1068" t="s">
        <v>75</v>
      </c>
      <c r="R1068" t="s">
        <v>5008</v>
      </c>
      <c r="S1068" t="s">
        <v>1800</v>
      </c>
      <c r="T1068" t="s">
        <v>78</v>
      </c>
      <c r="U1068" t="s">
        <v>5009</v>
      </c>
      <c r="V1068" t="s">
        <v>80</v>
      </c>
      <c r="W1068" s="1">
        <v>44905</v>
      </c>
      <c r="X1068" t="s">
        <v>5010</v>
      </c>
      <c r="Y1068" t="s">
        <v>5534</v>
      </c>
      <c r="Z1068" t="s">
        <v>83</v>
      </c>
      <c r="AA1068">
        <v>1</v>
      </c>
      <c r="AB1068" t="s">
        <v>5535</v>
      </c>
      <c r="AC1068">
        <v>1</v>
      </c>
      <c r="AD1068" s="6" t="s">
        <v>85</v>
      </c>
      <c r="AE1068" s="6" t="s">
        <v>86</v>
      </c>
      <c r="AF1068" s="6" t="s">
        <v>146</v>
      </c>
      <c r="AG1068" s="6" t="s">
        <v>5536</v>
      </c>
      <c r="AH1068" s="6" t="s">
        <v>5537</v>
      </c>
      <c r="AI1068" s="6" t="s">
        <v>90</v>
      </c>
      <c r="AJ1068" s="6">
        <v>32.313963000000001</v>
      </c>
      <c r="AK1068" s="6">
        <v>-110.71268600000001</v>
      </c>
      <c r="AL1068" s="6">
        <v>3</v>
      </c>
      <c r="AM1068" s="6"/>
      <c r="AN1068" s="6">
        <v>1176</v>
      </c>
      <c r="AO1068" s="6"/>
      <c r="AP1068" s="6">
        <v>1176</v>
      </c>
      <c r="AQ1068" s="6">
        <v>1180.5033490000001</v>
      </c>
      <c r="AR1068" s="6"/>
      <c r="AS1068" s="6"/>
      <c r="AT1068" s="6">
        <v>10</v>
      </c>
      <c r="AU1068" s="6">
        <v>12</v>
      </c>
      <c r="AV1068" s="6">
        <v>2022</v>
      </c>
      <c r="AW1068" s="6">
        <v>2439581</v>
      </c>
      <c r="AX1068" s="6">
        <v>2439581</v>
      </c>
      <c r="AY1068" s="6" t="s">
        <v>91</v>
      </c>
      <c r="AZ1068" t="s">
        <v>92</v>
      </c>
      <c r="BA1068" t="s">
        <v>93</v>
      </c>
      <c r="BB1068" t="s">
        <v>5538</v>
      </c>
      <c r="BC1068" t="s">
        <v>97</v>
      </c>
      <c r="BE1068" t="s">
        <v>96</v>
      </c>
      <c r="BG1068" t="s">
        <v>5499</v>
      </c>
      <c r="BI1068" t="s">
        <v>98</v>
      </c>
      <c r="BJ1068" t="s">
        <v>5539</v>
      </c>
      <c r="BK1068" t="s">
        <v>365</v>
      </c>
      <c r="BL1068" t="s">
        <v>5540</v>
      </c>
    </row>
    <row r="1069" spans="1:64" x14ac:dyDescent="0.2">
      <c r="A1069">
        <v>632</v>
      </c>
      <c r="B1069">
        <v>4126336330</v>
      </c>
      <c r="C1069" t="s">
        <v>63</v>
      </c>
      <c r="D1069" t="s">
        <v>5563</v>
      </c>
      <c r="E1069" t="s">
        <v>65</v>
      </c>
      <c r="F1069" t="s">
        <v>66</v>
      </c>
      <c r="G1069" t="s">
        <v>67</v>
      </c>
      <c r="H1069" t="s">
        <v>68</v>
      </c>
      <c r="I1069" t="s">
        <v>69</v>
      </c>
      <c r="J1069" t="s">
        <v>70</v>
      </c>
      <c r="K1069" t="s">
        <v>71</v>
      </c>
      <c r="M1069" t="s">
        <v>72</v>
      </c>
      <c r="N1069" t="s">
        <v>73</v>
      </c>
      <c r="O1069" t="s">
        <v>71</v>
      </c>
      <c r="P1069" t="s">
        <v>74</v>
      </c>
      <c r="Q1069" t="s">
        <v>75</v>
      </c>
      <c r="R1069" t="s">
        <v>5008</v>
      </c>
      <c r="S1069" t="s">
        <v>1577</v>
      </c>
      <c r="T1069" t="s">
        <v>78</v>
      </c>
      <c r="U1069" t="s">
        <v>5009</v>
      </c>
      <c r="V1069" t="s">
        <v>80</v>
      </c>
      <c r="W1069" s="1">
        <v>44905</v>
      </c>
      <c r="X1069" t="s">
        <v>5010</v>
      </c>
      <c r="Y1069" t="s">
        <v>5564</v>
      </c>
      <c r="Z1069" t="s">
        <v>83</v>
      </c>
      <c r="AA1069">
        <v>1</v>
      </c>
      <c r="AB1069" t="s">
        <v>5565</v>
      </c>
      <c r="AC1069">
        <v>1</v>
      </c>
      <c r="AD1069" s="6" t="s">
        <v>85</v>
      </c>
      <c r="AE1069" s="6" t="s">
        <v>145</v>
      </c>
      <c r="AF1069" s="6" t="s">
        <v>146</v>
      </c>
      <c r="AG1069" s="6" t="s">
        <v>4990</v>
      </c>
      <c r="AH1069" s="6" t="s">
        <v>5566</v>
      </c>
      <c r="AI1069" s="6" t="s">
        <v>90</v>
      </c>
      <c r="AJ1069" s="6">
        <v>32.313518000000002</v>
      </c>
      <c r="AK1069" s="6">
        <v>-110.712825</v>
      </c>
      <c r="AL1069" s="6">
        <v>3</v>
      </c>
      <c r="AM1069" s="6"/>
      <c r="AN1069" s="6">
        <v>1171</v>
      </c>
      <c r="AO1069" s="6"/>
      <c r="AP1069" s="6">
        <v>1171</v>
      </c>
      <c r="AQ1069" s="6">
        <v>1174.725631</v>
      </c>
      <c r="AR1069" s="6"/>
      <c r="AS1069" s="6"/>
      <c r="AT1069" s="6">
        <v>10</v>
      </c>
      <c r="AU1069" s="6">
        <v>12</v>
      </c>
      <c r="AV1069" s="6">
        <v>2022</v>
      </c>
      <c r="AW1069" s="6">
        <v>2439581</v>
      </c>
      <c r="AX1069" s="6">
        <v>2439581</v>
      </c>
      <c r="AY1069" s="6" t="s">
        <v>91</v>
      </c>
      <c r="AZ1069" t="s">
        <v>92</v>
      </c>
      <c r="BA1069" t="s">
        <v>93</v>
      </c>
      <c r="BB1069" t="s">
        <v>5567</v>
      </c>
      <c r="BC1069" t="s">
        <v>97</v>
      </c>
      <c r="BE1069" t="s">
        <v>96</v>
      </c>
      <c r="BG1069" t="s">
        <v>5499</v>
      </c>
      <c r="BI1069" t="s">
        <v>98</v>
      </c>
      <c r="BJ1069" t="s">
        <v>5568</v>
      </c>
      <c r="BK1069" t="s">
        <v>365</v>
      </c>
      <c r="BL1069" t="s">
        <v>5540</v>
      </c>
    </row>
    <row r="1070" spans="1:64" hidden="1" x14ac:dyDescent="0.2">
      <c r="A1070">
        <v>1561</v>
      </c>
      <c r="B1070">
        <v>3744741572</v>
      </c>
      <c r="C1070" t="s">
        <v>101</v>
      </c>
      <c r="D1070" t="s">
        <v>4239</v>
      </c>
      <c r="E1070" t="s">
        <v>65</v>
      </c>
      <c r="F1070" t="s">
        <v>66</v>
      </c>
      <c r="G1070" t="s">
        <v>67</v>
      </c>
      <c r="H1070" t="s">
        <v>68</v>
      </c>
      <c r="I1070" t="s">
        <v>69</v>
      </c>
      <c r="J1070" t="s">
        <v>70</v>
      </c>
      <c r="K1070" t="s">
        <v>4130</v>
      </c>
      <c r="M1070" t="s">
        <v>72</v>
      </c>
      <c r="N1070" t="s">
        <v>4131</v>
      </c>
      <c r="O1070" t="s">
        <v>4130</v>
      </c>
      <c r="P1070" t="s">
        <v>4132</v>
      </c>
      <c r="Q1070" t="s">
        <v>75</v>
      </c>
      <c r="R1070" t="s">
        <v>3955</v>
      </c>
      <c r="S1070" t="s">
        <v>4221</v>
      </c>
      <c r="T1070" t="s">
        <v>78</v>
      </c>
      <c r="U1070" t="s">
        <v>3817</v>
      </c>
      <c r="V1070" t="s">
        <v>80</v>
      </c>
      <c r="W1070" s="1">
        <v>44520</v>
      </c>
      <c r="X1070" t="s">
        <v>3818</v>
      </c>
      <c r="Y1070" t="s">
        <v>4222</v>
      </c>
      <c r="Z1070" t="s">
        <v>83</v>
      </c>
      <c r="AA1070">
        <v>1</v>
      </c>
      <c r="AB1070" t="s">
        <v>103</v>
      </c>
      <c r="AD1070" t="s">
        <v>123</v>
      </c>
      <c r="AE1070" t="s">
        <v>86</v>
      </c>
      <c r="AF1070" t="s">
        <v>146</v>
      </c>
      <c r="AG1070" t="s">
        <v>4224</v>
      </c>
      <c r="AH1070" t="s">
        <v>4228</v>
      </c>
      <c r="AI1070" t="s">
        <v>90</v>
      </c>
      <c r="AJ1070">
        <v>32.516320999999998</v>
      </c>
      <c r="AK1070">
        <v>-110.686105</v>
      </c>
      <c r="AL1070">
        <v>3</v>
      </c>
      <c r="AN1070">
        <v>1351</v>
      </c>
      <c r="AP1070">
        <v>1351</v>
      </c>
      <c r="AQ1070">
        <v>1353.19453</v>
      </c>
      <c r="AT1070">
        <v>20</v>
      </c>
      <c r="AU1070">
        <v>11</v>
      </c>
      <c r="AV1070">
        <v>2021</v>
      </c>
      <c r="AW1070">
        <v>2439591</v>
      </c>
      <c r="AX1070">
        <v>2439591</v>
      </c>
      <c r="AY1070" t="s">
        <v>106</v>
      </c>
      <c r="AZ1070" t="s">
        <v>92</v>
      </c>
      <c r="BA1070" t="s">
        <v>107</v>
      </c>
      <c r="BB1070" t="s">
        <v>4240</v>
      </c>
      <c r="BC1070" t="s">
        <v>97</v>
      </c>
      <c r="BE1070" t="s">
        <v>96</v>
      </c>
      <c r="BG1070" t="s">
        <v>97</v>
      </c>
      <c r="BI1070" t="s">
        <v>98</v>
      </c>
      <c r="BJ1070" t="s">
        <v>3076</v>
      </c>
      <c r="BL1070" t="s">
        <v>110</v>
      </c>
    </row>
    <row r="1071" spans="1:64" hidden="1" x14ac:dyDescent="0.2">
      <c r="A1071">
        <v>1564</v>
      </c>
      <c r="B1071">
        <v>3744741569</v>
      </c>
      <c r="C1071" t="s">
        <v>101</v>
      </c>
      <c r="D1071" t="s">
        <v>4241</v>
      </c>
      <c r="E1071" t="s">
        <v>65</v>
      </c>
      <c r="F1071" t="s">
        <v>66</v>
      </c>
      <c r="G1071" t="s">
        <v>67</v>
      </c>
      <c r="H1071" t="s">
        <v>68</v>
      </c>
      <c r="I1071" t="s">
        <v>69</v>
      </c>
      <c r="J1071" t="s">
        <v>70</v>
      </c>
      <c r="K1071" t="s">
        <v>4130</v>
      </c>
      <c r="M1071" t="s">
        <v>72</v>
      </c>
      <c r="N1071" t="s">
        <v>4131</v>
      </c>
      <c r="O1071" t="s">
        <v>4130</v>
      </c>
      <c r="P1071" t="s">
        <v>4132</v>
      </c>
      <c r="Q1071" t="s">
        <v>75</v>
      </c>
      <c r="R1071" t="s">
        <v>3955</v>
      </c>
      <c r="S1071" t="s">
        <v>4221</v>
      </c>
      <c r="T1071" t="s">
        <v>78</v>
      </c>
      <c r="U1071" t="s">
        <v>3817</v>
      </c>
      <c r="V1071" t="s">
        <v>80</v>
      </c>
      <c r="W1071" s="1">
        <v>44520</v>
      </c>
      <c r="X1071" t="s">
        <v>3818</v>
      </c>
      <c r="Y1071" t="s">
        <v>4222</v>
      </c>
      <c r="Z1071" t="s">
        <v>83</v>
      </c>
      <c r="AA1071">
        <v>1</v>
      </c>
      <c r="AB1071" t="s">
        <v>133</v>
      </c>
      <c r="AD1071" t="s">
        <v>134</v>
      </c>
      <c r="AE1071" t="s">
        <v>86</v>
      </c>
      <c r="AF1071" t="s">
        <v>146</v>
      </c>
      <c r="AG1071" t="s">
        <v>4224</v>
      </c>
      <c r="AH1071" t="s">
        <v>4242</v>
      </c>
      <c r="AI1071" t="s">
        <v>90</v>
      </c>
      <c r="AJ1071">
        <v>32.516320999999998</v>
      </c>
      <c r="AK1071">
        <v>-110.686105</v>
      </c>
      <c r="AL1071">
        <v>3</v>
      </c>
      <c r="AN1071">
        <v>1351</v>
      </c>
      <c r="AP1071">
        <v>1351</v>
      </c>
      <c r="AQ1071">
        <v>1353.19453</v>
      </c>
      <c r="AT1071">
        <v>20</v>
      </c>
      <c r="AU1071">
        <v>11</v>
      </c>
      <c r="AV1071">
        <v>2021</v>
      </c>
      <c r="AW1071">
        <v>2439591</v>
      </c>
      <c r="AX1071">
        <v>2439591</v>
      </c>
      <c r="AY1071" t="s">
        <v>106</v>
      </c>
      <c r="AZ1071" t="s">
        <v>92</v>
      </c>
      <c r="BA1071" t="s">
        <v>107</v>
      </c>
      <c r="BB1071" t="s">
        <v>4243</v>
      </c>
      <c r="BC1071" t="s">
        <v>97</v>
      </c>
      <c r="BE1071" t="s">
        <v>96</v>
      </c>
      <c r="BG1071" t="s">
        <v>97</v>
      </c>
      <c r="BI1071" t="s">
        <v>98</v>
      </c>
      <c r="BJ1071" t="s">
        <v>3096</v>
      </c>
      <c r="BL1071" t="s">
        <v>110</v>
      </c>
    </row>
    <row r="1072" spans="1:64" hidden="1" x14ac:dyDescent="0.2">
      <c r="A1072">
        <v>1562</v>
      </c>
      <c r="B1072">
        <v>3744741571</v>
      </c>
      <c r="C1072" t="s">
        <v>101</v>
      </c>
      <c r="D1072" t="s">
        <v>4244</v>
      </c>
      <c r="E1072" t="s">
        <v>65</v>
      </c>
      <c r="F1072" t="s">
        <v>66</v>
      </c>
      <c r="G1072" t="s">
        <v>67</v>
      </c>
      <c r="H1072" t="s">
        <v>68</v>
      </c>
      <c r="I1072" t="s">
        <v>69</v>
      </c>
      <c r="J1072" t="s">
        <v>70</v>
      </c>
      <c r="K1072" t="s">
        <v>4130</v>
      </c>
      <c r="M1072" t="s">
        <v>72</v>
      </c>
      <c r="N1072" t="s">
        <v>4131</v>
      </c>
      <c r="O1072" t="s">
        <v>4130</v>
      </c>
      <c r="P1072" t="s">
        <v>4132</v>
      </c>
      <c r="Q1072" t="s">
        <v>75</v>
      </c>
      <c r="R1072" t="s">
        <v>3955</v>
      </c>
      <c r="S1072" t="s">
        <v>4221</v>
      </c>
      <c r="T1072" t="s">
        <v>78</v>
      </c>
      <c r="U1072" t="s">
        <v>3817</v>
      </c>
      <c r="V1072" t="s">
        <v>80</v>
      </c>
      <c r="W1072" s="1">
        <v>44520</v>
      </c>
      <c r="X1072" t="s">
        <v>3818</v>
      </c>
      <c r="Y1072" t="s">
        <v>4222</v>
      </c>
      <c r="Z1072" t="s">
        <v>83</v>
      </c>
      <c r="AA1072">
        <v>1</v>
      </c>
      <c r="AB1072" t="s">
        <v>103</v>
      </c>
      <c r="AD1072" t="s">
        <v>139</v>
      </c>
      <c r="AE1072" t="s">
        <v>86</v>
      </c>
      <c r="AF1072" t="s">
        <v>146</v>
      </c>
      <c r="AG1072" t="s">
        <v>4224</v>
      </c>
      <c r="AH1072" t="s">
        <v>4228</v>
      </c>
      <c r="AI1072" t="s">
        <v>90</v>
      </c>
      <c r="AJ1072">
        <v>32.516320999999998</v>
      </c>
      <c r="AK1072">
        <v>-110.686105</v>
      </c>
      <c r="AL1072">
        <v>3</v>
      </c>
      <c r="AN1072">
        <v>1351</v>
      </c>
      <c r="AP1072">
        <v>1351</v>
      </c>
      <c r="AQ1072">
        <v>1353.19453</v>
      </c>
      <c r="AT1072">
        <v>20</v>
      </c>
      <c r="AU1072">
        <v>11</v>
      </c>
      <c r="AV1072">
        <v>2021</v>
      </c>
      <c r="AW1072">
        <v>2439591</v>
      </c>
      <c r="AX1072">
        <v>2439591</v>
      </c>
      <c r="AY1072" t="s">
        <v>106</v>
      </c>
      <c r="AZ1072" t="s">
        <v>92</v>
      </c>
      <c r="BA1072" t="s">
        <v>107</v>
      </c>
      <c r="BB1072" t="s">
        <v>4245</v>
      </c>
      <c r="BC1072" t="s">
        <v>97</v>
      </c>
      <c r="BE1072" t="s">
        <v>96</v>
      </c>
      <c r="BG1072" t="s">
        <v>97</v>
      </c>
      <c r="BI1072" t="s">
        <v>98</v>
      </c>
      <c r="BJ1072" t="s">
        <v>2996</v>
      </c>
      <c r="BL1072" t="s">
        <v>110</v>
      </c>
    </row>
    <row r="1073" spans="1:64" hidden="1" x14ac:dyDescent="0.2">
      <c r="A1073">
        <v>1568</v>
      </c>
      <c r="B1073">
        <v>3744741565</v>
      </c>
      <c r="C1073" t="s">
        <v>101</v>
      </c>
      <c r="D1073" t="s">
        <v>4252</v>
      </c>
      <c r="E1073" t="s">
        <v>65</v>
      </c>
      <c r="F1073" t="s">
        <v>66</v>
      </c>
      <c r="G1073" t="s">
        <v>67</v>
      </c>
      <c r="H1073" t="s">
        <v>68</v>
      </c>
      <c r="I1073" t="s">
        <v>176</v>
      </c>
      <c r="J1073" t="s">
        <v>177</v>
      </c>
      <c r="K1073" t="s">
        <v>178</v>
      </c>
      <c r="M1073" t="s">
        <v>72</v>
      </c>
      <c r="N1073" t="s">
        <v>179</v>
      </c>
      <c r="O1073" t="s">
        <v>178</v>
      </c>
      <c r="P1073" t="s">
        <v>180</v>
      </c>
      <c r="Q1073" t="s">
        <v>75</v>
      </c>
      <c r="R1073" t="s">
        <v>3816</v>
      </c>
      <c r="S1073" t="s">
        <v>3808</v>
      </c>
      <c r="T1073" t="s">
        <v>78</v>
      </c>
      <c r="U1073" t="s">
        <v>3817</v>
      </c>
      <c r="V1073" t="s">
        <v>80</v>
      </c>
      <c r="W1073" s="1">
        <v>44520</v>
      </c>
      <c r="X1073" t="s">
        <v>3818</v>
      </c>
      <c r="Y1073" t="s">
        <v>4247</v>
      </c>
      <c r="Z1073" t="s">
        <v>83</v>
      </c>
      <c r="AA1073">
        <v>1</v>
      </c>
      <c r="AB1073" t="s">
        <v>103</v>
      </c>
      <c r="AD1073" t="s">
        <v>116</v>
      </c>
      <c r="AE1073" t="s">
        <v>86</v>
      </c>
      <c r="AF1073" t="s">
        <v>146</v>
      </c>
      <c r="AG1073" t="s">
        <v>4249</v>
      </c>
      <c r="AH1073" t="s">
        <v>4253</v>
      </c>
      <c r="AI1073" t="s">
        <v>90</v>
      </c>
      <c r="AJ1073">
        <v>32.515689000000002</v>
      </c>
      <c r="AK1073">
        <v>-110.688412</v>
      </c>
      <c r="AL1073">
        <v>3</v>
      </c>
      <c r="AN1073">
        <v>1358</v>
      </c>
      <c r="AP1073">
        <v>1358</v>
      </c>
      <c r="AQ1073">
        <v>1367.754297</v>
      </c>
      <c r="AT1073">
        <v>20</v>
      </c>
      <c r="AU1073">
        <v>11</v>
      </c>
      <c r="AV1073">
        <v>2021</v>
      </c>
      <c r="AW1073">
        <v>2438038</v>
      </c>
      <c r="AX1073">
        <v>2438038</v>
      </c>
      <c r="AY1073" t="s">
        <v>106</v>
      </c>
      <c r="AZ1073" t="s">
        <v>92</v>
      </c>
      <c r="BA1073" t="s">
        <v>107</v>
      </c>
      <c r="BB1073" t="s">
        <v>4254</v>
      </c>
      <c r="BC1073" t="s">
        <v>97</v>
      </c>
      <c r="BE1073" t="s">
        <v>96</v>
      </c>
      <c r="BG1073" t="s">
        <v>97</v>
      </c>
      <c r="BI1073" t="s">
        <v>98</v>
      </c>
      <c r="BJ1073" t="s">
        <v>4255</v>
      </c>
      <c r="BL1073" t="s">
        <v>110</v>
      </c>
    </row>
    <row r="1074" spans="1:64" hidden="1" x14ac:dyDescent="0.2">
      <c r="A1074">
        <v>1566</v>
      </c>
      <c r="B1074">
        <v>3744741567</v>
      </c>
      <c r="C1074" t="s">
        <v>101</v>
      </c>
      <c r="D1074" t="s">
        <v>4256</v>
      </c>
      <c r="E1074" t="s">
        <v>65</v>
      </c>
      <c r="F1074" t="s">
        <v>66</v>
      </c>
      <c r="G1074" t="s">
        <v>67</v>
      </c>
      <c r="H1074" t="s">
        <v>68</v>
      </c>
      <c r="I1074" t="s">
        <v>176</v>
      </c>
      <c r="J1074" t="s">
        <v>177</v>
      </c>
      <c r="K1074" t="s">
        <v>178</v>
      </c>
      <c r="M1074" t="s">
        <v>72</v>
      </c>
      <c r="N1074" t="s">
        <v>179</v>
      </c>
      <c r="O1074" t="s">
        <v>178</v>
      </c>
      <c r="P1074" t="s">
        <v>180</v>
      </c>
      <c r="Q1074" t="s">
        <v>75</v>
      </c>
      <c r="R1074" t="s">
        <v>3816</v>
      </c>
      <c r="S1074" t="s">
        <v>3808</v>
      </c>
      <c r="T1074" t="s">
        <v>78</v>
      </c>
      <c r="U1074" t="s">
        <v>3817</v>
      </c>
      <c r="V1074" t="s">
        <v>80</v>
      </c>
      <c r="W1074" s="1">
        <v>44520</v>
      </c>
      <c r="X1074" t="s">
        <v>3818</v>
      </c>
      <c r="Y1074" t="s">
        <v>4247</v>
      </c>
      <c r="Z1074" t="s">
        <v>83</v>
      </c>
      <c r="AA1074">
        <v>1</v>
      </c>
      <c r="AB1074" t="s">
        <v>103</v>
      </c>
      <c r="AD1074" t="s">
        <v>104</v>
      </c>
      <c r="AE1074" t="s">
        <v>86</v>
      </c>
      <c r="AF1074" t="s">
        <v>146</v>
      </c>
      <c r="AG1074" t="s">
        <v>4249</v>
      </c>
      <c r="AH1074" t="s">
        <v>4253</v>
      </c>
      <c r="AI1074" t="s">
        <v>90</v>
      </c>
      <c r="AJ1074">
        <v>32.515689000000002</v>
      </c>
      <c r="AK1074">
        <v>-110.688412</v>
      </c>
      <c r="AL1074">
        <v>3</v>
      </c>
      <c r="AN1074">
        <v>1358</v>
      </c>
      <c r="AP1074">
        <v>1358</v>
      </c>
      <c r="AQ1074">
        <v>1367.754297</v>
      </c>
      <c r="AT1074">
        <v>20</v>
      </c>
      <c r="AU1074">
        <v>11</v>
      </c>
      <c r="AV1074">
        <v>2021</v>
      </c>
      <c r="AW1074">
        <v>2438038</v>
      </c>
      <c r="AX1074">
        <v>2438038</v>
      </c>
      <c r="AY1074" t="s">
        <v>106</v>
      </c>
      <c r="AZ1074" t="s">
        <v>92</v>
      </c>
      <c r="BA1074" t="s">
        <v>107</v>
      </c>
      <c r="BB1074" t="s">
        <v>4257</v>
      </c>
      <c r="BC1074" t="s">
        <v>97</v>
      </c>
      <c r="BE1074" t="s">
        <v>96</v>
      </c>
      <c r="BG1074" t="s">
        <v>97</v>
      </c>
      <c r="BI1074" t="s">
        <v>98</v>
      </c>
      <c r="BJ1074" t="s">
        <v>4258</v>
      </c>
      <c r="BL1074" t="s">
        <v>110</v>
      </c>
    </row>
    <row r="1075" spans="1:64" x14ac:dyDescent="0.2">
      <c r="A1075">
        <v>633</v>
      </c>
      <c r="B1075">
        <v>4126336328</v>
      </c>
      <c r="C1075" t="s">
        <v>63</v>
      </c>
      <c r="D1075" t="s">
        <v>5591</v>
      </c>
      <c r="E1075" t="s">
        <v>65</v>
      </c>
      <c r="F1075" t="s">
        <v>66</v>
      </c>
      <c r="G1075" t="s">
        <v>67</v>
      </c>
      <c r="H1075" t="s">
        <v>68</v>
      </c>
      <c r="I1075" t="s">
        <v>176</v>
      </c>
      <c r="J1075" t="s">
        <v>177</v>
      </c>
      <c r="K1075" t="s">
        <v>3925</v>
      </c>
      <c r="M1075" t="s">
        <v>72</v>
      </c>
      <c r="N1075" t="s">
        <v>3926</v>
      </c>
      <c r="O1075" t="s">
        <v>3925</v>
      </c>
      <c r="P1075" t="s">
        <v>1176</v>
      </c>
      <c r="Q1075" t="s">
        <v>75</v>
      </c>
      <c r="R1075" t="s">
        <v>5008</v>
      </c>
      <c r="S1075" t="s">
        <v>1178</v>
      </c>
      <c r="T1075" t="s">
        <v>78</v>
      </c>
      <c r="U1075" t="s">
        <v>5009</v>
      </c>
      <c r="V1075" t="s">
        <v>80</v>
      </c>
      <c r="W1075" s="1">
        <v>44905</v>
      </c>
      <c r="X1075" t="s">
        <v>5010</v>
      </c>
      <c r="Y1075" t="s">
        <v>5592</v>
      </c>
      <c r="Z1075" t="s">
        <v>83</v>
      </c>
      <c r="AA1075">
        <v>1</v>
      </c>
      <c r="AB1075" t="s">
        <v>5593</v>
      </c>
      <c r="AC1075">
        <v>1</v>
      </c>
      <c r="AD1075" s="6" t="s">
        <v>85</v>
      </c>
      <c r="AE1075" s="6" t="s">
        <v>145</v>
      </c>
      <c r="AF1075" s="6" t="s">
        <v>146</v>
      </c>
      <c r="AG1075" s="6" t="s">
        <v>5594</v>
      </c>
      <c r="AH1075" s="6" t="s">
        <v>5595</v>
      </c>
      <c r="AI1075" s="6" t="s">
        <v>90</v>
      </c>
      <c r="AJ1075" s="6">
        <v>32.313445999999999</v>
      </c>
      <c r="AK1075" s="6">
        <v>-110.712751</v>
      </c>
      <c r="AL1075" s="6">
        <v>3</v>
      </c>
      <c r="AM1075" s="6"/>
      <c r="AN1075" s="6">
        <v>1170</v>
      </c>
      <c r="AO1075" s="6"/>
      <c r="AP1075" s="6">
        <v>1170</v>
      </c>
      <c r="AQ1075" s="6">
        <v>1173.271898</v>
      </c>
      <c r="AR1075" s="6"/>
      <c r="AS1075" s="6"/>
      <c r="AT1075" s="6">
        <v>10</v>
      </c>
      <c r="AU1075" s="6">
        <v>12</v>
      </c>
      <c r="AV1075" s="6">
        <v>2022</v>
      </c>
      <c r="AW1075" s="6">
        <v>2437981</v>
      </c>
      <c r="AX1075" s="6">
        <v>2437981</v>
      </c>
      <c r="AY1075" s="6" t="s">
        <v>91</v>
      </c>
      <c r="AZ1075" t="s">
        <v>92</v>
      </c>
      <c r="BA1075" t="s">
        <v>93</v>
      </c>
      <c r="BB1075" t="s">
        <v>5596</v>
      </c>
      <c r="BC1075" t="s">
        <v>97</v>
      </c>
      <c r="BE1075" t="s">
        <v>96</v>
      </c>
      <c r="BG1075" t="s">
        <v>5499</v>
      </c>
      <c r="BI1075" t="s">
        <v>98</v>
      </c>
      <c r="BJ1075" t="s">
        <v>5597</v>
      </c>
      <c r="BK1075" t="s">
        <v>365</v>
      </c>
      <c r="BL1075" t="s">
        <v>5540</v>
      </c>
    </row>
    <row r="1076" spans="1:64" hidden="1" x14ac:dyDescent="0.2">
      <c r="A1076">
        <v>1570</v>
      </c>
      <c r="B1076">
        <v>3744741563</v>
      </c>
      <c r="C1076" t="s">
        <v>101</v>
      </c>
      <c r="D1076" t="s">
        <v>4263</v>
      </c>
      <c r="E1076" t="s">
        <v>65</v>
      </c>
      <c r="F1076" t="s">
        <v>66</v>
      </c>
      <c r="G1076" t="s">
        <v>67</v>
      </c>
      <c r="H1076" t="s">
        <v>68</v>
      </c>
      <c r="I1076" t="s">
        <v>176</v>
      </c>
      <c r="J1076" t="s">
        <v>177</v>
      </c>
      <c r="K1076" t="s">
        <v>178</v>
      </c>
      <c r="M1076" t="s">
        <v>72</v>
      </c>
      <c r="N1076" t="s">
        <v>179</v>
      </c>
      <c r="O1076" t="s">
        <v>178</v>
      </c>
      <c r="P1076" t="s">
        <v>180</v>
      </c>
      <c r="Q1076" t="s">
        <v>75</v>
      </c>
      <c r="R1076" t="s">
        <v>3816</v>
      </c>
      <c r="S1076" t="s">
        <v>3808</v>
      </c>
      <c r="T1076" t="s">
        <v>78</v>
      </c>
      <c r="U1076" t="s">
        <v>3817</v>
      </c>
      <c r="V1076" t="s">
        <v>80</v>
      </c>
      <c r="W1076" s="1">
        <v>44520</v>
      </c>
      <c r="X1076" t="s">
        <v>3818</v>
      </c>
      <c r="Y1076" t="s">
        <v>4247</v>
      </c>
      <c r="Z1076" t="s">
        <v>83</v>
      </c>
      <c r="AA1076">
        <v>1</v>
      </c>
      <c r="AB1076" t="s">
        <v>103</v>
      </c>
      <c r="AD1076" t="s">
        <v>112</v>
      </c>
      <c r="AE1076" t="s">
        <v>86</v>
      </c>
      <c r="AF1076" t="s">
        <v>146</v>
      </c>
      <c r="AG1076" t="s">
        <v>4249</v>
      </c>
      <c r="AH1076" t="s">
        <v>4253</v>
      </c>
      <c r="AI1076" t="s">
        <v>90</v>
      </c>
      <c r="AJ1076">
        <v>32.515689000000002</v>
      </c>
      <c r="AK1076">
        <v>-110.688412</v>
      </c>
      <c r="AL1076">
        <v>3</v>
      </c>
      <c r="AN1076">
        <v>1358</v>
      </c>
      <c r="AP1076">
        <v>1358</v>
      </c>
      <c r="AQ1076">
        <v>1367.754297</v>
      </c>
      <c r="AT1076">
        <v>20</v>
      </c>
      <c r="AU1076">
        <v>11</v>
      </c>
      <c r="AV1076">
        <v>2021</v>
      </c>
      <c r="AW1076">
        <v>2438038</v>
      </c>
      <c r="AX1076">
        <v>2438038</v>
      </c>
      <c r="AY1076" t="s">
        <v>106</v>
      </c>
      <c r="AZ1076" t="s">
        <v>92</v>
      </c>
      <c r="BA1076" t="s">
        <v>107</v>
      </c>
      <c r="BB1076" t="s">
        <v>4264</v>
      </c>
      <c r="BC1076" t="s">
        <v>97</v>
      </c>
      <c r="BE1076" t="s">
        <v>96</v>
      </c>
      <c r="BG1076" t="s">
        <v>97</v>
      </c>
      <c r="BI1076" t="s">
        <v>98</v>
      </c>
      <c r="BJ1076" t="s">
        <v>4262</v>
      </c>
      <c r="BL1076" t="s">
        <v>110</v>
      </c>
    </row>
    <row r="1077" spans="1:64" hidden="1" x14ac:dyDescent="0.2">
      <c r="A1077">
        <v>1576</v>
      </c>
      <c r="B1077">
        <v>3744741557</v>
      </c>
      <c r="C1077" t="s">
        <v>101</v>
      </c>
      <c r="D1077" t="s">
        <v>4265</v>
      </c>
      <c r="E1077" t="s">
        <v>65</v>
      </c>
      <c r="F1077" t="s">
        <v>66</v>
      </c>
      <c r="G1077" t="s">
        <v>67</v>
      </c>
      <c r="H1077" t="s">
        <v>68</v>
      </c>
      <c r="I1077" t="s">
        <v>176</v>
      </c>
      <c r="J1077" t="s">
        <v>177</v>
      </c>
      <c r="K1077" t="s">
        <v>178</v>
      </c>
      <c r="M1077" t="s">
        <v>72</v>
      </c>
      <c r="N1077" t="s">
        <v>179</v>
      </c>
      <c r="O1077" t="s">
        <v>178</v>
      </c>
      <c r="P1077" t="s">
        <v>180</v>
      </c>
      <c r="Q1077" t="s">
        <v>75</v>
      </c>
      <c r="R1077" t="s">
        <v>3816</v>
      </c>
      <c r="S1077" t="s">
        <v>3808</v>
      </c>
      <c r="T1077" t="s">
        <v>78</v>
      </c>
      <c r="U1077" t="s">
        <v>3817</v>
      </c>
      <c r="V1077" t="s">
        <v>80</v>
      </c>
      <c r="W1077" s="1">
        <v>44520</v>
      </c>
      <c r="X1077" t="s">
        <v>3818</v>
      </c>
      <c r="Y1077" t="s">
        <v>4247</v>
      </c>
      <c r="Z1077" t="s">
        <v>83</v>
      </c>
      <c r="AA1077">
        <v>1</v>
      </c>
      <c r="AB1077" t="s">
        <v>133</v>
      </c>
      <c r="AD1077" t="s">
        <v>134</v>
      </c>
      <c r="AE1077" t="s">
        <v>86</v>
      </c>
      <c r="AF1077" t="s">
        <v>146</v>
      </c>
      <c r="AG1077" t="s">
        <v>4249</v>
      </c>
      <c r="AH1077" t="s">
        <v>4266</v>
      </c>
      <c r="AI1077" t="s">
        <v>90</v>
      </c>
      <c r="AJ1077">
        <v>32.515689000000002</v>
      </c>
      <c r="AK1077">
        <v>-110.688412</v>
      </c>
      <c r="AL1077">
        <v>3</v>
      </c>
      <c r="AN1077">
        <v>1358</v>
      </c>
      <c r="AP1077">
        <v>1358</v>
      </c>
      <c r="AQ1077">
        <v>1367.754297</v>
      </c>
      <c r="AT1077">
        <v>20</v>
      </c>
      <c r="AU1077">
        <v>11</v>
      </c>
      <c r="AV1077">
        <v>2021</v>
      </c>
      <c r="AW1077">
        <v>2438038</v>
      </c>
      <c r="AX1077">
        <v>2438038</v>
      </c>
      <c r="AY1077" t="s">
        <v>106</v>
      </c>
      <c r="AZ1077" t="s">
        <v>92</v>
      </c>
      <c r="BA1077" t="s">
        <v>107</v>
      </c>
      <c r="BB1077" t="s">
        <v>4267</v>
      </c>
      <c r="BC1077" t="s">
        <v>97</v>
      </c>
      <c r="BE1077" t="s">
        <v>96</v>
      </c>
      <c r="BG1077" t="s">
        <v>97</v>
      </c>
      <c r="BI1077" t="s">
        <v>98</v>
      </c>
      <c r="BJ1077" t="s">
        <v>4268</v>
      </c>
      <c r="BL1077" t="s">
        <v>110</v>
      </c>
    </row>
    <row r="1078" spans="1:64" hidden="1" x14ac:dyDescent="0.2">
      <c r="A1078">
        <v>1574</v>
      </c>
      <c r="B1078">
        <v>3744741559</v>
      </c>
      <c r="C1078" t="s">
        <v>101</v>
      </c>
      <c r="D1078" t="s">
        <v>4269</v>
      </c>
      <c r="E1078" t="s">
        <v>65</v>
      </c>
      <c r="F1078" t="s">
        <v>66</v>
      </c>
      <c r="G1078" t="s">
        <v>67</v>
      </c>
      <c r="H1078" t="s">
        <v>68</v>
      </c>
      <c r="I1078" t="s">
        <v>176</v>
      </c>
      <c r="J1078" t="s">
        <v>177</v>
      </c>
      <c r="K1078" t="s">
        <v>178</v>
      </c>
      <c r="M1078" t="s">
        <v>72</v>
      </c>
      <c r="N1078" t="s">
        <v>179</v>
      </c>
      <c r="O1078" t="s">
        <v>178</v>
      </c>
      <c r="P1078" t="s">
        <v>180</v>
      </c>
      <c r="Q1078" t="s">
        <v>75</v>
      </c>
      <c r="R1078" t="s">
        <v>3816</v>
      </c>
      <c r="S1078" t="s">
        <v>3808</v>
      </c>
      <c r="T1078" t="s">
        <v>78</v>
      </c>
      <c r="U1078" t="s">
        <v>3817</v>
      </c>
      <c r="V1078" t="s">
        <v>80</v>
      </c>
      <c r="W1078" s="1">
        <v>44520</v>
      </c>
      <c r="X1078" t="s">
        <v>3818</v>
      </c>
      <c r="Y1078" t="s">
        <v>4247</v>
      </c>
      <c r="Z1078" t="s">
        <v>83</v>
      </c>
      <c r="AA1078">
        <v>1</v>
      </c>
      <c r="AB1078" t="s">
        <v>103</v>
      </c>
      <c r="AD1078" t="s">
        <v>139</v>
      </c>
      <c r="AE1078" t="s">
        <v>86</v>
      </c>
      <c r="AF1078" t="s">
        <v>146</v>
      </c>
      <c r="AG1078" t="s">
        <v>4249</v>
      </c>
      <c r="AH1078" t="s">
        <v>4253</v>
      </c>
      <c r="AI1078" t="s">
        <v>90</v>
      </c>
      <c r="AJ1078">
        <v>32.515689000000002</v>
      </c>
      <c r="AK1078">
        <v>-110.688412</v>
      </c>
      <c r="AL1078">
        <v>3</v>
      </c>
      <c r="AN1078">
        <v>1358</v>
      </c>
      <c r="AP1078">
        <v>1358</v>
      </c>
      <c r="AQ1078">
        <v>1367.754297</v>
      </c>
      <c r="AT1078">
        <v>20</v>
      </c>
      <c r="AU1078">
        <v>11</v>
      </c>
      <c r="AV1078">
        <v>2021</v>
      </c>
      <c r="AW1078">
        <v>2438038</v>
      </c>
      <c r="AX1078">
        <v>2438038</v>
      </c>
      <c r="AY1078" t="s">
        <v>106</v>
      </c>
      <c r="AZ1078" t="s">
        <v>92</v>
      </c>
      <c r="BA1078" t="s">
        <v>107</v>
      </c>
      <c r="BB1078" t="s">
        <v>4270</v>
      </c>
      <c r="BC1078" t="s">
        <v>97</v>
      </c>
      <c r="BE1078" t="s">
        <v>96</v>
      </c>
      <c r="BG1078" t="s">
        <v>97</v>
      </c>
      <c r="BI1078" t="s">
        <v>98</v>
      </c>
      <c r="BJ1078" t="s">
        <v>2980</v>
      </c>
      <c r="BL1078" t="s">
        <v>110</v>
      </c>
    </row>
    <row r="1079" spans="1:64" hidden="1" x14ac:dyDescent="0.2">
      <c r="A1079">
        <v>1579</v>
      </c>
      <c r="B1079">
        <v>3744741554</v>
      </c>
      <c r="C1079" t="s">
        <v>101</v>
      </c>
      <c r="D1079" t="s">
        <v>4277</v>
      </c>
      <c r="E1079" t="s">
        <v>65</v>
      </c>
      <c r="F1079" t="s">
        <v>66</v>
      </c>
      <c r="G1079" t="s">
        <v>67</v>
      </c>
      <c r="H1079" t="s">
        <v>68</v>
      </c>
      <c r="I1079" t="s">
        <v>176</v>
      </c>
      <c r="J1079" t="s">
        <v>177</v>
      </c>
      <c r="K1079" t="s">
        <v>3925</v>
      </c>
      <c r="M1079" t="s">
        <v>72</v>
      </c>
      <c r="N1079" t="s">
        <v>3926</v>
      </c>
      <c r="O1079" t="s">
        <v>3925</v>
      </c>
      <c r="P1079" t="s">
        <v>1176</v>
      </c>
      <c r="Q1079" t="s">
        <v>75</v>
      </c>
      <c r="R1079" t="s">
        <v>3816</v>
      </c>
      <c r="S1079" t="s">
        <v>4272</v>
      </c>
      <c r="T1079" t="s">
        <v>78</v>
      </c>
      <c r="U1079" t="s">
        <v>3817</v>
      </c>
      <c r="V1079" t="s">
        <v>80</v>
      </c>
      <c r="W1079" s="1">
        <v>44520</v>
      </c>
      <c r="X1079" t="s">
        <v>3818</v>
      </c>
      <c r="Y1079" t="s">
        <v>4273</v>
      </c>
      <c r="Z1079" t="s">
        <v>83</v>
      </c>
      <c r="AA1079">
        <v>1</v>
      </c>
      <c r="AB1079" t="s">
        <v>103</v>
      </c>
      <c r="AD1079" t="s">
        <v>104</v>
      </c>
      <c r="AE1079" t="s">
        <v>86</v>
      </c>
      <c r="AF1079" t="s">
        <v>281</v>
      </c>
      <c r="AG1079" t="s">
        <v>282</v>
      </c>
      <c r="AH1079" t="s">
        <v>4278</v>
      </c>
      <c r="AI1079" t="s">
        <v>90</v>
      </c>
      <c r="AJ1079">
        <v>32.516249999999999</v>
      </c>
      <c r="AK1079">
        <v>-110.687225</v>
      </c>
      <c r="AL1079">
        <v>3</v>
      </c>
      <c r="AN1079">
        <v>1348</v>
      </c>
      <c r="AP1079">
        <v>1348</v>
      </c>
      <c r="AQ1079">
        <v>1364.514999</v>
      </c>
      <c r="AT1079">
        <v>20</v>
      </c>
      <c r="AU1079">
        <v>11</v>
      </c>
      <c r="AV1079">
        <v>2021</v>
      </c>
      <c r="AW1079">
        <v>2437981</v>
      </c>
      <c r="AX1079">
        <v>2437981</v>
      </c>
      <c r="AY1079" t="s">
        <v>106</v>
      </c>
      <c r="AZ1079" t="s">
        <v>92</v>
      </c>
      <c r="BA1079" t="s">
        <v>107</v>
      </c>
      <c r="BB1079" t="s">
        <v>4279</v>
      </c>
      <c r="BC1079" t="s">
        <v>97</v>
      </c>
      <c r="BE1079" t="s">
        <v>96</v>
      </c>
      <c r="BG1079" t="s">
        <v>97</v>
      </c>
      <c r="BI1079" t="s">
        <v>98</v>
      </c>
      <c r="BJ1079" t="s">
        <v>3183</v>
      </c>
      <c r="BL1079" t="s">
        <v>110</v>
      </c>
    </row>
    <row r="1080" spans="1:64" hidden="1" x14ac:dyDescent="0.2">
      <c r="A1080">
        <v>1602</v>
      </c>
      <c r="B1080">
        <v>3744741531</v>
      </c>
      <c r="C1080" t="s">
        <v>101</v>
      </c>
      <c r="D1080" t="s">
        <v>4280</v>
      </c>
      <c r="E1080" t="s">
        <v>65</v>
      </c>
      <c r="F1080" t="s">
        <v>66</v>
      </c>
      <c r="G1080" t="s">
        <v>67</v>
      </c>
      <c r="H1080" t="s">
        <v>68</v>
      </c>
      <c r="I1080" t="s">
        <v>176</v>
      </c>
      <c r="J1080" t="s">
        <v>177</v>
      </c>
      <c r="K1080" t="s">
        <v>3925</v>
      </c>
      <c r="M1080" t="s">
        <v>72</v>
      </c>
      <c r="N1080" t="s">
        <v>3926</v>
      </c>
      <c r="O1080" t="s">
        <v>3925</v>
      </c>
      <c r="P1080" t="s">
        <v>1176</v>
      </c>
      <c r="Q1080" t="s">
        <v>75</v>
      </c>
      <c r="R1080" t="s">
        <v>3816</v>
      </c>
      <c r="S1080" t="s">
        <v>4272</v>
      </c>
      <c r="T1080" t="s">
        <v>78</v>
      </c>
      <c r="U1080" t="s">
        <v>3817</v>
      </c>
      <c r="V1080" t="s">
        <v>80</v>
      </c>
      <c r="W1080" s="1">
        <v>44520</v>
      </c>
      <c r="X1080" t="s">
        <v>3818</v>
      </c>
      <c r="Y1080" t="s">
        <v>4273</v>
      </c>
      <c r="Z1080" t="s">
        <v>83</v>
      </c>
      <c r="AA1080">
        <v>1</v>
      </c>
      <c r="AB1080" t="s">
        <v>103</v>
      </c>
      <c r="AD1080" t="s">
        <v>116</v>
      </c>
      <c r="AE1080" t="s">
        <v>86</v>
      </c>
      <c r="AF1080" t="s">
        <v>281</v>
      </c>
      <c r="AG1080" t="s">
        <v>282</v>
      </c>
      <c r="AH1080" t="s">
        <v>4278</v>
      </c>
      <c r="AI1080" t="s">
        <v>90</v>
      </c>
      <c r="AJ1080">
        <v>32.516249999999999</v>
      </c>
      <c r="AK1080">
        <v>-110.687225</v>
      </c>
      <c r="AL1080">
        <v>3</v>
      </c>
      <c r="AN1080">
        <v>1348</v>
      </c>
      <c r="AP1080">
        <v>1348</v>
      </c>
      <c r="AQ1080">
        <v>1364.514999</v>
      </c>
      <c r="AT1080">
        <v>20</v>
      </c>
      <c r="AU1080">
        <v>11</v>
      </c>
      <c r="AV1080">
        <v>2021</v>
      </c>
      <c r="AW1080">
        <v>2437981</v>
      </c>
      <c r="AX1080">
        <v>2437981</v>
      </c>
      <c r="AY1080" t="s">
        <v>106</v>
      </c>
      <c r="AZ1080" t="s">
        <v>92</v>
      </c>
      <c r="BA1080" t="s">
        <v>107</v>
      </c>
      <c r="BB1080" t="s">
        <v>4281</v>
      </c>
      <c r="BC1080" t="s">
        <v>97</v>
      </c>
      <c r="BE1080" t="s">
        <v>96</v>
      </c>
      <c r="BG1080" t="s">
        <v>97</v>
      </c>
      <c r="BI1080" t="s">
        <v>98</v>
      </c>
      <c r="BJ1080" t="s">
        <v>4282</v>
      </c>
      <c r="BL1080" t="s">
        <v>110</v>
      </c>
    </row>
    <row r="1081" spans="1:64" x14ac:dyDescent="0.2">
      <c r="A1081">
        <v>642</v>
      </c>
      <c r="B1081">
        <v>4126336317</v>
      </c>
      <c r="C1081" t="s">
        <v>63</v>
      </c>
      <c r="D1081" t="s">
        <v>5625</v>
      </c>
      <c r="E1081" t="s">
        <v>65</v>
      </c>
      <c r="F1081" t="s">
        <v>66</v>
      </c>
      <c r="G1081" t="s">
        <v>67</v>
      </c>
      <c r="H1081" t="s">
        <v>68</v>
      </c>
      <c r="I1081" t="s">
        <v>176</v>
      </c>
      <c r="J1081" t="s">
        <v>177</v>
      </c>
      <c r="K1081" t="s">
        <v>3925</v>
      </c>
      <c r="M1081" t="s">
        <v>72</v>
      </c>
      <c r="N1081" t="s">
        <v>3926</v>
      </c>
      <c r="O1081" t="s">
        <v>3925</v>
      </c>
      <c r="P1081" t="s">
        <v>1176</v>
      </c>
      <c r="Q1081" t="s">
        <v>75</v>
      </c>
      <c r="R1081" t="s">
        <v>5008</v>
      </c>
      <c r="S1081" t="s">
        <v>1515</v>
      </c>
      <c r="T1081" t="s">
        <v>78</v>
      </c>
      <c r="U1081" t="s">
        <v>5009</v>
      </c>
      <c r="V1081" t="s">
        <v>80</v>
      </c>
      <c r="W1081" s="1">
        <v>44905</v>
      </c>
      <c r="X1081" t="s">
        <v>5010</v>
      </c>
      <c r="Y1081" t="s">
        <v>5626</v>
      </c>
      <c r="Z1081" t="s">
        <v>83</v>
      </c>
      <c r="AA1081">
        <v>1</v>
      </c>
      <c r="AB1081" t="s">
        <v>5627</v>
      </c>
      <c r="AC1081">
        <v>1</v>
      </c>
      <c r="AD1081" s="6" t="s">
        <v>85</v>
      </c>
      <c r="AE1081" s="6" t="s">
        <v>145</v>
      </c>
      <c r="AF1081" s="6" t="s">
        <v>146</v>
      </c>
      <c r="AG1081" s="6" t="s">
        <v>5628</v>
      </c>
      <c r="AH1081" s="6" t="s">
        <v>5629</v>
      </c>
      <c r="AI1081" s="6" t="s">
        <v>90</v>
      </c>
      <c r="AJ1081" s="6">
        <v>32.314329999999998</v>
      </c>
      <c r="AK1081" s="6">
        <v>-110.712451</v>
      </c>
      <c r="AL1081" s="6">
        <v>3</v>
      </c>
      <c r="AM1081" s="6"/>
      <c r="AN1081" s="6">
        <v>1168</v>
      </c>
      <c r="AO1081" s="6"/>
      <c r="AP1081" s="6">
        <v>1168</v>
      </c>
      <c r="AQ1081" s="6">
        <v>1184.645597</v>
      </c>
      <c r="AR1081" s="6"/>
      <c r="AS1081" s="6"/>
      <c r="AT1081" s="6">
        <v>10</v>
      </c>
      <c r="AU1081" s="6">
        <v>12</v>
      </c>
      <c r="AV1081" s="6">
        <v>2022</v>
      </c>
      <c r="AW1081" s="6">
        <v>2437981</v>
      </c>
      <c r="AX1081" s="6">
        <v>2437981</v>
      </c>
      <c r="AY1081" s="6" t="s">
        <v>91</v>
      </c>
      <c r="AZ1081" t="s">
        <v>92</v>
      </c>
      <c r="BA1081" t="s">
        <v>93</v>
      </c>
      <c r="BB1081" t="s">
        <v>5630</v>
      </c>
      <c r="BC1081" t="s">
        <v>97</v>
      </c>
      <c r="BE1081" t="s">
        <v>96</v>
      </c>
      <c r="BG1081" t="s">
        <v>5499</v>
      </c>
      <c r="BI1081" t="s">
        <v>98</v>
      </c>
      <c r="BJ1081" t="s">
        <v>5631</v>
      </c>
      <c r="BK1081" t="s">
        <v>365</v>
      </c>
      <c r="BL1081" t="s">
        <v>5632</v>
      </c>
    </row>
    <row r="1082" spans="1:64" hidden="1" x14ac:dyDescent="0.2">
      <c r="A1082">
        <v>1605</v>
      </c>
      <c r="B1082">
        <v>3744741528</v>
      </c>
      <c r="C1082" t="s">
        <v>101</v>
      </c>
      <c r="D1082" t="s">
        <v>4287</v>
      </c>
      <c r="E1082" t="s">
        <v>65</v>
      </c>
      <c r="F1082" t="s">
        <v>66</v>
      </c>
      <c r="G1082" t="s">
        <v>67</v>
      </c>
      <c r="H1082" t="s">
        <v>68</v>
      </c>
      <c r="I1082" t="s">
        <v>176</v>
      </c>
      <c r="J1082" t="s">
        <v>177</v>
      </c>
      <c r="K1082" t="s">
        <v>3925</v>
      </c>
      <c r="M1082" t="s">
        <v>72</v>
      </c>
      <c r="N1082" t="s">
        <v>3926</v>
      </c>
      <c r="O1082" t="s">
        <v>3925</v>
      </c>
      <c r="P1082" t="s">
        <v>1176</v>
      </c>
      <c r="Q1082" t="s">
        <v>75</v>
      </c>
      <c r="R1082" t="s">
        <v>3816</v>
      </c>
      <c r="S1082" t="s">
        <v>4272</v>
      </c>
      <c r="T1082" t="s">
        <v>78</v>
      </c>
      <c r="U1082" t="s">
        <v>3817</v>
      </c>
      <c r="V1082" t="s">
        <v>80</v>
      </c>
      <c r="W1082" s="1">
        <v>44520</v>
      </c>
      <c r="X1082" t="s">
        <v>3818</v>
      </c>
      <c r="Y1082" t="s">
        <v>4273</v>
      </c>
      <c r="Z1082" t="s">
        <v>83</v>
      </c>
      <c r="AA1082">
        <v>1</v>
      </c>
      <c r="AB1082" t="s">
        <v>103</v>
      </c>
      <c r="AD1082" t="s">
        <v>112</v>
      </c>
      <c r="AE1082" t="s">
        <v>86</v>
      </c>
      <c r="AF1082" t="s">
        <v>281</v>
      </c>
      <c r="AG1082" t="s">
        <v>282</v>
      </c>
      <c r="AH1082" t="s">
        <v>4278</v>
      </c>
      <c r="AI1082" t="s">
        <v>90</v>
      </c>
      <c r="AJ1082">
        <v>32.516249999999999</v>
      </c>
      <c r="AK1082">
        <v>-110.687225</v>
      </c>
      <c r="AL1082">
        <v>3</v>
      </c>
      <c r="AN1082">
        <v>1348</v>
      </c>
      <c r="AP1082">
        <v>1348</v>
      </c>
      <c r="AQ1082">
        <v>1364.514999</v>
      </c>
      <c r="AT1082">
        <v>20</v>
      </c>
      <c r="AU1082">
        <v>11</v>
      </c>
      <c r="AV1082">
        <v>2021</v>
      </c>
      <c r="AW1082">
        <v>2437981</v>
      </c>
      <c r="AX1082">
        <v>2437981</v>
      </c>
      <c r="AY1082" t="s">
        <v>106</v>
      </c>
      <c r="AZ1082" t="s">
        <v>92</v>
      </c>
      <c r="BA1082" t="s">
        <v>107</v>
      </c>
      <c r="BB1082" t="s">
        <v>4288</v>
      </c>
      <c r="BC1082" t="s">
        <v>97</v>
      </c>
      <c r="BE1082" t="s">
        <v>96</v>
      </c>
      <c r="BG1082" t="s">
        <v>97</v>
      </c>
      <c r="BI1082" t="s">
        <v>98</v>
      </c>
      <c r="BJ1082" t="s">
        <v>4282</v>
      </c>
      <c r="BL1082" t="s">
        <v>110</v>
      </c>
    </row>
    <row r="1083" spans="1:64" hidden="1" x14ac:dyDescent="0.2">
      <c r="A1083">
        <v>1610</v>
      </c>
      <c r="B1083">
        <v>3744741523</v>
      </c>
      <c r="C1083" t="s">
        <v>101</v>
      </c>
      <c r="D1083" t="s">
        <v>4289</v>
      </c>
      <c r="E1083" t="s">
        <v>65</v>
      </c>
      <c r="F1083" t="s">
        <v>66</v>
      </c>
      <c r="G1083" t="s">
        <v>67</v>
      </c>
      <c r="H1083" t="s">
        <v>68</v>
      </c>
      <c r="I1083" t="s">
        <v>176</v>
      </c>
      <c r="J1083" t="s">
        <v>177</v>
      </c>
      <c r="K1083" t="s">
        <v>3925</v>
      </c>
      <c r="M1083" t="s">
        <v>72</v>
      </c>
      <c r="N1083" t="s">
        <v>3926</v>
      </c>
      <c r="O1083" t="s">
        <v>3925</v>
      </c>
      <c r="P1083" t="s">
        <v>1176</v>
      </c>
      <c r="Q1083" t="s">
        <v>75</v>
      </c>
      <c r="R1083" t="s">
        <v>3816</v>
      </c>
      <c r="S1083" t="s">
        <v>4272</v>
      </c>
      <c r="T1083" t="s">
        <v>78</v>
      </c>
      <c r="U1083" t="s">
        <v>3817</v>
      </c>
      <c r="V1083" t="s">
        <v>80</v>
      </c>
      <c r="W1083" s="1">
        <v>44520</v>
      </c>
      <c r="X1083" t="s">
        <v>3818</v>
      </c>
      <c r="Y1083" t="s">
        <v>4273</v>
      </c>
      <c r="Z1083" t="s">
        <v>83</v>
      </c>
      <c r="AA1083">
        <v>1</v>
      </c>
      <c r="AB1083" t="s">
        <v>103</v>
      </c>
      <c r="AD1083" t="s">
        <v>139</v>
      </c>
      <c r="AE1083" t="s">
        <v>86</v>
      </c>
      <c r="AF1083" t="s">
        <v>281</v>
      </c>
      <c r="AG1083" t="s">
        <v>282</v>
      </c>
      <c r="AH1083" t="s">
        <v>4278</v>
      </c>
      <c r="AI1083" t="s">
        <v>90</v>
      </c>
      <c r="AJ1083">
        <v>32.516249999999999</v>
      </c>
      <c r="AK1083">
        <v>-110.687225</v>
      </c>
      <c r="AL1083">
        <v>3</v>
      </c>
      <c r="AN1083">
        <v>1348</v>
      </c>
      <c r="AP1083">
        <v>1348</v>
      </c>
      <c r="AQ1083">
        <v>1364.514999</v>
      </c>
      <c r="AT1083">
        <v>20</v>
      </c>
      <c r="AU1083">
        <v>11</v>
      </c>
      <c r="AV1083">
        <v>2021</v>
      </c>
      <c r="AW1083">
        <v>2437981</v>
      </c>
      <c r="AX1083">
        <v>2437981</v>
      </c>
      <c r="AY1083" t="s">
        <v>106</v>
      </c>
      <c r="AZ1083" t="s">
        <v>92</v>
      </c>
      <c r="BA1083" t="s">
        <v>107</v>
      </c>
      <c r="BB1083" t="s">
        <v>4290</v>
      </c>
      <c r="BC1083" t="s">
        <v>97</v>
      </c>
      <c r="BE1083" t="s">
        <v>96</v>
      </c>
      <c r="BG1083" t="s">
        <v>97</v>
      </c>
      <c r="BI1083" t="s">
        <v>98</v>
      </c>
      <c r="BJ1083" t="s">
        <v>1215</v>
      </c>
      <c r="BL1083" t="s">
        <v>110</v>
      </c>
    </row>
    <row r="1084" spans="1:64" hidden="1" x14ac:dyDescent="0.2">
      <c r="A1084">
        <v>1608</v>
      </c>
      <c r="B1084">
        <v>3744741525</v>
      </c>
      <c r="C1084" t="s">
        <v>101</v>
      </c>
      <c r="D1084" t="s">
        <v>4291</v>
      </c>
      <c r="E1084" t="s">
        <v>65</v>
      </c>
      <c r="F1084" t="s">
        <v>66</v>
      </c>
      <c r="G1084" t="s">
        <v>67</v>
      </c>
      <c r="H1084" t="s">
        <v>68</v>
      </c>
      <c r="I1084" t="s">
        <v>176</v>
      </c>
      <c r="J1084" t="s">
        <v>177</v>
      </c>
      <c r="K1084" t="s">
        <v>3925</v>
      </c>
      <c r="M1084" t="s">
        <v>72</v>
      </c>
      <c r="N1084" t="s">
        <v>3926</v>
      </c>
      <c r="O1084" t="s">
        <v>3925</v>
      </c>
      <c r="P1084" t="s">
        <v>1176</v>
      </c>
      <c r="Q1084" t="s">
        <v>75</v>
      </c>
      <c r="R1084" t="s">
        <v>3816</v>
      </c>
      <c r="S1084" t="s">
        <v>4272</v>
      </c>
      <c r="T1084" t="s">
        <v>78</v>
      </c>
      <c r="U1084" t="s">
        <v>3817</v>
      </c>
      <c r="V1084" t="s">
        <v>80</v>
      </c>
      <c r="W1084" s="1">
        <v>44520</v>
      </c>
      <c r="X1084" t="s">
        <v>3818</v>
      </c>
      <c r="Y1084" t="s">
        <v>4273</v>
      </c>
      <c r="Z1084" t="s">
        <v>83</v>
      </c>
      <c r="AA1084">
        <v>1</v>
      </c>
      <c r="AB1084" t="s">
        <v>103</v>
      </c>
      <c r="AD1084" t="s">
        <v>123</v>
      </c>
      <c r="AE1084" t="s">
        <v>86</v>
      </c>
      <c r="AF1084" t="s">
        <v>281</v>
      </c>
      <c r="AG1084" t="s">
        <v>282</v>
      </c>
      <c r="AH1084" t="s">
        <v>4278</v>
      </c>
      <c r="AI1084" t="s">
        <v>90</v>
      </c>
      <c r="AJ1084">
        <v>32.516249999999999</v>
      </c>
      <c r="AK1084">
        <v>-110.687225</v>
      </c>
      <c r="AL1084">
        <v>3</v>
      </c>
      <c r="AN1084">
        <v>1348</v>
      </c>
      <c r="AP1084">
        <v>1348</v>
      </c>
      <c r="AQ1084">
        <v>1364.514999</v>
      </c>
      <c r="AT1084">
        <v>20</v>
      </c>
      <c r="AU1084">
        <v>11</v>
      </c>
      <c r="AV1084">
        <v>2021</v>
      </c>
      <c r="AW1084">
        <v>2437981</v>
      </c>
      <c r="AX1084">
        <v>2437981</v>
      </c>
      <c r="AY1084" t="s">
        <v>106</v>
      </c>
      <c r="AZ1084" t="s">
        <v>92</v>
      </c>
      <c r="BA1084" t="s">
        <v>107</v>
      </c>
      <c r="BB1084" t="s">
        <v>4292</v>
      </c>
      <c r="BC1084" t="s">
        <v>97</v>
      </c>
      <c r="BE1084" t="s">
        <v>96</v>
      </c>
      <c r="BG1084" t="s">
        <v>97</v>
      </c>
      <c r="BI1084" t="s">
        <v>98</v>
      </c>
      <c r="BJ1084" t="s">
        <v>121</v>
      </c>
      <c r="BL1084" t="s">
        <v>110</v>
      </c>
    </row>
    <row r="1085" spans="1:64" hidden="1" x14ac:dyDescent="0.2">
      <c r="A1085">
        <v>1612</v>
      </c>
      <c r="B1085">
        <v>3744741521</v>
      </c>
      <c r="C1085" t="s">
        <v>101</v>
      </c>
      <c r="D1085" t="s">
        <v>4293</v>
      </c>
      <c r="E1085" t="s">
        <v>65</v>
      </c>
      <c r="F1085" t="s">
        <v>66</v>
      </c>
      <c r="G1085" t="s">
        <v>67</v>
      </c>
      <c r="H1085" t="s">
        <v>68</v>
      </c>
      <c r="I1085" t="s">
        <v>176</v>
      </c>
      <c r="J1085" t="s">
        <v>177</v>
      </c>
      <c r="K1085" t="s">
        <v>3925</v>
      </c>
      <c r="M1085" t="s">
        <v>72</v>
      </c>
      <c r="N1085" t="s">
        <v>3926</v>
      </c>
      <c r="O1085" t="s">
        <v>3925</v>
      </c>
      <c r="P1085" t="s">
        <v>1176</v>
      </c>
      <c r="Q1085" t="s">
        <v>75</v>
      </c>
      <c r="R1085" t="s">
        <v>3816</v>
      </c>
      <c r="S1085" t="s">
        <v>4272</v>
      </c>
      <c r="T1085" t="s">
        <v>78</v>
      </c>
      <c r="U1085" t="s">
        <v>3817</v>
      </c>
      <c r="V1085" t="s">
        <v>80</v>
      </c>
      <c r="W1085" s="1">
        <v>44520</v>
      </c>
      <c r="X1085" t="s">
        <v>3818</v>
      </c>
      <c r="Y1085" t="s">
        <v>4273</v>
      </c>
      <c r="Z1085" t="s">
        <v>83</v>
      </c>
      <c r="AA1085">
        <v>1</v>
      </c>
      <c r="AB1085" t="s">
        <v>133</v>
      </c>
      <c r="AD1085" t="s">
        <v>134</v>
      </c>
      <c r="AE1085" t="s">
        <v>86</v>
      </c>
      <c r="AF1085" t="s">
        <v>281</v>
      </c>
      <c r="AG1085" t="s">
        <v>282</v>
      </c>
      <c r="AH1085" t="s">
        <v>4294</v>
      </c>
      <c r="AI1085" t="s">
        <v>90</v>
      </c>
      <c r="AJ1085">
        <v>32.516249999999999</v>
      </c>
      <c r="AK1085">
        <v>-110.687225</v>
      </c>
      <c r="AL1085">
        <v>3</v>
      </c>
      <c r="AN1085">
        <v>1348</v>
      </c>
      <c r="AP1085">
        <v>1348</v>
      </c>
      <c r="AQ1085">
        <v>1364.514999</v>
      </c>
      <c r="AT1085">
        <v>20</v>
      </c>
      <c r="AU1085">
        <v>11</v>
      </c>
      <c r="AV1085">
        <v>2021</v>
      </c>
      <c r="AW1085">
        <v>2437981</v>
      </c>
      <c r="AX1085">
        <v>2437981</v>
      </c>
      <c r="AY1085" t="s">
        <v>106</v>
      </c>
      <c r="AZ1085" t="s">
        <v>92</v>
      </c>
      <c r="BA1085" t="s">
        <v>107</v>
      </c>
      <c r="BB1085" t="s">
        <v>4295</v>
      </c>
      <c r="BC1085" t="s">
        <v>97</v>
      </c>
      <c r="BE1085" t="s">
        <v>96</v>
      </c>
      <c r="BG1085" t="s">
        <v>97</v>
      </c>
      <c r="BI1085" t="s">
        <v>98</v>
      </c>
      <c r="BJ1085" t="s">
        <v>121</v>
      </c>
      <c r="BL1085" t="s">
        <v>110</v>
      </c>
    </row>
    <row r="1086" spans="1:64" hidden="1" x14ac:dyDescent="0.2">
      <c r="A1086">
        <v>1695</v>
      </c>
      <c r="B1086">
        <v>3744741438</v>
      </c>
      <c r="C1086" t="s">
        <v>101</v>
      </c>
      <c r="D1086" t="s">
        <v>4296</v>
      </c>
      <c r="E1086" t="s">
        <v>65</v>
      </c>
      <c r="F1086" t="s">
        <v>66</v>
      </c>
      <c r="G1086" t="s">
        <v>67</v>
      </c>
      <c r="H1086" t="s">
        <v>68</v>
      </c>
      <c r="I1086" t="s">
        <v>176</v>
      </c>
      <c r="J1086" t="s">
        <v>177</v>
      </c>
      <c r="K1086" t="s">
        <v>3925</v>
      </c>
      <c r="M1086" t="s">
        <v>72</v>
      </c>
      <c r="N1086" t="s">
        <v>3926</v>
      </c>
      <c r="O1086" t="s">
        <v>3925</v>
      </c>
      <c r="P1086" t="s">
        <v>1176</v>
      </c>
      <c r="Q1086" t="s">
        <v>75</v>
      </c>
      <c r="R1086" t="s">
        <v>4297</v>
      </c>
      <c r="S1086" t="s">
        <v>4298</v>
      </c>
      <c r="T1086" t="s">
        <v>78</v>
      </c>
      <c r="U1086" t="s">
        <v>79</v>
      </c>
      <c r="V1086" t="s">
        <v>80</v>
      </c>
      <c r="W1086" s="1">
        <v>44521</v>
      </c>
      <c r="X1086" t="s">
        <v>81</v>
      </c>
      <c r="Y1086" t="s">
        <v>4299</v>
      </c>
      <c r="Z1086" t="s">
        <v>83</v>
      </c>
      <c r="AA1086">
        <v>1</v>
      </c>
      <c r="AB1086" t="s">
        <v>103</v>
      </c>
      <c r="AD1086" t="s">
        <v>343</v>
      </c>
      <c r="AE1086" t="s">
        <v>86</v>
      </c>
      <c r="AF1086" t="s">
        <v>146</v>
      </c>
      <c r="AG1086" t="s">
        <v>4300</v>
      </c>
      <c r="AI1086" t="s">
        <v>90</v>
      </c>
      <c r="AJ1086">
        <v>32.499842000000001</v>
      </c>
      <c r="AK1086">
        <v>-110.68376499999999</v>
      </c>
      <c r="AL1086">
        <v>3</v>
      </c>
      <c r="AN1086">
        <v>1329</v>
      </c>
      <c r="AP1086">
        <v>1329</v>
      </c>
      <c r="AQ1086">
        <v>1335.353539</v>
      </c>
      <c r="AT1086">
        <v>21</v>
      </c>
      <c r="AU1086">
        <v>11</v>
      </c>
      <c r="AV1086">
        <v>2021</v>
      </c>
      <c r="AW1086">
        <v>2437981</v>
      </c>
      <c r="AX1086">
        <v>2437981</v>
      </c>
      <c r="AY1086" t="s">
        <v>106</v>
      </c>
      <c r="AZ1086" t="s">
        <v>92</v>
      </c>
      <c r="BA1086" t="s">
        <v>107</v>
      </c>
      <c r="BB1086" t="s">
        <v>4301</v>
      </c>
      <c r="BC1086" t="s">
        <v>97</v>
      </c>
      <c r="BE1086" t="s">
        <v>96</v>
      </c>
      <c r="BG1086" t="s">
        <v>97</v>
      </c>
      <c r="BI1086" t="s">
        <v>98</v>
      </c>
      <c r="BJ1086" t="s">
        <v>4302</v>
      </c>
      <c r="BL1086" t="s">
        <v>110</v>
      </c>
    </row>
    <row r="1087" spans="1:64" hidden="1" x14ac:dyDescent="0.2">
      <c r="A1087">
        <v>1704</v>
      </c>
      <c r="B1087">
        <v>3744741429</v>
      </c>
      <c r="C1087" t="s">
        <v>101</v>
      </c>
      <c r="D1087" t="s">
        <v>4310</v>
      </c>
      <c r="E1087" t="s">
        <v>65</v>
      </c>
      <c r="F1087" t="s">
        <v>66</v>
      </c>
      <c r="G1087" t="s">
        <v>67</v>
      </c>
      <c r="H1087" t="s">
        <v>68</v>
      </c>
      <c r="I1087" t="s">
        <v>176</v>
      </c>
      <c r="J1087" t="s">
        <v>177</v>
      </c>
      <c r="K1087" t="s">
        <v>3925</v>
      </c>
      <c r="M1087" t="s">
        <v>72</v>
      </c>
      <c r="N1087" t="s">
        <v>3926</v>
      </c>
      <c r="O1087" t="s">
        <v>3925</v>
      </c>
      <c r="P1087" t="s">
        <v>1176</v>
      </c>
      <c r="Q1087" t="s">
        <v>75</v>
      </c>
      <c r="R1087" t="s">
        <v>4297</v>
      </c>
      <c r="S1087" t="s">
        <v>4304</v>
      </c>
      <c r="T1087" t="s">
        <v>78</v>
      </c>
      <c r="U1087" t="s">
        <v>79</v>
      </c>
      <c r="V1087" t="s">
        <v>80</v>
      </c>
      <c r="W1087" s="1">
        <v>44521</v>
      </c>
      <c r="X1087" t="s">
        <v>81</v>
      </c>
      <c r="Y1087" t="s">
        <v>4305</v>
      </c>
      <c r="Z1087" t="s">
        <v>83</v>
      </c>
      <c r="AA1087">
        <v>1</v>
      </c>
      <c r="AB1087" t="s">
        <v>103</v>
      </c>
      <c r="AD1087" t="s">
        <v>116</v>
      </c>
      <c r="AE1087" t="s">
        <v>86</v>
      </c>
      <c r="AF1087" t="s">
        <v>146</v>
      </c>
      <c r="AG1087" t="s">
        <v>4307</v>
      </c>
      <c r="AH1087" t="s">
        <v>4311</v>
      </c>
      <c r="AI1087" t="s">
        <v>90</v>
      </c>
      <c r="AJ1087">
        <v>32.499819000000002</v>
      </c>
      <c r="AK1087">
        <v>-110.68379899999999</v>
      </c>
      <c r="AL1087">
        <v>3</v>
      </c>
      <c r="AN1087">
        <v>1332</v>
      </c>
      <c r="AP1087">
        <v>1332</v>
      </c>
      <c r="AQ1087">
        <v>1335.8770300000001</v>
      </c>
      <c r="AT1087">
        <v>21</v>
      </c>
      <c r="AU1087">
        <v>11</v>
      </c>
      <c r="AV1087">
        <v>2021</v>
      </c>
      <c r="AW1087">
        <v>2437981</v>
      </c>
      <c r="AX1087">
        <v>2437981</v>
      </c>
      <c r="AY1087" t="s">
        <v>106</v>
      </c>
      <c r="AZ1087" t="s">
        <v>92</v>
      </c>
      <c r="BA1087" t="s">
        <v>107</v>
      </c>
      <c r="BB1087" t="s">
        <v>4312</v>
      </c>
      <c r="BC1087" t="s">
        <v>97</v>
      </c>
      <c r="BE1087" t="s">
        <v>96</v>
      </c>
      <c r="BG1087" t="s">
        <v>97</v>
      </c>
      <c r="BI1087" t="s">
        <v>98</v>
      </c>
      <c r="BJ1087" t="s">
        <v>295</v>
      </c>
      <c r="BL1087" t="s">
        <v>110</v>
      </c>
    </row>
    <row r="1088" spans="1:64" hidden="1" x14ac:dyDescent="0.2">
      <c r="A1088">
        <v>1701</v>
      </c>
      <c r="B1088">
        <v>3744741432</v>
      </c>
      <c r="C1088" t="s">
        <v>101</v>
      </c>
      <c r="D1088" t="s">
        <v>4313</v>
      </c>
      <c r="E1088" t="s">
        <v>65</v>
      </c>
      <c r="F1088" t="s">
        <v>66</v>
      </c>
      <c r="G1088" t="s">
        <v>67</v>
      </c>
      <c r="H1088" t="s">
        <v>68</v>
      </c>
      <c r="I1088" t="s">
        <v>176</v>
      </c>
      <c r="J1088" t="s">
        <v>177</v>
      </c>
      <c r="K1088" t="s">
        <v>3925</v>
      </c>
      <c r="M1088" t="s">
        <v>72</v>
      </c>
      <c r="N1088" t="s">
        <v>3926</v>
      </c>
      <c r="O1088" t="s">
        <v>3925</v>
      </c>
      <c r="P1088" t="s">
        <v>1176</v>
      </c>
      <c r="Q1088" t="s">
        <v>75</v>
      </c>
      <c r="R1088" t="s">
        <v>4297</v>
      </c>
      <c r="S1088" t="s">
        <v>4304</v>
      </c>
      <c r="T1088" t="s">
        <v>78</v>
      </c>
      <c r="U1088" t="s">
        <v>79</v>
      </c>
      <c r="V1088" t="s">
        <v>80</v>
      </c>
      <c r="W1088" s="1">
        <v>44521</v>
      </c>
      <c r="X1088" t="s">
        <v>81</v>
      </c>
      <c r="Y1088" t="s">
        <v>4305</v>
      </c>
      <c r="Z1088" t="s">
        <v>83</v>
      </c>
      <c r="AA1088">
        <v>1</v>
      </c>
      <c r="AB1088" t="s">
        <v>103</v>
      </c>
      <c r="AD1088" t="s">
        <v>104</v>
      </c>
      <c r="AE1088" t="s">
        <v>86</v>
      </c>
      <c r="AF1088" t="s">
        <v>146</v>
      </c>
      <c r="AG1088" t="s">
        <v>4307</v>
      </c>
      <c r="AH1088" t="s">
        <v>4311</v>
      </c>
      <c r="AI1088" t="s">
        <v>90</v>
      </c>
      <c r="AJ1088">
        <v>32.499819000000002</v>
      </c>
      <c r="AK1088">
        <v>-110.68379899999999</v>
      </c>
      <c r="AL1088">
        <v>3</v>
      </c>
      <c r="AN1088">
        <v>1332</v>
      </c>
      <c r="AP1088">
        <v>1332</v>
      </c>
      <c r="AQ1088">
        <v>1335.8770300000001</v>
      </c>
      <c r="AT1088">
        <v>21</v>
      </c>
      <c r="AU1088">
        <v>11</v>
      </c>
      <c r="AV1088">
        <v>2021</v>
      </c>
      <c r="AW1088">
        <v>2437981</v>
      </c>
      <c r="AX1088">
        <v>2437981</v>
      </c>
      <c r="AY1088" t="s">
        <v>106</v>
      </c>
      <c r="AZ1088" t="s">
        <v>92</v>
      </c>
      <c r="BA1088" t="s">
        <v>107</v>
      </c>
      <c r="BB1088" t="s">
        <v>4314</v>
      </c>
      <c r="BC1088" t="s">
        <v>97</v>
      </c>
      <c r="BE1088" t="s">
        <v>96</v>
      </c>
      <c r="BG1088" t="s">
        <v>97</v>
      </c>
      <c r="BI1088" t="s">
        <v>98</v>
      </c>
      <c r="BJ1088" t="s">
        <v>2469</v>
      </c>
      <c r="BL1088" t="s">
        <v>110</v>
      </c>
    </row>
    <row r="1089" spans="1:64" x14ac:dyDescent="0.2">
      <c r="A1089">
        <v>643</v>
      </c>
      <c r="B1089">
        <v>4126336316</v>
      </c>
      <c r="C1089" t="s">
        <v>63</v>
      </c>
      <c r="D1089" t="s">
        <v>5662</v>
      </c>
      <c r="E1089" t="s">
        <v>65</v>
      </c>
      <c r="F1089" t="s">
        <v>66</v>
      </c>
      <c r="G1089" t="s">
        <v>67</v>
      </c>
      <c r="H1089" t="s">
        <v>68</v>
      </c>
      <c r="I1089" t="s">
        <v>176</v>
      </c>
      <c r="J1089" t="s">
        <v>177</v>
      </c>
      <c r="K1089" t="s">
        <v>3925</v>
      </c>
      <c r="M1089" t="s">
        <v>72</v>
      </c>
      <c r="N1089" t="s">
        <v>3926</v>
      </c>
      <c r="O1089" t="s">
        <v>3925</v>
      </c>
      <c r="P1089" t="s">
        <v>1176</v>
      </c>
      <c r="Q1089" t="s">
        <v>75</v>
      </c>
      <c r="R1089" t="s">
        <v>5008</v>
      </c>
      <c r="S1089" t="s">
        <v>607</v>
      </c>
      <c r="T1089" t="s">
        <v>78</v>
      </c>
      <c r="U1089" t="s">
        <v>5009</v>
      </c>
      <c r="V1089" t="s">
        <v>80</v>
      </c>
      <c r="W1089" s="1">
        <v>44905</v>
      </c>
      <c r="X1089" t="s">
        <v>5010</v>
      </c>
      <c r="Y1089" t="s">
        <v>5663</v>
      </c>
      <c r="Z1089" t="s">
        <v>83</v>
      </c>
      <c r="AA1089">
        <v>1</v>
      </c>
      <c r="AB1089" t="s">
        <v>5664</v>
      </c>
      <c r="AC1089">
        <v>1</v>
      </c>
      <c r="AD1089" s="6" t="s">
        <v>85</v>
      </c>
      <c r="AE1089" s="6" t="s">
        <v>86</v>
      </c>
      <c r="AF1089" s="6" t="s">
        <v>146</v>
      </c>
      <c r="AG1089" s="6" t="s">
        <v>5665</v>
      </c>
      <c r="AH1089" s="6" t="s">
        <v>5666</v>
      </c>
      <c r="AI1089" s="6" t="s">
        <v>90</v>
      </c>
      <c r="AJ1089" s="6">
        <v>32.313164999999998</v>
      </c>
      <c r="AK1089" s="6">
        <v>-110.712644</v>
      </c>
      <c r="AL1089" s="6">
        <v>3</v>
      </c>
      <c r="AM1089" s="6"/>
      <c r="AN1089" s="6">
        <v>1168</v>
      </c>
      <c r="AO1089" s="6"/>
      <c r="AP1089" s="6">
        <v>1168</v>
      </c>
      <c r="AQ1089" s="6">
        <v>1168.292398</v>
      </c>
      <c r="AR1089" s="6"/>
      <c r="AS1089" s="6"/>
      <c r="AT1089" s="6">
        <v>10</v>
      </c>
      <c r="AU1089" s="6">
        <v>12</v>
      </c>
      <c r="AV1089" s="6">
        <v>2022</v>
      </c>
      <c r="AW1089" s="6">
        <v>2437981</v>
      </c>
      <c r="AX1089" s="6">
        <v>2437981</v>
      </c>
      <c r="AY1089" s="6" t="s">
        <v>91</v>
      </c>
      <c r="AZ1089" t="s">
        <v>92</v>
      </c>
      <c r="BA1089" t="s">
        <v>93</v>
      </c>
      <c r="BB1089" t="s">
        <v>5667</v>
      </c>
      <c r="BC1089" t="s">
        <v>97</v>
      </c>
      <c r="BE1089" t="s">
        <v>96</v>
      </c>
      <c r="BG1089" t="s">
        <v>5499</v>
      </c>
      <c r="BI1089" t="s">
        <v>98</v>
      </c>
      <c r="BJ1089" t="s">
        <v>5668</v>
      </c>
      <c r="BK1089" t="s">
        <v>365</v>
      </c>
      <c r="BL1089" t="s">
        <v>5540</v>
      </c>
    </row>
    <row r="1090" spans="1:64" hidden="1" x14ac:dyDescent="0.2">
      <c r="A1090">
        <v>1707</v>
      </c>
      <c r="B1090">
        <v>3744741426</v>
      </c>
      <c r="C1090" t="s">
        <v>101</v>
      </c>
      <c r="D1090" t="s">
        <v>4318</v>
      </c>
      <c r="E1090" t="s">
        <v>65</v>
      </c>
      <c r="F1090" t="s">
        <v>66</v>
      </c>
      <c r="G1090" t="s">
        <v>67</v>
      </c>
      <c r="H1090" t="s">
        <v>68</v>
      </c>
      <c r="I1090" t="s">
        <v>176</v>
      </c>
      <c r="J1090" t="s">
        <v>177</v>
      </c>
      <c r="K1090" t="s">
        <v>3925</v>
      </c>
      <c r="M1090" t="s">
        <v>72</v>
      </c>
      <c r="N1090" t="s">
        <v>3926</v>
      </c>
      <c r="O1090" t="s">
        <v>3925</v>
      </c>
      <c r="P1090" t="s">
        <v>1176</v>
      </c>
      <c r="Q1090" t="s">
        <v>75</v>
      </c>
      <c r="R1090" t="s">
        <v>4297</v>
      </c>
      <c r="S1090" t="s">
        <v>4304</v>
      </c>
      <c r="T1090" t="s">
        <v>78</v>
      </c>
      <c r="U1090" t="s">
        <v>79</v>
      </c>
      <c r="V1090" t="s">
        <v>80</v>
      </c>
      <c r="W1090" s="1">
        <v>44521</v>
      </c>
      <c r="X1090" t="s">
        <v>81</v>
      </c>
      <c r="Y1090" t="s">
        <v>4305</v>
      </c>
      <c r="Z1090" t="s">
        <v>83</v>
      </c>
      <c r="AA1090">
        <v>1</v>
      </c>
      <c r="AB1090" t="s">
        <v>103</v>
      </c>
      <c r="AD1090" t="s">
        <v>112</v>
      </c>
      <c r="AE1090" t="s">
        <v>86</v>
      </c>
      <c r="AF1090" t="s">
        <v>146</v>
      </c>
      <c r="AG1090" t="s">
        <v>4307</v>
      </c>
      <c r="AH1090" t="s">
        <v>4311</v>
      </c>
      <c r="AI1090" t="s">
        <v>90</v>
      </c>
      <c r="AJ1090">
        <v>32.499819000000002</v>
      </c>
      <c r="AK1090">
        <v>-110.68379899999999</v>
      </c>
      <c r="AL1090">
        <v>3</v>
      </c>
      <c r="AN1090">
        <v>1332</v>
      </c>
      <c r="AP1090">
        <v>1332</v>
      </c>
      <c r="AQ1090">
        <v>1335.8770300000001</v>
      </c>
      <c r="AT1090">
        <v>21</v>
      </c>
      <c r="AU1090">
        <v>11</v>
      </c>
      <c r="AV1090">
        <v>2021</v>
      </c>
      <c r="AW1090">
        <v>2437981</v>
      </c>
      <c r="AX1090">
        <v>2437981</v>
      </c>
      <c r="AY1090" t="s">
        <v>106</v>
      </c>
      <c r="AZ1090" t="s">
        <v>92</v>
      </c>
      <c r="BA1090" t="s">
        <v>107</v>
      </c>
      <c r="BB1090" t="s">
        <v>4319</v>
      </c>
      <c r="BC1090" t="s">
        <v>97</v>
      </c>
      <c r="BE1090" t="s">
        <v>96</v>
      </c>
      <c r="BG1090" t="s">
        <v>97</v>
      </c>
      <c r="BI1090" t="s">
        <v>98</v>
      </c>
      <c r="BJ1090" t="s">
        <v>302</v>
      </c>
      <c r="BL1090" t="s">
        <v>110</v>
      </c>
    </row>
    <row r="1091" spans="1:64" hidden="1" x14ac:dyDescent="0.2">
      <c r="A1091">
        <v>1716</v>
      </c>
      <c r="B1091">
        <v>3744741417</v>
      </c>
      <c r="C1091" t="s">
        <v>101</v>
      </c>
      <c r="D1091" t="s">
        <v>4320</v>
      </c>
      <c r="E1091" t="s">
        <v>65</v>
      </c>
      <c r="F1091" t="s">
        <v>66</v>
      </c>
      <c r="G1091" t="s">
        <v>67</v>
      </c>
      <c r="H1091" t="s">
        <v>68</v>
      </c>
      <c r="I1091" t="s">
        <v>176</v>
      </c>
      <c r="J1091" t="s">
        <v>177</v>
      </c>
      <c r="K1091" t="s">
        <v>3925</v>
      </c>
      <c r="M1091" t="s">
        <v>72</v>
      </c>
      <c r="N1091" t="s">
        <v>3926</v>
      </c>
      <c r="O1091" t="s">
        <v>3925</v>
      </c>
      <c r="P1091" t="s">
        <v>1176</v>
      </c>
      <c r="Q1091" t="s">
        <v>75</v>
      </c>
      <c r="R1091" t="s">
        <v>4297</v>
      </c>
      <c r="S1091" t="s">
        <v>4304</v>
      </c>
      <c r="T1091" t="s">
        <v>78</v>
      </c>
      <c r="U1091" t="s">
        <v>79</v>
      </c>
      <c r="V1091" t="s">
        <v>80</v>
      </c>
      <c r="W1091" s="1">
        <v>44521</v>
      </c>
      <c r="X1091" t="s">
        <v>81</v>
      </c>
      <c r="Y1091" t="s">
        <v>4305</v>
      </c>
      <c r="Z1091" t="s">
        <v>83</v>
      </c>
      <c r="AA1091">
        <v>1</v>
      </c>
      <c r="AB1091" t="s">
        <v>103</v>
      </c>
      <c r="AD1091" t="s">
        <v>139</v>
      </c>
      <c r="AE1091" t="s">
        <v>86</v>
      </c>
      <c r="AF1091" t="s">
        <v>146</v>
      </c>
      <c r="AG1091" t="s">
        <v>4307</v>
      </c>
      <c r="AH1091" t="s">
        <v>4311</v>
      </c>
      <c r="AI1091" t="s">
        <v>90</v>
      </c>
      <c r="AJ1091">
        <v>32.499819000000002</v>
      </c>
      <c r="AK1091">
        <v>-110.68379899999999</v>
      </c>
      <c r="AL1091">
        <v>3</v>
      </c>
      <c r="AN1091">
        <v>1332</v>
      </c>
      <c r="AP1091">
        <v>1332</v>
      </c>
      <c r="AQ1091">
        <v>1335.8770300000001</v>
      </c>
      <c r="AT1091">
        <v>21</v>
      </c>
      <c r="AU1091">
        <v>11</v>
      </c>
      <c r="AV1091">
        <v>2021</v>
      </c>
      <c r="AW1091">
        <v>2437981</v>
      </c>
      <c r="AX1091">
        <v>2437981</v>
      </c>
      <c r="AY1091" t="s">
        <v>106</v>
      </c>
      <c r="AZ1091" t="s">
        <v>92</v>
      </c>
      <c r="BA1091" t="s">
        <v>107</v>
      </c>
      <c r="BB1091" t="s">
        <v>4321</v>
      </c>
      <c r="BC1091" t="s">
        <v>97</v>
      </c>
      <c r="BE1091" t="s">
        <v>96</v>
      </c>
      <c r="BG1091" t="s">
        <v>97</v>
      </c>
      <c r="BI1091" t="s">
        <v>98</v>
      </c>
      <c r="BJ1091" t="s">
        <v>4322</v>
      </c>
      <c r="BL1091" t="s">
        <v>110</v>
      </c>
    </row>
    <row r="1092" spans="1:64" hidden="1" x14ac:dyDescent="0.2">
      <c r="A1092">
        <v>1713</v>
      </c>
      <c r="B1092">
        <v>3744741420</v>
      </c>
      <c r="C1092" t="s">
        <v>101</v>
      </c>
      <c r="D1092" t="s">
        <v>4323</v>
      </c>
      <c r="E1092" t="s">
        <v>65</v>
      </c>
      <c r="F1092" t="s">
        <v>66</v>
      </c>
      <c r="G1092" t="s">
        <v>67</v>
      </c>
      <c r="H1092" t="s">
        <v>68</v>
      </c>
      <c r="I1092" t="s">
        <v>176</v>
      </c>
      <c r="J1092" t="s">
        <v>177</v>
      </c>
      <c r="K1092" t="s">
        <v>3925</v>
      </c>
      <c r="M1092" t="s">
        <v>72</v>
      </c>
      <c r="N1092" t="s">
        <v>3926</v>
      </c>
      <c r="O1092" t="s">
        <v>3925</v>
      </c>
      <c r="P1092" t="s">
        <v>1176</v>
      </c>
      <c r="Q1092" t="s">
        <v>75</v>
      </c>
      <c r="R1092" t="s">
        <v>4297</v>
      </c>
      <c r="S1092" t="s">
        <v>4304</v>
      </c>
      <c r="T1092" t="s">
        <v>78</v>
      </c>
      <c r="U1092" t="s">
        <v>79</v>
      </c>
      <c r="V1092" t="s">
        <v>80</v>
      </c>
      <c r="W1092" s="1">
        <v>44521</v>
      </c>
      <c r="X1092" t="s">
        <v>81</v>
      </c>
      <c r="Y1092" t="s">
        <v>4305</v>
      </c>
      <c r="Z1092" t="s">
        <v>83</v>
      </c>
      <c r="AA1092">
        <v>1</v>
      </c>
      <c r="AB1092" t="s">
        <v>103</v>
      </c>
      <c r="AD1092" t="s">
        <v>123</v>
      </c>
      <c r="AE1092" t="s">
        <v>86</v>
      </c>
      <c r="AF1092" t="s">
        <v>146</v>
      </c>
      <c r="AG1092" t="s">
        <v>4307</v>
      </c>
      <c r="AH1092" t="s">
        <v>4311</v>
      </c>
      <c r="AI1092" t="s">
        <v>90</v>
      </c>
      <c r="AJ1092">
        <v>32.499819000000002</v>
      </c>
      <c r="AK1092">
        <v>-110.68379899999999</v>
      </c>
      <c r="AL1092">
        <v>3</v>
      </c>
      <c r="AN1092">
        <v>1332</v>
      </c>
      <c r="AP1092">
        <v>1332</v>
      </c>
      <c r="AQ1092">
        <v>1335.8770300000001</v>
      </c>
      <c r="AT1092">
        <v>21</v>
      </c>
      <c r="AU1092">
        <v>11</v>
      </c>
      <c r="AV1092">
        <v>2021</v>
      </c>
      <c r="AW1092">
        <v>2437981</v>
      </c>
      <c r="AX1092">
        <v>2437981</v>
      </c>
      <c r="AY1092" t="s">
        <v>106</v>
      </c>
      <c r="AZ1092" t="s">
        <v>92</v>
      </c>
      <c r="BA1092" t="s">
        <v>107</v>
      </c>
      <c r="BB1092" t="s">
        <v>4324</v>
      </c>
      <c r="BC1092" t="s">
        <v>97</v>
      </c>
      <c r="BE1092" t="s">
        <v>96</v>
      </c>
      <c r="BG1092" t="s">
        <v>97</v>
      </c>
      <c r="BI1092" t="s">
        <v>98</v>
      </c>
      <c r="BJ1092" t="s">
        <v>2469</v>
      </c>
      <c r="BL1092" t="s">
        <v>110</v>
      </c>
    </row>
    <row r="1093" spans="1:64" hidden="1" x14ac:dyDescent="0.2">
      <c r="A1093">
        <v>1722</v>
      </c>
      <c r="B1093">
        <v>3744741411</v>
      </c>
      <c r="C1093" t="s">
        <v>101</v>
      </c>
      <c r="D1093" t="s">
        <v>4325</v>
      </c>
      <c r="E1093" t="s">
        <v>65</v>
      </c>
      <c r="F1093" t="s">
        <v>66</v>
      </c>
      <c r="G1093" t="s">
        <v>67</v>
      </c>
      <c r="H1093" t="s">
        <v>68</v>
      </c>
      <c r="I1093" t="s">
        <v>176</v>
      </c>
      <c r="J1093" t="s">
        <v>177</v>
      </c>
      <c r="K1093" t="s">
        <v>3925</v>
      </c>
      <c r="M1093" t="s">
        <v>72</v>
      </c>
      <c r="N1093" t="s">
        <v>3926</v>
      </c>
      <c r="O1093" t="s">
        <v>3925</v>
      </c>
      <c r="P1093" t="s">
        <v>1176</v>
      </c>
      <c r="Q1093" t="s">
        <v>75</v>
      </c>
      <c r="R1093" t="s">
        <v>4297</v>
      </c>
      <c r="S1093" t="s">
        <v>4304</v>
      </c>
      <c r="T1093" t="s">
        <v>78</v>
      </c>
      <c r="U1093" t="s">
        <v>79</v>
      </c>
      <c r="V1093" t="s">
        <v>80</v>
      </c>
      <c r="W1093" s="1">
        <v>44521</v>
      </c>
      <c r="X1093" t="s">
        <v>81</v>
      </c>
      <c r="Y1093" t="s">
        <v>4305</v>
      </c>
      <c r="Z1093" t="s">
        <v>83</v>
      </c>
      <c r="AA1093">
        <v>1</v>
      </c>
      <c r="AB1093" t="s">
        <v>133</v>
      </c>
      <c r="AD1093" t="s">
        <v>134</v>
      </c>
      <c r="AE1093" t="s">
        <v>86</v>
      </c>
      <c r="AF1093" t="s">
        <v>146</v>
      </c>
      <c r="AG1093" t="s">
        <v>4307</v>
      </c>
      <c r="AH1093" t="s">
        <v>4326</v>
      </c>
      <c r="AI1093" t="s">
        <v>90</v>
      </c>
      <c r="AJ1093">
        <v>32.499819000000002</v>
      </c>
      <c r="AK1093">
        <v>-110.68379899999999</v>
      </c>
      <c r="AL1093">
        <v>3</v>
      </c>
      <c r="AN1093">
        <v>1332</v>
      </c>
      <c r="AP1093">
        <v>1332</v>
      </c>
      <c r="AQ1093">
        <v>1335.8770300000001</v>
      </c>
      <c r="AT1093">
        <v>21</v>
      </c>
      <c r="AU1093">
        <v>11</v>
      </c>
      <c r="AV1093">
        <v>2021</v>
      </c>
      <c r="AW1093">
        <v>2437981</v>
      </c>
      <c r="AX1093">
        <v>2437981</v>
      </c>
      <c r="AY1093" t="s">
        <v>106</v>
      </c>
      <c r="AZ1093" t="s">
        <v>92</v>
      </c>
      <c r="BA1093" t="s">
        <v>107</v>
      </c>
      <c r="BB1093" t="s">
        <v>4327</v>
      </c>
      <c r="BC1093" t="s">
        <v>97</v>
      </c>
      <c r="BE1093" t="s">
        <v>96</v>
      </c>
      <c r="BG1093" t="s">
        <v>97</v>
      </c>
      <c r="BI1093" t="s">
        <v>98</v>
      </c>
      <c r="BJ1093" t="s">
        <v>4328</v>
      </c>
      <c r="BL1093" t="s">
        <v>110</v>
      </c>
    </row>
    <row r="1094" spans="1:64" hidden="1" x14ac:dyDescent="0.2">
      <c r="A1094">
        <v>1726</v>
      </c>
      <c r="B1094">
        <v>3744741407</v>
      </c>
      <c r="C1094" t="s">
        <v>101</v>
      </c>
      <c r="D1094" t="s">
        <v>4337</v>
      </c>
      <c r="E1094" t="s">
        <v>65</v>
      </c>
      <c r="F1094" t="s">
        <v>66</v>
      </c>
      <c r="G1094" t="s">
        <v>67</v>
      </c>
      <c r="H1094" t="s">
        <v>68</v>
      </c>
      <c r="I1094" t="s">
        <v>176</v>
      </c>
      <c r="J1094" t="s">
        <v>3844</v>
      </c>
      <c r="K1094" t="s">
        <v>3845</v>
      </c>
      <c r="M1094" t="s">
        <v>72</v>
      </c>
      <c r="N1094" t="s">
        <v>3846</v>
      </c>
      <c r="O1094" t="s">
        <v>3845</v>
      </c>
      <c r="P1094" t="s">
        <v>3847</v>
      </c>
      <c r="Q1094" t="s">
        <v>75</v>
      </c>
      <c r="R1094" t="s">
        <v>4297</v>
      </c>
      <c r="S1094" t="s">
        <v>4330</v>
      </c>
      <c r="T1094" t="s">
        <v>78</v>
      </c>
      <c r="U1094" t="s">
        <v>79</v>
      </c>
      <c r="V1094" t="s">
        <v>80</v>
      </c>
      <c r="W1094" s="1">
        <v>44521</v>
      </c>
      <c r="X1094" t="s">
        <v>81</v>
      </c>
      <c r="Y1094" t="s">
        <v>4331</v>
      </c>
      <c r="Z1094" t="s">
        <v>83</v>
      </c>
      <c r="AA1094">
        <v>1</v>
      </c>
      <c r="AB1094" t="s">
        <v>103</v>
      </c>
      <c r="AD1094" t="s">
        <v>116</v>
      </c>
      <c r="AE1094" t="s">
        <v>86</v>
      </c>
      <c r="AF1094" t="s">
        <v>146</v>
      </c>
      <c r="AG1094" t="s">
        <v>4333</v>
      </c>
      <c r="AH1094" t="s">
        <v>4338</v>
      </c>
      <c r="AI1094" t="s">
        <v>90</v>
      </c>
      <c r="AJ1094">
        <v>32.499566000000002</v>
      </c>
      <c r="AK1094">
        <v>-110.684054</v>
      </c>
      <c r="AL1094">
        <v>3</v>
      </c>
      <c r="AN1094">
        <v>1343</v>
      </c>
      <c r="AP1094">
        <v>1343</v>
      </c>
      <c r="AQ1094">
        <v>1339.2074190000001</v>
      </c>
      <c r="AT1094">
        <v>21</v>
      </c>
      <c r="AU1094">
        <v>11</v>
      </c>
      <c r="AV1094">
        <v>2021</v>
      </c>
      <c r="AW1094">
        <v>2438516</v>
      </c>
      <c r="AX1094">
        <v>2438516</v>
      </c>
      <c r="AY1094" t="s">
        <v>106</v>
      </c>
      <c r="AZ1094" t="s">
        <v>92</v>
      </c>
      <c r="BA1094" t="s">
        <v>107</v>
      </c>
      <c r="BB1094" t="s">
        <v>4339</v>
      </c>
      <c r="BC1094" t="s">
        <v>97</v>
      </c>
      <c r="BE1094" t="s">
        <v>96</v>
      </c>
      <c r="BG1094" t="s">
        <v>97</v>
      </c>
      <c r="BI1094" t="s">
        <v>98</v>
      </c>
      <c r="BJ1094" t="s">
        <v>4340</v>
      </c>
      <c r="BL1094" t="s">
        <v>110</v>
      </c>
    </row>
    <row r="1095" spans="1:64" hidden="1" x14ac:dyDescent="0.2">
      <c r="A1095">
        <v>1723</v>
      </c>
      <c r="B1095">
        <v>3744741410</v>
      </c>
      <c r="C1095" t="s">
        <v>101</v>
      </c>
      <c r="D1095" t="s">
        <v>4341</v>
      </c>
      <c r="E1095" t="s">
        <v>65</v>
      </c>
      <c r="F1095" t="s">
        <v>66</v>
      </c>
      <c r="G1095" t="s">
        <v>67</v>
      </c>
      <c r="H1095" t="s">
        <v>68</v>
      </c>
      <c r="I1095" t="s">
        <v>176</v>
      </c>
      <c r="J1095" t="s">
        <v>3844</v>
      </c>
      <c r="K1095" t="s">
        <v>3845</v>
      </c>
      <c r="M1095" t="s">
        <v>72</v>
      </c>
      <c r="N1095" t="s">
        <v>3846</v>
      </c>
      <c r="O1095" t="s">
        <v>3845</v>
      </c>
      <c r="P1095" t="s">
        <v>3847</v>
      </c>
      <c r="Q1095" t="s">
        <v>75</v>
      </c>
      <c r="R1095" t="s">
        <v>4297</v>
      </c>
      <c r="S1095" t="s">
        <v>4330</v>
      </c>
      <c r="T1095" t="s">
        <v>78</v>
      </c>
      <c r="U1095" t="s">
        <v>79</v>
      </c>
      <c r="V1095" t="s">
        <v>80</v>
      </c>
      <c r="W1095" s="1">
        <v>44521</v>
      </c>
      <c r="X1095" t="s">
        <v>81</v>
      </c>
      <c r="Y1095" t="s">
        <v>4331</v>
      </c>
      <c r="Z1095" t="s">
        <v>83</v>
      </c>
      <c r="AA1095">
        <v>1</v>
      </c>
      <c r="AB1095" t="s">
        <v>103</v>
      </c>
      <c r="AD1095" t="s">
        <v>104</v>
      </c>
      <c r="AE1095" t="s">
        <v>86</v>
      </c>
      <c r="AF1095" t="s">
        <v>146</v>
      </c>
      <c r="AG1095" t="s">
        <v>4333</v>
      </c>
      <c r="AH1095" t="s">
        <v>4338</v>
      </c>
      <c r="AI1095" t="s">
        <v>90</v>
      </c>
      <c r="AJ1095">
        <v>32.499566000000002</v>
      </c>
      <c r="AK1095">
        <v>-110.684054</v>
      </c>
      <c r="AL1095">
        <v>3</v>
      </c>
      <c r="AN1095">
        <v>1343</v>
      </c>
      <c r="AP1095">
        <v>1343</v>
      </c>
      <c r="AQ1095">
        <v>1339.2074190000001</v>
      </c>
      <c r="AT1095">
        <v>21</v>
      </c>
      <c r="AU1095">
        <v>11</v>
      </c>
      <c r="AV1095">
        <v>2021</v>
      </c>
      <c r="AW1095">
        <v>2438516</v>
      </c>
      <c r="AX1095">
        <v>2438516</v>
      </c>
      <c r="AY1095" t="s">
        <v>106</v>
      </c>
      <c r="AZ1095" t="s">
        <v>92</v>
      </c>
      <c r="BA1095" t="s">
        <v>107</v>
      </c>
      <c r="BB1095" t="s">
        <v>4342</v>
      </c>
      <c r="BC1095" t="s">
        <v>97</v>
      </c>
      <c r="BE1095" t="s">
        <v>96</v>
      </c>
      <c r="BG1095" t="s">
        <v>97</v>
      </c>
      <c r="BI1095" t="s">
        <v>98</v>
      </c>
      <c r="BJ1095" t="s">
        <v>4343</v>
      </c>
      <c r="BL1095" t="s">
        <v>110</v>
      </c>
    </row>
    <row r="1096" spans="1:64" x14ac:dyDescent="0.2">
      <c r="A1096">
        <v>640</v>
      </c>
      <c r="B1096">
        <v>4126336320</v>
      </c>
      <c r="C1096" t="s">
        <v>63</v>
      </c>
      <c r="D1096" t="s">
        <v>5693</v>
      </c>
      <c r="E1096" t="s">
        <v>65</v>
      </c>
      <c r="F1096" t="s">
        <v>66</v>
      </c>
      <c r="G1096" t="s">
        <v>67</v>
      </c>
      <c r="H1096" t="s">
        <v>68</v>
      </c>
      <c r="I1096" t="s">
        <v>69</v>
      </c>
      <c r="J1096" t="s">
        <v>70</v>
      </c>
      <c r="K1096" t="s">
        <v>4195</v>
      </c>
      <c r="M1096" t="s">
        <v>72</v>
      </c>
      <c r="N1096" t="s">
        <v>4196</v>
      </c>
      <c r="O1096" t="s">
        <v>4195</v>
      </c>
      <c r="P1096" t="s">
        <v>4197</v>
      </c>
      <c r="Q1096" t="s">
        <v>75</v>
      </c>
      <c r="R1096" t="s">
        <v>5008</v>
      </c>
      <c r="S1096" t="s">
        <v>1565</v>
      </c>
      <c r="T1096" t="s">
        <v>78</v>
      </c>
      <c r="U1096" t="s">
        <v>5009</v>
      </c>
      <c r="V1096" t="s">
        <v>80</v>
      </c>
      <c r="W1096" s="1">
        <v>44905</v>
      </c>
      <c r="X1096" t="s">
        <v>5010</v>
      </c>
      <c r="Y1096" t="s">
        <v>5694</v>
      </c>
      <c r="Z1096" t="s">
        <v>83</v>
      </c>
      <c r="AA1096">
        <v>1</v>
      </c>
      <c r="AB1096" t="s">
        <v>5695</v>
      </c>
      <c r="AC1096">
        <v>1</v>
      </c>
      <c r="AD1096" s="6" t="s">
        <v>85</v>
      </c>
      <c r="AE1096" s="6" t="s">
        <v>86</v>
      </c>
      <c r="AF1096" s="6" t="s">
        <v>146</v>
      </c>
      <c r="AG1096" s="6" t="s">
        <v>5536</v>
      </c>
      <c r="AH1096" s="6" t="s">
        <v>5696</v>
      </c>
      <c r="AI1096" s="6" t="s">
        <v>90</v>
      </c>
      <c r="AJ1096" s="6">
        <v>32.313924</v>
      </c>
      <c r="AK1096" s="6">
        <v>-110.713359</v>
      </c>
      <c r="AL1096" s="6">
        <v>3</v>
      </c>
      <c r="AM1096" s="6"/>
      <c r="AN1096" s="6">
        <v>1153</v>
      </c>
      <c r="AO1096" s="6"/>
      <c r="AP1096" s="6">
        <v>1153</v>
      </c>
      <c r="AQ1096" s="6">
        <v>1189.991994</v>
      </c>
      <c r="AR1096" s="6"/>
      <c r="AS1096" s="6"/>
      <c r="AT1096" s="6">
        <v>10</v>
      </c>
      <c r="AU1096" s="6">
        <v>12</v>
      </c>
      <c r="AV1096" s="6">
        <v>2022</v>
      </c>
      <c r="AW1096" s="6">
        <v>2439589</v>
      </c>
      <c r="AX1096" s="6">
        <v>2439589</v>
      </c>
      <c r="AY1096" s="6" t="s">
        <v>91</v>
      </c>
      <c r="AZ1096" t="s">
        <v>92</v>
      </c>
      <c r="BA1096" t="s">
        <v>93</v>
      </c>
      <c r="BB1096" t="s">
        <v>5697</v>
      </c>
      <c r="BC1096" t="s">
        <v>97</v>
      </c>
      <c r="BE1096" t="s">
        <v>96</v>
      </c>
      <c r="BG1096" t="s">
        <v>5499</v>
      </c>
      <c r="BI1096" t="s">
        <v>98</v>
      </c>
      <c r="BJ1096" t="s">
        <v>5698</v>
      </c>
      <c r="BK1096" t="s">
        <v>365</v>
      </c>
      <c r="BL1096" t="s">
        <v>5540</v>
      </c>
    </row>
    <row r="1097" spans="1:64" hidden="1" x14ac:dyDescent="0.2">
      <c r="A1097">
        <v>1728</v>
      </c>
      <c r="B1097">
        <v>3744741405</v>
      </c>
      <c r="C1097" t="s">
        <v>101</v>
      </c>
      <c r="D1097" t="s">
        <v>4347</v>
      </c>
      <c r="E1097" t="s">
        <v>65</v>
      </c>
      <c r="F1097" t="s">
        <v>66</v>
      </c>
      <c r="G1097" t="s">
        <v>67</v>
      </c>
      <c r="H1097" t="s">
        <v>68</v>
      </c>
      <c r="I1097" t="s">
        <v>176</v>
      </c>
      <c r="J1097" t="s">
        <v>3844</v>
      </c>
      <c r="K1097" t="s">
        <v>3845</v>
      </c>
      <c r="M1097" t="s">
        <v>72</v>
      </c>
      <c r="N1097" t="s">
        <v>3846</v>
      </c>
      <c r="O1097" t="s">
        <v>3845</v>
      </c>
      <c r="P1097" t="s">
        <v>3847</v>
      </c>
      <c r="Q1097" t="s">
        <v>75</v>
      </c>
      <c r="R1097" t="s">
        <v>4297</v>
      </c>
      <c r="S1097" t="s">
        <v>4330</v>
      </c>
      <c r="T1097" t="s">
        <v>78</v>
      </c>
      <c r="U1097" t="s">
        <v>79</v>
      </c>
      <c r="V1097" t="s">
        <v>80</v>
      </c>
      <c r="W1097" s="1">
        <v>44521</v>
      </c>
      <c r="X1097" t="s">
        <v>81</v>
      </c>
      <c r="Y1097" t="s">
        <v>4331</v>
      </c>
      <c r="Z1097" t="s">
        <v>83</v>
      </c>
      <c r="AA1097">
        <v>1</v>
      </c>
      <c r="AB1097" t="s">
        <v>103</v>
      </c>
      <c r="AD1097" t="s">
        <v>112</v>
      </c>
      <c r="AE1097" t="s">
        <v>86</v>
      </c>
      <c r="AF1097" t="s">
        <v>146</v>
      </c>
      <c r="AG1097" t="s">
        <v>4333</v>
      </c>
      <c r="AH1097" t="s">
        <v>4338</v>
      </c>
      <c r="AI1097" t="s">
        <v>90</v>
      </c>
      <c r="AJ1097">
        <v>32.499566000000002</v>
      </c>
      <c r="AK1097">
        <v>-110.684054</v>
      </c>
      <c r="AL1097">
        <v>3</v>
      </c>
      <c r="AN1097">
        <v>1343</v>
      </c>
      <c r="AP1097">
        <v>1343</v>
      </c>
      <c r="AQ1097">
        <v>1339.2074190000001</v>
      </c>
      <c r="AT1097">
        <v>21</v>
      </c>
      <c r="AU1097">
        <v>11</v>
      </c>
      <c r="AV1097">
        <v>2021</v>
      </c>
      <c r="AW1097">
        <v>2438516</v>
      </c>
      <c r="AX1097">
        <v>2438516</v>
      </c>
      <c r="AY1097" t="s">
        <v>106</v>
      </c>
      <c r="AZ1097" t="s">
        <v>92</v>
      </c>
      <c r="BA1097" t="s">
        <v>107</v>
      </c>
      <c r="BB1097" t="s">
        <v>4348</v>
      </c>
      <c r="BC1097" t="s">
        <v>97</v>
      </c>
      <c r="BE1097" t="s">
        <v>96</v>
      </c>
      <c r="BG1097" t="s">
        <v>97</v>
      </c>
      <c r="BI1097" t="s">
        <v>98</v>
      </c>
      <c r="BJ1097" t="s">
        <v>4340</v>
      </c>
      <c r="BL1097" t="s">
        <v>110</v>
      </c>
    </row>
    <row r="1098" spans="1:64" hidden="1" x14ac:dyDescent="0.2">
      <c r="A1098">
        <v>1737</v>
      </c>
      <c r="B1098">
        <v>3744741396</v>
      </c>
      <c r="C1098" t="s">
        <v>101</v>
      </c>
      <c r="D1098" t="s">
        <v>4349</v>
      </c>
      <c r="E1098" t="s">
        <v>65</v>
      </c>
      <c r="F1098" t="s">
        <v>66</v>
      </c>
      <c r="G1098" t="s">
        <v>67</v>
      </c>
      <c r="H1098" t="s">
        <v>68</v>
      </c>
      <c r="I1098" t="s">
        <v>176</v>
      </c>
      <c r="J1098" t="s">
        <v>3844</v>
      </c>
      <c r="K1098" t="s">
        <v>3845</v>
      </c>
      <c r="M1098" t="s">
        <v>72</v>
      </c>
      <c r="N1098" t="s">
        <v>3846</v>
      </c>
      <c r="O1098" t="s">
        <v>3845</v>
      </c>
      <c r="P1098" t="s">
        <v>3847</v>
      </c>
      <c r="Q1098" t="s">
        <v>75</v>
      </c>
      <c r="R1098" t="s">
        <v>4297</v>
      </c>
      <c r="S1098" t="s">
        <v>4330</v>
      </c>
      <c r="T1098" t="s">
        <v>78</v>
      </c>
      <c r="U1098" t="s">
        <v>79</v>
      </c>
      <c r="V1098" t="s">
        <v>80</v>
      </c>
      <c r="W1098" s="1">
        <v>44521</v>
      </c>
      <c r="X1098" t="s">
        <v>81</v>
      </c>
      <c r="Y1098" t="s">
        <v>4331</v>
      </c>
      <c r="Z1098" t="s">
        <v>83</v>
      </c>
      <c r="AA1098">
        <v>1</v>
      </c>
      <c r="AB1098" t="s">
        <v>103</v>
      </c>
      <c r="AD1098" t="s">
        <v>123</v>
      </c>
      <c r="AE1098" t="s">
        <v>86</v>
      </c>
      <c r="AF1098" t="s">
        <v>146</v>
      </c>
      <c r="AG1098" t="s">
        <v>4333</v>
      </c>
      <c r="AH1098" t="s">
        <v>4338</v>
      </c>
      <c r="AI1098" t="s">
        <v>90</v>
      </c>
      <c r="AJ1098">
        <v>32.499566000000002</v>
      </c>
      <c r="AK1098">
        <v>-110.684054</v>
      </c>
      <c r="AL1098">
        <v>3</v>
      </c>
      <c r="AN1098">
        <v>1343</v>
      </c>
      <c r="AP1098">
        <v>1343</v>
      </c>
      <c r="AQ1098">
        <v>1339.2074190000001</v>
      </c>
      <c r="AT1098">
        <v>21</v>
      </c>
      <c r="AU1098">
        <v>11</v>
      </c>
      <c r="AV1098">
        <v>2021</v>
      </c>
      <c r="AW1098">
        <v>2438516</v>
      </c>
      <c r="AX1098">
        <v>2438516</v>
      </c>
      <c r="AY1098" t="s">
        <v>106</v>
      </c>
      <c r="AZ1098" t="s">
        <v>92</v>
      </c>
      <c r="BA1098" t="s">
        <v>107</v>
      </c>
      <c r="BB1098" t="s">
        <v>4350</v>
      </c>
      <c r="BC1098" t="s">
        <v>97</v>
      </c>
      <c r="BE1098" t="s">
        <v>96</v>
      </c>
      <c r="BG1098" t="s">
        <v>97</v>
      </c>
      <c r="BI1098" t="s">
        <v>98</v>
      </c>
      <c r="BJ1098" t="s">
        <v>636</v>
      </c>
      <c r="BL1098" t="s">
        <v>110</v>
      </c>
    </row>
    <row r="1099" spans="1:64" x14ac:dyDescent="0.2">
      <c r="A1099">
        <v>641</v>
      </c>
      <c r="B1099">
        <v>4126336319</v>
      </c>
      <c r="C1099" t="s">
        <v>63</v>
      </c>
      <c r="D1099" t="s">
        <v>5726</v>
      </c>
      <c r="E1099" t="s">
        <v>65</v>
      </c>
      <c r="F1099" t="s">
        <v>66</v>
      </c>
      <c r="G1099" t="s">
        <v>67</v>
      </c>
      <c r="H1099" t="s">
        <v>68</v>
      </c>
      <c r="I1099" t="s">
        <v>69</v>
      </c>
      <c r="J1099" t="s">
        <v>70</v>
      </c>
      <c r="K1099" t="s">
        <v>4195</v>
      </c>
      <c r="M1099" t="s">
        <v>72</v>
      </c>
      <c r="N1099" t="s">
        <v>4196</v>
      </c>
      <c r="O1099" t="s">
        <v>4195</v>
      </c>
      <c r="P1099" t="s">
        <v>4197</v>
      </c>
      <c r="Q1099" t="s">
        <v>75</v>
      </c>
      <c r="R1099" t="s">
        <v>5008</v>
      </c>
      <c r="S1099" t="s">
        <v>5727</v>
      </c>
      <c r="T1099" t="s">
        <v>78</v>
      </c>
      <c r="U1099" t="s">
        <v>5009</v>
      </c>
      <c r="V1099" t="s">
        <v>80</v>
      </c>
      <c r="W1099" s="1">
        <v>44905</v>
      </c>
      <c r="X1099" t="s">
        <v>5010</v>
      </c>
      <c r="Y1099" t="s">
        <v>5728</v>
      </c>
      <c r="Z1099" t="s">
        <v>83</v>
      </c>
      <c r="AA1099">
        <v>1</v>
      </c>
      <c r="AB1099" t="s">
        <v>5729</v>
      </c>
      <c r="AC1099">
        <v>1</v>
      </c>
      <c r="AD1099" s="6" t="s">
        <v>85</v>
      </c>
      <c r="AE1099" s="6" t="s">
        <v>86</v>
      </c>
      <c r="AF1099" s="6" t="s">
        <v>146</v>
      </c>
      <c r="AG1099" s="6" t="s">
        <v>5730</v>
      </c>
      <c r="AH1099" s="6" t="s">
        <v>5731</v>
      </c>
      <c r="AI1099" s="6" t="s">
        <v>90</v>
      </c>
      <c r="AJ1099" s="6">
        <v>32.313409999999998</v>
      </c>
      <c r="AK1099" s="6">
        <v>-110.714251</v>
      </c>
      <c r="AL1099" s="6">
        <v>3</v>
      </c>
      <c r="AM1099" s="6"/>
      <c r="AN1099" s="6"/>
      <c r="AO1099" s="6"/>
      <c r="AP1099" s="6">
        <v>1184.787599</v>
      </c>
      <c r="AQ1099" s="6">
        <v>1184.787599</v>
      </c>
      <c r="AR1099" s="6"/>
      <c r="AS1099" s="6"/>
      <c r="AT1099" s="6">
        <v>10</v>
      </c>
      <c r="AU1099" s="6">
        <v>12</v>
      </c>
      <c r="AV1099" s="6">
        <v>2022</v>
      </c>
      <c r="AW1099" s="6">
        <v>2439589</v>
      </c>
      <c r="AX1099" s="6">
        <v>2439589</v>
      </c>
      <c r="AY1099" s="6" t="s">
        <v>91</v>
      </c>
      <c r="AZ1099" t="s">
        <v>92</v>
      </c>
      <c r="BA1099" t="s">
        <v>93</v>
      </c>
      <c r="BB1099" t="s">
        <v>5732</v>
      </c>
      <c r="BC1099" t="s">
        <v>97</v>
      </c>
      <c r="BE1099" t="s">
        <v>96</v>
      </c>
      <c r="BG1099" t="s">
        <v>5499</v>
      </c>
      <c r="BI1099" t="s">
        <v>98</v>
      </c>
      <c r="BJ1099" t="s">
        <v>2324</v>
      </c>
      <c r="BK1099" t="s">
        <v>365</v>
      </c>
      <c r="BL1099" t="s">
        <v>5632</v>
      </c>
    </row>
    <row r="1100" spans="1:64" hidden="1" x14ac:dyDescent="0.2">
      <c r="A1100">
        <v>1743</v>
      </c>
      <c r="B1100">
        <v>3744741390</v>
      </c>
      <c r="C1100" t="s">
        <v>101</v>
      </c>
      <c r="D1100" t="s">
        <v>4354</v>
      </c>
      <c r="E1100" t="s">
        <v>65</v>
      </c>
      <c r="F1100" t="s">
        <v>66</v>
      </c>
      <c r="G1100" t="s">
        <v>67</v>
      </c>
      <c r="H1100" t="s">
        <v>68</v>
      </c>
      <c r="I1100" t="s">
        <v>176</v>
      </c>
      <c r="J1100" t="s">
        <v>3844</v>
      </c>
      <c r="K1100" t="s">
        <v>3845</v>
      </c>
      <c r="M1100" t="s">
        <v>72</v>
      </c>
      <c r="N1100" t="s">
        <v>3846</v>
      </c>
      <c r="O1100" t="s">
        <v>3845</v>
      </c>
      <c r="P1100" t="s">
        <v>3847</v>
      </c>
      <c r="Q1100" t="s">
        <v>75</v>
      </c>
      <c r="R1100" t="s">
        <v>4297</v>
      </c>
      <c r="S1100" t="s">
        <v>4330</v>
      </c>
      <c r="T1100" t="s">
        <v>78</v>
      </c>
      <c r="U1100" t="s">
        <v>79</v>
      </c>
      <c r="V1100" t="s">
        <v>80</v>
      </c>
      <c r="W1100" s="1">
        <v>44521</v>
      </c>
      <c r="X1100" t="s">
        <v>81</v>
      </c>
      <c r="Y1100" t="s">
        <v>4331</v>
      </c>
      <c r="Z1100" t="s">
        <v>83</v>
      </c>
      <c r="AA1100">
        <v>1</v>
      </c>
      <c r="AB1100" t="s">
        <v>133</v>
      </c>
      <c r="AD1100" t="s">
        <v>134</v>
      </c>
      <c r="AE1100" t="s">
        <v>86</v>
      </c>
      <c r="AF1100" t="s">
        <v>146</v>
      </c>
      <c r="AG1100" t="s">
        <v>4333</v>
      </c>
      <c r="AH1100" t="s">
        <v>4355</v>
      </c>
      <c r="AI1100" t="s">
        <v>90</v>
      </c>
      <c r="AJ1100">
        <v>32.499566000000002</v>
      </c>
      <c r="AK1100">
        <v>-110.684054</v>
      </c>
      <c r="AL1100">
        <v>3</v>
      </c>
      <c r="AN1100">
        <v>1343</v>
      </c>
      <c r="AP1100">
        <v>1343</v>
      </c>
      <c r="AQ1100">
        <v>1339.2074190000001</v>
      </c>
      <c r="AT1100">
        <v>21</v>
      </c>
      <c r="AU1100">
        <v>11</v>
      </c>
      <c r="AV1100">
        <v>2021</v>
      </c>
      <c r="AW1100">
        <v>2438516</v>
      </c>
      <c r="AX1100">
        <v>2438516</v>
      </c>
      <c r="AY1100" t="s">
        <v>106</v>
      </c>
      <c r="AZ1100" t="s">
        <v>92</v>
      </c>
      <c r="BA1100" t="s">
        <v>107</v>
      </c>
      <c r="BB1100" t="s">
        <v>4356</v>
      </c>
      <c r="BC1100" t="s">
        <v>97</v>
      </c>
      <c r="BE1100" t="s">
        <v>96</v>
      </c>
      <c r="BG1100" t="s">
        <v>97</v>
      </c>
      <c r="BI1100" t="s">
        <v>98</v>
      </c>
      <c r="BJ1100" t="s">
        <v>4357</v>
      </c>
      <c r="BL1100" t="s">
        <v>110</v>
      </c>
    </row>
    <row r="1101" spans="1:64" hidden="1" x14ac:dyDescent="0.2">
      <c r="A1101">
        <v>1740</v>
      </c>
      <c r="B1101">
        <v>3744741393</v>
      </c>
      <c r="C1101" t="s">
        <v>101</v>
      </c>
      <c r="D1101" t="s">
        <v>4358</v>
      </c>
      <c r="E1101" t="s">
        <v>65</v>
      </c>
      <c r="F1101" t="s">
        <v>66</v>
      </c>
      <c r="G1101" t="s">
        <v>67</v>
      </c>
      <c r="H1101" t="s">
        <v>68</v>
      </c>
      <c r="I1101" t="s">
        <v>176</v>
      </c>
      <c r="J1101" t="s">
        <v>3844</v>
      </c>
      <c r="K1101" t="s">
        <v>3845</v>
      </c>
      <c r="M1101" t="s">
        <v>72</v>
      </c>
      <c r="N1101" t="s">
        <v>3846</v>
      </c>
      <c r="O1101" t="s">
        <v>3845</v>
      </c>
      <c r="P1101" t="s">
        <v>3847</v>
      </c>
      <c r="Q1101" t="s">
        <v>75</v>
      </c>
      <c r="R1101" t="s">
        <v>4297</v>
      </c>
      <c r="S1101" t="s">
        <v>4330</v>
      </c>
      <c r="T1101" t="s">
        <v>78</v>
      </c>
      <c r="U1101" t="s">
        <v>79</v>
      </c>
      <c r="V1101" t="s">
        <v>80</v>
      </c>
      <c r="W1101" s="1">
        <v>44521</v>
      </c>
      <c r="X1101" t="s">
        <v>81</v>
      </c>
      <c r="Y1101" t="s">
        <v>4331</v>
      </c>
      <c r="Z1101" t="s">
        <v>83</v>
      </c>
      <c r="AA1101">
        <v>1</v>
      </c>
      <c r="AB1101" t="s">
        <v>103</v>
      </c>
      <c r="AD1101" t="s">
        <v>139</v>
      </c>
      <c r="AE1101" t="s">
        <v>86</v>
      </c>
      <c r="AF1101" t="s">
        <v>146</v>
      </c>
      <c r="AG1101" t="s">
        <v>4333</v>
      </c>
      <c r="AH1101" t="s">
        <v>4338</v>
      </c>
      <c r="AI1101" t="s">
        <v>90</v>
      </c>
      <c r="AJ1101">
        <v>32.499566000000002</v>
      </c>
      <c r="AK1101">
        <v>-110.684054</v>
      </c>
      <c r="AL1101">
        <v>3</v>
      </c>
      <c r="AN1101">
        <v>1343</v>
      </c>
      <c r="AP1101">
        <v>1343</v>
      </c>
      <c r="AQ1101">
        <v>1339.2074190000001</v>
      </c>
      <c r="AT1101">
        <v>21</v>
      </c>
      <c r="AU1101">
        <v>11</v>
      </c>
      <c r="AV1101">
        <v>2021</v>
      </c>
      <c r="AW1101">
        <v>2438516</v>
      </c>
      <c r="AX1101">
        <v>2438516</v>
      </c>
      <c r="AY1101" t="s">
        <v>106</v>
      </c>
      <c r="AZ1101" t="s">
        <v>92</v>
      </c>
      <c r="BA1101" t="s">
        <v>107</v>
      </c>
      <c r="BB1101" t="s">
        <v>4359</v>
      </c>
      <c r="BC1101" t="s">
        <v>97</v>
      </c>
      <c r="BE1101" t="s">
        <v>96</v>
      </c>
      <c r="BG1101" t="s">
        <v>97</v>
      </c>
      <c r="BI1101" t="s">
        <v>98</v>
      </c>
      <c r="BJ1101" t="s">
        <v>4360</v>
      </c>
      <c r="BL1101" t="s">
        <v>110</v>
      </c>
    </row>
    <row r="1102" spans="1:64" hidden="1" x14ac:dyDescent="0.2">
      <c r="A1102">
        <v>1748</v>
      </c>
      <c r="B1102">
        <v>3744741385</v>
      </c>
      <c r="C1102" t="s">
        <v>101</v>
      </c>
      <c r="D1102" t="s">
        <v>4368</v>
      </c>
      <c r="E1102" t="s">
        <v>65</v>
      </c>
      <c r="F1102" t="s">
        <v>66</v>
      </c>
      <c r="G1102" t="s">
        <v>67</v>
      </c>
      <c r="H1102" t="s">
        <v>68</v>
      </c>
      <c r="I1102" t="s">
        <v>176</v>
      </c>
      <c r="J1102" t="s">
        <v>3844</v>
      </c>
      <c r="K1102" t="s">
        <v>3845</v>
      </c>
      <c r="M1102" t="s">
        <v>72</v>
      </c>
      <c r="N1102" t="s">
        <v>3846</v>
      </c>
      <c r="O1102" t="s">
        <v>3845</v>
      </c>
      <c r="P1102" t="s">
        <v>3847</v>
      </c>
      <c r="Q1102" t="s">
        <v>75</v>
      </c>
      <c r="R1102" t="s">
        <v>4297</v>
      </c>
      <c r="S1102" t="s">
        <v>4362</v>
      </c>
      <c r="T1102" t="s">
        <v>78</v>
      </c>
      <c r="U1102" t="s">
        <v>79</v>
      </c>
      <c r="V1102" t="s">
        <v>80</v>
      </c>
      <c r="W1102" s="1">
        <v>44521</v>
      </c>
      <c r="X1102" t="s">
        <v>81</v>
      </c>
      <c r="Y1102" t="s">
        <v>4363</v>
      </c>
      <c r="Z1102" t="s">
        <v>83</v>
      </c>
      <c r="AA1102">
        <v>1</v>
      </c>
      <c r="AB1102" t="s">
        <v>103</v>
      </c>
      <c r="AD1102" t="s">
        <v>104</v>
      </c>
      <c r="AE1102" t="s">
        <v>145</v>
      </c>
      <c r="AF1102" t="s">
        <v>146</v>
      </c>
      <c r="AG1102" t="s">
        <v>4369</v>
      </c>
      <c r="AH1102" t="s">
        <v>4370</v>
      </c>
      <c r="AI1102" t="s">
        <v>90</v>
      </c>
      <c r="AJ1102">
        <v>32.499609999999997</v>
      </c>
      <c r="AK1102">
        <v>-110.684066</v>
      </c>
      <c r="AL1102">
        <v>3</v>
      </c>
      <c r="AN1102">
        <v>1337</v>
      </c>
      <c r="AP1102">
        <v>1337</v>
      </c>
      <c r="AQ1102">
        <v>1338.972019</v>
      </c>
      <c r="AT1102">
        <v>21</v>
      </c>
      <c r="AU1102">
        <v>11</v>
      </c>
      <c r="AV1102">
        <v>2021</v>
      </c>
      <c r="AW1102">
        <v>2438516</v>
      </c>
      <c r="AX1102">
        <v>2438516</v>
      </c>
      <c r="AY1102" t="s">
        <v>106</v>
      </c>
      <c r="AZ1102" t="s">
        <v>92</v>
      </c>
      <c r="BA1102" t="s">
        <v>107</v>
      </c>
      <c r="BB1102" t="s">
        <v>4371</v>
      </c>
      <c r="BC1102" t="s">
        <v>97</v>
      </c>
      <c r="BE1102" t="s">
        <v>96</v>
      </c>
      <c r="BG1102" t="s">
        <v>97</v>
      </c>
      <c r="BI1102" t="s">
        <v>98</v>
      </c>
      <c r="BJ1102" t="s">
        <v>1202</v>
      </c>
      <c r="BL1102" t="s">
        <v>110</v>
      </c>
    </row>
    <row r="1103" spans="1:64" hidden="1" x14ac:dyDescent="0.2">
      <c r="A1103">
        <v>1754</v>
      </c>
      <c r="B1103">
        <v>3744741379</v>
      </c>
      <c r="C1103" t="s">
        <v>101</v>
      </c>
      <c r="D1103" t="s">
        <v>4372</v>
      </c>
      <c r="E1103" t="s">
        <v>65</v>
      </c>
      <c r="F1103" t="s">
        <v>66</v>
      </c>
      <c r="G1103" t="s">
        <v>67</v>
      </c>
      <c r="H1103" t="s">
        <v>68</v>
      </c>
      <c r="I1103" t="s">
        <v>176</v>
      </c>
      <c r="J1103" t="s">
        <v>3844</v>
      </c>
      <c r="K1103" t="s">
        <v>3845</v>
      </c>
      <c r="M1103" t="s">
        <v>72</v>
      </c>
      <c r="N1103" t="s">
        <v>3846</v>
      </c>
      <c r="O1103" t="s">
        <v>3845</v>
      </c>
      <c r="P1103" t="s">
        <v>3847</v>
      </c>
      <c r="Q1103" t="s">
        <v>75</v>
      </c>
      <c r="R1103" t="s">
        <v>4297</v>
      </c>
      <c r="S1103" t="s">
        <v>4362</v>
      </c>
      <c r="T1103" t="s">
        <v>78</v>
      </c>
      <c r="U1103" t="s">
        <v>79</v>
      </c>
      <c r="V1103" t="s">
        <v>80</v>
      </c>
      <c r="W1103" s="1">
        <v>44521</v>
      </c>
      <c r="X1103" t="s">
        <v>81</v>
      </c>
      <c r="Y1103" t="s">
        <v>4363</v>
      </c>
      <c r="Z1103" t="s">
        <v>83</v>
      </c>
      <c r="AA1103">
        <v>1</v>
      </c>
      <c r="AB1103" t="s">
        <v>103</v>
      </c>
      <c r="AD1103" t="s">
        <v>112</v>
      </c>
      <c r="AE1103" t="s">
        <v>145</v>
      </c>
      <c r="AF1103" t="s">
        <v>146</v>
      </c>
      <c r="AG1103" t="s">
        <v>4369</v>
      </c>
      <c r="AH1103" t="s">
        <v>4370</v>
      </c>
      <c r="AI1103" t="s">
        <v>90</v>
      </c>
      <c r="AJ1103">
        <v>32.499609999999997</v>
      </c>
      <c r="AK1103">
        <v>-110.684066</v>
      </c>
      <c r="AL1103">
        <v>3</v>
      </c>
      <c r="AN1103">
        <v>1337</v>
      </c>
      <c r="AP1103">
        <v>1337</v>
      </c>
      <c r="AQ1103">
        <v>1338.972019</v>
      </c>
      <c r="AT1103">
        <v>21</v>
      </c>
      <c r="AU1103">
        <v>11</v>
      </c>
      <c r="AV1103">
        <v>2021</v>
      </c>
      <c r="AW1103">
        <v>2438516</v>
      </c>
      <c r="AX1103">
        <v>2438516</v>
      </c>
      <c r="AY1103" t="s">
        <v>106</v>
      </c>
      <c r="AZ1103" t="s">
        <v>92</v>
      </c>
      <c r="BA1103" t="s">
        <v>107</v>
      </c>
      <c r="BB1103" t="s">
        <v>4373</v>
      </c>
      <c r="BC1103" t="s">
        <v>97</v>
      </c>
      <c r="BE1103" t="s">
        <v>96</v>
      </c>
      <c r="BG1103" t="s">
        <v>97</v>
      </c>
      <c r="BI1103" t="s">
        <v>98</v>
      </c>
      <c r="BJ1103" t="s">
        <v>4374</v>
      </c>
      <c r="BL1103" t="s">
        <v>110</v>
      </c>
    </row>
    <row r="1104" spans="1:64" hidden="1" x14ac:dyDescent="0.2">
      <c r="A1104">
        <v>1752</v>
      </c>
      <c r="B1104">
        <v>3744741381</v>
      </c>
      <c r="C1104" t="s">
        <v>101</v>
      </c>
      <c r="D1104" t="s">
        <v>4375</v>
      </c>
      <c r="E1104" t="s">
        <v>65</v>
      </c>
      <c r="F1104" t="s">
        <v>66</v>
      </c>
      <c r="G1104" t="s">
        <v>67</v>
      </c>
      <c r="H1104" t="s">
        <v>68</v>
      </c>
      <c r="I1104" t="s">
        <v>176</v>
      </c>
      <c r="J1104" t="s">
        <v>3844</v>
      </c>
      <c r="K1104" t="s">
        <v>3845</v>
      </c>
      <c r="M1104" t="s">
        <v>72</v>
      </c>
      <c r="N1104" t="s">
        <v>3846</v>
      </c>
      <c r="O1104" t="s">
        <v>3845</v>
      </c>
      <c r="P1104" t="s">
        <v>3847</v>
      </c>
      <c r="Q1104" t="s">
        <v>75</v>
      </c>
      <c r="R1104" t="s">
        <v>4297</v>
      </c>
      <c r="S1104" t="s">
        <v>4362</v>
      </c>
      <c r="T1104" t="s">
        <v>78</v>
      </c>
      <c r="U1104" t="s">
        <v>79</v>
      </c>
      <c r="V1104" t="s">
        <v>80</v>
      </c>
      <c r="W1104" s="1">
        <v>44521</v>
      </c>
      <c r="X1104" t="s">
        <v>81</v>
      </c>
      <c r="Y1104" t="s">
        <v>4363</v>
      </c>
      <c r="Z1104" t="s">
        <v>83</v>
      </c>
      <c r="AA1104">
        <v>1</v>
      </c>
      <c r="AB1104" t="s">
        <v>103</v>
      </c>
      <c r="AD1104" t="s">
        <v>116</v>
      </c>
      <c r="AE1104" t="s">
        <v>145</v>
      </c>
      <c r="AF1104" t="s">
        <v>146</v>
      </c>
      <c r="AG1104" t="s">
        <v>4369</v>
      </c>
      <c r="AH1104" t="s">
        <v>4370</v>
      </c>
      <c r="AI1104" t="s">
        <v>90</v>
      </c>
      <c r="AJ1104">
        <v>32.499609999999997</v>
      </c>
      <c r="AK1104">
        <v>-110.684066</v>
      </c>
      <c r="AL1104">
        <v>3</v>
      </c>
      <c r="AN1104">
        <v>1337</v>
      </c>
      <c r="AP1104">
        <v>1337</v>
      </c>
      <c r="AQ1104">
        <v>1338.972019</v>
      </c>
      <c r="AT1104">
        <v>21</v>
      </c>
      <c r="AU1104">
        <v>11</v>
      </c>
      <c r="AV1104">
        <v>2021</v>
      </c>
      <c r="AW1104">
        <v>2438516</v>
      </c>
      <c r="AX1104">
        <v>2438516</v>
      </c>
      <c r="AY1104" t="s">
        <v>106</v>
      </c>
      <c r="AZ1104" t="s">
        <v>92</v>
      </c>
      <c r="BA1104" t="s">
        <v>107</v>
      </c>
      <c r="BB1104" t="s">
        <v>4376</v>
      </c>
      <c r="BC1104" t="s">
        <v>97</v>
      </c>
      <c r="BE1104" t="s">
        <v>96</v>
      </c>
      <c r="BG1104" t="s">
        <v>97</v>
      </c>
      <c r="BI1104" t="s">
        <v>98</v>
      </c>
      <c r="BJ1104" t="s">
        <v>4377</v>
      </c>
      <c r="BL1104" t="s">
        <v>110</v>
      </c>
    </row>
    <row r="1105" spans="1:64" x14ac:dyDescent="0.2">
      <c r="A1105">
        <v>650</v>
      </c>
      <c r="B1105">
        <v>4126336308</v>
      </c>
      <c r="C1105" t="s">
        <v>63</v>
      </c>
      <c r="D1105" t="s">
        <v>5761</v>
      </c>
      <c r="E1105" t="s">
        <v>65</v>
      </c>
      <c r="F1105" t="s">
        <v>66</v>
      </c>
      <c r="G1105" t="s">
        <v>67</v>
      </c>
      <c r="H1105" t="s">
        <v>68</v>
      </c>
      <c r="I1105" t="s">
        <v>69</v>
      </c>
      <c r="J1105" t="s">
        <v>70</v>
      </c>
      <c r="K1105" t="s">
        <v>4195</v>
      </c>
      <c r="M1105" t="s">
        <v>72</v>
      </c>
      <c r="N1105" t="s">
        <v>4196</v>
      </c>
      <c r="O1105" t="s">
        <v>4195</v>
      </c>
      <c r="P1105" t="s">
        <v>4197</v>
      </c>
      <c r="Q1105" t="s">
        <v>75</v>
      </c>
      <c r="R1105" t="s">
        <v>5008</v>
      </c>
      <c r="S1105" t="s">
        <v>1769</v>
      </c>
      <c r="T1105" t="s">
        <v>78</v>
      </c>
      <c r="U1105" t="s">
        <v>5009</v>
      </c>
      <c r="V1105" t="s">
        <v>80</v>
      </c>
      <c r="W1105" s="1">
        <v>44905</v>
      </c>
      <c r="X1105" t="s">
        <v>5010</v>
      </c>
      <c r="Y1105" t="s">
        <v>5762</v>
      </c>
      <c r="Z1105" t="s">
        <v>83</v>
      </c>
      <c r="AA1105">
        <v>1</v>
      </c>
      <c r="AB1105" t="s">
        <v>5763</v>
      </c>
      <c r="AC1105">
        <v>1</v>
      </c>
      <c r="AD1105" s="6" t="s">
        <v>85</v>
      </c>
      <c r="AE1105" s="6" t="s">
        <v>145</v>
      </c>
      <c r="AF1105" s="6" t="s">
        <v>146</v>
      </c>
      <c r="AG1105" s="6" t="s">
        <v>5764</v>
      </c>
      <c r="AH1105" s="6" t="s">
        <v>5765</v>
      </c>
      <c r="AI1105" s="6" t="s">
        <v>90</v>
      </c>
      <c r="AJ1105" s="6">
        <v>32.314051999999997</v>
      </c>
      <c r="AK1105" s="6">
        <v>-110.713517</v>
      </c>
      <c r="AL1105" s="6">
        <v>3</v>
      </c>
      <c r="AM1105" s="6"/>
      <c r="AN1105" s="6">
        <v>1173</v>
      </c>
      <c r="AO1105" s="6"/>
      <c r="AP1105" s="6">
        <v>1173</v>
      </c>
      <c r="AQ1105" s="6">
        <v>1196.6700800000001</v>
      </c>
      <c r="AR1105" s="6"/>
      <c r="AS1105" s="6"/>
      <c r="AT1105" s="6">
        <v>10</v>
      </c>
      <c r="AU1105" s="6">
        <v>12</v>
      </c>
      <c r="AV1105" s="6">
        <v>2022</v>
      </c>
      <c r="AW1105" s="6">
        <v>2439589</v>
      </c>
      <c r="AX1105" s="6">
        <v>2439589</v>
      </c>
      <c r="AY1105" s="6" t="s">
        <v>91</v>
      </c>
      <c r="AZ1105" t="s">
        <v>92</v>
      </c>
      <c r="BA1105" t="s">
        <v>93</v>
      </c>
      <c r="BB1105" t="s">
        <v>5766</v>
      </c>
      <c r="BC1105" t="s">
        <v>97</v>
      </c>
      <c r="BE1105" t="s">
        <v>96</v>
      </c>
      <c r="BG1105" t="s">
        <v>5499</v>
      </c>
      <c r="BI1105" t="s">
        <v>98</v>
      </c>
      <c r="BJ1105" t="s">
        <v>5767</v>
      </c>
      <c r="BK1105" t="s">
        <v>365</v>
      </c>
      <c r="BL1105" t="s">
        <v>5540</v>
      </c>
    </row>
    <row r="1106" spans="1:64" x14ac:dyDescent="0.2">
      <c r="A1106">
        <v>648</v>
      </c>
      <c r="B1106">
        <v>4126336310</v>
      </c>
      <c r="C1106" t="s">
        <v>63</v>
      </c>
      <c r="D1106" t="s">
        <v>5794</v>
      </c>
      <c r="E1106" t="s">
        <v>65</v>
      </c>
      <c r="F1106" t="s">
        <v>66</v>
      </c>
      <c r="G1106" t="s">
        <v>67</v>
      </c>
      <c r="H1106" t="s">
        <v>68</v>
      </c>
      <c r="I1106" t="s">
        <v>69</v>
      </c>
      <c r="J1106" t="s">
        <v>70</v>
      </c>
      <c r="K1106" t="s">
        <v>71</v>
      </c>
      <c r="M1106" t="s">
        <v>72</v>
      </c>
      <c r="N1106" t="s">
        <v>73</v>
      </c>
      <c r="O1106" t="s">
        <v>71</v>
      </c>
      <c r="P1106" t="s">
        <v>74</v>
      </c>
      <c r="Q1106" t="s">
        <v>75</v>
      </c>
      <c r="R1106" t="s">
        <v>5008</v>
      </c>
      <c r="S1106" t="s">
        <v>576</v>
      </c>
      <c r="T1106" t="s">
        <v>78</v>
      </c>
      <c r="U1106" t="s">
        <v>5009</v>
      </c>
      <c r="V1106" t="s">
        <v>80</v>
      </c>
      <c r="W1106" s="1">
        <v>44905</v>
      </c>
      <c r="X1106" t="s">
        <v>5010</v>
      </c>
      <c r="Y1106" t="s">
        <v>5795</v>
      </c>
      <c r="Z1106" t="s">
        <v>83</v>
      </c>
      <c r="AA1106">
        <v>1</v>
      </c>
      <c r="AB1106" t="s">
        <v>5796</v>
      </c>
      <c r="AC1106">
        <v>1</v>
      </c>
      <c r="AD1106" s="6" t="s">
        <v>85</v>
      </c>
      <c r="AE1106" s="6" t="s">
        <v>145</v>
      </c>
      <c r="AF1106" s="6" t="s">
        <v>146</v>
      </c>
      <c r="AG1106" s="6" t="s">
        <v>3217</v>
      </c>
      <c r="AH1106" s="6" t="s">
        <v>5797</v>
      </c>
      <c r="AI1106" s="6" t="s">
        <v>90</v>
      </c>
      <c r="AJ1106" s="6">
        <v>32.313102999999998</v>
      </c>
      <c r="AK1106" s="6">
        <v>-110.712616</v>
      </c>
      <c r="AL1106" s="6">
        <v>3</v>
      </c>
      <c r="AM1106" s="6"/>
      <c r="AN1106" s="6">
        <v>1169</v>
      </c>
      <c r="AO1106" s="6"/>
      <c r="AP1106" s="6">
        <v>1169</v>
      </c>
      <c r="AQ1106" s="6">
        <v>1167.017998</v>
      </c>
      <c r="AR1106" s="6"/>
      <c r="AS1106" s="6"/>
      <c r="AT1106" s="6">
        <v>10</v>
      </c>
      <c r="AU1106" s="6">
        <v>12</v>
      </c>
      <c r="AV1106" s="6">
        <v>2022</v>
      </c>
      <c r="AW1106" s="6">
        <v>2439581</v>
      </c>
      <c r="AX1106" s="6">
        <v>2439581</v>
      </c>
      <c r="AY1106" s="6" t="s">
        <v>91</v>
      </c>
      <c r="AZ1106" t="s">
        <v>92</v>
      </c>
      <c r="BA1106" t="s">
        <v>93</v>
      </c>
      <c r="BB1106" t="s">
        <v>5798</v>
      </c>
      <c r="BC1106" t="s">
        <v>97</v>
      </c>
      <c r="BE1106" t="s">
        <v>96</v>
      </c>
      <c r="BG1106" t="s">
        <v>5499</v>
      </c>
      <c r="BI1106" t="s">
        <v>98</v>
      </c>
      <c r="BJ1106" t="s">
        <v>5799</v>
      </c>
      <c r="BL1106" t="s">
        <v>5540</v>
      </c>
    </row>
    <row r="1107" spans="1:64" hidden="1" x14ac:dyDescent="0.2">
      <c r="A1107">
        <v>1764</v>
      </c>
      <c r="B1107">
        <v>3744741369</v>
      </c>
      <c r="C1107" t="s">
        <v>101</v>
      </c>
      <c r="D1107" t="s">
        <v>4383</v>
      </c>
      <c r="E1107" t="s">
        <v>65</v>
      </c>
      <c r="F1107" t="s">
        <v>66</v>
      </c>
      <c r="G1107" t="s">
        <v>67</v>
      </c>
      <c r="H1107" t="s">
        <v>68</v>
      </c>
      <c r="I1107" t="s">
        <v>176</v>
      </c>
      <c r="J1107" t="s">
        <v>3844</v>
      </c>
      <c r="K1107" t="s">
        <v>3845</v>
      </c>
      <c r="M1107" t="s">
        <v>72</v>
      </c>
      <c r="N1107" t="s">
        <v>3846</v>
      </c>
      <c r="O1107" t="s">
        <v>3845</v>
      </c>
      <c r="P1107" t="s">
        <v>3847</v>
      </c>
      <c r="Q1107" t="s">
        <v>75</v>
      </c>
      <c r="R1107" t="s">
        <v>4297</v>
      </c>
      <c r="S1107" t="s">
        <v>4362</v>
      </c>
      <c r="T1107" t="s">
        <v>78</v>
      </c>
      <c r="U1107" t="s">
        <v>79</v>
      </c>
      <c r="V1107" t="s">
        <v>80</v>
      </c>
      <c r="W1107" s="1">
        <v>44521</v>
      </c>
      <c r="X1107" t="s">
        <v>81</v>
      </c>
      <c r="Y1107" t="s">
        <v>4363</v>
      </c>
      <c r="Z1107" t="s">
        <v>83</v>
      </c>
      <c r="AA1107">
        <v>1</v>
      </c>
      <c r="AB1107" t="s">
        <v>103</v>
      </c>
      <c r="AD1107" t="s">
        <v>139</v>
      </c>
      <c r="AE1107" t="s">
        <v>145</v>
      </c>
      <c r="AF1107" t="s">
        <v>146</v>
      </c>
      <c r="AG1107" t="s">
        <v>4369</v>
      </c>
      <c r="AH1107" t="s">
        <v>4370</v>
      </c>
      <c r="AI1107" t="s">
        <v>90</v>
      </c>
      <c r="AJ1107">
        <v>32.499609999999997</v>
      </c>
      <c r="AK1107">
        <v>-110.684066</v>
      </c>
      <c r="AL1107">
        <v>3</v>
      </c>
      <c r="AN1107">
        <v>1337</v>
      </c>
      <c r="AP1107">
        <v>1337</v>
      </c>
      <c r="AQ1107">
        <v>1338.972019</v>
      </c>
      <c r="AT1107">
        <v>21</v>
      </c>
      <c r="AU1107">
        <v>11</v>
      </c>
      <c r="AV1107">
        <v>2021</v>
      </c>
      <c r="AW1107">
        <v>2438516</v>
      </c>
      <c r="AX1107">
        <v>2438516</v>
      </c>
      <c r="AY1107" t="s">
        <v>106</v>
      </c>
      <c r="AZ1107" t="s">
        <v>92</v>
      </c>
      <c r="BA1107" t="s">
        <v>107</v>
      </c>
      <c r="BB1107" t="s">
        <v>4384</v>
      </c>
      <c r="BC1107" t="s">
        <v>97</v>
      </c>
      <c r="BE1107" t="s">
        <v>96</v>
      </c>
      <c r="BG1107" t="s">
        <v>97</v>
      </c>
      <c r="BI1107" t="s">
        <v>98</v>
      </c>
      <c r="BJ1107" t="s">
        <v>2669</v>
      </c>
      <c r="BL1107" t="s">
        <v>110</v>
      </c>
    </row>
    <row r="1108" spans="1:64" hidden="1" x14ac:dyDescent="0.2">
      <c r="A1108">
        <v>1761</v>
      </c>
      <c r="B1108">
        <v>3744741372</v>
      </c>
      <c r="C1108" t="s">
        <v>101</v>
      </c>
      <c r="D1108" t="s">
        <v>4385</v>
      </c>
      <c r="E1108" t="s">
        <v>65</v>
      </c>
      <c r="F1108" t="s">
        <v>66</v>
      </c>
      <c r="G1108" t="s">
        <v>67</v>
      </c>
      <c r="H1108" t="s">
        <v>68</v>
      </c>
      <c r="I1108" t="s">
        <v>176</v>
      </c>
      <c r="J1108" t="s">
        <v>3844</v>
      </c>
      <c r="K1108" t="s">
        <v>3845</v>
      </c>
      <c r="M1108" t="s">
        <v>72</v>
      </c>
      <c r="N1108" t="s">
        <v>3846</v>
      </c>
      <c r="O1108" t="s">
        <v>3845</v>
      </c>
      <c r="P1108" t="s">
        <v>3847</v>
      </c>
      <c r="Q1108" t="s">
        <v>75</v>
      </c>
      <c r="R1108" t="s">
        <v>4297</v>
      </c>
      <c r="S1108" t="s">
        <v>4362</v>
      </c>
      <c r="T1108" t="s">
        <v>78</v>
      </c>
      <c r="U1108" t="s">
        <v>79</v>
      </c>
      <c r="V1108" t="s">
        <v>80</v>
      </c>
      <c r="W1108" s="1">
        <v>44521</v>
      </c>
      <c r="X1108" t="s">
        <v>81</v>
      </c>
      <c r="Y1108" t="s">
        <v>4363</v>
      </c>
      <c r="Z1108" t="s">
        <v>83</v>
      </c>
      <c r="AA1108">
        <v>1</v>
      </c>
      <c r="AB1108" t="s">
        <v>103</v>
      </c>
      <c r="AD1108" t="s">
        <v>123</v>
      </c>
      <c r="AE1108" t="s">
        <v>145</v>
      </c>
      <c r="AF1108" t="s">
        <v>146</v>
      </c>
      <c r="AG1108" t="s">
        <v>4369</v>
      </c>
      <c r="AH1108" t="s">
        <v>4370</v>
      </c>
      <c r="AI1108" t="s">
        <v>90</v>
      </c>
      <c r="AJ1108">
        <v>32.499609999999997</v>
      </c>
      <c r="AK1108">
        <v>-110.684066</v>
      </c>
      <c r="AL1108">
        <v>3</v>
      </c>
      <c r="AN1108">
        <v>1337</v>
      </c>
      <c r="AP1108">
        <v>1337</v>
      </c>
      <c r="AQ1108">
        <v>1338.972019</v>
      </c>
      <c r="AT1108">
        <v>21</v>
      </c>
      <c r="AU1108">
        <v>11</v>
      </c>
      <c r="AV1108">
        <v>2021</v>
      </c>
      <c r="AW1108">
        <v>2438516</v>
      </c>
      <c r="AX1108">
        <v>2438516</v>
      </c>
      <c r="AY1108" t="s">
        <v>106</v>
      </c>
      <c r="AZ1108" t="s">
        <v>92</v>
      </c>
      <c r="BA1108" t="s">
        <v>107</v>
      </c>
      <c r="BB1108" t="s">
        <v>4386</v>
      </c>
      <c r="BC1108" t="s">
        <v>97</v>
      </c>
      <c r="BE1108" t="s">
        <v>96</v>
      </c>
      <c r="BG1108" t="s">
        <v>97</v>
      </c>
      <c r="BI1108" t="s">
        <v>98</v>
      </c>
      <c r="BJ1108" t="s">
        <v>4374</v>
      </c>
      <c r="BL1108" t="s">
        <v>110</v>
      </c>
    </row>
    <row r="1109" spans="1:64" hidden="1" x14ac:dyDescent="0.2">
      <c r="A1109">
        <v>1770</v>
      </c>
      <c r="B1109">
        <v>3744741363</v>
      </c>
      <c r="C1109" t="s">
        <v>101</v>
      </c>
      <c r="D1109" t="s">
        <v>4387</v>
      </c>
      <c r="E1109" t="s">
        <v>65</v>
      </c>
      <c r="F1109" t="s">
        <v>66</v>
      </c>
      <c r="G1109" t="s">
        <v>67</v>
      </c>
      <c r="H1109" t="s">
        <v>68</v>
      </c>
      <c r="I1109" t="s">
        <v>176</v>
      </c>
      <c r="J1109" t="s">
        <v>3844</v>
      </c>
      <c r="K1109" t="s">
        <v>3845</v>
      </c>
      <c r="M1109" t="s">
        <v>72</v>
      </c>
      <c r="N1109" t="s">
        <v>3846</v>
      </c>
      <c r="O1109" t="s">
        <v>3845</v>
      </c>
      <c r="P1109" t="s">
        <v>3847</v>
      </c>
      <c r="Q1109" t="s">
        <v>75</v>
      </c>
      <c r="R1109" t="s">
        <v>4297</v>
      </c>
      <c r="S1109" t="s">
        <v>4362</v>
      </c>
      <c r="T1109" t="s">
        <v>78</v>
      </c>
      <c r="U1109" t="s">
        <v>79</v>
      </c>
      <c r="V1109" t="s">
        <v>80</v>
      </c>
      <c r="W1109" s="1">
        <v>44521</v>
      </c>
      <c r="X1109" t="s">
        <v>81</v>
      </c>
      <c r="Y1109" t="s">
        <v>4363</v>
      </c>
      <c r="Z1109" t="s">
        <v>83</v>
      </c>
      <c r="AA1109">
        <v>1</v>
      </c>
      <c r="AB1109" t="s">
        <v>133</v>
      </c>
      <c r="AD1109" t="s">
        <v>134</v>
      </c>
      <c r="AE1109" t="s">
        <v>145</v>
      </c>
      <c r="AF1109" t="s">
        <v>146</v>
      </c>
      <c r="AG1109" t="s">
        <v>4369</v>
      </c>
      <c r="AH1109" t="s">
        <v>4388</v>
      </c>
      <c r="AI1109" t="s">
        <v>90</v>
      </c>
      <c r="AJ1109">
        <v>32.499609999999997</v>
      </c>
      <c r="AK1109">
        <v>-110.684066</v>
      </c>
      <c r="AL1109">
        <v>3</v>
      </c>
      <c r="AN1109">
        <v>1337</v>
      </c>
      <c r="AP1109">
        <v>1337</v>
      </c>
      <c r="AQ1109">
        <v>1338.972019</v>
      </c>
      <c r="AT1109">
        <v>21</v>
      </c>
      <c r="AU1109">
        <v>11</v>
      </c>
      <c r="AV1109">
        <v>2021</v>
      </c>
      <c r="AW1109">
        <v>2438516</v>
      </c>
      <c r="AX1109">
        <v>2438516</v>
      </c>
      <c r="AY1109" t="s">
        <v>106</v>
      </c>
      <c r="AZ1109" t="s">
        <v>92</v>
      </c>
      <c r="BA1109" t="s">
        <v>107</v>
      </c>
      <c r="BB1109" t="s">
        <v>4389</v>
      </c>
      <c r="BC1109" t="s">
        <v>97</v>
      </c>
      <c r="BE1109" t="s">
        <v>96</v>
      </c>
      <c r="BG1109" t="s">
        <v>97</v>
      </c>
      <c r="BI1109" t="s">
        <v>98</v>
      </c>
      <c r="BJ1109" t="s">
        <v>4377</v>
      </c>
      <c r="BL1109" t="s">
        <v>110</v>
      </c>
    </row>
    <row r="1110" spans="1:64" hidden="1" x14ac:dyDescent="0.2">
      <c r="A1110">
        <v>1767</v>
      </c>
      <c r="B1110">
        <v>3744741366</v>
      </c>
      <c r="C1110" t="s">
        <v>101</v>
      </c>
      <c r="D1110" t="s">
        <v>4397</v>
      </c>
      <c r="E1110" t="s">
        <v>65</v>
      </c>
      <c r="F1110" t="s">
        <v>66</v>
      </c>
      <c r="G1110" t="s">
        <v>67</v>
      </c>
      <c r="H1110" t="s">
        <v>68</v>
      </c>
      <c r="I1110" t="s">
        <v>69</v>
      </c>
      <c r="J1110" t="s">
        <v>70</v>
      </c>
      <c r="K1110" t="s">
        <v>71</v>
      </c>
      <c r="M1110" t="s">
        <v>72</v>
      </c>
      <c r="N1110" t="s">
        <v>73</v>
      </c>
      <c r="O1110" t="s">
        <v>71</v>
      </c>
      <c r="P1110" t="s">
        <v>74</v>
      </c>
      <c r="Q1110" t="s">
        <v>75</v>
      </c>
      <c r="R1110" t="s">
        <v>4297</v>
      </c>
      <c r="S1110" t="s">
        <v>4391</v>
      </c>
      <c r="T1110" t="s">
        <v>78</v>
      </c>
      <c r="U1110" t="s">
        <v>79</v>
      </c>
      <c r="V1110" t="s">
        <v>80</v>
      </c>
      <c r="W1110" s="1">
        <v>44521</v>
      </c>
      <c r="X1110" t="s">
        <v>81</v>
      </c>
      <c r="Y1110" t="s">
        <v>4392</v>
      </c>
      <c r="Z1110" t="s">
        <v>83</v>
      </c>
      <c r="AA1110">
        <v>1</v>
      </c>
      <c r="AB1110" t="s">
        <v>103</v>
      </c>
      <c r="AD1110" t="s">
        <v>123</v>
      </c>
      <c r="AE1110" t="s">
        <v>86</v>
      </c>
      <c r="AF1110" t="s">
        <v>146</v>
      </c>
      <c r="AG1110" t="s">
        <v>4394</v>
      </c>
      <c r="AH1110" t="s">
        <v>4398</v>
      </c>
      <c r="AI1110" t="s">
        <v>90</v>
      </c>
      <c r="AJ1110">
        <v>32.499460999999997</v>
      </c>
      <c r="AK1110">
        <v>-110.68250999999999</v>
      </c>
      <c r="AL1110">
        <v>3</v>
      </c>
      <c r="AN1110">
        <v>1318</v>
      </c>
      <c r="AP1110">
        <v>1318</v>
      </c>
      <c r="AQ1110">
        <v>1318.1478159999999</v>
      </c>
      <c r="AT1110">
        <v>21</v>
      </c>
      <c r="AU1110">
        <v>11</v>
      </c>
      <c r="AV1110">
        <v>2021</v>
      </c>
      <c r="AW1110">
        <v>2439581</v>
      </c>
      <c r="AX1110">
        <v>2439581</v>
      </c>
      <c r="AY1110" t="s">
        <v>106</v>
      </c>
      <c r="AZ1110" t="s">
        <v>92</v>
      </c>
      <c r="BA1110" t="s">
        <v>107</v>
      </c>
      <c r="BB1110" t="s">
        <v>4399</v>
      </c>
      <c r="BC1110" t="s">
        <v>97</v>
      </c>
      <c r="BE1110" t="s">
        <v>96</v>
      </c>
      <c r="BG1110" t="s">
        <v>97</v>
      </c>
      <c r="BI1110" t="s">
        <v>98</v>
      </c>
      <c r="BJ1110" t="s">
        <v>1196</v>
      </c>
      <c r="BL1110" t="s">
        <v>110</v>
      </c>
    </row>
    <row r="1111" spans="1:64" hidden="1" x14ac:dyDescent="0.2">
      <c r="A1111">
        <v>1776</v>
      </c>
      <c r="B1111">
        <v>3744741357</v>
      </c>
      <c r="C1111" t="s">
        <v>101</v>
      </c>
      <c r="D1111" t="s">
        <v>4400</v>
      </c>
      <c r="E1111" t="s">
        <v>65</v>
      </c>
      <c r="F1111" t="s">
        <v>66</v>
      </c>
      <c r="G1111" t="s">
        <v>67</v>
      </c>
      <c r="H1111" t="s">
        <v>68</v>
      </c>
      <c r="I1111" t="s">
        <v>69</v>
      </c>
      <c r="J1111" t="s">
        <v>70</v>
      </c>
      <c r="K1111" t="s">
        <v>71</v>
      </c>
      <c r="M1111" t="s">
        <v>72</v>
      </c>
      <c r="N1111" t="s">
        <v>73</v>
      </c>
      <c r="O1111" t="s">
        <v>71</v>
      </c>
      <c r="P1111" t="s">
        <v>74</v>
      </c>
      <c r="Q1111" t="s">
        <v>75</v>
      </c>
      <c r="R1111" t="s">
        <v>4297</v>
      </c>
      <c r="S1111" t="s">
        <v>4391</v>
      </c>
      <c r="T1111" t="s">
        <v>78</v>
      </c>
      <c r="U1111" t="s">
        <v>79</v>
      </c>
      <c r="V1111" t="s">
        <v>80</v>
      </c>
      <c r="W1111" s="1">
        <v>44521</v>
      </c>
      <c r="X1111" t="s">
        <v>81</v>
      </c>
      <c r="Y1111" t="s">
        <v>4392</v>
      </c>
      <c r="Z1111" t="s">
        <v>83</v>
      </c>
      <c r="AA1111">
        <v>1</v>
      </c>
      <c r="AB1111" t="s">
        <v>133</v>
      </c>
      <c r="AD1111" t="s">
        <v>134</v>
      </c>
      <c r="AE1111" t="s">
        <v>86</v>
      </c>
      <c r="AF1111" t="s">
        <v>146</v>
      </c>
      <c r="AG1111" t="s">
        <v>4394</v>
      </c>
      <c r="AH1111" t="s">
        <v>4401</v>
      </c>
      <c r="AI1111" t="s">
        <v>90</v>
      </c>
      <c r="AJ1111">
        <v>32.499460999999997</v>
      </c>
      <c r="AK1111">
        <v>-110.68250999999999</v>
      </c>
      <c r="AL1111">
        <v>3</v>
      </c>
      <c r="AN1111">
        <v>1318</v>
      </c>
      <c r="AP1111">
        <v>1318</v>
      </c>
      <c r="AQ1111">
        <v>1318.1478159999999</v>
      </c>
      <c r="AT1111">
        <v>21</v>
      </c>
      <c r="AU1111">
        <v>11</v>
      </c>
      <c r="AV1111">
        <v>2021</v>
      </c>
      <c r="AW1111">
        <v>2439581</v>
      </c>
      <c r="AX1111">
        <v>2439581</v>
      </c>
      <c r="AY1111" t="s">
        <v>106</v>
      </c>
      <c r="AZ1111" t="s">
        <v>92</v>
      </c>
      <c r="BA1111" t="s">
        <v>107</v>
      </c>
      <c r="BB1111" t="s">
        <v>4402</v>
      </c>
      <c r="BC1111" t="s">
        <v>97</v>
      </c>
      <c r="BE1111" t="s">
        <v>96</v>
      </c>
      <c r="BG1111" t="s">
        <v>97</v>
      </c>
      <c r="BI1111" t="s">
        <v>98</v>
      </c>
      <c r="BJ1111" t="s">
        <v>4403</v>
      </c>
      <c r="BL1111" t="s">
        <v>110</v>
      </c>
    </row>
    <row r="1112" spans="1:64" hidden="1" x14ac:dyDescent="0.2">
      <c r="A1112">
        <v>1773</v>
      </c>
      <c r="B1112">
        <v>3744741360</v>
      </c>
      <c r="C1112" t="s">
        <v>101</v>
      </c>
      <c r="D1112" t="s">
        <v>4404</v>
      </c>
      <c r="E1112" t="s">
        <v>65</v>
      </c>
      <c r="F1112" t="s">
        <v>66</v>
      </c>
      <c r="G1112" t="s">
        <v>67</v>
      </c>
      <c r="H1112" t="s">
        <v>68</v>
      </c>
      <c r="I1112" t="s">
        <v>69</v>
      </c>
      <c r="J1112" t="s">
        <v>70</v>
      </c>
      <c r="K1112" t="s">
        <v>71</v>
      </c>
      <c r="M1112" t="s">
        <v>72</v>
      </c>
      <c r="N1112" t="s">
        <v>73</v>
      </c>
      <c r="O1112" t="s">
        <v>71</v>
      </c>
      <c r="P1112" t="s">
        <v>74</v>
      </c>
      <c r="Q1112" t="s">
        <v>75</v>
      </c>
      <c r="R1112" t="s">
        <v>4297</v>
      </c>
      <c r="S1112" t="s">
        <v>4391</v>
      </c>
      <c r="T1112" t="s">
        <v>78</v>
      </c>
      <c r="U1112" t="s">
        <v>79</v>
      </c>
      <c r="V1112" t="s">
        <v>80</v>
      </c>
      <c r="W1112" s="1">
        <v>44521</v>
      </c>
      <c r="X1112" t="s">
        <v>81</v>
      </c>
      <c r="Y1112" t="s">
        <v>4392</v>
      </c>
      <c r="Z1112" t="s">
        <v>83</v>
      </c>
      <c r="AA1112">
        <v>1</v>
      </c>
      <c r="AB1112" t="s">
        <v>103</v>
      </c>
      <c r="AD1112" t="s">
        <v>139</v>
      </c>
      <c r="AE1112" t="s">
        <v>86</v>
      </c>
      <c r="AF1112" t="s">
        <v>146</v>
      </c>
      <c r="AG1112" t="s">
        <v>4394</v>
      </c>
      <c r="AH1112" t="s">
        <v>4398</v>
      </c>
      <c r="AI1112" t="s">
        <v>90</v>
      </c>
      <c r="AJ1112">
        <v>32.499460999999997</v>
      </c>
      <c r="AK1112">
        <v>-110.68250999999999</v>
      </c>
      <c r="AL1112">
        <v>3</v>
      </c>
      <c r="AN1112">
        <v>1318</v>
      </c>
      <c r="AP1112">
        <v>1318</v>
      </c>
      <c r="AQ1112">
        <v>1318.1478159999999</v>
      </c>
      <c r="AT1112">
        <v>21</v>
      </c>
      <c r="AU1112">
        <v>11</v>
      </c>
      <c r="AV1112">
        <v>2021</v>
      </c>
      <c r="AW1112">
        <v>2439581</v>
      </c>
      <c r="AX1112">
        <v>2439581</v>
      </c>
      <c r="AY1112" t="s">
        <v>106</v>
      </c>
      <c r="AZ1112" t="s">
        <v>92</v>
      </c>
      <c r="BA1112" t="s">
        <v>107</v>
      </c>
      <c r="BB1112" t="s">
        <v>4405</v>
      </c>
      <c r="BC1112" t="s">
        <v>97</v>
      </c>
      <c r="BE1112" t="s">
        <v>96</v>
      </c>
      <c r="BG1112" t="s">
        <v>97</v>
      </c>
      <c r="BI1112" t="s">
        <v>98</v>
      </c>
      <c r="BJ1112" t="s">
        <v>4406</v>
      </c>
      <c r="BL1112" t="s">
        <v>110</v>
      </c>
    </row>
    <row r="1113" spans="1:64" hidden="1" x14ac:dyDescent="0.2">
      <c r="A1113">
        <v>1481</v>
      </c>
      <c r="B1113">
        <v>3744741652</v>
      </c>
      <c r="C1113" t="s">
        <v>101</v>
      </c>
      <c r="D1113" t="s">
        <v>4407</v>
      </c>
      <c r="E1113" t="s">
        <v>65</v>
      </c>
      <c r="F1113" t="s">
        <v>66</v>
      </c>
      <c r="G1113" t="s">
        <v>67</v>
      </c>
      <c r="H1113" t="s">
        <v>68</v>
      </c>
      <c r="I1113" t="s">
        <v>69</v>
      </c>
      <c r="J1113" t="s">
        <v>70</v>
      </c>
      <c r="K1113" t="s">
        <v>71</v>
      </c>
      <c r="M1113" t="s">
        <v>72</v>
      </c>
      <c r="N1113" t="s">
        <v>73</v>
      </c>
      <c r="O1113" t="s">
        <v>71</v>
      </c>
      <c r="P1113" t="s">
        <v>74</v>
      </c>
      <c r="Q1113" t="s">
        <v>75</v>
      </c>
      <c r="R1113" t="s">
        <v>4297</v>
      </c>
      <c r="S1113" t="s">
        <v>4391</v>
      </c>
      <c r="T1113" t="s">
        <v>78</v>
      </c>
      <c r="U1113" t="s">
        <v>79</v>
      </c>
      <c r="V1113" t="s">
        <v>80</v>
      </c>
      <c r="W1113" s="1">
        <v>44521</v>
      </c>
      <c r="X1113" t="s">
        <v>81</v>
      </c>
      <c r="Y1113" t="s">
        <v>4392</v>
      </c>
      <c r="Z1113" t="s">
        <v>83</v>
      </c>
      <c r="AA1113">
        <v>1</v>
      </c>
      <c r="AB1113" t="s">
        <v>103</v>
      </c>
      <c r="AD1113" t="s">
        <v>104</v>
      </c>
      <c r="AE1113" t="s">
        <v>86</v>
      </c>
      <c r="AF1113" t="s">
        <v>146</v>
      </c>
      <c r="AG1113" t="s">
        <v>4394</v>
      </c>
      <c r="AH1113" t="s">
        <v>4398</v>
      </c>
      <c r="AI1113" t="s">
        <v>90</v>
      </c>
      <c r="AJ1113">
        <v>32.499460999999997</v>
      </c>
      <c r="AK1113">
        <v>-110.68250999999999</v>
      </c>
      <c r="AL1113">
        <v>3</v>
      </c>
      <c r="AN1113">
        <v>1318</v>
      </c>
      <c r="AP1113">
        <v>1318</v>
      </c>
      <c r="AQ1113">
        <v>1318.1478159999999</v>
      </c>
      <c r="AT1113">
        <v>21</v>
      </c>
      <c r="AU1113">
        <v>11</v>
      </c>
      <c r="AV1113">
        <v>2021</v>
      </c>
      <c r="AW1113">
        <v>2439581</v>
      </c>
      <c r="AX1113">
        <v>2439581</v>
      </c>
      <c r="AY1113" t="s">
        <v>106</v>
      </c>
      <c r="AZ1113" t="s">
        <v>92</v>
      </c>
      <c r="BA1113" t="s">
        <v>107</v>
      </c>
      <c r="BB1113" t="s">
        <v>4408</v>
      </c>
      <c r="BC1113" t="s">
        <v>97</v>
      </c>
      <c r="BE1113" t="s">
        <v>96</v>
      </c>
      <c r="BG1113" t="s">
        <v>97</v>
      </c>
      <c r="BI1113" t="s">
        <v>98</v>
      </c>
      <c r="BJ1113" t="s">
        <v>4409</v>
      </c>
      <c r="BL1113" t="s">
        <v>110</v>
      </c>
    </row>
    <row r="1114" spans="1:64" hidden="1" x14ac:dyDescent="0.2">
      <c r="A1114">
        <v>1485</v>
      </c>
      <c r="B1114">
        <v>3744741648</v>
      </c>
      <c r="C1114" t="s">
        <v>101</v>
      </c>
      <c r="D1114" t="s">
        <v>4410</v>
      </c>
      <c r="E1114" t="s">
        <v>65</v>
      </c>
      <c r="F1114" t="s">
        <v>66</v>
      </c>
      <c r="G1114" t="s">
        <v>67</v>
      </c>
      <c r="H1114" t="s">
        <v>68</v>
      </c>
      <c r="I1114" t="s">
        <v>69</v>
      </c>
      <c r="J1114" t="s">
        <v>70</v>
      </c>
      <c r="K1114" t="s">
        <v>71</v>
      </c>
      <c r="M1114" t="s">
        <v>72</v>
      </c>
      <c r="N1114" t="s">
        <v>73</v>
      </c>
      <c r="O1114" t="s">
        <v>71</v>
      </c>
      <c r="P1114" t="s">
        <v>74</v>
      </c>
      <c r="Q1114" t="s">
        <v>75</v>
      </c>
      <c r="R1114" t="s">
        <v>4297</v>
      </c>
      <c r="S1114" t="s">
        <v>4391</v>
      </c>
      <c r="T1114" t="s">
        <v>78</v>
      </c>
      <c r="U1114" t="s">
        <v>79</v>
      </c>
      <c r="V1114" t="s">
        <v>80</v>
      </c>
      <c r="W1114" s="1">
        <v>44521</v>
      </c>
      <c r="X1114" t="s">
        <v>81</v>
      </c>
      <c r="Y1114" t="s">
        <v>4392</v>
      </c>
      <c r="Z1114" t="s">
        <v>83</v>
      </c>
      <c r="AA1114">
        <v>1</v>
      </c>
      <c r="AB1114" t="s">
        <v>103</v>
      </c>
      <c r="AD1114" t="s">
        <v>112</v>
      </c>
      <c r="AE1114" t="s">
        <v>86</v>
      </c>
      <c r="AF1114" t="s">
        <v>146</v>
      </c>
      <c r="AG1114" t="s">
        <v>4394</v>
      </c>
      <c r="AH1114" t="s">
        <v>4398</v>
      </c>
      <c r="AI1114" t="s">
        <v>90</v>
      </c>
      <c r="AJ1114">
        <v>32.499460999999997</v>
      </c>
      <c r="AK1114">
        <v>-110.68250999999999</v>
      </c>
      <c r="AL1114">
        <v>3</v>
      </c>
      <c r="AN1114">
        <v>1318</v>
      </c>
      <c r="AP1114">
        <v>1318</v>
      </c>
      <c r="AQ1114">
        <v>1318.1478159999999</v>
      </c>
      <c r="AT1114">
        <v>21</v>
      </c>
      <c r="AU1114">
        <v>11</v>
      </c>
      <c r="AV1114">
        <v>2021</v>
      </c>
      <c r="AW1114">
        <v>2439581</v>
      </c>
      <c r="AX1114">
        <v>2439581</v>
      </c>
      <c r="AY1114" t="s">
        <v>106</v>
      </c>
      <c r="AZ1114" t="s">
        <v>92</v>
      </c>
      <c r="BA1114" t="s">
        <v>107</v>
      </c>
      <c r="BB1114" t="s">
        <v>4411</v>
      </c>
      <c r="BC1114" t="s">
        <v>97</v>
      </c>
      <c r="BE1114" t="s">
        <v>96</v>
      </c>
      <c r="BG1114" t="s">
        <v>97</v>
      </c>
      <c r="BI1114" t="s">
        <v>98</v>
      </c>
      <c r="BJ1114" t="s">
        <v>4412</v>
      </c>
      <c r="BL1114" t="s">
        <v>110</v>
      </c>
    </row>
    <row r="1115" spans="1:64" hidden="1" x14ac:dyDescent="0.2">
      <c r="A1115">
        <v>1482</v>
      </c>
      <c r="B1115">
        <v>3744741651</v>
      </c>
      <c r="C1115" t="s">
        <v>101</v>
      </c>
      <c r="D1115" t="s">
        <v>4413</v>
      </c>
      <c r="E1115" t="s">
        <v>65</v>
      </c>
      <c r="F1115" t="s">
        <v>66</v>
      </c>
      <c r="G1115" t="s">
        <v>67</v>
      </c>
      <c r="H1115" t="s">
        <v>68</v>
      </c>
      <c r="I1115" t="s">
        <v>69</v>
      </c>
      <c r="J1115" t="s">
        <v>70</v>
      </c>
      <c r="K1115" t="s">
        <v>71</v>
      </c>
      <c r="M1115" t="s">
        <v>72</v>
      </c>
      <c r="N1115" t="s">
        <v>73</v>
      </c>
      <c r="O1115" t="s">
        <v>71</v>
      </c>
      <c r="P1115" t="s">
        <v>74</v>
      </c>
      <c r="Q1115" t="s">
        <v>75</v>
      </c>
      <c r="R1115" t="s">
        <v>4297</v>
      </c>
      <c r="S1115" t="s">
        <v>4391</v>
      </c>
      <c r="T1115" t="s">
        <v>78</v>
      </c>
      <c r="U1115" t="s">
        <v>79</v>
      </c>
      <c r="V1115" t="s">
        <v>80</v>
      </c>
      <c r="W1115" s="1">
        <v>44521</v>
      </c>
      <c r="X1115" t="s">
        <v>81</v>
      </c>
      <c r="Y1115" t="s">
        <v>4392</v>
      </c>
      <c r="Z1115" t="s">
        <v>83</v>
      </c>
      <c r="AA1115">
        <v>1</v>
      </c>
      <c r="AB1115" t="s">
        <v>103</v>
      </c>
      <c r="AD1115" t="s">
        <v>116</v>
      </c>
      <c r="AE1115" t="s">
        <v>86</v>
      </c>
      <c r="AF1115" t="s">
        <v>146</v>
      </c>
      <c r="AG1115" t="s">
        <v>4394</v>
      </c>
      <c r="AH1115" t="s">
        <v>4398</v>
      </c>
      <c r="AI1115" t="s">
        <v>90</v>
      </c>
      <c r="AJ1115">
        <v>32.499460999999997</v>
      </c>
      <c r="AK1115">
        <v>-110.68250999999999</v>
      </c>
      <c r="AL1115">
        <v>3</v>
      </c>
      <c r="AN1115">
        <v>1318</v>
      </c>
      <c r="AP1115">
        <v>1318</v>
      </c>
      <c r="AQ1115">
        <v>1318.1478159999999</v>
      </c>
      <c r="AT1115">
        <v>21</v>
      </c>
      <c r="AU1115">
        <v>11</v>
      </c>
      <c r="AV1115">
        <v>2021</v>
      </c>
      <c r="AW1115">
        <v>2439581</v>
      </c>
      <c r="AX1115">
        <v>2439581</v>
      </c>
      <c r="AY1115" t="s">
        <v>106</v>
      </c>
      <c r="AZ1115" t="s">
        <v>92</v>
      </c>
      <c r="BA1115" t="s">
        <v>107</v>
      </c>
      <c r="BB1115" t="s">
        <v>4414</v>
      </c>
      <c r="BC1115" t="s">
        <v>97</v>
      </c>
      <c r="BE1115" t="s">
        <v>96</v>
      </c>
      <c r="BG1115" t="s">
        <v>97</v>
      </c>
      <c r="BI1115" t="s">
        <v>98</v>
      </c>
      <c r="BJ1115" t="s">
        <v>4415</v>
      </c>
      <c r="BL1115" t="s">
        <v>110</v>
      </c>
    </row>
    <row r="1116" spans="1:64" x14ac:dyDescent="0.2">
      <c r="A1116">
        <v>649</v>
      </c>
      <c r="B1116">
        <v>4126336309</v>
      </c>
      <c r="C1116" t="s">
        <v>63</v>
      </c>
      <c r="D1116" t="s">
        <v>5821</v>
      </c>
      <c r="E1116" t="s">
        <v>65</v>
      </c>
      <c r="F1116" t="s">
        <v>66</v>
      </c>
      <c r="G1116" t="s">
        <v>67</v>
      </c>
      <c r="H1116" t="s">
        <v>68</v>
      </c>
      <c r="I1116" t="s">
        <v>69</v>
      </c>
      <c r="J1116" t="s">
        <v>70</v>
      </c>
      <c r="K1116" t="s">
        <v>71</v>
      </c>
      <c r="M1116" t="s">
        <v>72</v>
      </c>
      <c r="N1116" t="s">
        <v>73</v>
      </c>
      <c r="O1116" t="s">
        <v>71</v>
      </c>
      <c r="P1116" t="s">
        <v>74</v>
      </c>
      <c r="Q1116" t="s">
        <v>75</v>
      </c>
      <c r="R1116" t="s">
        <v>5008</v>
      </c>
      <c r="S1116" t="s">
        <v>598</v>
      </c>
      <c r="T1116" t="s">
        <v>78</v>
      </c>
      <c r="U1116" t="s">
        <v>5009</v>
      </c>
      <c r="V1116" t="s">
        <v>80</v>
      </c>
      <c r="W1116" s="1">
        <v>44905</v>
      </c>
      <c r="X1116" t="s">
        <v>5010</v>
      </c>
      <c r="Y1116" t="s">
        <v>5822</v>
      </c>
      <c r="Z1116" t="s">
        <v>83</v>
      </c>
      <c r="AA1116">
        <v>1</v>
      </c>
      <c r="AB1116" t="s">
        <v>5823</v>
      </c>
      <c r="AC1116">
        <v>1</v>
      </c>
      <c r="AD1116" s="6" t="s">
        <v>85</v>
      </c>
      <c r="AE1116" s="6" t="s">
        <v>86</v>
      </c>
      <c r="AF1116" s="6" t="s">
        <v>146</v>
      </c>
      <c r="AG1116" s="6" t="s">
        <v>1257</v>
      </c>
      <c r="AH1116" s="6" t="s">
        <v>5824</v>
      </c>
      <c r="AI1116" s="6" t="s">
        <v>90</v>
      </c>
      <c r="AJ1116" s="6">
        <v>32.313523000000004</v>
      </c>
      <c r="AK1116" s="6">
        <v>-110.71329799999999</v>
      </c>
      <c r="AL1116" s="6">
        <v>3</v>
      </c>
      <c r="AM1116" s="6"/>
      <c r="AN1116" s="6">
        <v>1153</v>
      </c>
      <c r="AO1116" s="6"/>
      <c r="AP1116" s="6">
        <v>1153</v>
      </c>
      <c r="AQ1116" s="6">
        <v>1179.987789</v>
      </c>
      <c r="AR1116" s="6"/>
      <c r="AS1116" s="6"/>
      <c r="AT1116" s="6">
        <v>10</v>
      </c>
      <c r="AU1116" s="6">
        <v>12</v>
      </c>
      <c r="AV1116" s="6">
        <v>2022</v>
      </c>
      <c r="AW1116" s="6">
        <v>2439581</v>
      </c>
      <c r="AX1116" s="6">
        <v>2439581</v>
      </c>
      <c r="AY1116" s="6" t="s">
        <v>91</v>
      </c>
      <c r="AZ1116" t="s">
        <v>92</v>
      </c>
      <c r="BA1116" t="s">
        <v>93</v>
      </c>
      <c r="BB1116" t="s">
        <v>5825</v>
      </c>
      <c r="BC1116" t="s">
        <v>97</v>
      </c>
      <c r="BE1116" t="s">
        <v>96</v>
      </c>
      <c r="BG1116" t="s">
        <v>5499</v>
      </c>
      <c r="BI1116" t="s">
        <v>98</v>
      </c>
      <c r="BJ1116" t="s">
        <v>5826</v>
      </c>
      <c r="BL1116" t="s">
        <v>5540</v>
      </c>
    </row>
    <row r="1117" spans="1:64" x14ac:dyDescent="0.2">
      <c r="A1117">
        <v>646</v>
      </c>
      <c r="B1117">
        <v>4126336312</v>
      </c>
      <c r="C1117" t="s">
        <v>63</v>
      </c>
      <c r="D1117" t="s">
        <v>5844</v>
      </c>
      <c r="E1117" t="s">
        <v>65</v>
      </c>
      <c r="F1117" t="s">
        <v>66</v>
      </c>
      <c r="G1117" t="s">
        <v>67</v>
      </c>
      <c r="H1117" t="s">
        <v>68</v>
      </c>
      <c r="I1117" t="s">
        <v>69</v>
      </c>
      <c r="J1117" t="s">
        <v>70</v>
      </c>
      <c r="K1117" t="s">
        <v>71</v>
      </c>
      <c r="M1117" t="s">
        <v>72</v>
      </c>
      <c r="N1117" t="s">
        <v>73</v>
      </c>
      <c r="O1117" t="s">
        <v>71</v>
      </c>
      <c r="P1117" t="s">
        <v>74</v>
      </c>
      <c r="Q1117" t="s">
        <v>75</v>
      </c>
      <c r="R1117" t="s">
        <v>5008</v>
      </c>
      <c r="S1117" t="s">
        <v>437</v>
      </c>
      <c r="T1117" t="s">
        <v>78</v>
      </c>
      <c r="U1117" t="s">
        <v>5009</v>
      </c>
      <c r="V1117" t="s">
        <v>80</v>
      </c>
      <c r="W1117" s="1">
        <v>44905</v>
      </c>
      <c r="X1117" t="s">
        <v>5010</v>
      </c>
      <c r="Y1117" t="s">
        <v>5845</v>
      </c>
      <c r="Z1117" t="s">
        <v>83</v>
      </c>
      <c r="AA1117">
        <v>1</v>
      </c>
      <c r="AB1117" t="s">
        <v>5846</v>
      </c>
      <c r="AC1117">
        <v>1</v>
      </c>
      <c r="AD1117" s="6" t="s">
        <v>85</v>
      </c>
      <c r="AE1117" s="6" t="s">
        <v>145</v>
      </c>
      <c r="AF1117" s="6" t="s">
        <v>146</v>
      </c>
      <c r="AG1117" s="6" t="s">
        <v>5847</v>
      </c>
      <c r="AH1117" s="6" t="s">
        <v>5848</v>
      </c>
      <c r="AI1117" s="6" t="s">
        <v>90</v>
      </c>
      <c r="AJ1117" s="6">
        <v>32.313406000000001</v>
      </c>
      <c r="AK1117" s="6">
        <v>-110.71286499999999</v>
      </c>
      <c r="AL1117" s="6">
        <v>3</v>
      </c>
      <c r="AM1117" s="6"/>
      <c r="AN1117" s="6">
        <v>1171</v>
      </c>
      <c r="AO1117" s="6"/>
      <c r="AP1117" s="6">
        <v>1171</v>
      </c>
      <c r="AQ1117" s="6">
        <v>1174.0014839999999</v>
      </c>
      <c r="AR1117" s="6"/>
      <c r="AS1117" s="6"/>
      <c r="AT1117" s="6">
        <v>10</v>
      </c>
      <c r="AU1117" s="6">
        <v>12</v>
      </c>
      <c r="AV1117" s="6">
        <v>2022</v>
      </c>
      <c r="AW1117" s="6">
        <v>2439581</v>
      </c>
      <c r="AX1117" s="6">
        <v>2439581</v>
      </c>
      <c r="AY1117" s="6" t="s">
        <v>91</v>
      </c>
      <c r="AZ1117" t="s">
        <v>92</v>
      </c>
      <c r="BA1117" t="s">
        <v>93</v>
      </c>
      <c r="BB1117" t="s">
        <v>5849</v>
      </c>
      <c r="BC1117" t="s">
        <v>97</v>
      </c>
      <c r="BE1117" t="s">
        <v>96</v>
      </c>
      <c r="BG1117" t="s">
        <v>5499</v>
      </c>
      <c r="BI1117" t="s">
        <v>98</v>
      </c>
      <c r="BJ1117" t="s">
        <v>5850</v>
      </c>
      <c r="BL1117" t="s">
        <v>5540</v>
      </c>
    </row>
    <row r="1118" spans="1:64" x14ac:dyDescent="0.2">
      <c r="A1118">
        <v>647</v>
      </c>
      <c r="B1118">
        <v>4126336311</v>
      </c>
      <c r="C1118" t="s">
        <v>63</v>
      </c>
      <c r="D1118" t="s">
        <v>5867</v>
      </c>
      <c r="E1118" t="s">
        <v>65</v>
      </c>
      <c r="F1118" t="s">
        <v>66</v>
      </c>
      <c r="G1118" t="s">
        <v>67</v>
      </c>
      <c r="H1118" t="s">
        <v>68</v>
      </c>
      <c r="I1118" t="s">
        <v>69</v>
      </c>
      <c r="J1118" t="s">
        <v>70</v>
      </c>
      <c r="K1118" t="s">
        <v>71</v>
      </c>
      <c r="M1118" t="s">
        <v>72</v>
      </c>
      <c r="N1118" t="s">
        <v>73</v>
      </c>
      <c r="O1118" t="s">
        <v>71</v>
      </c>
      <c r="P1118" t="s">
        <v>74</v>
      </c>
      <c r="Q1118" t="s">
        <v>75</v>
      </c>
      <c r="R1118" t="s">
        <v>5008</v>
      </c>
      <c r="S1118" t="s">
        <v>1624</v>
      </c>
      <c r="T1118" t="s">
        <v>78</v>
      </c>
      <c r="U1118" t="s">
        <v>5009</v>
      </c>
      <c r="V1118" t="s">
        <v>80</v>
      </c>
      <c r="W1118" s="1">
        <v>44905</v>
      </c>
      <c r="X1118" t="s">
        <v>5010</v>
      </c>
      <c r="Y1118" t="s">
        <v>5868</v>
      </c>
      <c r="Z1118" t="s">
        <v>83</v>
      </c>
      <c r="AA1118">
        <v>1</v>
      </c>
      <c r="AB1118" t="s">
        <v>5869</v>
      </c>
      <c r="AC1118">
        <v>1</v>
      </c>
      <c r="AD1118" s="6" t="s">
        <v>85</v>
      </c>
      <c r="AE1118" s="6" t="s">
        <v>145</v>
      </c>
      <c r="AF1118" s="6" t="s">
        <v>87</v>
      </c>
      <c r="AG1118" s="6" t="s">
        <v>360</v>
      </c>
      <c r="AH1118" s="6" t="s">
        <v>5870</v>
      </c>
      <c r="AI1118" s="6" t="s">
        <v>90</v>
      </c>
      <c r="AJ1118" s="6">
        <v>32.313580999999999</v>
      </c>
      <c r="AK1118" s="6">
        <v>-110.713356</v>
      </c>
      <c r="AL1118" s="6">
        <v>3</v>
      </c>
      <c r="AM1118" s="6"/>
      <c r="AN1118" s="6">
        <v>1153</v>
      </c>
      <c r="AO1118" s="6"/>
      <c r="AP1118" s="6">
        <v>1153</v>
      </c>
      <c r="AQ1118" s="6">
        <v>1182.368753</v>
      </c>
      <c r="AR1118" s="6"/>
      <c r="AS1118" s="6"/>
      <c r="AT1118" s="6">
        <v>10</v>
      </c>
      <c r="AU1118" s="6">
        <v>12</v>
      </c>
      <c r="AV1118" s="6">
        <v>2022</v>
      </c>
      <c r="AW1118" s="6">
        <v>2439581</v>
      </c>
      <c r="AX1118" s="6">
        <v>2439581</v>
      </c>
      <c r="AY1118" s="6" t="s">
        <v>91</v>
      </c>
      <c r="AZ1118" t="s">
        <v>92</v>
      </c>
      <c r="BA1118" t="s">
        <v>93</v>
      </c>
      <c r="BB1118" t="s">
        <v>5871</v>
      </c>
      <c r="BC1118" t="s">
        <v>97</v>
      </c>
      <c r="BE1118" t="s">
        <v>96</v>
      </c>
      <c r="BG1118" t="s">
        <v>5499</v>
      </c>
      <c r="BI1118" t="s">
        <v>98</v>
      </c>
      <c r="BJ1118" t="s">
        <v>5872</v>
      </c>
      <c r="BL1118" t="s">
        <v>5540</v>
      </c>
    </row>
    <row r="1119" spans="1:64" hidden="1" x14ac:dyDescent="0.2">
      <c r="A1119">
        <v>1493</v>
      </c>
      <c r="B1119">
        <v>3744741640</v>
      </c>
      <c r="C1119" t="s">
        <v>101</v>
      </c>
      <c r="D1119" t="s">
        <v>4428</v>
      </c>
      <c r="E1119" t="s">
        <v>65</v>
      </c>
      <c r="F1119" t="s">
        <v>66</v>
      </c>
      <c r="G1119" t="s">
        <v>67</v>
      </c>
      <c r="H1119" t="s">
        <v>68</v>
      </c>
      <c r="I1119" t="s">
        <v>69</v>
      </c>
      <c r="J1119" t="s">
        <v>70</v>
      </c>
      <c r="K1119" t="s">
        <v>4195</v>
      </c>
      <c r="M1119" t="s">
        <v>72</v>
      </c>
      <c r="N1119" t="s">
        <v>4196</v>
      </c>
      <c r="O1119" t="s">
        <v>4195</v>
      </c>
      <c r="P1119" t="s">
        <v>4197</v>
      </c>
      <c r="Q1119" t="s">
        <v>75</v>
      </c>
      <c r="R1119" t="s">
        <v>4297</v>
      </c>
      <c r="S1119" t="s">
        <v>4423</v>
      </c>
      <c r="T1119" t="s">
        <v>78</v>
      </c>
      <c r="U1119" t="s">
        <v>79</v>
      </c>
      <c r="V1119" t="s">
        <v>80</v>
      </c>
      <c r="W1119" s="1">
        <v>44521</v>
      </c>
      <c r="X1119" t="s">
        <v>81</v>
      </c>
      <c r="Y1119" t="s">
        <v>4424</v>
      </c>
      <c r="Z1119" t="s">
        <v>83</v>
      </c>
      <c r="AA1119">
        <v>1</v>
      </c>
      <c r="AB1119" t="s">
        <v>103</v>
      </c>
      <c r="AD1119" t="s">
        <v>343</v>
      </c>
      <c r="AE1119" t="s">
        <v>86</v>
      </c>
      <c r="AF1119" t="s">
        <v>146</v>
      </c>
      <c r="AG1119" t="s">
        <v>4425</v>
      </c>
      <c r="AI1119" t="s">
        <v>90</v>
      </c>
      <c r="AJ1119">
        <v>32.499245000000002</v>
      </c>
      <c r="AK1119">
        <v>-110.68250999999999</v>
      </c>
      <c r="AL1119">
        <v>3</v>
      </c>
      <c r="AN1119">
        <v>1318</v>
      </c>
      <c r="AP1119">
        <v>1318</v>
      </c>
      <c r="AQ1119">
        <v>1321.19139</v>
      </c>
      <c r="AT1119">
        <v>21</v>
      </c>
      <c r="AU1119">
        <v>11</v>
      </c>
      <c r="AV1119">
        <v>2021</v>
      </c>
      <c r="AW1119">
        <v>2439589</v>
      </c>
      <c r="AX1119">
        <v>2439589</v>
      </c>
      <c r="AY1119" t="s">
        <v>106</v>
      </c>
      <c r="AZ1119" t="s">
        <v>92</v>
      </c>
      <c r="BA1119" t="s">
        <v>107</v>
      </c>
      <c r="BB1119" t="s">
        <v>4429</v>
      </c>
      <c r="BC1119" t="s">
        <v>97</v>
      </c>
      <c r="BE1119" t="s">
        <v>96</v>
      </c>
      <c r="BG1119" t="s">
        <v>97</v>
      </c>
      <c r="BI1119" t="s">
        <v>98</v>
      </c>
      <c r="BJ1119" t="s">
        <v>4430</v>
      </c>
      <c r="BL1119" t="s">
        <v>110</v>
      </c>
    </row>
    <row r="1120" spans="1:64" hidden="1" x14ac:dyDescent="0.2">
      <c r="A1120">
        <v>1502</v>
      </c>
      <c r="B1120">
        <v>3744741631</v>
      </c>
      <c r="C1120" t="s">
        <v>101</v>
      </c>
      <c r="D1120" t="s">
        <v>4439</v>
      </c>
      <c r="E1120" t="s">
        <v>65</v>
      </c>
      <c r="F1120" t="s">
        <v>66</v>
      </c>
      <c r="G1120" t="s">
        <v>67</v>
      </c>
      <c r="H1120" t="s">
        <v>68</v>
      </c>
      <c r="I1120" t="s">
        <v>176</v>
      </c>
      <c r="J1120" t="s">
        <v>3844</v>
      </c>
      <c r="K1120" t="s">
        <v>3845</v>
      </c>
      <c r="M1120" t="s">
        <v>72</v>
      </c>
      <c r="N1120" t="s">
        <v>3846</v>
      </c>
      <c r="O1120" t="s">
        <v>3845</v>
      </c>
      <c r="P1120" t="s">
        <v>3847</v>
      </c>
      <c r="Q1120" t="s">
        <v>75</v>
      </c>
      <c r="R1120" t="s">
        <v>4297</v>
      </c>
      <c r="S1120" t="s">
        <v>4432</v>
      </c>
      <c r="T1120" t="s">
        <v>78</v>
      </c>
      <c r="U1120" t="s">
        <v>79</v>
      </c>
      <c r="V1120" t="s">
        <v>80</v>
      </c>
      <c r="W1120" s="1">
        <v>44521</v>
      </c>
      <c r="X1120" t="s">
        <v>81</v>
      </c>
      <c r="Y1120" t="s">
        <v>4433</v>
      </c>
      <c r="Z1120" t="s">
        <v>83</v>
      </c>
      <c r="AA1120">
        <v>1</v>
      </c>
      <c r="AB1120" t="s">
        <v>103</v>
      </c>
      <c r="AD1120" t="s">
        <v>116</v>
      </c>
      <c r="AE1120" t="s">
        <v>145</v>
      </c>
      <c r="AF1120" t="s">
        <v>281</v>
      </c>
      <c r="AG1120" t="s">
        <v>4440</v>
      </c>
      <c r="AH1120" t="s">
        <v>4441</v>
      </c>
      <c r="AI1120" t="s">
        <v>90</v>
      </c>
      <c r="AJ1120">
        <v>32.499175999999999</v>
      </c>
      <c r="AK1120">
        <v>-110.682423</v>
      </c>
      <c r="AL1120">
        <v>3</v>
      </c>
      <c r="AN1120">
        <v>1315</v>
      </c>
      <c r="AP1120">
        <v>1315</v>
      </c>
      <c r="AQ1120">
        <v>1320.239654</v>
      </c>
      <c r="AT1120">
        <v>21</v>
      </c>
      <c r="AU1120">
        <v>11</v>
      </c>
      <c r="AV1120">
        <v>2021</v>
      </c>
      <c r="AW1120">
        <v>2438516</v>
      </c>
      <c r="AX1120">
        <v>2438516</v>
      </c>
      <c r="AY1120" t="s">
        <v>106</v>
      </c>
      <c r="AZ1120" t="s">
        <v>92</v>
      </c>
      <c r="BA1120" t="s">
        <v>107</v>
      </c>
      <c r="BB1120" t="s">
        <v>4442</v>
      </c>
      <c r="BC1120" t="s">
        <v>97</v>
      </c>
      <c r="BE1120" t="s">
        <v>96</v>
      </c>
      <c r="BG1120" t="s">
        <v>97</v>
      </c>
      <c r="BI1120" t="s">
        <v>98</v>
      </c>
      <c r="BJ1120" t="s">
        <v>4427</v>
      </c>
      <c r="BL1120" t="s">
        <v>412</v>
      </c>
    </row>
    <row r="1121" spans="1:64" hidden="1" x14ac:dyDescent="0.2">
      <c r="A1121">
        <v>1499</v>
      </c>
      <c r="B1121">
        <v>3744741634</v>
      </c>
      <c r="C1121" t="s">
        <v>101</v>
      </c>
      <c r="D1121" t="s">
        <v>4443</v>
      </c>
      <c r="E1121" t="s">
        <v>65</v>
      </c>
      <c r="F1121" t="s">
        <v>66</v>
      </c>
      <c r="G1121" t="s">
        <v>67</v>
      </c>
      <c r="H1121" t="s">
        <v>68</v>
      </c>
      <c r="I1121" t="s">
        <v>176</v>
      </c>
      <c r="J1121" t="s">
        <v>3844</v>
      </c>
      <c r="K1121" t="s">
        <v>3845</v>
      </c>
      <c r="M1121" t="s">
        <v>72</v>
      </c>
      <c r="N1121" t="s">
        <v>3846</v>
      </c>
      <c r="O1121" t="s">
        <v>3845</v>
      </c>
      <c r="P1121" t="s">
        <v>3847</v>
      </c>
      <c r="Q1121" t="s">
        <v>75</v>
      </c>
      <c r="R1121" t="s">
        <v>4297</v>
      </c>
      <c r="S1121" t="s">
        <v>4432</v>
      </c>
      <c r="T1121" t="s">
        <v>78</v>
      </c>
      <c r="U1121" t="s">
        <v>79</v>
      </c>
      <c r="V1121" t="s">
        <v>80</v>
      </c>
      <c r="W1121" s="1">
        <v>44521</v>
      </c>
      <c r="X1121" t="s">
        <v>81</v>
      </c>
      <c r="Y1121" t="s">
        <v>4433</v>
      </c>
      <c r="Z1121" t="s">
        <v>83</v>
      </c>
      <c r="AA1121">
        <v>1</v>
      </c>
      <c r="AB1121" t="s">
        <v>103</v>
      </c>
      <c r="AD1121" t="s">
        <v>104</v>
      </c>
      <c r="AE1121" t="s">
        <v>145</v>
      </c>
      <c r="AF1121" t="s">
        <v>281</v>
      </c>
      <c r="AG1121" t="s">
        <v>4440</v>
      </c>
      <c r="AH1121" t="s">
        <v>4441</v>
      </c>
      <c r="AI1121" t="s">
        <v>90</v>
      </c>
      <c r="AJ1121">
        <v>32.499175999999999</v>
      </c>
      <c r="AK1121">
        <v>-110.682423</v>
      </c>
      <c r="AL1121">
        <v>3</v>
      </c>
      <c r="AN1121">
        <v>1315</v>
      </c>
      <c r="AP1121">
        <v>1315</v>
      </c>
      <c r="AQ1121">
        <v>1320.239654</v>
      </c>
      <c r="AT1121">
        <v>21</v>
      </c>
      <c r="AU1121">
        <v>11</v>
      </c>
      <c r="AV1121">
        <v>2021</v>
      </c>
      <c r="AW1121">
        <v>2438516</v>
      </c>
      <c r="AX1121">
        <v>2438516</v>
      </c>
      <c r="AY1121" t="s">
        <v>106</v>
      </c>
      <c r="AZ1121" t="s">
        <v>92</v>
      </c>
      <c r="BA1121" t="s">
        <v>107</v>
      </c>
      <c r="BB1121" t="s">
        <v>4444</v>
      </c>
      <c r="BC1121" t="s">
        <v>97</v>
      </c>
      <c r="BE1121" t="s">
        <v>96</v>
      </c>
      <c r="BG1121" t="s">
        <v>97</v>
      </c>
      <c r="BI1121" t="s">
        <v>98</v>
      </c>
      <c r="BJ1121" t="s">
        <v>4445</v>
      </c>
      <c r="BL1121" t="s">
        <v>412</v>
      </c>
    </row>
    <row r="1122" spans="1:64" hidden="1" x14ac:dyDescent="0.2">
      <c r="A1122">
        <v>1507</v>
      </c>
      <c r="B1122">
        <v>3744741626</v>
      </c>
      <c r="C1122" t="s">
        <v>101</v>
      </c>
      <c r="D1122" t="s">
        <v>4446</v>
      </c>
      <c r="E1122" t="s">
        <v>65</v>
      </c>
      <c r="F1122" t="s">
        <v>66</v>
      </c>
      <c r="G1122" t="s">
        <v>67</v>
      </c>
      <c r="H1122" t="s">
        <v>68</v>
      </c>
      <c r="I1122" t="s">
        <v>176</v>
      </c>
      <c r="J1122" t="s">
        <v>3844</v>
      </c>
      <c r="K1122" t="s">
        <v>3845</v>
      </c>
      <c r="M1122" t="s">
        <v>72</v>
      </c>
      <c r="N1122" t="s">
        <v>3846</v>
      </c>
      <c r="O1122" t="s">
        <v>3845</v>
      </c>
      <c r="P1122" t="s">
        <v>3847</v>
      </c>
      <c r="Q1122" t="s">
        <v>75</v>
      </c>
      <c r="R1122" t="s">
        <v>4297</v>
      </c>
      <c r="S1122" t="s">
        <v>4432</v>
      </c>
      <c r="T1122" t="s">
        <v>78</v>
      </c>
      <c r="U1122" t="s">
        <v>79</v>
      </c>
      <c r="V1122" t="s">
        <v>80</v>
      </c>
      <c r="W1122" s="1">
        <v>44521</v>
      </c>
      <c r="X1122" t="s">
        <v>81</v>
      </c>
      <c r="Y1122" t="s">
        <v>4433</v>
      </c>
      <c r="Z1122" t="s">
        <v>83</v>
      </c>
      <c r="AA1122">
        <v>1</v>
      </c>
      <c r="AB1122" t="s">
        <v>103</v>
      </c>
      <c r="AD1122" t="s">
        <v>112</v>
      </c>
      <c r="AE1122" t="s">
        <v>145</v>
      </c>
      <c r="AF1122" t="s">
        <v>281</v>
      </c>
      <c r="AG1122" t="s">
        <v>4440</v>
      </c>
      <c r="AH1122" t="s">
        <v>4441</v>
      </c>
      <c r="AI1122" t="s">
        <v>90</v>
      </c>
      <c r="AJ1122">
        <v>32.499175999999999</v>
      </c>
      <c r="AK1122">
        <v>-110.682423</v>
      </c>
      <c r="AL1122">
        <v>3</v>
      </c>
      <c r="AN1122">
        <v>1315</v>
      </c>
      <c r="AP1122">
        <v>1315</v>
      </c>
      <c r="AQ1122">
        <v>1320.239654</v>
      </c>
      <c r="AT1122">
        <v>21</v>
      </c>
      <c r="AU1122">
        <v>11</v>
      </c>
      <c r="AV1122">
        <v>2021</v>
      </c>
      <c r="AW1122">
        <v>2438516</v>
      </c>
      <c r="AX1122">
        <v>2438516</v>
      </c>
      <c r="AY1122" t="s">
        <v>106</v>
      </c>
      <c r="AZ1122" t="s">
        <v>92</v>
      </c>
      <c r="BA1122" t="s">
        <v>107</v>
      </c>
      <c r="BB1122" t="s">
        <v>4447</v>
      </c>
      <c r="BC1122" t="s">
        <v>97</v>
      </c>
      <c r="BE1122" t="s">
        <v>96</v>
      </c>
      <c r="BG1122" t="s">
        <v>97</v>
      </c>
      <c r="BI1122" t="s">
        <v>98</v>
      </c>
      <c r="BJ1122" t="s">
        <v>1538</v>
      </c>
      <c r="BL1122" t="s">
        <v>412</v>
      </c>
    </row>
    <row r="1123" spans="1:64" x14ac:dyDescent="0.2">
      <c r="A1123">
        <v>644</v>
      </c>
      <c r="B1123">
        <v>4126336314</v>
      </c>
      <c r="C1123" t="s">
        <v>63</v>
      </c>
      <c r="D1123" t="s">
        <v>5892</v>
      </c>
      <c r="E1123" t="s">
        <v>65</v>
      </c>
      <c r="F1123" t="s">
        <v>66</v>
      </c>
      <c r="G1123" t="s">
        <v>67</v>
      </c>
      <c r="H1123" t="s">
        <v>68</v>
      </c>
      <c r="I1123" t="s">
        <v>69</v>
      </c>
      <c r="J1123" t="s">
        <v>70</v>
      </c>
      <c r="K1123" t="s">
        <v>71</v>
      </c>
      <c r="M1123" t="s">
        <v>72</v>
      </c>
      <c r="N1123" t="s">
        <v>73</v>
      </c>
      <c r="O1123" t="s">
        <v>71</v>
      </c>
      <c r="P1123" t="s">
        <v>74</v>
      </c>
      <c r="Q1123" t="s">
        <v>75</v>
      </c>
      <c r="R1123" t="s">
        <v>5008</v>
      </c>
      <c r="S1123" t="s">
        <v>632</v>
      </c>
      <c r="T1123" t="s">
        <v>78</v>
      </c>
      <c r="U1123" t="s">
        <v>5009</v>
      </c>
      <c r="V1123" t="s">
        <v>80</v>
      </c>
      <c r="W1123" s="1">
        <v>44905</v>
      </c>
      <c r="X1123" t="s">
        <v>5010</v>
      </c>
      <c r="Y1123" t="s">
        <v>5893</v>
      </c>
      <c r="Z1123" t="s">
        <v>83</v>
      </c>
      <c r="AA1123">
        <v>1</v>
      </c>
      <c r="AB1123" t="s">
        <v>5894</v>
      </c>
      <c r="AC1123">
        <v>1</v>
      </c>
      <c r="AD1123" s="6" t="s">
        <v>85</v>
      </c>
      <c r="AE1123" s="6" t="s">
        <v>86</v>
      </c>
      <c r="AF1123" s="6" t="s">
        <v>87</v>
      </c>
      <c r="AG1123" s="6" t="s">
        <v>1257</v>
      </c>
      <c r="AH1123" s="6" t="s">
        <v>5895</v>
      </c>
      <c r="AI1123" s="6" t="s">
        <v>90</v>
      </c>
      <c r="AJ1123" s="6">
        <v>32.313274999999997</v>
      </c>
      <c r="AK1123" s="6">
        <v>-110.71270699999999</v>
      </c>
      <c r="AL1123" s="6">
        <v>3</v>
      </c>
      <c r="AM1123" s="6"/>
      <c r="AN1123" s="6">
        <v>1168</v>
      </c>
      <c r="AO1123" s="6"/>
      <c r="AP1123" s="6">
        <v>1168</v>
      </c>
      <c r="AQ1123" s="6">
        <v>1170.8411980000001</v>
      </c>
      <c r="AR1123" s="6"/>
      <c r="AS1123" s="6"/>
      <c r="AT1123" s="6">
        <v>10</v>
      </c>
      <c r="AU1123" s="6">
        <v>12</v>
      </c>
      <c r="AV1123" s="6">
        <v>2022</v>
      </c>
      <c r="AW1123" s="6">
        <v>2439581</v>
      </c>
      <c r="AX1123" s="6">
        <v>2439581</v>
      </c>
      <c r="AY1123" s="6" t="s">
        <v>91</v>
      </c>
      <c r="AZ1123" t="s">
        <v>92</v>
      </c>
      <c r="BA1123" t="s">
        <v>93</v>
      </c>
      <c r="BB1123" t="s">
        <v>5896</v>
      </c>
      <c r="BC1123" t="s">
        <v>97</v>
      </c>
      <c r="BE1123" t="s">
        <v>96</v>
      </c>
      <c r="BG1123" t="s">
        <v>5499</v>
      </c>
      <c r="BI1123" t="s">
        <v>98</v>
      </c>
      <c r="BJ1123" t="s">
        <v>5850</v>
      </c>
      <c r="BL1123" t="s">
        <v>5540</v>
      </c>
    </row>
    <row r="1124" spans="1:64" x14ac:dyDescent="0.2">
      <c r="A1124">
        <v>645</v>
      </c>
      <c r="B1124">
        <v>4126336313</v>
      </c>
      <c r="C1124" t="s">
        <v>63</v>
      </c>
      <c r="D1124" t="s">
        <v>5917</v>
      </c>
      <c r="E1124" t="s">
        <v>65</v>
      </c>
      <c r="F1124" t="s">
        <v>66</v>
      </c>
      <c r="G1124" t="s">
        <v>67</v>
      </c>
      <c r="H1124" t="s">
        <v>68</v>
      </c>
      <c r="I1124" t="s">
        <v>176</v>
      </c>
      <c r="J1124" t="s">
        <v>773</v>
      </c>
      <c r="K1124" t="s">
        <v>1347</v>
      </c>
      <c r="M1124" t="s">
        <v>72</v>
      </c>
      <c r="N1124" t="s">
        <v>1348</v>
      </c>
      <c r="O1124" t="s">
        <v>1347</v>
      </c>
      <c r="P1124" t="s">
        <v>1349</v>
      </c>
      <c r="Q1124" t="s">
        <v>75</v>
      </c>
      <c r="R1124" t="s">
        <v>5008</v>
      </c>
      <c r="S1124" t="s">
        <v>5918</v>
      </c>
      <c r="T1124" t="s">
        <v>78</v>
      </c>
      <c r="U1124" t="s">
        <v>5009</v>
      </c>
      <c r="V1124" t="s">
        <v>80</v>
      </c>
      <c r="W1124" s="1">
        <v>44905</v>
      </c>
      <c r="X1124" t="s">
        <v>5010</v>
      </c>
      <c r="Y1124" t="s">
        <v>5919</v>
      </c>
      <c r="Z1124" t="s">
        <v>83</v>
      </c>
      <c r="AA1124">
        <v>1</v>
      </c>
      <c r="AB1124" t="s">
        <v>5920</v>
      </c>
      <c r="AC1124">
        <v>1</v>
      </c>
      <c r="AD1124" s="6" t="s">
        <v>85</v>
      </c>
      <c r="AE1124" s="6" t="s">
        <v>86</v>
      </c>
      <c r="AF1124" s="6" t="s">
        <v>87</v>
      </c>
      <c r="AG1124" s="6" t="s">
        <v>5921</v>
      </c>
      <c r="AH1124" s="6" t="s">
        <v>5922</v>
      </c>
      <c r="AI1124" s="6" t="s">
        <v>90</v>
      </c>
      <c r="AJ1124" s="6">
        <v>32.314751999999999</v>
      </c>
      <c r="AK1124" s="6">
        <v>-110.71243800000001</v>
      </c>
      <c r="AL1124" s="6">
        <v>3</v>
      </c>
      <c r="AM1124" s="6"/>
      <c r="AN1124" s="6">
        <v>1184</v>
      </c>
      <c r="AO1124" s="6"/>
      <c r="AP1124" s="6">
        <v>1184</v>
      </c>
      <c r="AQ1124" s="6">
        <v>1199.071997</v>
      </c>
      <c r="AR1124" s="6"/>
      <c r="AS1124" s="6"/>
      <c r="AT1124" s="6">
        <v>10</v>
      </c>
      <c r="AU1124" s="6">
        <v>12</v>
      </c>
      <c r="AV1124" s="6">
        <v>2022</v>
      </c>
      <c r="AW1124" s="6">
        <v>2438454</v>
      </c>
      <c r="AX1124" s="6">
        <v>2438454</v>
      </c>
      <c r="AY1124" s="6" t="s">
        <v>91</v>
      </c>
      <c r="AZ1124" t="s">
        <v>92</v>
      </c>
      <c r="BA1124" t="s">
        <v>93</v>
      </c>
      <c r="BB1124" t="s">
        <v>5923</v>
      </c>
      <c r="BC1124" t="s">
        <v>97</v>
      </c>
      <c r="BE1124" t="s">
        <v>96</v>
      </c>
      <c r="BG1124" t="s">
        <v>5499</v>
      </c>
      <c r="BI1124" t="s">
        <v>98</v>
      </c>
      <c r="BJ1124" t="s">
        <v>5799</v>
      </c>
      <c r="BL1124" t="s">
        <v>5632</v>
      </c>
    </row>
    <row r="1125" spans="1:64" hidden="1" x14ac:dyDescent="0.2">
      <c r="A1125">
        <v>1517</v>
      </c>
      <c r="B1125">
        <v>3744741616</v>
      </c>
      <c r="C1125" t="s">
        <v>101</v>
      </c>
      <c r="D1125" t="s">
        <v>4453</v>
      </c>
      <c r="E1125" t="s">
        <v>65</v>
      </c>
      <c r="F1125" t="s">
        <v>66</v>
      </c>
      <c r="G1125" t="s">
        <v>67</v>
      </c>
      <c r="H1125" t="s">
        <v>68</v>
      </c>
      <c r="I1125" t="s">
        <v>176</v>
      </c>
      <c r="J1125" t="s">
        <v>3844</v>
      </c>
      <c r="K1125" t="s">
        <v>3845</v>
      </c>
      <c r="M1125" t="s">
        <v>72</v>
      </c>
      <c r="N1125" t="s">
        <v>3846</v>
      </c>
      <c r="O1125" t="s">
        <v>3845</v>
      </c>
      <c r="P1125" t="s">
        <v>3847</v>
      </c>
      <c r="Q1125" t="s">
        <v>75</v>
      </c>
      <c r="R1125" t="s">
        <v>4297</v>
      </c>
      <c r="S1125" t="s">
        <v>4432</v>
      </c>
      <c r="T1125" t="s">
        <v>78</v>
      </c>
      <c r="U1125" t="s">
        <v>79</v>
      </c>
      <c r="V1125" t="s">
        <v>80</v>
      </c>
      <c r="W1125" s="1">
        <v>44521</v>
      </c>
      <c r="X1125" t="s">
        <v>81</v>
      </c>
      <c r="Y1125" t="s">
        <v>4433</v>
      </c>
      <c r="Z1125" t="s">
        <v>83</v>
      </c>
      <c r="AA1125">
        <v>1</v>
      </c>
      <c r="AB1125" t="s">
        <v>103</v>
      </c>
      <c r="AD1125" t="s">
        <v>139</v>
      </c>
      <c r="AE1125" t="s">
        <v>145</v>
      </c>
      <c r="AF1125" t="s">
        <v>281</v>
      </c>
      <c r="AG1125" t="s">
        <v>4440</v>
      </c>
      <c r="AH1125" t="s">
        <v>4441</v>
      </c>
      <c r="AI1125" t="s">
        <v>90</v>
      </c>
      <c r="AJ1125">
        <v>32.499175999999999</v>
      </c>
      <c r="AK1125">
        <v>-110.682423</v>
      </c>
      <c r="AL1125">
        <v>3</v>
      </c>
      <c r="AN1125">
        <v>1315</v>
      </c>
      <c r="AP1125">
        <v>1315</v>
      </c>
      <c r="AQ1125">
        <v>1320.239654</v>
      </c>
      <c r="AT1125">
        <v>21</v>
      </c>
      <c r="AU1125">
        <v>11</v>
      </c>
      <c r="AV1125">
        <v>2021</v>
      </c>
      <c r="AW1125">
        <v>2438516</v>
      </c>
      <c r="AX1125">
        <v>2438516</v>
      </c>
      <c r="AY1125" t="s">
        <v>106</v>
      </c>
      <c r="AZ1125" t="s">
        <v>92</v>
      </c>
      <c r="BA1125" t="s">
        <v>107</v>
      </c>
      <c r="BB1125" t="s">
        <v>4454</v>
      </c>
      <c r="BC1125" t="s">
        <v>97</v>
      </c>
      <c r="BE1125" t="s">
        <v>96</v>
      </c>
      <c r="BG1125" t="s">
        <v>97</v>
      </c>
      <c r="BI1125" t="s">
        <v>98</v>
      </c>
      <c r="BJ1125" t="s">
        <v>4421</v>
      </c>
      <c r="BL1125" t="s">
        <v>412</v>
      </c>
    </row>
    <row r="1126" spans="1:64" hidden="1" x14ac:dyDescent="0.2">
      <c r="A1126">
        <v>1514</v>
      </c>
      <c r="B1126">
        <v>3744741619</v>
      </c>
      <c r="C1126" t="s">
        <v>101</v>
      </c>
      <c r="D1126" t="s">
        <v>4455</v>
      </c>
      <c r="E1126" t="s">
        <v>65</v>
      </c>
      <c r="F1126" t="s">
        <v>66</v>
      </c>
      <c r="G1126" t="s">
        <v>67</v>
      </c>
      <c r="H1126" t="s">
        <v>68</v>
      </c>
      <c r="I1126" t="s">
        <v>176</v>
      </c>
      <c r="J1126" t="s">
        <v>3844</v>
      </c>
      <c r="K1126" t="s">
        <v>3845</v>
      </c>
      <c r="M1126" t="s">
        <v>72</v>
      </c>
      <c r="N1126" t="s">
        <v>3846</v>
      </c>
      <c r="O1126" t="s">
        <v>3845</v>
      </c>
      <c r="P1126" t="s">
        <v>3847</v>
      </c>
      <c r="Q1126" t="s">
        <v>75</v>
      </c>
      <c r="R1126" t="s">
        <v>4297</v>
      </c>
      <c r="S1126" t="s">
        <v>4432</v>
      </c>
      <c r="T1126" t="s">
        <v>78</v>
      </c>
      <c r="U1126" t="s">
        <v>79</v>
      </c>
      <c r="V1126" t="s">
        <v>80</v>
      </c>
      <c r="W1126" s="1">
        <v>44521</v>
      </c>
      <c r="X1126" t="s">
        <v>81</v>
      </c>
      <c r="Y1126" t="s">
        <v>4433</v>
      </c>
      <c r="Z1126" t="s">
        <v>83</v>
      </c>
      <c r="AA1126">
        <v>1</v>
      </c>
      <c r="AB1126" t="s">
        <v>103</v>
      </c>
      <c r="AD1126" t="s">
        <v>123</v>
      </c>
      <c r="AE1126" t="s">
        <v>145</v>
      </c>
      <c r="AF1126" t="s">
        <v>281</v>
      </c>
      <c r="AG1126" t="s">
        <v>4440</v>
      </c>
      <c r="AH1126" t="s">
        <v>4441</v>
      </c>
      <c r="AI1126" t="s">
        <v>90</v>
      </c>
      <c r="AJ1126">
        <v>32.499175999999999</v>
      </c>
      <c r="AK1126">
        <v>-110.682423</v>
      </c>
      <c r="AL1126">
        <v>3</v>
      </c>
      <c r="AN1126">
        <v>1315</v>
      </c>
      <c r="AP1126">
        <v>1315</v>
      </c>
      <c r="AQ1126">
        <v>1320.239654</v>
      </c>
      <c r="AT1126">
        <v>21</v>
      </c>
      <c r="AU1126">
        <v>11</v>
      </c>
      <c r="AV1126">
        <v>2021</v>
      </c>
      <c r="AW1126">
        <v>2438516</v>
      </c>
      <c r="AX1126">
        <v>2438516</v>
      </c>
      <c r="AY1126" t="s">
        <v>106</v>
      </c>
      <c r="AZ1126" t="s">
        <v>92</v>
      </c>
      <c r="BA1126" t="s">
        <v>107</v>
      </c>
      <c r="BB1126" t="s">
        <v>4456</v>
      </c>
      <c r="BC1126" t="s">
        <v>97</v>
      </c>
      <c r="BE1126" t="s">
        <v>96</v>
      </c>
      <c r="BG1126" t="s">
        <v>97</v>
      </c>
      <c r="BI1126" t="s">
        <v>98</v>
      </c>
      <c r="BJ1126" t="s">
        <v>4457</v>
      </c>
      <c r="BL1126" t="s">
        <v>412</v>
      </c>
    </row>
    <row r="1127" spans="1:64" hidden="1" x14ac:dyDescent="0.2">
      <c r="A1127">
        <v>1523</v>
      </c>
      <c r="B1127">
        <v>3744741610</v>
      </c>
      <c r="C1127" t="s">
        <v>101</v>
      </c>
      <c r="D1127" t="s">
        <v>4458</v>
      </c>
      <c r="E1127" t="s">
        <v>65</v>
      </c>
      <c r="F1127" t="s">
        <v>66</v>
      </c>
      <c r="G1127" t="s">
        <v>67</v>
      </c>
      <c r="H1127" t="s">
        <v>68</v>
      </c>
      <c r="I1127" t="s">
        <v>176</v>
      </c>
      <c r="J1127" t="s">
        <v>3844</v>
      </c>
      <c r="K1127" t="s">
        <v>3845</v>
      </c>
      <c r="M1127" t="s">
        <v>72</v>
      </c>
      <c r="N1127" t="s">
        <v>3846</v>
      </c>
      <c r="O1127" t="s">
        <v>3845</v>
      </c>
      <c r="P1127" t="s">
        <v>3847</v>
      </c>
      <c r="Q1127" t="s">
        <v>75</v>
      </c>
      <c r="R1127" t="s">
        <v>4297</v>
      </c>
      <c r="S1127" t="s">
        <v>4432</v>
      </c>
      <c r="T1127" t="s">
        <v>78</v>
      </c>
      <c r="U1127" t="s">
        <v>79</v>
      </c>
      <c r="V1127" t="s">
        <v>80</v>
      </c>
      <c r="W1127" s="1">
        <v>44521</v>
      </c>
      <c r="X1127" t="s">
        <v>81</v>
      </c>
      <c r="Y1127" t="s">
        <v>4433</v>
      </c>
      <c r="Z1127" t="s">
        <v>83</v>
      </c>
      <c r="AA1127">
        <v>1</v>
      </c>
      <c r="AB1127" t="s">
        <v>4459</v>
      </c>
      <c r="AD1127" t="s">
        <v>134</v>
      </c>
      <c r="AE1127" t="s">
        <v>145</v>
      </c>
      <c r="AF1127" t="s">
        <v>281</v>
      </c>
      <c r="AG1127" t="s">
        <v>4440</v>
      </c>
      <c r="AH1127" t="s">
        <v>4460</v>
      </c>
      <c r="AI1127" t="s">
        <v>90</v>
      </c>
      <c r="AJ1127">
        <v>32.499175999999999</v>
      </c>
      <c r="AK1127">
        <v>-110.682423</v>
      </c>
      <c r="AL1127">
        <v>3</v>
      </c>
      <c r="AN1127">
        <v>1315</v>
      </c>
      <c r="AP1127">
        <v>1315</v>
      </c>
      <c r="AQ1127">
        <v>1320.239654</v>
      </c>
      <c r="AT1127">
        <v>21</v>
      </c>
      <c r="AU1127">
        <v>11</v>
      </c>
      <c r="AV1127">
        <v>2021</v>
      </c>
      <c r="AW1127">
        <v>2438516</v>
      </c>
      <c r="AX1127">
        <v>2438516</v>
      </c>
      <c r="AY1127" t="s">
        <v>106</v>
      </c>
      <c r="AZ1127" t="s">
        <v>92</v>
      </c>
      <c r="BA1127" t="s">
        <v>107</v>
      </c>
      <c r="BB1127" t="s">
        <v>4461</v>
      </c>
      <c r="BC1127" t="s">
        <v>97</v>
      </c>
      <c r="BE1127" t="s">
        <v>96</v>
      </c>
      <c r="BG1127" t="s">
        <v>97</v>
      </c>
      <c r="BI1127" t="s">
        <v>98</v>
      </c>
      <c r="BJ1127" t="s">
        <v>4457</v>
      </c>
      <c r="BL1127" t="s">
        <v>412</v>
      </c>
    </row>
    <row r="1128" spans="1:64" hidden="1" x14ac:dyDescent="0.2">
      <c r="A1128">
        <v>1520</v>
      </c>
      <c r="B1128">
        <v>3744741613</v>
      </c>
      <c r="C1128" t="s">
        <v>101</v>
      </c>
      <c r="D1128" t="s">
        <v>4470</v>
      </c>
      <c r="E1128" t="s">
        <v>65</v>
      </c>
      <c r="F1128" t="s">
        <v>66</v>
      </c>
      <c r="G1128" t="s">
        <v>67</v>
      </c>
      <c r="H1128" t="s">
        <v>68</v>
      </c>
      <c r="I1128" t="s">
        <v>69</v>
      </c>
      <c r="J1128" t="s">
        <v>70</v>
      </c>
      <c r="K1128" t="s">
        <v>71</v>
      </c>
      <c r="M1128" t="s">
        <v>72</v>
      </c>
      <c r="N1128" t="s">
        <v>73</v>
      </c>
      <c r="O1128" t="s">
        <v>71</v>
      </c>
      <c r="P1128" t="s">
        <v>74</v>
      </c>
      <c r="Q1128" t="s">
        <v>75</v>
      </c>
      <c r="R1128" t="s">
        <v>4297</v>
      </c>
      <c r="S1128" t="s">
        <v>4463</v>
      </c>
      <c r="T1128" t="s">
        <v>78</v>
      </c>
      <c r="U1128" t="s">
        <v>79</v>
      </c>
      <c r="V1128" t="s">
        <v>80</v>
      </c>
      <c r="W1128" s="1">
        <v>44521</v>
      </c>
      <c r="X1128" t="s">
        <v>81</v>
      </c>
      <c r="Y1128" t="s">
        <v>4464</v>
      </c>
      <c r="Z1128" t="s">
        <v>83</v>
      </c>
      <c r="AA1128">
        <v>1</v>
      </c>
      <c r="AB1128" t="s">
        <v>103</v>
      </c>
      <c r="AD1128" t="s">
        <v>104</v>
      </c>
      <c r="AE1128" t="s">
        <v>145</v>
      </c>
      <c r="AF1128" t="s">
        <v>146</v>
      </c>
      <c r="AG1128" t="s">
        <v>4471</v>
      </c>
      <c r="AH1128" t="s">
        <v>4472</v>
      </c>
      <c r="AI1128" t="s">
        <v>90</v>
      </c>
      <c r="AJ1128">
        <v>32.499155999999999</v>
      </c>
      <c r="AK1128">
        <v>-110.682446</v>
      </c>
      <c r="AL1128">
        <v>3</v>
      </c>
      <c r="AN1128">
        <v>1318</v>
      </c>
      <c r="AP1128">
        <v>1318</v>
      </c>
      <c r="AQ1128">
        <v>1320.826133</v>
      </c>
      <c r="AT1128">
        <v>21</v>
      </c>
      <c r="AU1128">
        <v>11</v>
      </c>
      <c r="AV1128">
        <v>2021</v>
      </c>
      <c r="AW1128">
        <v>2439581</v>
      </c>
      <c r="AX1128">
        <v>2439581</v>
      </c>
      <c r="AY1128" t="s">
        <v>106</v>
      </c>
      <c r="AZ1128" t="s">
        <v>92</v>
      </c>
      <c r="BA1128" t="s">
        <v>107</v>
      </c>
      <c r="BB1128" t="s">
        <v>4473</v>
      </c>
      <c r="BC1128" t="s">
        <v>97</v>
      </c>
      <c r="BE1128" t="s">
        <v>96</v>
      </c>
      <c r="BG1128" t="s">
        <v>97</v>
      </c>
      <c r="BI1128" t="s">
        <v>98</v>
      </c>
      <c r="BJ1128" t="s">
        <v>1521</v>
      </c>
      <c r="BL1128" t="s">
        <v>110</v>
      </c>
    </row>
    <row r="1129" spans="1:64" hidden="1" x14ac:dyDescent="0.2">
      <c r="A1129">
        <v>1529</v>
      </c>
      <c r="B1129">
        <v>3744741604</v>
      </c>
      <c r="C1129" t="s">
        <v>101</v>
      </c>
      <c r="D1129" t="s">
        <v>4474</v>
      </c>
      <c r="E1129" t="s">
        <v>65</v>
      </c>
      <c r="F1129" t="s">
        <v>66</v>
      </c>
      <c r="G1129" t="s">
        <v>67</v>
      </c>
      <c r="H1129" t="s">
        <v>68</v>
      </c>
      <c r="I1129" t="s">
        <v>69</v>
      </c>
      <c r="J1129" t="s">
        <v>70</v>
      </c>
      <c r="K1129" t="s">
        <v>71</v>
      </c>
      <c r="M1129" t="s">
        <v>72</v>
      </c>
      <c r="N1129" t="s">
        <v>73</v>
      </c>
      <c r="O1129" t="s">
        <v>71</v>
      </c>
      <c r="P1129" t="s">
        <v>74</v>
      </c>
      <c r="Q1129" t="s">
        <v>75</v>
      </c>
      <c r="R1129" t="s">
        <v>4297</v>
      </c>
      <c r="S1129" t="s">
        <v>4463</v>
      </c>
      <c r="T1129" t="s">
        <v>78</v>
      </c>
      <c r="U1129" t="s">
        <v>79</v>
      </c>
      <c r="V1129" t="s">
        <v>80</v>
      </c>
      <c r="W1129" s="1">
        <v>44521</v>
      </c>
      <c r="X1129" t="s">
        <v>81</v>
      </c>
      <c r="Y1129" t="s">
        <v>4464</v>
      </c>
      <c r="Z1129" t="s">
        <v>83</v>
      </c>
      <c r="AA1129">
        <v>1</v>
      </c>
      <c r="AB1129" t="s">
        <v>103</v>
      </c>
      <c r="AD1129" t="s">
        <v>112</v>
      </c>
      <c r="AE1129" t="s">
        <v>145</v>
      </c>
      <c r="AF1129" t="s">
        <v>146</v>
      </c>
      <c r="AG1129" t="s">
        <v>4471</v>
      </c>
      <c r="AH1129" t="s">
        <v>4472</v>
      </c>
      <c r="AI1129" t="s">
        <v>90</v>
      </c>
      <c r="AJ1129">
        <v>32.499155999999999</v>
      </c>
      <c r="AK1129">
        <v>-110.682446</v>
      </c>
      <c r="AL1129">
        <v>3</v>
      </c>
      <c r="AN1129">
        <v>1318</v>
      </c>
      <c r="AP1129">
        <v>1318</v>
      </c>
      <c r="AQ1129">
        <v>1320.826133</v>
      </c>
      <c r="AT1129">
        <v>21</v>
      </c>
      <c r="AU1129">
        <v>11</v>
      </c>
      <c r="AV1129">
        <v>2021</v>
      </c>
      <c r="AW1129">
        <v>2439581</v>
      </c>
      <c r="AX1129">
        <v>2439581</v>
      </c>
      <c r="AY1129" t="s">
        <v>106</v>
      </c>
      <c r="AZ1129" t="s">
        <v>92</v>
      </c>
      <c r="BA1129" t="s">
        <v>107</v>
      </c>
      <c r="BB1129" t="s">
        <v>4475</v>
      </c>
      <c r="BC1129" t="s">
        <v>97</v>
      </c>
      <c r="BE1129" t="s">
        <v>96</v>
      </c>
      <c r="BG1129" t="s">
        <v>97</v>
      </c>
      <c r="BI1129" t="s">
        <v>98</v>
      </c>
      <c r="BJ1129" t="s">
        <v>4457</v>
      </c>
      <c r="BL1129" t="s">
        <v>110</v>
      </c>
    </row>
    <row r="1130" spans="1:64" hidden="1" x14ac:dyDescent="0.2">
      <c r="A1130">
        <v>1526</v>
      </c>
      <c r="B1130">
        <v>3744741607</v>
      </c>
      <c r="C1130" t="s">
        <v>101</v>
      </c>
      <c r="D1130" t="s">
        <v>4476</v>
      </c>
      <c r="E1130" t="s">
        <v>65</v>
      </c>
      <c r="F1130" t="s">
        <v>66</v>
      </c>
      <c r="G1130" t="s">
        <v>67</v>
      </c>
      <c r="H1130" t="s">
        <v>68</v>
      </c>
      <c r="I1130" t="s">
        <v>69</v>
      </c>
      <c r="J1130" t="s">
        <v>70</v>
      </c>
      <c r="K1130" t="s">
        <v>71</v>
      </c>
      <c r="M1130" t="s">
        <v>72</v>
      </c>
      <c r="N1130" t="s">
        <v>73</v>
      </c>
      <c r="O1130" t="s">
        <v>71</v>
      </c>
      <c r="P1130" t="s">
        <v>74</v>
      </c>
      <c r="Q1130" t="s">
        <v>75</v>
      </c>
      <c r="R1130" t="s">
        <v>4297</v>
      </c>
      <c r="S1130" t="s">
        <v>4463</v>
      </c>
      <c r="T1130" t="s">
        <v>78</v>
      </c>
      <c r="U1130" t="s">
        <v>79</v>
      </c>
      <c r="V1130" t="s">
        <v>80</v>
      </c>
      <c r="W1130" s="1">
        <v>44521</v>
      </c>
      <c r="X1130" t="s">
        <v>81</v>
      </c>
      <c r="Y1130" t="s">
        <v>4464</v>
      </c>
      <c r="Z1130" t="s">
        <v>83</v>
      </c>
      <c r="AA1130">
        <v>1</v>
      </c>
      <c r="AB1130" t="s">
        <v>103</v>
      </c>
      <c r="AD1130" t="s">
        <v>116</v>
      </c>
      <c r="AE1130" t="s">
        <v>145</v>
      </c>
      <c r="AF1130" t="s">
        <v>146</v>
      </c>
      <c r="AG1130" t="s">
        <v>4471</v>
      </c>
      <c r="AH1130" t="s">
        <v>4472</v>
      </c>
      <c r="AI1130" t="s">
        <v>90</v>
      </c>
      <c r="AJ1130">
        <v>32.499155999999999</v>
      </c>
      <c r="AK1130">
        <v>-110.682446</v>
      </c>
      <c r="AL1130">
        <v>3</v>
      </c>
      <c r="AN1130">
        <v>1318</v>
      </c>
      <c r="AP1130">
        <v>1318</v>
      </c>
      <c r="AQ1130">
        <v>1320.826133</v>
      </c>
      <c r="AT1130">
        <v>21</v>
      </c>
      <c r="AU1130">
        <v>11</v>
      </c>
      <c r="AV1130">
        <v>2021</v>
      </c>
      <c r="AW1130">
        <v>2439581</v>
      </c>
      <c r="AX1130">
        <v>2439581</v>
      </c>
      <c r="AY1130" t="s">
        <v>106</v>
      </c>
      <c r="AZ1130" t="s">
        <v>92</v>
      </c>
      <c r="BA1130" t="s">
        <v>107</v>
      </c>
      <c r="BB1130" t="s">
        <v>4477</v>
      </c>
      <c r="BC1130" t="s">
        <v>97</v>
      </c>
      <c r="BE1130" t="s">
        <v>96</v>
      </c>
      <c r="BG1130" t="s">
        <v>97</v>
      </c>
      <c r="BI1130" t="s">
        <v>98</v>
      </c>
      <c r="BJ1130" t="s">
        <v>4457</v>
      </c>
      <c r="BL1130" t="s">
        <v>110</v>
      </c>
    </row>
    <row r="1131" spans="1:64" x14ac:dyDescent="0.2">
      <c r="A1131">
        <v>652</v>
      </c>
      <c r="B1131">
        <v>4126336302</v>
      </c>
      <c r="C1131" t="s">
        <v>63</v>
      </c>
      <c r="D1131" t="s">
        <v>5948</v>
      </c>
      <c r="E1131" t="s">
        <v>65</v>
      </c>
      <c r="F1131" t="s">
        <v>66</v>
      </c>
      <c r="G1131" t="s">
        <v>67</v>
      </c>
      <c r="H1131" t="s">
        <v>68</v>
      </c>
      <c r="I1131" t="s">
        <v>176</v>
      </c>
      <c r="J1131" t="s">
        <v>773</v>
      </c>
      <c r="K1131" t="s">
        <v>1347</v>
      </c>
      <c r="M1131" t="s">
        <v>72</v>
      </c>
      <c r="N1131" t="s">
        <v>1348</v>
      </c>
      <c r="O1131" t="s">
        <v>1347</v>
      </c>
      <c r="P1131" t="s">
        <v>1349</v>
      </c>
      <c r="Q1131" t="s">
        <v>75</v>
      </c>
      <c r="R1131" t="s">
        <v>5008</v>
      </c>
      <c r="S1131" t="s">
        <v>5949</v>
      </c>
      <c r="T1131" t="s">
        <v>78</v>
      </c>
      <c r="U1131" t="s">
        <v>5009</v>
      </c>
      <c r="V1131" t="s">
        <v>80</v>
      </c>
      <c r="W1131" s="1">
        <v>44905</v>
      </c>
      <c r="X1131" t="s">
        <v>5010</v>
      </c>
      <c r="Y1131" t="s">
        <v>5950</v>
      </c>
      <c r="Z1131" t="s">
        <v>83</v>
      </c>
      <c r="AA1131">
        <v>1</v>
      </c>
      <c r="AB1131" t="s">
        <v>5951</v>
      </c>
      <c r="AC1131">
        <v>1</v>
      </c>
      <c r="AD1131" s="6" t="s">
        <v>85</v>
      </c>
      <c r="AE1131" s="6" t="s">
        <v>86</v>
      </c>
      <c r="AF1131" s="6" t="s">
        <v>146</v>
      </c>
      <c r="AG1131" s="6" t="s">
        <v>5921</v>
      </c>
      <c r="AH1131" s="6" t="s">
        <v>5952</v>
      </c>
      <c r="AI1131" s="6" t="s">
        <v>90</v>
      </c>
      <c r="AJ1131" s="6">
        <v>32.314033999999999</v>
      </c>
      <c r="AK1131" s="6">
        <v>-110.71266</v>
      </c>
      <c r="AL1131" s="6">
        <v>3</v>
      </c>
      <c r="AM1131" s="6"/>
      <c r="AN1131" s="6">
        <v>1178</v>
      </c>
      <c r="AO1131" s="6"/>
      <c r="AP1131" s="6">
        <v>1178</v>
      </c>
      <c r="AQ1131" s="6">
        <v>1181.191096</v>
      </c>
      <c r="AR1131" s="6"/>
      <c r="AS1131" s="6"/>
      <c r="AT1131" s="6">
        <v>10</v>
      </c>
      <c r="AU1131" s="6">
        <v>12</v>
      </c>
      <c r="AV1131" s="6">
        <v>2022</v>
      </c>
      <c r="AW1131" s="6">
        <v>2438454</v>
      </c>
      <c r="AX1131" s="6">
        <v>2438454</v>
      </c>
      <c r="AY1131" s="6" t="s">
        <v>91</v>
      </c>
      <c r="AZ1131" t="s">
        <v>92</v>
      </c>
      <c r="BA1131" t="s">
        <v>93</v>
      </c>
      <c r="BB1131" t="s">
        <v>5953</v>
      </c>
      <c r="BC1131" t="s">
        <v>97</v>
      </c>
      <c r="BE1131" t="s">
        <v>96</v>
      </c>
      <c r="BG1131" t="s">
        <v>5499</v>
      </c>
      <c r="BI1131" t="s">
        <v>98</v>
      </c>
      <c r="BJ1131" t="s">
        <v>5954</v>
      </c>
      <c r="BK1131" t="s">
        <v>365</v>
      </c>
      <c r="BL1131" t="s">
        <v>5540</v>
      </c>
    </row>
    <row r="1132" spans="1:64" x14ac:dyDescent="0.2">
      <c r="A1132">
        <v>653</v>
      </c>
      <c r="B1132">
        <v>4126336301</v>
      </c>
      <c r="C1132" t="s">
        <v>63</v>
      </c>
      <c r="D1132" t="s">
        <v>5977</v>
      </c>
      <c r="E1132" t="s">
        <v>65</v>
      </c>
      <c r="F1132" t="s">
        <v>66</v>
      </c>
      <c r="G1132" t="s">
        <v>67</v>
      </c>
      <c r="H1132" t="s">
        <v>68</v>
      </c>
      <c r="I1132" t="s">
        <v>176</v>
      </c>
      <c r="J1132" t="s">
        <v>773</v>
      </c>
      <c r="K1132" t="s">
        <v>1347</v>
      </c>
      <c r="M1132" t="s">
        <v>72</v>
      </c>
      <c r="N1132" t="s">
        <v>1348</v>
      </c>
      <c r="O1132" t="s">
        <v>1347</v>
      </c>
      <c r="P1132" t="s">
        <v>1349</v>
      </c>
      <c r="Q1132" t="s">
        <v>75</v>
      </c>
      <c r="R1132" t="s">
        <v>5008</v>
      </c>
      <c r="S1132" t="s">
        <v>355</v>
      </c>
      <c r="T1132" t="s">
        <v>78</v>
      </c>
      <c r="U1132" t="s">
        <v>5009</v>
      </c>
      <c r="V1132" t="s">
        <v>80</v>
      </c>
      <c r="W1132" s="1">
        <v>44905</v>
      </c>
      <c r="X1132" t="s">
        <v>5010</v>
      </c>
      <c r="Y1132" t="s">
        <v>5978</v>
      </c>
      <c r="Z1132" t="s">
        <v>83</v>
      </c>
      <c r="AA1132">
        <v>1</v>
      </c>
      <c r="AB1132" t="s">
        <v>5979</v>
      </c>
      <c r="AC1132">
        <v>1</v>
      </c>
      <c r="AD1132" s="6" t="s">
        <v>85</v>
      </c>
      <c r="AE1132" s="6" t="s">
        <v>86</v>
      </c>
      <c r="AF1132" s="6" t="s">
        <v>146</v>
      </c>
      <c r="AG1132" s="6" t="s">
        <v>5980</v>
      </c>
      <c r="AH1132" s="6" t="s">
        <v>5981</v>
      </c>
      <c r="AI1132" s="6" t="s">
        <v>90</v>
      </c>
      <c r="AJ1132" s="6">
        <v>32.313409999999998</v>
      </c>
      <c r="AK1132" s="6">
        <v>-110.713256</v>
      </c>
      <c r="AL1132" s="6">
        <v>3</v>
      </c>
      <c r="AM1132" s="6"/>
      <c r="AN1132" s="6">
        <v>1217</v>
      </c>
      <c r="AO1132" s="6"/>
      <c r="AP1132" s="6">
        <v>1217</v>
      </c>
      <c r="AQ1132" s="6">
        <v>1176.622245</v>
      </c>
      <c r="AR1132" s="6"/>
      <c r="AS1132" s="6"/>
      <c r="AT1132" s="6">
        <v>10</v>
      </c>
      <c r="AU1132" s="6">
        <v>12</v>
      </c>
      <c r="AV1132" s="6">
        <v>2022</v>
      </c>
      <c r="AW1132" s="6">
        <v>2438454</v>
      </c>
      <c r="AX1132" s="6">
        <v>2438454</v>
      </c>
      <c r="AY1132" s="6" t="s">
        <v>91</v>
      </c>
      <c r="AZ1132" t="s">
        <v>92</v>
      </c>
      <c r="BA1132" t="s">
        <v>93</v>
      </c>
      <c r="BB1132" t="s">
        <v>5982</v>
      </c>
      <c r="BC1132" t="s">
        <v>97</v>
      </c>
      <c r="BE1132" t="s">
        <v>96</v>
      </c>
      <c r="BG1132" t="s">
        <v>5499</v>
      </c>
      <c r="BI1132" t="s">
        <v>98</v>
      </c>
      <c r="BJ1132" t="s">
        <v>5983</v>
      </c>
      <c r="BL1132" t="s">
        <v>5540</v>
      </c>
    </row>
    <row r="1133" spans="1:64" hidden="1" x14ac:dyDescent="0.2">
      <c r="A1133">
        <v>1783</v>
      </c>
      <c r="B1133">
        <v>3744741319</v>
      </c>
      <c r="C1133" t="s">
        <v>101</v>
      </c>
      <c r="D1133" t="s">
        <v>4484</v>
      </c>
      <c r="E1133" t="s">
        <v>65</v>
      </c>
      <c r="F1133" t="s">
        <v>66</v>
      </c>
      <c r="G1133" t="s">
        <v>67</v>
      </c>
      <c r="H1133" t="s">
        <v>68</v>
      </c>
      <c r="I1133" t="s">
        <v>69</v>
      </c>
      <c r="J1133" t="s">
        <v>70</v>
      </c>
      <c r="K1133" t="s">
        <v>71</v>
      </c>
      <c r="M1133" t="s">
        <v>72</v>
      </c>
      <c r="N1133" t="s">
        <v>73</v>
      </c>
      <c r="O1133" t="s">
        <v>71</v>
      </c>
      <c r="P1133" t="s">
        <v>74</v>
      </c>
      <c r="Q1133" t="s">
        <v>75</v>
      </c>
      <c r="R1133" t="s">
        <v>4297</v>
      </c>
      <c r="S1133" t="s">
        <v>4463</v>
      </c>
      <c r="T1133" t="s">
        <v>78</v>
      </c>
      <c r="U1133" t="s">
        <v>79</v>
      </c>
      <c r="V1133" t="s">
        <v>80</v>
      </c>
      <c r="W1133" s="1">
        <v>44521</v>
      </c>
      <c r="X1133" t="s">
        <v>81</v>
      </c>
      <c r="Y1133" t="s">
        <v>4464</v>
      </c>
      <c r="Z1133" t="s">
        <v>83</v>
      </c>
      <c r="AA1133">
        <v>1</v>
      </c>
      <c r="AB1133" t="s">
        <v>103</v>
      </c>
      <c r="AD1133" t="s">
        <v>139</v>
      </c>
      <c r="AE1133" t="s">
        <v>145</v>
      </c>
      <c r="AF1133" t="s">
        <v>146</v>
      </c>
      <c r="AG1133" t="s">
        <v>4471</v>
      </c>
      <c r="AH1133" t="s">
        <v>4472</v>
      </c>
      <c r="AI1133" t="s">
        <v>90</v>
      </c>
      <c r="AJ1133">
        <v>32.499155999999999</v>
      </c>
      <c r="AK1133">
        <v>-110.682446</v>
      </c>
      <c r="AL1133">
        <v>3</v>
      </c>
      <c r="AN1133">
        <v>1318</v>
      </c>
      <c r="AP1133">
        <v>1318</v>
      </c>
      <c r="AQ1133">
        <v>1320.826133</v>
      </c>
      <c r="AT1133">
        <v>21</v>
      </c>
      <c r="AU1133">
        <v>11</v>
      </c>
      <c r="AV1133">
        <v>2021</v>
      </c>
      <c r="AW1133">
        <v>2439581</v>
      </c>
      <c r="AX1133">
        <v>2439581</v>
      </c>
      <c r="AY1133" t="s">
        <v>106</v>
      </c>
      <c r="AZ1133" t="s">
        <v>92</v>
      </c>
      <c r="BA1133" t="s">
        <v>107</v>
      </c>
      <c r="BB1133" t="s">
        <v>4485</v>
      </c>
      <c r="BC1133" t="s">
        <v>97</v>
      </c>
      <c r="BE1133" t="s">
        <v>96</v>
      </c>
      <c r="BG1133" t="s">
        <v>97</v>
      </c>
      <c r="BI1133" t="s">
        <v>98</v>
      </c>
      <c r="BJ1133" t="s">
        <v>324</v>
      </c>
      <c r="BL1133" t="s">
        <v>110</v>
      </c>
    </row>
    <row r="1134" spans="1:64" hidden="1" x14ac:dyDescent="0.2">
      <c r="A1134">
        <v>1782</v>
      </c>
      <c r="B1134">
        <v>3744741320</v>
      </c>
      <c r="C1134" t="s">
        <v>101</v>
      </c>
      <c r="D1134" t="s">
        <v>4486</v>
      </c>
      <c r="E1134" t="s">
        <v>65</v>
      </c>
      <c r="F1134" t="s">
        <v>66</v>
      </c>
      <c r="G1134" t="s">
        <v>67</v>
      </c>
      <c r="H1134" t="s">
        <v>68</v>
      </c>
      <c r="I1134" t="s">
        <v>69</v>
      </c>
      <c r="J1134" t="s">
        <v>70</v>
      </c>
      <c r="K1134" t="s">
        <v>71</v>
      </c>
      <c r="M1134" t="s">
        <v>72</v>
      </c>
      <c r="N1134" t="s">
        <v>73</v>
      </c>
      <c r="O1134" t="s">
        <v>71</v>
      </c>
      <c r="P1134" t="s">
        <v>74</v>
      </c>
      <c r="Q1134" t="s">
        <v>75</v>
      </c>
      <c r="R1134" t="s">
        <v>4297</v>
      </c>
      <c r="S1134" t="s">
        <v>4463</v>
      </c>
      <c r="T1134" t="s">
        <v>78</v>
      </c>
      <c r="U1134" t="s">
        <v>79</v>
      </c>
      <c r="V1134" t="s">
        <v>80</v>
      </c>
      <c r="W1134" s="1">
        <v>44521</v>
      </c>
      <c r="X1134" t="s">
        <v>81</v>
      </c>
      <c r="Y1134" t="s">
        <v>4464</v>
      </c>
      <c r="Z1134" t="s">
        <v>83</v>
      </c>
      <c r="AA1134">
        <v>1</v>
      </c>
      <c r="AB1134" t="s">
        <v>103</v>
      </c>
      <c r="AD1134" t="s">
        <v>123</v>
      </c>
      <c r="AE1134" t="s">
        <v>145</v>
      </c>
      <c r="AF1134" t="s">
        <v>146</v>
      </c>
      <c r="AG1134" t="s">
        <v>4471</v>
      </c>
      <c r="AH1134" t="s">
        <v>4472</v>
      </c>
      <c r="AI1134" t="s">
        <v>90</v>
      </c>
      <c r="AJ1134">
        <v>32.499155999999999</v>
      </c>
      <c r="AK1134">
        <v>-110.682446</v>
      </c>
      <c r="AL1134">
        <v>3</v>
      </c>
      <c r="AN1134">
        <v>1318</v>
      </c>
      <c r="AP1134">
        <v>1318</v>
      </c>
      <c r="AQ1134">
        <v>1320.826133</v>
      </c>
      <c r="AT1134">
        <v>21</v>
      </c>
      <c r="AU1134">
        <v>11</v>
      </c>
      <c r="AV1134">
        <v>2021</v>
      </c>
      <c r="AW1134">
        <v>2439581</v>
      </c>
      <c r="AX1134">
        <v>2439581</v>
      </c>
      <c r="AY1134" t="s">
        <v>106</v>
      </c>
      <c r="AZ1134" t="s">
        <v>92</v>
      </c>
      <c r="BA1134" t="s">
        <v>107</v>
      </c>
      <c r="BB1134" t="s">
        <v>4487</v>
      </c>
      <c r="BC1134" t="s">
        <v>97</v>
      </c>
      <c r="BE1134" t="s">
        <v>96</v>
      </c>
      <c r="BG1134" t="s">
        <v>97</v>
      </c>
      <c r="BI1134" t="s">
        <v>98</v>
      </c>
      <c r="BJ1134" t="s">
        <v>943</v>
      </c>
      <c r="BL1134" t="s">
        <v>110</v>
      </c>
    </row>
    <row r="1135" spans="1:64" hidden="1" x14ac:dyDescent="0.2">
      <c r="A1135">
        <v>1785</v>
      </c>
      <c r="B1135">
        <v>3744741317</v>
      </c>
      <c r="C1135" t="s">
        <v>101</v>
      </c>
      <c r="D1135" t="s">
        <v>4488</v>
      </c>
      <c r="E1135" t="s">
        <v>65</v>
      </c>
      <c r="F1135" t="s">
        <v>66</v>
      </c>
      <c r="G1135" t="s">
        <v>67</v>
      </c>
      <c r="H1135" t="s">
        <v>68</v>
      </c>
      <c r="I1135" t="s">
        <v>69</v>
      </c>
      <c r="J1135" t="s">
        <v>70</v>
      </c>
      <c r="K1135" t="s">
        <v>71</v>
      </c>
      <c r="M1135" t="s">
        <v>72</v>
      </c>
      <c r="N1135" t="s">
        <v>73</v>
      </c>
      <c r="O1135" t="s">
        <v>71</v>
      </c>
      <c r="P1135" t="s">
        <v>74</v>
      </c>
      <c r="Q1135" t="s">
        <v>75</v>
      </c>
      <c r="R1135" t="s">
        <v>4297</v>
      </c>
      <c r="S1135" t="s">
        <v>4463</v>
      </c>
      <c r="T1135" t="s">
        <v>78</v>
      </c>
      <c r="U1135" t="s">
        <v>79</v>
      </c>
      <c r="V1135" t="s">
        <v>80</v>
      </c>
      <c r="W1135" s="1">
        <v>44521</v>
      </c>
      <c r="X1135" t="s">
        <v>81</v>
      </c>
      <c r="Y1135" t="s">
        <v>4464</v>
      </c>
      <c r="Z1135" t="s">
        <v>83</v>
      </c>
      <c r="AA1135">
        <v>1</v>
      </c>
      <c r="AB1135" t="s">
        <v>133</v>
      </c>
      <c r="AD1135" t="s">
        <v>134</v>
      </c>
      <c r="AE1135" t="s">
        <v>145</v>
      </c>
      <c r="AF1135" t="s">
        <v>146</v>
      </c>
      <c r="AG1135" t="s">
        <v>4471</v>
      </c>
      <c r="AH1135" t="s">
        <v>4489</v>
      </c>
      <c r="AI1135" t="s">
        <v>90</v>
      </c>
      <c r="AJ1135">
        <v>32.499155999999999</v>
      </c>
      <c r="AK1135">
        <v>-110.682446</v>
      </c>
      <c r="AL1135">
        <v>3</v>
      </c>
      <c r="AN1135">
        <v>1318</v>
      </c>
      <c r="AP1135">
        <v>1318</v>
      </c>
      <c r="AQ1135">
        <v>1320.826133</v>
      </c>
      <c r="AT1135">
        <v>21</v>
      </c>
      <c r="AU1135">
        <v>11</v>
      </c>
      <c r="AV1135">
        <v>2021</v>
      </c>
      <c r="AW1135">
        <v>2439581</v>
      </c>
      <c r="AX1135">
        <v>2439581</v>
      </c>
      <c r="AY1135" t="s">
        <v>106</v>
      </c>
      <c r="AZ1135" t="s">
        <v>92</v>
      </c>
      <c r="BA1135" t="s">
        <v>107</v>
      </c>
      <c r="BB1135" t="s">
        <v>4490</v>
      </c>
      <c r="BC1135" t="s">
        <v>97</v>
      </c>
      <c r="BE1135" t="s">
        <v>96</v>
      </c>
      <c r="BG1135" t="s">
        <v>97</v>
      </c>
      <c r="BI1135" t="s">
        <v>98</v>
      </c>
      <c r="BJ1135" t="s">
        <v>943</v>
      </c>
      <c r="BL1135" t="s">
        <v>110</v>
      </c>
    </row>
    <row r="1136" spans="1:64" hidden="1" x14ac:dyDescent="0.2">
      <c r="A1136">
        <v>1784</v>
      </c>
      <c r="B1136">
        <v>3744741318</v>
      </c>
      <c r="C1136" t="s">
        <v>101</v>
      </c>
      <c r="D1136" t="s">
        <v>4491</v>
      </c>
      <c r="E1136" t="s">
        <v>65</v>
      </c>
      <c r="F1136" t="s">
        <v>66</v>
      </c>
      <c r="G1136" t="s">
        <v>67</v>
      </c>
      <c r="H1136" t="s">
        <v>68</v>
      </c>
      <c r="I1136" t="s">
        <v>69</v>
      </c>
      <c r="J1136" t="s">
        <v>70</v>
      </c>
      <c r="K1136" t="s">
        <v>4195</v>
      </c>
      <c r="M1136" t="s">
        <v>72</v>
      </c>
      <c r="N1136" t="s">
        <v>4196</v>
      </c>
      <c r="O1136" t="s">
        <v>4195</v>
      </c>
      <c r="P1136" t="s">
        <v>4197</v>
      </c>
      <c r="Q1136" t="s">
        <v>75</v>
      </c>
      <c r="R1136" t="s">
        <v>4297</v>
      </c>
      <c r="S1136" t="s">
        <v>4492</v>
      </c>
      <c r="T1136" t="s">
        <v>78</v>
      </c>
      <c r="U1136" t="s">
        <v>79</v>
      </c>
      <c r="V1136" t="s">
        <v>80</v>
      </c>
      <c r="W1136" s="1">
        <v>44521</v>
      </c>
      <c r="X1136" t="s">
        <v>81</v>
      </c>
      <c r="Y1136" t="s">
        <v>4493</v>
      </c>
      <c r="Z1136" t="s">
        <v>83</v>
      </c>
      <c r="AA1136">
        <v>1</v>
      </c>
      <c r="AB1136" t="s">
        <v>103</v>
      </c>
      <c r="AD1136" t="s">
        <v>343</v>
      </c>
      <c r="AE1136" t="s">
        <v>86</v>
      </c>
      <c r="AF1136" t="s">
        <v>146</v>
      </c>
      <c r="AG1136" t="s">
        <v>4494</v>
      </c>
      <c r="AI1136" t="s">
        <v>90</v>
      </c>
      <c r="AJ1136">
        <v>32.500373000000003</v>
      </c>
      <c r="AK1136">
        <v>-110.683768</v>
      </c>
      <c r="AL1136">
        <v>3</v>
      </c>
      <c r="AN1136">
        <v>1331</v>
      </c>
      <c r="AP1136">
        <v>1331</v>
      </c>
      <c r="AQ1136">
        <v>1334.118825</v>
      </c>
      <c r="AT1136">
        <v>21</v>
      </c>
      <c r="AU1136">
        <v>11</v>
      </c>
      <c r="AV1136">
        <v>2021</v>
      </c>
      <c r="AW1136">
        <v>2439589</v>
      </c>
      <c r="AX1136">
        <v>2439589</v>
      </c>
      <c r="AY1136" t="s">
        <v>106</v>
      </c>
      <c r="AZ1136" t="s">
        <v>92</v>
      </c>
      <c r="BA1136" t="s">
        <v>107</v>
      </c>
      <c r="BB1136" t="s">
        <v>4495</v>
      </c>
      <c r="BC1136" t="s">
        <v>97</v>
      </c>
      <c r="BE1136" t="s">
        <v>96</v>
      </c>
      <c r="BG1136" t="s">
        <v>97</v>
      </c>
      <c r="BI1136" t="s">
        <v>98</v>
      </c>
      <c r="BJ1136" t="s">
        <v>324</v>
      </c>
      <c r="BL1136" t="s">
        <v>110</v>
      </c>
    </row>
    <row r="1137" spans="1:64" x14ac:dyDescent="0.2">
      <c r="A1137">
        <v>651</v>
      </c>
      <c r="B1137">
        <v>4126336303</v>
      </c>
      <c r="C1137" t="s">
        <v>63</v>
      </c>
      <c r="D1137" t="s">
        <v>6003</v>
      </c>
      <c r="E1137" t="s">
        <v>65</v>
      </c>
      <c r="F1137" t="s">
        <v>66</v>
      </c>
      <c r="G1137" t="s">
        <v>67</v>
      </c>
      <c r="H1137" t="s">
        <v>68</v>
      </c>
      <c r="I1137" t="s">
        <v>176</v>
      </c>
      <c r="J1137" t="s">
        <v>773</v>
      </c>
      <c r="K1137" t="s">
        <v>1347</v>
      </c>
      <c r="M1137" t="s">
        <v>72</v>
      </c>
      <c r="N1137" t="s">
        <v>1348</v>
      </c>
      <c r="O1137" t="s">
        <v>1347</v>
      </c>
      <c r="P1137" t="s">
        <v>1349</v>
      </c>
      <c r="Q1137" t="s">
        <v>75</v>
      </c>
      <c r="R1137" t="s">
        <v>5008</v>
      </c>
      <c r="S1137" t="s">
        <v>1390</v>
      </c>
      <c r="T1137" t="s">
        <v>78</v>
      </c>
      <c r="U1137" t="s">
        <v>5009</v>
      </c>
      <c r="V1137" t="s">
        <v>80</v>
      </c>
      <c r="W1137" s="1">
        <v>44905</v>
      </c>
      <c r="X1137" t="s">
        <v>5010</v>
      </c>
      <c r="Y1137" t="s">
        <v>6004</v>
      </c>
      <c r="Z1137" t="s">
        <v>83</v>
      </c>
      <c r="AA1137">
        <v>1</v>
      </c>
      <c r="AB1137" t="s">
        <v>6005</v>
      </c>
      <c r="AC1137">
        <v>1</v>
      </c>
      <c r="AD1137" s="6" t="s">
        <v>85</v>
      </c>
      <c r="AE1137" s="6" t="s">
        <v>145</v>
      </c>
      <c r="AF1137" s="6" t="s">
        <v>146</v>
      </c>
      <c r="AG1137" s="6" t="s">
        <v>6006</v>
      </c>
      <c r="AH1137" s="6" t="s">
        <v>6007</v>
      </c>
      <c r="AI1137" s="6" t="s">
        <v>90</v>
      </c>
      <c r="AJ1137" s="6">
        <v>32.314039000000001</v>
      </c>
      <c r="AK1137" s="6">
        <v>-110.712479</v>
      </c>
      <c r="AL1137" s="6">
        <v>3</v>
      </c>
      <c r="AM1137" s="6"/>
      <c r="AN1137" s="6">
        <v>1155</v>
      </c>
      <c r="AO1137" s="6"/>
      <c r="AP1137" s="6">
        <v>1155</v>
      </c>
      <c r="AQ1137" s="6">
        <v>1178.283144</v>
      </c>
      <c r="AR1137" s="6"/>
      <c r="AS1137" s="6"/>
      <c r="AT1137" s="6">
        <v>10</v>
      </c>
      <c r="AU1137" s="6">
        <v>12</v>
      </c>
      <c r="AV1137" s="6">
        <v>2022</v>
      </c>
      <c r="AW1137" s="6">
        <v>2438454</v>
      </c>
      <c r="AX1137" s="6">
        <v>2438454</v>
      </c>
      <c r="AY1137" s="6" t="s">
        <v>91</v>
      </c>
      <c r="AZ1137" t="s">
        <v>92</v>
      </c>
      <c r="BA1137" t="s">
        <v>93</v>
      </c>
      <c r="BB1137" t="s">
        <v>6008</v>
      </c>
      <c r="BC1137" t="s">
        <v>97</v>
      </c>
      <c r="BE1137" t="s">
        <v>96</v>
      </c>
      <c r="BG1137" t="s">
        <v>5499</v>
      </c>
      <c r="BI1137" t="s">
        <v>98</v>
      </c>
      <c r="BJ1137" t="s">
        <v>5954</v>
      </c>
      <c r="BK1137" t="s">
        <v>365</v>
      </c>
      <c r="BL1137" t="s">
        <v>5632</v>
      </c>
    </row>
    <row r="1138" spans="1:64" x14ac:dyDescent="0.2">
      <c r="A1138">
        <v>638</v>
      </c>
      <c r="B1138">
        <v>4126336322</v>
      </c>
      <c r="C1138" t="s">
        <v>63</v>
      </c>
      <c r="D1138" t="s">
        <v>6036</v>
      </c>
      <c r="E1138" t="s">
        <v>65</v>
      </c>
      <c r="F1138" t="s">
        <v>66</v>
      </c>
      <c r="G1138" t="s">
        <v>67</v>
      </c>
      <c r="H1138" t="s">
        <v>68</v>
      </c>
      <c r="I1138" t="s">
        <v>176</v>
      </c>
      <c r="J1138" t="s">
        <v>773</v>
      </c>
      <c r="K1138" t="s">
        <v>1347</v>
      </c>
      <c r="M1138" t="s">
        <v>72</v>
      </c>
      <c r="N1138" t="s">
        <v>1348</v>
      </c>
      <c r="O1138" t="s">
        <v>1347</v>
      </c>
      <c r="P1138" t="s">
        <v>1349</v>
      </c>
      <c r="Q1138" t="s">
        <v>75</v>
      </c>
      <c r="R1138" t="s">
        <v>5008</v>
      </c>
      <c r="S1138" t="s">
        <v>6037</v>
      </c>
      <c r="T1138" t="s">
        <v>78</v>
      </c>
      <c r="U1138" t="s">
        <v>5009</v>
      </c>
      <c r="V1138" t="s">
        <v>80</v>
      </c>
      <c r="W1138" s="1">
        <v>44905</v>
      </c>
      <c r="X1138" t="s">
        <v>5010</v>
      </c>
      <c r="Y1138" t="s">
        <v>6038</v>
      </c>
      <c r="Z1138" t="s">
        <v>83</v>
      </c>
      <c r="AA1138">
        <v>1</v>
      </c>
      <c r="AB1138" t="s">
        <v>6039</v>
      </c>
      <c r="AC1138">
        <v>1</v>
      </c>
      <c r="AD1138" s="6" t="s">
        <v>85</v>
      </c>
      <c r="AE1138" s="6" t="s">
        <v>145</v>
      </c>
      <c r="AF1138" s="6" t="s">
        <v>146</v>
      </c>
      <c r="AG1138" s="6" t="s">
        <v>6040</v>
      </c>
      <c r="AH1138" s="6" t="s">
        <v>6041</v>
      </c>
      <c r="AI1138" s="6" t="s">
        <v>90</v>
      </c>
      <c r="AJ1138" s="6">
        <v>32.313867000000002</v>
      </c>
      <c r="AK1138" s="6">
        <v>-110.712791</v>
      </c>
      <c r="AL1138" s="6">
        <v>3</v>
      </c>
      <c r="AM1138" s="6"/>
      <c r="AN1138" s="6">
        <v>1175</v>
      </c>
      <c r="AO1138" s="6"/>
      <c r="AP1138" s="6">
        <v>1175</v>
      </c>
      <c r="AQ1138" s="6">
        <v>1180.5823009999999</v>
      </c>
      <c r="AR1138" s="6"/>
      <c r="AS1138" s="6"/>
      <c r="AT1138" s="6">
        <v>10</v>
      </c>
      <c r="AU1138" s="6">
        <v>12</v>
      </c>
      <c r="AV1138" s="6">
        <v>2022</v>
      </c>
      <c r="AW1138" s="6">
        <v>2438454</v>
      </c>
      <c r="AX1138" s="6">
        <v>2438454</v>
      </c>
      <c r="AY1138" s="6" t="s">
        <v>91</v>
      </c>
      <c r="AZ1138" t="s">
        <v>92</v>
      </c>
      <c r="BA1138" t="s">
        <v>93</v>
      </c>
      <c r="BB1138" t="s">
        <v>6042</v>
      </c>
      <c r="BC1138" t="s">
        <v>97</v>
      </c>
      <c r="BE1138" t="s">
        <v>96</v>
      </c>
      <c r="BG1138" t="s">
        <v>5499</v>
      </c>
      <c r="BI1138" t="s">
        <v>98</v>
      </c>
      <c r="BJ1138" t="s">
        <v>6043</v>
      </c>
      <c r="BK1138" t="s">
        <v>365</v>
      </c>
      <c r="BL1138" t="s">
        <v>5540</v>
      </c>
    </row>
    <row r="1139" spans="1:64" x14ac:dyDescent="0.2">
      <c r="A1139">
        <v>637</v>
      </c>
      <c r="B1139">
        <v>4126336324</v>
      </c>
      <c r="C1139" t="s">
        <v>63</v>
      </c>
      <c r="D1139" t="s">
        <v>6137</v>
      </c>
      <c r="E1139" t="s">
        <v>65</v>
      </c>
      <c r="F1139" t="s">
        <v>66</v>
      </c>
      <c r="G1139" t="s">
        <v>67</v>
      </c>
      <c r="H1139" t="s">
        <v>68</v>
      </c>
      <c r="I1139" t="s">
        <v>69</v>
      </c>
      <c r="J1139" t="s">
        <v>70</v>
      </c>
      <c r="K1139" t="s">
        <v>71</v>
      </c>
      <c r="M1139" t="s">
        <v>72</v>
      </c>
      <c r="N1139" t="s">
        <v>73</v>
      </c>
      <c r="O1139" t="s">
        <v>71</v>
      </c>
      <c r="P1139" t="s">
        <v>74</v>
      </c>
      <c r="Q1139" t="s">
        <v>75</v>
      </c>
      <c r="R1139" t="s">
        <v>5008</v>
      </c>
      <c r="S1139" t="s">
        <v>6138</v>
      </c>
      <c r="T1139" t="s">
        <v>78</v>
      </c>
      <c r="U1139" t="s">
        <v>5009</v>
      </c>
      <c r="V1139" t="s">
        <v>80</v>
      </c>
      <c r="W1139" s="1">
        <v>44906</v>
      </c>
      <c r="X1139" t="s">
        <v>5010</v>
      </c>
      <c r="Y1139" t="s">
        <v>6139</v>
      </c>
      <c r="Z1139" t="s">
        <v>83</v>
      </c>
      <c r="AA1139">
        <v>1</v>
      </c>
      <c r="AB1139" t="s">
        <v>6140</v>
      </c>
      <c r="AC1139">
        <v>1</v>
      </c>
      <c r="AD1139" s="6" t="s">
        <v>85</v>
      </c>
      <c r="AE1139" s="6" t="s">
        <v>86</v>
      </c>
      <c r="AF1139" s="6" t="s">
        <v>146</v>
      </c>
      <c r="AG1139" s="6" t="s">
        <v>1257</v>
      </c>
      <c r="AH1139" s="6" t="s">
        <v>6141</v>
      </c>
      <c r="AI1139" s="6" t="s">
        <v>90</v>
      </c>
      <c r="AJ1139" s="6">
        <v>32.313198</v>
      </c>
      <c r="AK1139" s="6">
        <v>-110.712913</v>
      </c>
      <c r="AL1139" s="6">
        <v>3</v>
      </c>
      <c r="AM1139" s="6"/>
      <c r="AN1139" s="6">
        <v>1166</v>
      </c>
      <c r="AO1139" s="6"/>
      <c r="AP1139" s="6">
        <v>1166</v>
      </c>
      <c r="AQ1139" s="6">
        <v>1172.0251989999999</v>
      </c>
      <c r="AR1139" s="6"/>
      <c r="AS1139" s="6"/>
      <c r="AT1139" s="6">
        <v>11</v>
      </c>
      <c r="AU1139" s="6">
        <v>12</v>
      </c>
      <c r="AV1139" s="6">
        <v>2022</v>
      </c>
      <c r="AW1139" s="6">
        <v>2439581</v>
      </c>
      <c r="AX1139" s="6">
        <v>2439581</v>
      </c>
      <c r="AY1139" s="6" t="s">
        <v>91</v>
      </c>
      <c r="AZ1139" t="s">
        <v>92</v>
      </c>
      <c r="BA1139" t="s">
        <v>93</v>
      </c>
      <c r="BB1139" t="s">
        <v>6142</v>
      </c>
      <c r="BC1139" t="s">
        <v>97</v>
      </c>
      <c r="BE1139" t="s">
        <v>96</v>
      </c>
      <c r="BG1139" t="s">
        <v>5499</v>
      </c>
      <c r="BI1139" t="s">
        <v>98</v>
      </c>
      <c r="BJ1139" t="s">
        <v>6082</v>
      </c>
      <c r="BK1139" t="s">
        <v>365</v>
      </c>
      <c r="BL1139" t="s">
        <v>5540</v>
      </c>
    </row>
    <row r="1140" spans="1:64" hidden="1" x14ac:dyDescent="0.2">
      <c r="A1140">
        <v>1400</v>
      </c>
      <c r="B1140">
        <v>4022923313</v>
      </c>
      <c r="C1140" t="s">
        <v>101</v>
      </c>
      <c r="D1140" t="s">
        <v>4513</v>
      </c>
      <c r="E1140" t="s">
        <v>65</v>
      </c>
      <c r="F1140" t="s">
        <v>66</v>
      </c>
      <c r="G1140" t="s">
        <v>67</v>
      </c>
      <c r="H1140" t="s">
        <v>68</v>
      </c>
      <c r="I1140" t="s">
        <v>176</v>
      </c>
      <c r="J1140" t="s">
        <v>177</v>
      </c>
      <c r="K1140" t="s">
        <v>178</v>
      </c>
      <c r="M1140" t="s">
        <v>72</v>
      </c>
      <c r="N1140" t="s">
        <v>179</v>
      </c>
      <c r="O1140" t="s">
        <v>178</v>
      </c>
      <c r="P1140" t="s">
        <v>180</v>
      </c>
      <c r="Q1140" t="s">
        <v>75</v>
      </c>
      <c r="R1140" t="s">
        <v>4501</v>
      </c>
      <c r="S1140" t="s">
        <v>3734</v>
      </c>
      <c r="T1140" t="s">
        <v>78</v>
      </c>
      <c r="U1140" t="s">
        <v>3817</v>
      </c>
      <c r="V1140" t="s">
        <v>80</v>
      </c>
      <c r="W1140" s="1">
        <v>44534</v>
      </c>
      <c r="X1140" t="s">
        <v>4502</v>
      </c>
      <c r="Y1140" t="s">
        <v>4503</v>
      </c>
      <c r="Z1140" t="s">
        <v>83</v>
      </c>
      <c r="AA1140">
        <v>1</v>
      </c>
      <c r="AB1140" t="s">
        <v>133</v>
      </c>
      <c r="AD1140" t="s">
        <v>134</v>
      </c>
      <c r="AE1140" t="s">
        <v>86</v>
      </c>
      <c r="AF1140" t="s">
        <v>281</v>
      </c>
      <c r="AG1140" t="s">
        <v>4514</v>
      </c>
      <c r="AI1140" t="s">
        <v>90</v>
      </c>
      <c r="AJ1140">
        <v>32.337152000000003</v>
      </c>
      <c r="AK1140">
        <v>-110.72058</v>
      </c>
      <c r="AL1140">
        <v>3</v>
      </c>
      <c r="AN1140">
        <v>1467</v>
      </c>
      <c r="AP1140">
        <v>1467</v>
      </c>
      <c r="AQ1140">
        <v>1474.6702479999999</v>
      </c>
      <c r="AT1140">
        <v>4</v>
      </c>
      <c r="AU1140">
        <v>12</v>
      </c>
      <c r="AV1140">
        <v>2021</v>
      </c>
      <c r="AW1140">
        <v>2438038</v>
      </c>
      <c r="AX1140">
        <v>2438038</v>
      </c>
      <c r="AY1140" t="s">
        <v>106</v>
      </c>
      <c r="AZ1140" t="s">
        <v>92</v>
      </c>
      <c r="BA1140" t="s">
        <v>107</v>
      </c>
      <c r="BB1140" t="s">
        <v>4515</v>
      </c>
      <c r="BC1140" t="s">
        <v>1186</v>
      </c>
      <c r="BE1140" t="s">
        <v>96</v>
      </c>
      <c r="BG1140" t="s">
        <v>4507</v>
      </c>
      <c r="BI1140" t="s">
        <v>98</v>
      </c>
      <c r="BJ1140" t="s">
        <v>428</v>
      </c>
      <c r="BL1140" t="s">
        <v>412</v>
      </c>
    </row>
    <row r="1141" spans="1:64" hidden="1" x14ac:dyDescent="0.2">
      <c r="A1141">
        <v>1402</v>
      </c>
      <c r="B1141">
        <v>4022923311</v>
      </c>
      <c r="C1141" t="s">
        <v>101</v>
      </c>
      <c r="D1141" t="s">
        <v>4516</v>
      </c>
      <c r="E1141" t="s">
        <v>65</v>
      </c>
      <c r="F1141" t="s">
        <v>66</v>
      </c>
      <c r="G1141" t="s">
        <v>67</v>
      </c>
      <c r="H1141" t="s">
        <v>68</v>
      </c>
      <c r="I1141" t="s">
        <v>176</v>
      </c>
      <c r="J1141" t="s">
        <v>177</v>
      </c>
      <c r="K1141" t="s">
        <v>178</v>
      </c>
      <c r="M1141" t="s">
        <v>72</v>
      </c>
      <c r="N1141" t="s">
        <v>179</v>
      </c>
      <c r="O1141" t="s">
        <v>178</v>
      </c>
      <c r="P1141" t="s">
        <v>180</v>
      </c>
      <c r="Q1141" t="s">
        <v>75</v>
      </c>
      <c r="R1141" t="s">
        <v>4501</v>
      </c>
      <c r="S1141" t="s">
        <v>3734</v>
      </c>
      <c r="T1141" t="s">
        <v>78</v>
      </c>
      <c r="U1141" t="s">
        <v>3817</v>
      </c>
      <c r="V1141" t="s">
        <v>80</v>
      </c>
      <c r="W1141" s="1">
        <v>44534</v>
      </c>
      <c r="X1141" t="s">
        <v>4502</v>
      </c>
      <c r="Y1141" t="s">
        <v>4503</v>
      </c>
      <c r="Z1141" t="s">
        <v>83</v>
      </c>
      <c r="AA1141">
        <v>1</v>
      </c>
      <c r="AB1141" t="s">
        <v>4517</v>
      </c>
      <c r="AD1141" t="s">
        <v>104</v>
      </c>
      <c r="AE1141" t="s">
        <v>86</v>
      </c>
      <c r="AF1141" t="s">
        <v>281</v>
      </c>
      <c r="AG1141" t="s">
        <v>4505</v>
      </c>
      <c r="AI1141" t="s">
        <v>90</v>
      </c>
      <c r="AJ1141">
        <v>32.337152000000003</v>
      </c>
      <c r="AK1141">
        <v>-110.72058</v>
      </c>
      <c r="AL1141">
        <v>3</v>
      </c>
      <c r="AN1141">
        <v>1467</v>
      </c>
      <c r="AP1141">
        <v>1467</v>
      </c>
      <c r="AQ1141">
        <v>1474.6702479999999</v>
      </c>
      <c r="AT1141">
        <v>4</v>
      </c>
      <c r="AU1141">
        <v>12</v>
      </c>
      <c r="AV1141">
        <v>2021</v>
      </c>
      <c r="AW1141">
        <v>2438038</v>
      </c>
      <c r="AX1141">
        <v>2438038</v>
      </c>
      <c r="AY1141" t="s">
        <v>106</v>
      </c>
      <c r="AZ1141" t="s">
        <v>92</v>
      </c>
      <c r="BA1141" t="s">
        <v>107</v>
      </c>
      <c r="BB1141" t="s">
        <v>4518</v>
      </c>
      <c r="BC1141" t="s">
        <v>1186</v>
      </c>
      <c r="BE1141" t="s">
        <v>96</v>
      </c>
      <c r="BG1141" t="s">
        <v>4507</v>
      </c>
      <c r="BI1141" t="s">
        <v>98</v>
      </c>
      <c r="BJ1141" t="s">
        <v>4519</v>
      </c>
      <c r="BL1141" t="s">
        <v>412</v>
      </c>
    </row>
    <row r="1142" spans="1:64" hidden="1" x14ac:dyDescent="0.2">
      <c r="A1142">
        <v>1404</v>
      </c>
      <c r="B1142">
        <v>4022923309</v>
      </c>
      <c r="C1142" t="s">
        <v>101</v>
      </c>
      <c r="D1142" t="s">
        <v>4520</v>
      </c>
      <c r="E1142" t="s">
        <v>65</v>
      </c>
      <c r="F1142" t="s">
        <v>66</v>
      </c>
      <c r="G1142" t="s">
        <v>67</v>
      </c>
      <c r="H1142" t="s">
        <v>68</v>
      </c>
      <c r="I1142" t="s">
        <v>176</v>
      </c>
      <c r="J1142" t="s">
        <v>177</v>
      </c>
      <c r="K1142" t="s">
        <v>178</v>
      </c>
      <c r="M1142" t="s">
        <v>72</v>
      </c>
      <c r="N1142" t="s">
        <v>179</v>
      </c>
      <c r="O1142" t="s">
        <v>178</v>
      </c>
      <c r="P1142" t="s">
        <v>180</v>
      </c>
      <c r="Q1142" t="s">
        <v>75</v>
      </c>
      <c r="R1142" t="s">
        <v>4501</v>
      </c>
      <c r="S1142" t="s">
        <v>3734</v>
      </c>
      <c r="T1142" t="s">
        <v>78</v>
      </c>
      <c r="U1142" t="s">
        <v>3817</v>
      </c>
      <c r="V1142" t="s">
        <v>80</v>
      </c>
      <c r="W1142" s="1">
        <v>44534</v>
      </c>
      <c r="X1142" t="s">
        <v>4502</v>
      </c>
      <c r="Y1142" t="s">
        <v>4503</v>
      </c>
      <c r="Z1142" t="s">
        <v>83</v>
      </c>
      <c r="AA1142">
        <v>1</v>
      </c>
      <c r="AB1142" t="s">
        <v>4517</v>
      </c>
      <c r="AD1142" t="s">
        <v>116</v>
      </c>
      <c r="AE1142" t="s">
        <v>86</v>
      </c>
      <c r="AF1142" t="s">
        <v>281</v>
      </c>
      <c r="AG1142" t="s">
        <v>4505</v>
      </c>
      <c r="AI1142" t="s">
        <v>90</v>
      </c>
      <c r="AJ1142">
        <v>32.337152000000003</v>
      </c>
      <c r="AK1142">
        <v>-110.72058</v>
      </c>
      <c r="AL1142">
        <v>3</v>
      </c>
      <c r="AN1142">
        <v>1467</v>
      </c>
      <c r="AP1142">
        <v>1467</v>
      </c>
      <c r="AQ1142">
        <v>1474.6702479999999</v>
      </c>
      <c r="AT1142">
        <v>4</v>
      </c>
      <c r="AU1142">
        <v>12</v>
      </c>
      <c r="AV1142">
        <v>2021</v>
      </c>
      <c r="AW1142">
        <v>2438038</v>
      </c>
      <c r="AX1142">
        <v>2438038</v>
      </c>
      <c r="AY1142" t="s">
        <v>106</v>
      </c>
      <c r="AZ1142" t="s">
        <v>92</v>
      </c>
      <c r="BA1142" t="s">
        <v>107</v>
      </c>
      <c r="BB1142" t="s">
        <v>4521</v>
      </c>
      <c r="BC1142" t="s">
        <v>1186</v>
      </c>
      <c r="BE1142" t="s">
        <v>96</v>
      </c>
      <c r="BG1142" t="s">
        <v>4507</v>
      </c>
      <c r="BI1142" t="s">
        <v>98</v>
      </c>
      <c r="BJ1142" t="s">
        <v>4519</v>
      </c>
      <c r="BL1142" t="s">
        <v>412</v>
      </c>
    </row>
    <row r="1143" spans="1:64" hidden="1" x14ac:dyDescent="0.2">
      <c r="A1143">
        <v>1406</v>
      </c>
      <c r="B1143">
        <v>4022923307</v>
      </c>
      <c r="C1143" t="s">
        <v>101</v>
      </c>
      <c r="D1143" t="s">
        <v>4522</v>
      </c>
      <c r="E1143" t="s">
        <v>65</v>
      </c>
      <c r="F1143" t="s">
        <v>66</v>
      </c>
      <c r="G1143" t="s">
        <v>67</v>
      </c>
      <c r="H1143" t="s">
        <v>68</v>
      </c>
      <c r="I1143" t="s">
        <v>176</v>
      </c>
      <c r="J1143" t="s">
        <v>177</v>
      </c>
      <c r="K1143" t="s">
        <v>178</v>
      </c>
      <c r="M1143" t="s">
        <v>72</v>
      </c>
      <c r="N1143" t="s">
        <v>179</v>
      </c>
      <c r="O1143" t="s">
        <v>178</v>
      </c>
      <c r="P1143" t="s">
        <v>180</v>
      </c>
      <c r="Q1143" t="s">
        <v>75</v>
      </c>
      <c r="R1143" t="s">
        <v>4501</v>
      </c>
      <c r="S1143" t="s">
        <v>3734</v>
      </c>
      <c r="T1143" t="s">
        <v>78</v>
      </c>
      <c r="U1143" t="s">
        <v>3817</v>
      </c>
      <c r="V1143" t="s">
        <v>80</v>
      </c>
      <c r="W1143" s="1">
        <v>44534</v>
      </c>
      <c r="X1143" t="s">
        <v>4502</v>
      </c>
      <c r="Y1143" t="s">
        <v>4503</v>
      </c>
      <c r="Z1143" t="s">
        <v>83</v>
      </c>
      <c r="AA1143">
        <v>1</v>
      </c>
      <c r="AB1143" t="s">
        <v>4517</v>
      </c>
      <c r="AD1143" t="s">
        <v>112</v>
      </c>
      <c r="AE1143" t="s">
        <v>86</v>
      </c>
      <c r="AF1143" t="s">
        <v>281</v>
      </c>
      <c r="AG1143" t="s">
        <v>4505</v>
      </c>
      <c r="AI1143" t="s">
        <v>90</v>
      </c>
      <c r="AJ1143">
        <v>32.337152000000003</v>
      </c>
      <c r="AK1143">
        <v>-110.72058</v>
      </c>
      <c r="AL1143">
        <v>3</v>
      </c>
      <c r="AN1143">
        <v>1467</v>
      </c>
      <c r="AP1143">
        <v>1467</v>
      </c>
      <c r="AQ1143">
        <v>1474.6702479999999</v>
      </c>
      <c r="AT1143">
        <v>4</v>
      </c>
      <c r="AU1143">
        <v>12</v>
      </c>
      <c r="AV1143">
        <v>2021</v>
      </c>
      <c r="AW1143">
        <v>2438038</v>
      </c>
      <c r="AX1143">
        <v>2438038</v>
      </c>
      <c r="AY1143" t="s">
        <v>106</v>
      </c>
      <c r="AZ1143" t="s">
        <v>92</v>
      </c>
      <c r="BA1143" t="s">
        <v>107</v>
      </c>
      <c r="BB1143" t="s">
        <v>4523</v>
      </c>
      <c r="BC1143" t="s">
        <v>1186</v>
      </c>
      <c r="BE1143" t="s">
        <v>96</v>
      </c>
      <c r="BG1143" t="s">
        <v>4507</v>
      </c>
      <c r="BI1143" t="s">
        <v>98</v>
      </c>
      <c r="BJ1143" t="s">
        <v>502</v>
      </c>
      <c r="BL1143" t="s">
        <v>412</v>
      </c>
    </row>
    <row r="1144" spans="1:64" hidden="1" x14ac:dyDescent="0.2">
      <c r="A1144">
        <v>1408</v>
      </c>
      <c r="B1144">
        <v>4022923305</v>
      </c>
      <c r="C1144" t="s">
        <v>101</v>
      </c>
      <c r="D1144" t="s">
        <v>4524</v>
      </c>
      <c r="E1144" t="s">
        <v>65</v>
      </c>
      <c r="F1144" t="s">
        <v>66</v>
      </c>
      <c r="G1144" t="s">
        <v>67</v>
      </c>
      <c r="H1144" t="s">
        <v>68</v>
      </c>
      <c r="I1144" t="s">
        <v>176</v>
      </c>
      <c r="J1144" t="s">
        <v>177</v>
      </c>
      <c r="K1144" t="s">
        <v>178</v>
      </c>
      <c r="M1144" t="s">
        <v>72</v>
      </c>
      <c r="N1144" t="s">
        <v>179</v>
      </c>
      <c r="O1144" t="s">
        <v>178</v>
      </c>
      <c r="P1144" t="s">
        <v>180</v>
      </c>
      <c r="Q1144" t="s">
        <v>75</v>
      </c>
      <c r="R1144" t="s">
        <v>4501</v>
      </c>
      <c r="S1144" t="s">
        <v>3734</v>
      </c>
      <c r="T1144" t="s">
        <v>78</v>
      </c>
      <c r="U1144" t="s">
        <v>3817</v>
      </c>
      <c r="V1144" t="s">
        <v>80</v>
      </c>
      <c r="W1144" s="1">
        <v>44534</v>
      </c>
      <c r="X1144" t="s">
        <v>4502</v>
      </c>
      <c r="Y1144" t="s">
        <v>4503</v>
      </c>
      <c r="Z1144" t="s">
        <v>83</v>
      </c>
      <c r="AA1144">
        <v>1</v>
      </c>
      <c r="AB1144" t="s">
        <v>4517</v>
      </c>
      <c r="AD1144" t="s">
        <v>123</v>
      </c>
      <c r="AE1144" t="s">
        <v>86</v>
      </c>
      <c r="AF1144" t="s">
        <v>281</v>
      </c>
      <c r="AG1144" t="s">
        <v>4505</v>
      </c>
      <c r="AI1144" t="s">
        <v>90</v>
      </c>
      <c r="AJ1144">
        <v>32.337152000000003</v>
      </c>
      <c r="AK1144">
        <v>-110.72058</v>
      </c>
      <c r="AL1144">
        <v>3</v>
      </c>
      <c r="AN1144">
        <v>1467</v>
      </c>
      <c r="AP1144">
        <v>1467</v>
      </c>
      <c r="AQ1144">
        <v>1474.6702479999999</v>
      </c>
      <c r="AT1144">
        <v>4</v>
      </c>
      <c r="AU1144">
        <v>12</v>
      </c>
      <c r="AV1144">
        <v>2021</v>
      </c>
      <c r="AW1144">
        <v>2438038</v>
      </c>
      <c r="AX1144">
        <v>2438038</v>
      </c>
      <c r="AY1144" t="s">
        <v>106</v>
      </c>
      <c r="AZ1144" t="s">
        <v>92</v>
      </c>
      <c r="BA1144" t="s">
        <v>107</v>
      </c>
      <c r="BB1144" t="s">
        <v>4525</v>
      </c>
      <c r="BC1144" t="s">
        <v>1186</v>
      </c>
      <c r="BE1144" t="s">
        <v>96</v>
      </c>
      <c r="BG1144" t="s">
        <v>4507</v>
      </c>
      <c r="BI1144" t="s">
        <v>98</v>
      </c>
      <c r="BJ1144" t="s">
        <v>390</v>
      </c>
      <c r="BL1144" t="s">
        <v>412</v>
      </c>
    </row>
    <row r="1145" spans="1:64" hidden="1" x14ac:dyDescent="0.2">
      <c r="A1145">
        <v>1410</v>
      </c>
      <c r="B1145">
        <v>4022923303</v>
      </c>
      <c r="C1145" t="s">
        <v>101</v>
      </c>
      <c r="D1145" t="s">
        <v>4526</v>
      </c>
      <c r="E1145" t="s">
        <v>65</v>
      </c>
      <c r="F1145" t="s">
        <v>66</v>
      </c>
      <c r="G1145" t="s">
        <v>67</v>
      </c>
      <c r="H1145" t="s">
        <v>68</v>
      </c>
      <c r="I1145" t="s">
        <v>176</v>
      </c>
      <c r="J1145" t="s">
        <v>177</v>
      </c>
      <c r="K1145" t="s">
        <v>178</v>
      </c>
      <c r="M1145" t="s">
        <v>72</v>
      </c>
      <c r="N1145" t="s">
        <v>179</v>
      </c>
      <c r="O1145" t="s">
        <v>178</v>
      </c>
      <c r="P1145" t="s">
        <v>180</v>
      </c>
      <c r="Q1145" t="s">
        <v>75</v>
      </c>
      <c r="R1145" t="s">
        <v>4501</v>
      </c>
      <c r="S1145" t="s">
        <v>3734</v>
      </c>
      <c r="T1145" t="s">
        <v>78</v>
      </c>
      <c r="U1145" t="s">
        <v>3817</v>
      </c>
      <c r="V1145" t="s">
        <v>80</v>
      </c>
      <c r="W1145" s="1">
        <v>44534</v>
      </c>
      <c r="X1145" t="s">
        <v>4502</v>
      </c>
      <c r="Y1145" t="s">
        <v>4503</v>
      </c>
      <c r="Z1145" t="s">
        <v>83</v>
      </c>
      <c r="AA1145">
        <v>1</v>
      </c>
      <c r="AB1145" t="s">
        <v>4517</v>
      </c>
      <c r="AD1145" t="s">
        <v>139</v>
      </c>
      <c r="AE1145" t="s">
        <v>86</v>
      </c>
      <c r="AF1145" t="s">
        <v>281</v>
      </c>
      <c r="AG1145" t="s">
        <v>4505</v>
      </c>
      <c r="AI1145" t="s">
        <v>90</v>
      </c>
      <c r="AJ1145">
        <v>32.337152000000003</v>
      </c>
      <c r="AK1145">
        <v>-110.72058</v>
      </c>
      <c r="AL1145">
        <v>3</v>
      </c>
      <c r="AN1145">
        <v>1467</v>
      </c>
      <c r="AP1145">
        <v>1467</v>
      </c>
      <c r="AQ1145">
        <v>1474.6702479999999</v>
      </c>
      <c r="AT1145">
        <v>4</v>
      </c>
      <c r="AU1145">
        <v>12</v>
      </c>
      <c r="AV1145">
        <v>2021</v>
      </c>
      <c r="AW1145">
        <v>2438038</v>
      </c>
      <c r="AX1145">
        <v>2438038</v>
      </c>
      <c r="AY1145" t="s">
        <v>106</v>
      </c>
      <c r="AZ1145" t="s">
        <v>92</v>
      </c>
      <c r="BA1145" t="s">
        <v>107</v>
      </c>
      <c r="BB1145" t="s">
        <v>4527</v>
      </c>
      <c r="BC1145" t="s">
        <v>1186</v>
      </c>
      <c r="BE1145" t="s">
        <v>96</v>
      </c>
      <c r="BG1145" t="s">
        <v>4507</v>
      </c>
      <c r="BI1145" t="s">
        <v>98</v>
      </c>
      <c r="BJ1145" t="s">
        <v>432</v>
      </c>
      <c r="BL1145" t="s">
        <v>412</v>
      </c>
    </row>
    <row r="1146" spans="1:64" x14ac:dyDescent="0.2">
      <c r="A1146">
        <v>351</v>
      </c>
      <c r="B1146">
        <v>4403380314</v>
      </c>
      <c r="C1146" t="s">
        <v>63</v>
      </c>
      <c r="D1146" t="s">
        <v>1172</v>
      </c>
      <c r="E1146" t="s">
        <v>65</v>
      </c>
      <c r="F1146" t="s">
        <v>66</v>
      </c>
      <c r="G1146" t="s">
        <v>67</v>
      </c>
      <c r="H1146" t="s">
        <v>68</v>
      </c>
      <c r="I1146" t="s">
        <v>176</v>
      </c>
      <c r="J1146" t="s">
        <v>1173</v>
      </c>
      <c r="K1146" t="s">
        <v>1174</v>
      </c>
      <c r="M1146" t="s">
        <v>72</v>
      </c>
      <c r="N1146" t="s">
        <v>1175</v>
      </c>
      <c r="O1146" t="s">
        <v>1174</v>
      </c>
      <c r="P1146" t="s">
        <v>1176</v>
      </c>
      <c r="Q1146" t="s">
        <v>75</v>
      </c>
      <c r="R1146" t="s">
        <v>1177</v>
      </c>
      <c r="S1146" t="s">
        <v>1178</v>
      </c>
      <c r="T1146" t="s">
        <v>78</v>
      </c>
      <c r="U1146" t="s">
        <v>646</v>
      </c>
      <c r="V1146" t="s">
        <v>1179</v>
      </c>
      <c r="W1146" s="1">
        <v>45108</v>
      </c>
      <c r="X1146" t="s">
        <v>1180</v>
      </c>
      <c r="Y1146" t="s">
        <v>1181</v>
      </c>
      <c r="Z1146" t="s">
        <v>83</v>
      </c>
      <c r="AA1146">
        <v>1</v>
      </c>
      <c r="AB1146" t="s">
        <v>1182</v>
      </c>
      <c r="AC1146">
        <v>1</v>
      </c>
      <c r="AD1146" s="6" t="s">
        <v>85</v>
      </c>
      <c r="AE1146" s="6" t="s">
        <v>145</v>
      </c>
      <c r="AF1146" s="6" t="s">
        <v>402</v>
      </c>
      <c r="AG1146" s="6" t="s">
        <v>1183</v>
      </c>
      <c r="AH1146" s="6" t="s">
        <v>1184</v>
      </c>
      <c r="AI1146" s="6" t="s">
        <v>90</v>
      </c>
      <c r="AJ1146" s="6">
        <v>32.448915</v>
      </c>
      <c r="AK1146" s="6">
        <v>-110.73759200000001</v>
      </c>
      <c r="AL1146" s="6"/>
      <c r="AM1146" s="6"/>
      <c r="AN1146" s="6">
        <v>2078</v>
      </c>
      <c r="AO1146" s="6"/>
      <c r="AP1146" s="6">
        <v>2078</v>
      </c>
      <c r="AQ1146" s="6">
        <v>2083.4699999999998</v>
      </c>
      <c r="AR1146" s="6"/>
      <c r="AS1146" s="6"/>
      <c r="AT1146" s="6">
        <v>1</v>
      </c>
      <c r="AU1146" s="6">
        <v>7</v>
      </c>
      <c r="AV1146" s="6">
        <v>2023</v>
      </c>
      <c r="AW1146" s="6">
        <v>2437874</v>
      </c>
      <c r="AX1146" s="6">
        <v>2437874</v>
      </c>
      <c r="AY1146" s="6" t="s">
        <v>91</v>
      </c>
      <c r="AZ1146" t="s">
        <v>92</v>
      </c>
      <c r="BA1146" t="s">
        <v>93</v>
      </c>
      <c r="BB1146" t="s">
        <v>1185</v>
      </c>
      <c r="BC1146" t="s">
        <v>1186</v>
      </c>
      <c r="BD1146" s="1">
        <v>45108</v>
      </c>
      <c r="BE1146" t="s">
        <v>96</v>
      </c>
      <c r="BG1146" t="s">
        <v>1187</v>
      </c>
      <c r="BI1146" t="s">
        <v>98</v>
      </c>
      <c r="BJ1146" t="s">
        <v>1188</v>
      </c>
      <c r="BK1146" t="s">
        <v>365</v>
      </c>
      <c r="BL1146" t="s">
        <v>100</v>
      </c>
    </row>
    <row r="1147" spans="1:64" hidden="1" x14ac:dyDescent="0.2">
      <c r="A1147">
        <v>1800</v>
      </c>
      <c r="B1147">
        <v>3744741302</v>
      </c>
      <c r="C1147" t="s">
        <v>101</v>
      </c>
      <c r="D1147" t="s">
        <v>4537</v>
      </c>
      <c r="E1147" t="s">
        <v>65</v>
      </c>
      <c r="F1147" t="s">
        <v>66</v>
      </c>
      <c r="G1147" t="s">
        <v>67</v>
      </c>
      <c r="H1147" t="s">
        <v>68</v>
      </c>
      <c r="I1147" t="s">
        <v>176</v>
      </c>
      <c r="J1147" t="s">
        <v>177</v>
      </c>
      <c r="K1147" t="s">
        <v>178</v>
      </c>
      <c r="M1147" t="s">
        <v>72</v>
      </c>
      <c r="N1147" t="s">
        <v>179</v>
      </c>
      <c r="O1147" t="s">
        <v>178</v>
      </c>
      <c r="P1147" t="s">
        <v>180</v>
      </c>
      <c r="Q1147" t="s">
        <v>75</v>
      </c>
      <c r="R1147" t="s">
        <v>4510</v>
      </c>
      <c r="T1147" t="s">
        <v>78</v>
      </c>
      <c r="U1147" t="s">
        <v>3817</v>
      </c>
      <c r="V1147" t="s">
        <v>80</v>
      </c>
      <c r="W1147" s="1">
        <v>44534</v>
      </c>
      <c r="X1147" t="s">
        <v>4502</v>
      </c>
      <c r="Y1147" t="s">
        <v>4531</v>
      </c>
      <c r="Z1147" t="s">
        <v>83</v>
      </c>
      <c r="AA1147">
        <v>1</v>
      </c>
      <c r="AB1147" t="s">
        <v>4538</v>
      </c>
      <c r="AD1147" t="s">
        <v>378</v>
      </c>
      <c r="AE1147" t="s">
        <v>145</v>
      </c>
      <c r="AF1147" t="s">
        <v>146</v>
      </c>
      <c r="AG1147" t="s">
        <v>4539</v>
      </c>
      <c r="AH1147" t="s">
        <v>4540</v>
      </c>
      <c r="AI1147" t="s">
        <v>90</v>
      </c>
      <c r="AJ1147">
        <v>32.337204999999997</v>
      </c>
      <c r="AK1147">
        <v>-110.720725</v>
      </c>
      <c r="AL1147">
        <v>3</v>
      </c>
      <c r="AN1147">
        <v>1467</v>
      </c>
      <c r="AP1147">
        <v>1467</v>
      </c>
      <c r="AQ1147">
        <v>1472.5978210000001</v>
      </c>
      <c r="AT1147">
        <v>4</v>
      </c>
      <c r="AU1147">
        <v>12</v>
      </c>
      <c r="AV1147">
        <v>2021</v>
      </c>
      <c r="AW1147">
        <v>2438038</v>
      </c>
      <c r="AX1147">
        <v>2438038</v>
      </c>
      <c r="AY1147" t="s">
        <v>106</v>
      </c>
      <c r="AZ1147" t="s">
        <v>92</v>
      </c>
      <c r="BA1147" t="s">
        <v>107</v>
      </c>
      <c r="BB1147" t="s">
        <v>4541</v>
      </c>
      <c r="BC1147" t="s">
        <v>1186</v>
      </c>
      <c r="BE1147" t="s">
        <v>96</v>
      </c>
      <c r="BG1147" t="s">
        <v>4507</v>
      </c>
      <c r="BI1147" t="s">
        <v>98</v>
      </c>
      <c r="BJ1147" t="s">
        <v>324</v>
      </c>
      <c r="BL1147" t="s">
        <v>412</v>
      </c>
    </row>
    <row r="1148" spans="1:64" hidden="1" x14ac:dyDescent="0.2">
      <c r="A1148">
        <v>1394</v>
      </c>
      <c r="B1148">
        <v>4022923319</v>
      </c>
      <c r="C1148" t="s">
        <v>101</v>
      </c>
      <c r="D1148" t="s">
        <v>4542</v>
      </c>
      <c r="E1148" t="s">
        <v>65</v>
      </c>
      <c r="F1148" t="s">
        <v>66</v>
      </c>
      <c r="G1148" t="s">
        <v>67</v>
      </c>
      <c r="H1148" t="s">
        <v>68</v>
      </c>
      <c r="I1148" t="s">
        <v>176</v>
      </c>
      <c r="J1148" t="s">
        <v>177</v>
      </c>
      <c r="K1148" t="s">
        <v>178</v>
      </c>
      <c r="M1148" t="s">
        <v>72</v>
      </c>
      <c r="N1148" t="s">
        <v>179</v>
      </c>
      <c r="O1148" t="s">
        <v>178</v>
      </c>
      <c r="P1148" t="s">
        <v>180</v>
      </c>
      <c r="Q1148" t="s">
        <v>75</v>
      </c>
      <c r="R1148" t="s">
        <v>4501</v>
      </c>
      <c r="S1148" t="s">
        <v>3738</v>
      </c>
      <c r="T1148" t="s">
        <v>78</v>
      </c>
      <c r="U1148" t="s">
        <v>3817</v>
      </c>
      <c r="V1148" t="s">
        <v>80</v>
      </c>
      <c r="W1148" s="1">
        <v>44534</v>
      </c>
      <c r="X1148" t="s">
        <v>4502</v>
      </c>
      <c r="Y1148" t="s">
        <v>4531</v>
      </c>
      <c r="Z1148" t="s">
        <v>83</v>
      </c>
      <c r="AA1148">
        <v>1</v>
      </c>
      <c r="AB1148" t="s">
        <v>4517</v>
      </c>
      <c r="AD1148" t="s">
        <v>104</v>
      </c>
      <c r="AE1148" t="s">
        <v>145</v>
      </c>
      <c r="AF1148" t="s">
        <v>146</v>
      </c>
      <c r="AG1148" t="s">
        <v>4539</v>
      </c>
      <c r="AI1148" t="s">
        <v>90</v>
      </c>
      <c r="AJ1148">
        <v>32.337204999999997</v>
      </c>
      <c r="AK1148">
        <v>-110.720725</v>
      </c>
      <c r="AL1148">
        <v>3</v>
      </c>
      <c r="AN1148">
        <v>1467</v>
      </c>
      <c r="AP1148">
        <v>1467</v>
      </c>
      <c r="AQ1148">
        <v>1472.5978210000001</v>
      </c>
      <c r="AT1148">
        <v>4</v>
      </c>
      <c r="AU1148">
        <v>12</v>
      </c>
      <c r="AV1148">
        <v>2021</v>
      </c>
      <c r="AW1148">
        <v>2438038</v>
      </c>
      <c r="AX1148">
        <v>2438038</v>
      </c>
      <c r="AY1148" t="s">
        <v>106</v>
      </c>
      <c r="AZ1148" t="s">
        <v>92</v>
      </c>
      <c r="BA1148" t="s">
        <v>107</v>
      </c>
      <c r="BB1148" t="s">
        <v>4543</v>
      </c>
      <c r="BC1148" t="s">
        <v>1186</v>
      </c>
      <c r="BE1148" t="s">
        <v>96</v>
      </c>
      <c r="BG1148" t="s">
        <v>4507</v>
      </c>
      <c r="BI1148" t="s">
        <v>98</v>
      </c>
      <c r="BJ1148" t="s">
        <v>450</v>
      </c>
      <c r="BL1148" t="s">
        <v>412</v>
      </c>
    </row>
    <row r="1149" spans="1:64" hidden="1" x14ac:dyDescent="0.2">
      <c r="A1149">
        <v>1396</v>
      </c>
      <c r="B1149">
        <v>4022923317</v>
      </c>
      <c r="C1149" t="s">
        <v>101</v>
      </c>
      <c r="D1149" t="s">
        <v>4544</v>
      </c>
      <c r="E1149" t="s">
        <v>65</v>
      </c>
      <c r="F1149" t="s">
        <v>66</v>
      </c>
      <c r="G1149" t="s">
        <v>67</v>
      </c>
      <c r="H1149" t="s">
        <v>68</v>
      </c>
      <c r="I1149" t="s">
        <v>176</v>
      </c>
      <c r="J1149" t="s">
        <v>177</v>
      </c>
      <c r="K1149" t="s">
        <v>178</v>
      </c>
      <c r="M1149" t="s">
        <v>72</v>
      </c>
      <c r="N1149" t="s">
        <v>179</v>
      </c>
      <c r="O1149" t="s">
        <v>178</v>
      </c>
      <c r="P1149" t="s">
        <v>180</v>
      </c>
      <c r="Q1149" t="s">
        <v>75</v>
      </c>
      <c r="R1149" t="s">
        <v>4501</v>
      </c>
      <c r="S1149" t="s">
        <v>3738</v>
      </c>
      <c r="T1149" t="s">
        <v>78</v>
      </c>
      <c r="U1149" t="s">
        <v>3817</v>
      </c>
      <c r="V1149" t="s">
        <v>80</v>
      </c>
      <c r="W1149" s="1">
        <v>44534</v>
      </c>
      <c r="X1149" t="s">
        <v>4502</v>
      </c>
      <c r="Y1149" t="s">
        <v>4531</v>
      </c>
      <c r="Z1149" t="s">
        <v>83</v>
      </c>
      <c r="AA1149">
        <v>1</v>
      </c>
      <c r="AB1149" t="s">
        <v>4517</v>
      </c>
      <c r="AD1149" t="s">
        <v>116</v>
      </c>
      <c r="AE1149" t="s">
        <v>145</v>
      </c>
      <c r="AF1149" t="s">
        <v>146</v>
      </c>
      <c r="AG1149" t="s">
        <v>4539</v>
      </c>
      <c r="AI1149" t="s">
        <v>90</v>
      </c>
      <c r="AJ1149">
        <v>32.337204999999997</v>
      </c>
      <c r="AK1149">
        <v>-110.720725</v>
      </c>
      <c r="AL1149">
        <v>3</v>
      </c>
      <c r="AN1149">
        <v>1467</v>
      </c>
      <c r="AP1149">
        <v>1467</v>
      </c>
      <c r="AQ1149">
        <v>1472.5978210000001</v>
      </c>
      <c r="AT1149">
        <v>4</v>
      </c>
      <c r="AU1149">
        <v>12</v>
      </c>
      <c r="AV1149">
        <v>2021</v>
      </c>
      <c r="AW1149">
        <v>2438038</v>
      </c>
      <c r="AX1149">
        <v>2438038</v>
      </c>
      <c r="AY1149" t="s">
        <v>106</v>
      </c>
      <c r="AZ1149" t="s">
        <v>92</v>
      </c>
      <c r="BA1149" t="s">
        <v>107</v>
      </c>
      <c r="BB1149" t="s">
        <v>4545</v>
      </c>
      <c r="BC1149" t="s">
        <v>1186</v>
      </c>
      <c r="BE1149" t="s">
        <v>96</v>
      </c>
      <c r="BG1149" t="s">
        <v>4507</v>
      </c>
      <c r="BI1149" t="s">
        <v>98</v>
      </c>
      <c r="BJ1149" t="s">
        <v>456</v>
      </c>
      <c r="BL1149" t="s">
        <v>412</v>
      </c>
    </row>
    <row r="1150" spans="1:64" hidden="1" x14ac:dyDescent="0.2">
      <c r="A1150">
        <v>1397</v>
      </c>
      <c r="B1150">
        <v>4022923316</v>
      </c>
      <c r="C1150" t="s">
        <v>101</v>
      </c>
      <c r="D1150" t="s">
        <v>4546</v>
      </c>
      <c r="E1150" t="s">
        <v>65</v>
      </c>
      <c r="F1150" t="s">
        <v>66</v>
      </c>
      <c r="G1150" t="s">
        <v>67</v>
      </c>
      <c r="H1150" t="s">
        <v>68</v>
      </c>
      <c r="I1150" t="s">
        <v>176</v>
      </c>
      <c r="J1150" t="s">
        <v>177</v>
      </c>
      <c r="K1150" t="s">
        <v>178</v>
      </c>
      <c r="M1150" t="s">
        <v>72</v>
      </c>
      <c r="N1150" t="s">
        <v>179</v>
      </c>
      <c r="O1150" t="s">
        <v>178</v>
      </c>
      <c r="P1150" t="s">
        <v>180</v>
      </c>
      <c r="Q1150" t="s">
        <v>75</v>
      </c>
      <c r="R1150" t="s">
        <v>4501</v>
      </c>
      <c r="S1150" t="s">
        <v>3738</v>
      </c>
      <c r="T1150" t="s">
        <v>78</v>
      </c>
      <c r="U1150" t="s">
        <v>3817</v>
      </c>
      <c r="V1150" t="s">
        <v>80</v>
      </c>
      <c r="W1150" s="1">
        <v>44534</v>
      </c>
      <c r="X1150" t="s">
        <v>4502</v>
      </c>
      <c r="Y1150" t="s">
        <v>4531</v>
      </c>
      <c r="Z1150" t="s">
        <v>83</v>
      </c>
      <c r="AA1150">
        <v>1</v>
      </c>
      <c r="AB1150" t="s">
        <v>4517</v>
      </c>
      <c r="AD1150" t="s">
        <v>300</v>
      </c>
      <c r="AE1150" t="s">
        <v>145</v>
      </c>
      <c r="AF1150" t="s">
        <v>146</v>
      </c>
      <c r="AG1150" t="s">
        <v>4539</v>
      </c>
      <c r="AI1150" t="s">
        <v>90</v>
      </c>
      <c r="AJ1150">
        <v>32.337204999999997</v>
      </c>
      <c r="AK1150">
        <v>-110.720725</v>
      </c>
      <c r="AL1150">
        <v>3</v>
      </c>
      <c r="AN1150">
        <v>1467</v>
      </c>
      <c r="AP1150">
        <v>1467</v>
      </c>
      <c r="AQ1150">
        <v>1472.5978210000001</v>
      </c>
      <c r="AT1150">
        <v>4</v>
      </c>
      <c r="AU1150">
        <v>12</v>
      </c>
      <c r="AV1150">
        <v>2021</v>
      </c>
      <c r="AW1150">
        <v>2438038</v>
      </c>
      <c r="AX1150">
        <v>2438038</v>
      </c>
      <c r="AY1150" t="s">
        <v>106</v>
      </c>
      <c r="AZ1150" t="s">
        <v>92</v>
      </c>
      <c r="BA1150" t="s">
        <v>107</v>
      </c>
      <c r="BB1150" t="s">
        <v>4547</v>
      </c>
      <c r="BC1150" t="s">
        <v>1186</v>
      </c>
      <c r="BE1150" t="s">
        <v>96</v>
      </c>
      <c r="BG1150" t="s">
        <v>4507</v>
      </c>
      <c r="BI1150" t="s">
        <v>98</v>
      </c>
      <c r="BJ1150" t="s">
        <v>456</v>
      </c>
      <c r="BL1150" t="s">
        <v>412</v>
      </c>
    </row>
    <row r="1151" spans="1:64" x14ac:dyDescent="0.2">
      <c r="A1151">
        <v>357</v>
      </c>
      <c r="B1151">
        <v>4403380308</v>
      </c>
      <c r="C1151" t="s">
        <v>63</v>
      </c>
      <c r="D1151" t="s">
        <v>1216</v>
      </c>
      <c r="E1151" t="s">
        <v>65</v>
      </c>
      <c r="F1151" t="s">
        <v>66</v>
      </c>
      <c r="G1151" t="s">
        <v>67</v>
      </c>
      <c r="H1151" t="s">
        <v>68</v>
      </c>
      <c r="I1151" t="s">
        <v>176</v>
      </c>
      <c r="J1151" t="s">
        <v>1173</v>
      </c>
      <c r="K1151" t="s">
        <v>1174</v>
      </c>
      <c r="M1151" t="s">
        <v>72</v>
      </c>
      <c r="N1151" t="s">
        <v>1175</v>
      </c>
      <c r="O1151" t="s">
        <v>1174</v>
      </c>
      <c r="P1151" t="s">
        <v>1176</v>
      </c>
      <c r="Q1151" t="s">
        <v>75</v>
      </c>
      <c r="R1151" t="s">
        <v>1177</v>
      </c>
      <c r="S1151" t="s">
        <v>615</v>
      </c>
      <c r="T1151" t="s">
        <v>78</v>
      </c>
      <c r="U1151" t="s">
        <v>646</v>
      </c>
      <c r="V1151" t="s">
        <v>1179</v>
      </c>
      <c r="W1151" s="1">
        <v>45108</v>
      </c>
      <c r="X1151" t="s">
        <v>1180</v>
      </c>
      <c r="Y1151" t="s">
        <v>1217</v>
      </c>
      <c r="Z1151" t="s">
        <v>83</v>
      </c>
      <c r="AA1151">
        <v>1</v>
      </c>
      <c r="AB1151" t="s">
        <v>1218</v>
      </c>
      <c r="AC1151">
        <v>1</v>
      </c>
      <c r="AD1151" s="6" t="s">
        <v>85</v>
      </c>
      <c r="AE1151" s="6" t="s">
        <v>145</v>
      </c>
      <c r="AF1151" s="6" t="s">
        <v>402</v>
      </c>
      <c r="AG1151" s="6" t="s">
        <v>1219</v>
      </c>
      <c r="AH1151" s="6" t="s">
        <v>1220</v>
      </c>
      <c r="AI1151" s="6" t="s">
        <v>90</v>
      </c>
      <c r="AJ1151" s="6">
        <v>32.449221000000001</v>
      </c>
      <c r="AK1151" s="6">
        <v>-110.737668</v>
      </c>
      <c r="AL1151" s="6"/>
      <c r="AM1151" s="6"/>
      <c r="AN1151" s="6">
        <v>2078</v>
      </c>
      <c r="AO1151" s="6"/>
      <c r="AP1151" s="6">
        <v>2078</v>
      </c>
      <c r="AQ1151" s="6">
        <v>2088.6641009999998</v>
      </c>
      <c r="AR1151" s="6"/>
      <c r="AS1151" s="6"/>
      <c r="AT1151" s="6">
        <v>1</v>
      </c>
      <c r="AU1151" s="6">
        <v>7</v>
      </c>
      <c r="AV1151" s="6">
        <v>2023</v>
      </c>
      <c r="AW1151" s="6">
        <v>2437874</v>
      </c>
      <c r="AX1151" s="6">
        <v>2437874</v>
      </c>
      <c r="AY1151" s="6" t="s">
        <v>91</v>
      </c>
      <c r="AZ1151" t="s">
        <v>92</v>
      </c>
      <c r="BA1151" t="s">
        <v>93</v>
      </c>
      <c r="BB1151" t="s">
        <v>1221</v>
      </c>
      <c r="BC1151" t="s">
        <v>1186</v>
      </c>
      <c r="BD1151" s="1">
        <v>45108</v>
      </c>
      <c r="BE1151" t="s">
        <v>96</v>
      </c>
      <c r="BG1151" t="s">
        <v>1187</v>
      </c>
      <c r="BI1151" t="s">
        <v>98</v>
      </c>
      <c r="BJ1151" t="s">
        <v>1222</v>
      </c>
      <c r="BK1151" t="s">
        <v>365</v>
      </c>
      <c r="BL1151" t="s">
        <v>100</v>
      </c>
    </row>
    <row r="1152" spans="1:64" x14ac:dyDescent="0.2">
      <c r="A1152">
        <v>358</v>
      </c>
      <c r="B1152">
        <v>4403380307</v>
      </c>
      <c r="C1152" t="s">
        <v>63</v>
      </c>
      <c r="D1152" t="s">
        <v>1250</v>
      </c>
      <c r="E1152" t="s">
        <v>65</v>
      </c>
      <c r="F1152" t="s">
        <v>66</v>
      </c>
      <c r="G1152" t="s">
        <v>67</v>
      </c>
      <c r="H1152" t="s">
        <v>68</v>
      </c>
      <c r="I1152" t="s">
        <v>176</v>
      </c>
      <c r="J1152" t="s">
        <v>1251</v>
      </c>
      <c r="K1152" t="s">
        <v>1252</v>
      </c>
      <c r="M1152" t="s">
        <v>72</v>
      </c>
      <c r="N1152" t="s">
        <v>1253</v>
      </c>
      <c r="O1152" t="s">
        <v>1252</v>
      </c>
      <c r="P1152" t="s">
        <v>1254</v>
      </c>
      <c r="Q1152" t="s">
        <v>75</v>
      </c>
      <c r="R1152" t="s">
        <v>1177</v>
      </c>
      <c r="S1152" t="s">
        <v>399</v>
      </c>
      <c r="T1152" t="s">
        <v>78</v>
      </c>
      <c r="U1152" t="s">
        <v>646</v>
      </c>
      <c r="V1152" t="s">
        <v>1179</v>
      </c>
      <c r="W1152" s="1">
        <v>45108</v>
      </c>
      <c r="X1152" t="s">
        <v>1180</v>
      </c>
      <c r="Y1152" t="s">
        <v>1255</v>
      </c>
      <c r="Z1152" t="s">
        <v>83</v>
      </c>
      <c r="AA1152">
        <v>1</v>
      </c>
      <c r="AB1152" t="s">
        <v>1256</v>
      </c>
      <c r="AC1152">
        <v>1</v>
      </c>
      <c r="AD1152" s="6" t="s">
        <v>85</v>
      </c>
      <c r="AE1152" s="6" t="s">
        <v>86</v>
      </c>
      <c r="AF1152" s="6" t="s">
        <v>359</v>
      </c>
      <c r="AG1152" s="6" t="s">
        <v>1257</v>
      </c>
      <c r="AH1152" s="6" t="s">
        <v>1258</v>
      </c>
      <c r="AI1152" s="6" t="s">
        <v>90</v>
      </c>
      <c r="AJ1152" s="6">
        <v>32.449544000000003</v>
      </c>
      <c r="AK1152" s="6">
        <v>-110.737343</v>
      </c>
      <c r="AL1152" s="6"/>
      <c r="AM1152" s="6"/>
      <c r="AN1152" s="6">
        <v>2083</v>
      </c>
      <c r="AO1152" s="6"/>
      <c r="AP1152" s="6">
        <v>2083</v>
      </c>
      <c r="AQ1152" s="6">
        <v>2091.4263340000002</v>
      </c>
      <c r="AR1152" s="6"/>
      <c r="AS1152" s="6"/>
      <c r="AT1152" s="6">
        <v>1</v>
      </c>
      <c r="AU1152" s="6">
        <v>7</v>
      </c>
      <c r="AV1152" s="6">
        <v>2023</v>
      </c>
      <c r="AW1152" s="6">
        <v>2438156</v>
      </c>
      <c r="AX1152" s="6">
        <v>2438156</v>
      </c>
      <c r="AY1152" s="6" t="s">
        <v>91</v>
      </c>
      <c r="AZ1152" t="s">
        <v>92</v>
      </c>
      <c r="BA1152" t="s">
        <v>93</v>
      </c>
      <c r="BB1152" t="s">
        <v>1259</v>
      </c>
      <c r="BC1152" t="s">
        <v>1186</v>
      </c>
      <c r="BD1152" s="1">
        <v>45108</v>
      </c>
      <c r="BE1152" t="s">
        <v>96</v>
      </c>
      <c r="BG1152" t="s">
        <v>1187</v>
      </c>
      <c r="BI1152" t="s">
        <v>98</v>
      </c>
      <c r="BJ1152" t="s">
        <v>1260</v>
      </c>
      <c r="BK1152" t="s">
        <v>365</v>
      </c>
      <c r="BL1152" t="s">
        <v>100</v>
      </c>
    </row>
    <row r="1153" spans="1:64" hidden="1" x14ac:dyDescent="0.2">
      <c r="A1153">
        <v>1291</v>
      </c>
      <c r="B1153">
        <v>4022923422</v>
      </c>
      <c r="C1153" t="s">
        <v>101</v>
      </c>
      <c r="D1153" t="s">
        <v>4552</v>
      </c>
      <c r="E1153" t="s">
        <v>65</v>
      </c>
      <c r="F1153" t="s">
        <v>66</v>
      </c>
      <c r="G1153" t="s">
        <v>67</v>
      </c>
      <c r="H1153" t="s">
        <v>68</v>
      </c>
      <c r="I1153" t="s">
        <v>176</v>
      </c>
      <c r="J1153" t="s">
        <v>177</v>
      </c>
      <c r="K1153" t="s">
        <v>178</v>
      </c>
      <c r="M1153" t="s">
        <v>72</v>
      </c>
      <c r="N1153" t="s">
        <v>179</v>
      </c>
      <c r="O1153" t="s">
        <v>178</v>
      </c>
      <c r="P1153" t="s">
        <v>180</v>
      </c>
      <c r="Q1153" t="s">
        <v>75</v>
      </c>
      <c r="R1153" t="s">
        <v>4501</v>
      </c>
      <c r="S1153" t="s">
        <v>3738</v>
      </c>
      <c r="T1153" t="s">
        <v>78</v>
      </c>
      <c r="U1153" t="s">
        <v>3817</v>
      </c>
      <c r="V1153" t="s">
        <v>80</v>
      </c>
      <c r="W1153" s="1">
        <v>44534</v>
      </c>
      <c r="X1153" t="s">
        <v>4502</v>
      </c>
      <c r="Y1153" t="s">
        <v>4531</v>
      </c>
      <c r="Z1153" t="s">
        <v>83</v>
      </c>
      <c r="AA1153">
        <v>1</v>
      </c>
      <c r="AB1153" t="s">
        <v>4517</v>
      </c>
      <c r="AD1153" t="s">
        <v>112</v>
      </c>
      <c r="AE1153" t="s">
        <v>145</v>
      </c>
      <c r="AF1153" t="s">
        <v>146</v>
      </c>
      <c r="AG1153" t="s">
        <v>4539</v>
      </c>
      <c r="AI1153" t="s">
        <v>90</v>
      </c>
      <c r="AJ1153">
        <v>32.337204999999997</v>
      </c>
      <c r="AK1153">
        <v>-110.720725</v>
      </c>
      <c r="AL1153">
        <v>3</v>
      </c>
      <c r="AN1153">
        <v>1467</v>
      </c>
      <c r="AP1153">
        <v>1467</v>
      </c>
      <c r="AQ1153">
        <v>1472.5978210000001</v>
      </c>
      <c r="AT1153">
        <v>4</v>
      </c>
      <c r="AU1153">
        <v>12</v>
      </c>
      <c r="AV1153">
        <v>2021</v>
      </c>
      <c r="AW1153">
        <v>2438038</v>
      </c>
      <c r="AX1153">
        <v>2438038</v>
      </c>
      <c r="AY1153" t="s">
        <v>106</v>
      </c>
      <c r="AZ1153" t="s">
        <v>92</v>
      </c>
      <c r="BA1153" t="s">
        <v>107</v>
      </c>
      <c r="BB1153" t="s">
        <v>4553</v>
      </c>
      <c r="BC1153" t="s">
        <v>1186</v>
      </c>
      <c r="BE1153" t="s">
        <v>96</v>
      </c>
      <c r="BG1153" t="s">
        <v>4507</v>
      </c>
      <c r="BI1153" t="s">
        <v>98</v>
      </c>
      <c r="BJ1153" t="s">
        <v>1895</v>
      </c>
      <c r="BL1153" t="s">
        <v>412</v>
      </c>
    </row>
    <row r="1154" spans="1:64" hidden="1" x14ac:dyDescent="0.2">
      <c r="A1154">
        <v>930</v>
      </c>
      <c r="B1154">
        <v>4040367316</v>
      </c>
      <c r="C1154" t="s">
        <v>101</v>
      </c>
      <c r="D1154" t="s">
        <v>4554</v>
      </c>
      <c r="E1154" t="s">
        <v>65</v>
      </c>
      <c r="F1154" t="s">
        <v>66</v>
      </c>
      <c r="G1154" t="s">
        <v>67</v>
      </c>
      <c r="H1154" t="s">
        <v>68</v>
      </c>
      <c r="I1154" t="s">
        <v>176</v>
      </c>
      <c r="J1154" t="s">
        <v>177</v>
      </c>
      <c r="K1154" t="s">
        <v>178</v>
      </c>
      <c r="M1154" t="s">
        <v>72</v>
      </c>
      <c r="N1154" t="s">
        <v>179</v>
      </c>
      <c r="O1154" t="s">
        <v>178</v>
      </c>
      <c r="P1154" t="s">
        <v>180</v>
      </c>
      <c r="Q1154" t="s">
        <v>75</v>
      </c>
      <c r="R1154" t="s">
        <v>4501</v>
      </c>
      <c r="S1154" t="s">
        <v>3738</v>
      </c>
      <c r="T1154" t="s">
        <v>78</v>
      </c>
      <c r="U1154" t="s">
        <v>3817</v>
      </c>
      <c r="V1154" t="s">
        <v>80</v>
      </c>
      <c r="W1154" s="1">
        <v>44534</v>
      </c>
      <c r="X1154" t="s">
        <v>4502</v>
      </c>
      <c r="Y1154" t="s">
        <v>4531</v>
      </c>
      <c r="Z1154" t="s">
        <v>83</v>
      </c>
      <c r="AA1154">
        <v>1</v>
      </c>
      <c r="AB1154" t="s">
        <v>133</v>
      </c>
      <c r="AD1154" t="s">
        <v>134</v>
      </c>
      <c r="AE1154" t="s">
        <v>145</v>
      </c>
      <c r="AF1154" t="s">
        <v>146</v>
      </c>
      <c r="AG1154" t="s">
        <v>4555</v>
      </c>
      <c r="AI1154" t="s">
        <v>90</v>
      </c>
      <c r="AJ1154">
        <v>32.337204999999997</v>
      </c>
      <c r="AK1154">
        <v>-110.720725</v>
      </c>
      <c r="AL1154">
        <v>3</v>
      </c>
      <c r="AN1154">
        <v>1467</v>
      </c>
      <c r="AP1154">
        <v>1467</v>
      </c>
      <c r="AQ1154">
        <v>1472.5978210000001</v>
      </c>
      <c r="AT1154">
        <v>4</v>
      </c>
      <c r="AU1154">
        <v>12</v>
      </c>
      <c r="AV1154">
        <v>2021</v>
      </c>
      <c r="AW1154">
        <v>2438038</v>
      </c>
      <c r="AX1154">
        <v>2438038</v>
      </c>
      <c r="AY1154" t="s">
        <v>106</v>
      </c>
      <c r="AZ1154" t="s">
        <v>92</v>
      </c>
      <c r="BA1154" t="s">
        <v>107</v>
      </c>
      <c r="BB1154" t="s">
        <v>4556</v>
      </c>
      <c r="BC1154" t="s">
        <v>1186</v>
      </c>
      <c r="BE1154" t="s">
        <v>96</v>
      </c>
      <c r="BG1154" t="s">
        <v>4507</v>
      </c>
      <c r="BI1154" t="s">
        <v>98</v>
      </c>
      <c r="BJ1154" t="s">
        <v>4557</v>
      </c>
      <c r="BL1154" t="s">
        <v>412</v>
      </c>
    </row>
    <row r="1155" spans="1:64" hidden="1" x14ac:dyDescent="0.2">
      <c r="A1155">
        <v>1799</v>
      </c>
      <c r="B1155">
        <v>3744741303</v>
      </c>
      <c r="C1155" t="s">
        <v>101</v>
      </c>
      <c r="D1155" t="s">
        <v>4564</v>
      </c>
      <c r="E1155" t="s">
        <v>65</v>
      </c>
      <c r="F1155" t="s">
        <v>66</v>
      </c>
      <c r="G1155" t="s">
        <v>67</v>
      </c>
      <c r="H1155" t="s">
        <v>68</v>
      </c>
      <c r="I1155" t="s">
        <v>176</v>
      </c>
      <c r="J1155" t="s">
        <v>177</v>
      </c>
      <c r="K1155" t="s">
        <v>178</v>
      </c>
      <c r="M1155" t="s">
        <v>72</v>
      </c>
      <c r="N1155" t="s">
        <v>179</v>
      </c>
      <c r="O1155" t="s">
        <v>178</v>
      </c>
      <c r="P1155" t="s">
        <v>180</v>
      </c>
      <c r="Q1155" t="s">
        <v>75</v>
      </c>
      <c r="R1155" t="s">
        <v>4510</v>
      </c>
      <c r="S1155" t="s">
        <v>3767</v>
      </c>
      <c r="T1155" t="s">
        <v>78</v>
      </c>
      <c r="U1155" t="s">
        <v>3817</v>
      </c>
      <c r="V1155" t="s">
        <v>80</v>
      </c>
      <c r="W1155" s="1">
        <v>44534</v>
      </c>
      <c r="X1155" t="s">
        <v>4502</v>
      </c>
      <c r="Y1155" t="s">
        <v>4559</v>
      </c>
      <c r="Z1155" t="s">
        <v>83</v>
      </c>
      <c r="AA1155">
        <v>1</v>
      </c>
      <c r="AB1155" t="s">
        <v>4517</v>
      </c>
      <c r="AD1155" t="s">
        <v>139</v>
      </c>
      <c r="AE1155" t="s">
        <v>86</v>
      </c>
      <c r="AF1155" t="s">
        <v>146</v>
      </c>
      <c r="AG1155" t="s">
        <v>4561</v>
      </c>
      <c r="AI1155" t="s">
        <v>90</v>
      </c>
      <c r="AJ1155">
        <v>32.337234000000002</v>
      </c>
      <c r="AK1155">
        <v>-110.720839</v>
      </c>
      <c r="AL1155">
        <v>3</v>
      </c>
      <c r="AN1155">
        <v>1466</v>
      </c>
      <c r="AP1155">
        <v>1466</v>
      </c>
      <c r="AQ1155">
        <v>1471.277135</v>
      </c>
      <c r="AT1155">
        <v>4</v>
      </c>
      <c r="AU1155">
        <v>12</v>
      </c>
      <c r="AV1155">
        <v>2021</v>
      </c>
      <c r="AW1155">
        <v>2438038</v>
      </c>
      <c r="AX1155">
        <v>2438038</v>
      </c>
      <c r="AY1155" t="s">
        <v>106</v>
      </c>
      <c r="AZ1155" t="s">
        <v>92</v>
      </c>
      <c r="BA1155" t="s">
        <v>107</v>
      </c>
      <c r="BB1155" t="s">
        <v>4565</v>
      </c>
      <c r="BC1155" t="s">
        <v>1186</v>
      </c>
      <c r="BE1155" t="s">
        <v>96</v>
      </c>
      <c r="BG1155" t="s">
        <v>4507</v>
      </c>
      <c r="BI1155" t="s">
        <v>98</v>
      </c>
      <c r="BJ1155" t="s">
        <v>330</v>
      </c>
      <c r="BL1155" t="s">
        <v>412</v>
      </c>
    </row>
    <row r="1156" spans="1:64" hidden="1" x14ac:dyDescent="0.2">
      <c r="A1156">
        <v>1367</v>
      </c>
      <c r="B1156">
        <v>4022923346</v>
      </c>
      <c r="C1156" t="s">
        <v>101</v>
      </c>
      <c r="D1156" t="s">
        <v>4566</v>
      </c>
      <c r="E1156" t="s">
        <v>65</v>
      </c>
      <c r="F1156" t="s">
        <v>66</v>
      </c>
      <c r="G1156" t="s">
        <v>67</v>
      </c>
      <c r="H1156" t="s">
        <v>68</v>
      </c>
      <c r="I1156" t="s">
        <v>176</v>
      </c>
      <c r="J1156" t="s">
        <v>177</v>
      </c>
      <c r="K1156" t="s">
        <v>178</v>
      </c>
      <c r="M1156" t="s">
        <v>72</v>
      </c>
      <c r="N1156" t="s">
        <v>179</v>
      </c>
      <c r="O1156" t="s">
        <v>178</v>
      </c>
      <c r="P1156" t="s">
        <v>180</v>
      </c>
      <c r="Q1156" t="s">
        <v>75</v>
      </c>
      <c r="R1156" t="s">
        <v>4501</v>
      </c>
      <c r="S1156" t="s">
        <v>3767</v>
      </c>
      <c r="T1156" t="s">
        <v>78</v>
      </c>
      <c r="U1156" t="s">
        <v>3817</v>
      </c>
      <c r="V1156" t="s">
        <v>80</v>
      </c>
      <c r="W1156" s="1">
        <v>44534</v>
      </c>
      <c r="X1156" t="s">
        <v>4502</v>
      </c>
      <c r="Y1156" t="s">
        <v>4559</v>
      </c>
      <c r="Z1156" t="s">
        <v>83</v>
      </c>
      <c r="AA1156">
        <v>1</v>
      </c>
      <c r="AB1156" t="s">
        <v>4517</v>
      </c>
      <c r="AD1156" t="s">
        <v>116</v>
      </c>
      <c r="AE1156" t="s">
        <v>86</v>
      </c>
      <c r="AF1156" t="s">
        <v>146</v>
      </c>
      <c r="AG1156" t="s">
        <v>4561</v>
      </c>
      <c r="AI1156" t="s">
        <v>90</v>
      </c>
      <c r="AJ1156">
        <v>32.337234000000002</v>
      </c>
      <c r="AK1156">
        <v>-110.720839</v>
      </c>
      <c r="AL1156">
        <v>3</v>
      </c>
      <c r="AN1156">
        <v>1466</v>
      </c>
      <c r="AP1156">
        <v>1466</v>
      </c>
      <c r="AQ1156">
        <v>1471.277135</v>
      </c>
      <c r="AT1156">
        <v>4</v>
      </c>
      <c r="AU1156">
        <v>12</v>
      </c>
      <c r="AV1156">
        <v>2021</v>
      </c>
      <c r="AW1156">
        <v>2438038</v>
      </c>
      <c r="AX1156">
        <v>2438038</v>
      </c>
      <c r="AY1156" t="s">
        <v>106</v>
      </c>
      <c r="AZ1156" t="s">
        <v>92</v>
      </c>
      <c r="BA1156" t="s">
        <v>107</v>
      </c>
      <c r="BB1156" t="s">
        <v>4567</v>
      </c>
      <c r="BC1156" t="s">
        <v>1186</v>
      </c>
      <c r="BE1156" t="s">
        <v>96</v>
      </c>
      <c r="BG1156" t="s">
        <v>4507</v>
      </c>
      <c r="BI1156" t="s">
        <v>98</v>
      </c>
      <c r="BJ1156" t="s">
        <v>605</v>
      </c>
      <c r="BL1156" t="s">
        <v>412</v>
      </c>
    </row>
    <row r="1157" spans="1:64" hidden="1" x14ac:dyDescent="0.2">
      <c r="A1157">
        <v>1368</v>
      </c>
      <c r="B1157">
        <v>4022923345</v>
      </c>
      <c r="C1157" t="s">
        <v>101</v>
      </c>
      <c r="D1157" t="s">
        <v>4568</v>
      </c>
      <c r="E1157" t="s">
        <v>65</v>
      </c>
      <c r="F1157" t="s">
        <v>66</v>
      </c>
      <c r="G1157" t="s">
        <v>67</v>
      </c>
      <c r="H1157" t="s">
        <v>68</v>
      </c>
      <c r="I1157" t="s">
        <v>176</v>
      </c>
      <c r="J1157" t="s">
        <v>177</v>
      </c>
      <c r="K1157" t="s">
        <v>178</v>
      </c>
      <c r="M1157" t="s">
        <v>72</v>
      </c>
      <c r="N1157" t="s">
        <v>179</v>
      </c>
      <c r="O1157" t="s">
        <v>178</v>
      </c>
      <c r="P1157" t="s">
        <v>180</v>
      </c>
      <c r="Q1157" t="s">
        <v>75</v>
      </c>
      <c r="R1157" t="s">
        <v>4501</v>
      </c>
      <c r="S1157" t="s">
        <v>3767</v>
      </c>
      <c r="T1157" t="s">
        <v>78</v>
      </c>
      <c r="U1157" t="s">
        <v>3817</v>
      </c>
      <c r="V1157" t="s">
        <v>80</v>
      </c>
      <c r="W1157" s="1">
        <v>44534</v>
      </c>
      <c r="X1157" t="s">
        <v>4502</v>
      </c>
      <c r="Y1157" t="s">
        <v>4559</v>
      </c>
      <c r="Z1157" t="s">
        <v>83</v>
      </c>
      <c r="AA1157">
        <v>1</v>
      </c>
      <c r="AB1157" t="s">
        <v>4517</v>
      </c>
      <c r="AD1157" t="s">
        <v>112</v>
      </c>
      <c r="AE1157" t="s">
        <v>86</v>
      </c>
      <c r="AF1157" t="s">
        <v>146</v>
      </c>
      <c r="AG1157" t="s">
        <v>4561</v>
      </c>
      <c r="AI1157" t="s">
        <v>90</v>
      </c>
      <c r="AJ1157">
        <v>32.337234000000002</v>
      </c>
      <c r="AK1157">
        <v>-110.720839</v>
      </c>
      <c r="AL1157">
        <v>3</v>
      </c>
      <c r="AN1157">
        <v>1466</v>
      </c>
      <c r="AP1157">
        <v>1466</v>
      </c>
      <c r="AQ1157">
        <v>1471.277135</v>
      </c>
      <c r="AT1157">
        <v>4</v>
      </c>
      <c r="AU1157">
        <v>12</v>
      </c>
      <c r="AV1157">
        <v>2021</v>
      </c>
      <c r="AW1157">
        <v>2438038</v>
      </c>
      <c r="AX1157">
        <v>2438038</v>
      </c>
      <c r="AY1157" t="s">
        <v>106</v>
      </c>
      <c r="AZ1157" t="s">
        <v>92</v>
      </c>
      <c r="BA1157" t="s">
        <v>107</v>
      </c>
      <c r="BB1157" t="s">
        <v>4569</v>
      </c>
      <c r="BC1157" t="s">
        <v>1186</v>
      </c>
      <c r="BE1157" t="s">
        <v>96</v>
      </c>
      <c r="BG1157" t="s">
        <v>4507</v>
      </c>
      <c r="BI1157" t="s">
        <v>98</v>
      </c>
      <c r="BJ1157" t="s">
        <v>370</v>
      </c>
      <c r="BL1157" t="s">
        <v>412</v>
      </c>
    </row>
    <row r="1158" spans="1:64" x14ac:dyDescent="0.2">
      <c r="A1158">
        <v>354</v>
      </c>
      <c r="B1158">
        <v>4403380311</v>
      </c>
      <c r="C1158" t="s">
        <v>63</v>
      </c>
      <c r="D1158" t="s">
        <v>1280</v>
      </c>
      <c r="E1158" t="s">
        <v>65</v>
      </c>
      <c r="F1158" t="s">
        <v>66</v>
      </c>
      <c r="G1158" t="s">
        <v>67</v>
      </c>
      <c r="H1158" t="s">
        <v>68</v>
      </c>
      <c r="I1158" t="s">
        <v>176</v>
      </c>
      <c r="J1158" t="s">
        <v>1173</v>
      </c>
      <c r="K1158" t="s">
        <v>1174</v>
      </c>
      <c r="M1158" t="s">
        <v>72</v>
      </c>
      <c r="N1158" t="s">
        <v>1175</v>
      </c>
      <c r="O1158" t="s">
        <v>1174</v>
      </c>
      <c r="P1158" t="s">
        <v>1176</v>
      </c>
      <c r="Q1158" t="s">
        <v>75</v>
      </c>
      <c r="R1158" t="s">
        <v>1177</v>
      </c>
      <c r="S1158" t="s">
        <v>1281</v>
      </c>
      <c r="T1158" t="s">
        <v>78</v>
      </c>
      <c r="U1158" t="s">
        <v>646</v>
      </c>
      <c r="V1158" t="s">
        <v>1179</v>
      </c>
      <c r="W1158" s="1">
        <v>45108</v>
      </c>
      <c r="X1158" t="s">
        <v>1180</v>
      </c>
      <c r="Y1158" t="s">
        <v>1282</v>
      </c>
      <c r="Z1158" t="s">
        <v>83</v>
      </c>
      <c r="AA1158">
        <v>1</v>
      </c>
      <c r="AB1158" t="s">
        <v>1283</v>
      </c>
      <c r="AC1158">
        <v>1</v>
      </c>
      <c r="AD1158" s="6" t="s">
        <v>85</v>
      </c>
      <c r="AE1158" s="6" t="s">
        <v>86</v>
      </c>
      <c r="AF1158" s="6" t="s">
        <v>359</v>
      </c>
      <c r="AG1158" s="6" t="s">
        <v>1284</v>
      </c>
      <c r="AH1158" s="6" t="s">
        <v>1285</v>
      </c>
      <c r="AI1158" s="6" t="s">
        <v>90</v>
      </c>
      <c r="AJ1158" s="6">
        <v>32.450783999999999</v>
      </c>
      <c r="AK1158" s="6">
        <v>-110.73687700000001</v>
      </c>
      <c r="AL1158" s="6">
        <v>3</v>
      </c>
      <c r="AM1158" s="6"/>
      <c r="AN1158" s="6">
        <v>2062</v>
      </c>
      <c r="AO1158" s="6"/>
      <c r="AP1158" s="6">
        <v>2062</v>
      </c>
      <c r="AQ1158" s="6">
        <v>2063.628236</v>
      </c>
      <c r="AR1158" s="6"/>
      <c r="AS1158" s="6"/>
      <c r="AT1158" s="6">
        <v>1</v>
      </c>
      <c r="AU1158" s="6">
        <v>7</v>
      </c>
      <c r="AV1158" s="6">
        <v>2023</v>
      </c>
      <c r="AW1158" s="6">
        <v>2437874</v>
      </c>
      <c r="AX1158" s="6">
        <v>2437874</v>
      </c>
      <c r="AY1158" s="6" t="s">
        <v>91</v>
      </c>
      <c r="AZ1158" t="s">
        <v>92</v>
      </c>
      <c r="BA1158" t="s">
        <v>93</v>
      </c>
      <c r="BB1158" t="s">
        <v>1286</v>
      </c>
      <c r="BC1158" t="s">
        <v>1186</v>
      </c>
      <c r="BD1158" s="1">
        <v>45108</v>
      </c>
      <c r="BE1158" t="s">
        <v>96</v>
      </c>
      <c r="BG1158" t="s">
        <v>1187</v>
      </c>
      <c r="BI1158" t="s">
        <v>98</v>
      </c>
      <c r="BJ1158" t="s">
        <v>1287</v>
      </c>
      <c r="BK1158" t="s">
        <v>365</v>
      </c>
      <c r="BL1158" t="s">
        <v>407</v>
      </c>
    </row>
    <row r="1159" spans="1:64" hidden="1" x14ac:dyDescent="0.2">
      <c r="A1159">
        <v>1370</v>
      </c>
      <c r="B1159">
        <v>4022923343</v>
      </c>
      <c r="C1159" t="s">
        <v>101</v>
      </c>
      <c r="D1159" t="s">
        <v>4572</v>
      </c>
      <c r="E1159" t="s">
        <v>65</v>
      </c>
      <c r="F1159" t="s">
        <v>66</v>
      </c>
      <c r="G1159" t="s">
        <v>67</v>
      </c>
      <c r="H1159" t="s">
        <v>68</v>
      </c>
      <c r="I1159" t="s">
        <v>176</v>
      </c>
      <c r="J1159" t="s">
        <v>177</v>
      </c>
      <c r="K1159" t="s">
        <v>178</v>
      </c>
      <c r="M1159" t="s">
        <v>72</v>
      </c>
      <c r="N1159" t="s">
        <v>179</v>
      </c>
      <c r="O1159" t="s">
        <v>178</v>
      </c>
      <c r="P1159" t="s">
        <v>180</v>
      </c>
      <c r="Q1159" t="s">
        <v>75</v>
      </c>
      <c r="R1159" t="s">
        <v>4501</v>
      </c>
      <c r="S1159" t="s">
        <v>3767</v>
      </c>
      <c r="T1159" t="s">
        <v>78</v>
      </c>
      <c r="U1159" t="s">
        <v>3817</v>
      </c>
      <c r="V1159" t="s">
        <v>80</v>
      </c>
      <c r="W1159" s="1">
        <v>44534</v>
      </c>
      <c r="X1159" t="s">
        <v>4502</v>
      </c>
      <c r="Y1159" t="s">
        <v>4559</v>
      </c>
      <c r="Z1159" t="s">
        <v>83</v>
      </c>
      <c r="AA1159">
        <v>1</v>
      </c>
      <c r="AB1159" t="s">
        <v>4517</v>
      </c>
      <c r="AD1159" t="s">
        <v>123</v>
      </c>
      <c r="AE1159" t="s">
        <v>86</v>
      </c>
      <c r="AF1159" t="s">
        <v>146</v>
      </c>
      <c r="AG1159" t="s">
        <v>4561</v>
      </c>
      <c r="AI1159" t="s">
        <v>90</v>
      </c>
      <c r="AJ1159">
        <v>32.337234000000002</v>
      </c>
      <c r="AK1159">
        <v>-110.720839</v>
      </c>
      <c r="AL1159">
        <v>3</v>
      </c>
      <c r="AN1159">
        <v>1466</v>
      </c>
      <c r="AP1159">
        <v>1466</v>
      </c>
      <c r="AQ1159">
        <v>1471.277135</v>
      </c>
      <c r="AT1159">
        <v>4</v>
      </c>
      <c r="AU1159">
        <v>12</v>
      </c>
      <c r="AV1159">
        <v>2021</v>
      </c>
      <c r="AW1159">
        <v>2438038</v>
      </c>
      <c r="AX1159">
        <v>2438038</v>
      </c>
      <c r="AY1159" t="s">
        <v>106</v>
      </c>
      <c r="AZ1159" t="s">
        <v>92</v>
      </c>
      <c r="BA1159" t="s">
        <v>107</v>
      </c>
      <c r="BB1159" t="s">
        <v>4573</v>
      </c>
      <c r="BC1159" t="s">
        <v>1186</v>
      </c>
      <c r="BE1159" t="s">
        <v>96</v>
      </c>
      <c r="BG1159" t="s">
        <v>4507</v>
      </c>
      <c r="BI1159" t="s">
        <v>98</v>
      </c>
      <c r="BJ1159" t="s">
        <v>380</v>
      </c>
      <c r="BL1159" t="s">
        <v>412</v>
      </c>
    </row>
    <row r="1160" spans="1:64" hidden="1" x14ac:dyDescent="0.2">
      <c r="A1160">
        <v>1352</v>
      </c>
      <c r="B1160">
        <v>4022923361</v>
      </c>
      <c r="C1160" t="s">
        <v>101</v>
      </c>
      <c r="D1160" t="s">
        <v>4574</v>
      </c>
      <c r="E1160" t="s">
        <v>65</v>
      </c>
      <c r="F1160" t="s">
        <v>66</v>
      </c>
      <c r="G1160" t="s">
        <v>67</v>
      </c>
      <c r="H1160" t="s">
        <v>68</v>
      </c>
      <c r="I1160" t="s">
        <v>176</v>
      </c>
      <c r="J1160" t="s">
        <v>177</v>
      </c>
      <c r="K1160" t="s">
        <v>178</v>
      </c>
      <c r="M1160" t="s">
        <v>72</v>
      </c>
      <c r="N1160" t="s">
        <v>179</v>
      </c>
      <c r="O1160" t="s">
        <v>178</v>
      </c>
      <c r="P1160" t="s">
        <v>180</v>
      </c>
      <c r="Q1160" t="s">
        <v>75</v>
      </c>
      <c r="R1160" t="s">
        <v>4501</v>
      </c>
      <c r="S1160" t="s">
        <v>3767</v>
      </c>
      <c r="T1160" t="s">
        <v>78</v>
      </c>
      <c r="U1160" t="s">
        <v>3817</v>
      </c>
      <c r="V1160" t="s">
        <v>80</v>
      </c>
      <c r="W1160" s="1">
        <v>44534</v>
      </c>
      <c r="X1160" t="s">
        <v>4502</v>
      </c>
      <c r="Y1160" t="s">
        <v>4559</v>
      </c>
      <c r="Z1160" t="s">
        <v>83</v>
      </c>
      <c r="AA1160">
        <v>1</v>
      </c>
      <c r="AB1160" t="s">
        <v>4517</v>
      </c>
      <c r="AD1160" t="s">
        <v>104</v>
      </c>
      <c r="AE1160" t="s">
        <v>86</v>
      </c>
      <c r="AF1160" t="s">
        <v>146</v>
      </c>
      <c r="AG1160" t="s">
        <v>4561</v>
      </c>
      <c r="AI1160" t="s">
        <v>90</v>
      </c>
      <c r="AJ1160">
        <v>32.337234000000002</v>
      </c>
      <c r="AK1160">
        <v>-110.720839</v>
      </c>
      <c r="AL1160">
        <v>3</v>
      </c>
      <c r="AN1160">
        <v>1466</v>
      </c>
      <c r="AP1160">
        <v>1466</v>
      </c>
      <c r="AQ1160">
        <v>1471.277135</v>
      </c>
      <c r="AT1160">
        <v>4</v>
      </c>
      <c r="AU1160">
        <v>12</v>
      </c>
      <c r="AV1160">
        <v>2021</v>
      </c>
      <c r="AW1160">
        <v>2438038</v>
      </c>
      <c r="AX1160">
        <v>2438038</v>
      </c>
      <c r="AY1160" t="s">
        <v>106</v>
      </c>
      <c r="AZ1160" t="s">
        <v>92</v>
      </c>
      <c r="BA1160" t="s">
        <v>107</v>
      </c>
      <c r="BB1160" t="s">
        <v>4575</v>
      </c>
      <c r="BC1160" t="s">
        <v>1186</v>
      </c>
      <c r="BE1160" t="s">
        <v>96</v>
      </c>
      <c r="BG1160" t="s">
        <v>4507</v>
      </c>
      <c r="BI1160" t="s">
        <v>98</v>
      </c>
      <c r="BJ1160" t="s">
        <v>1641</v>
      </c>
      <c r="BL1160" t="s">
        <v>412</v>
      </c>
    </row>
    <row r="1161" spans="1:64" hidden="1" x14ac:dyDescent="0.2">
      <c r="A1161">
        <v>1351</v>
      </c>
      <c r="B1161">
        <v>4022923362</v>
      </c>
      <c r="C1161" t="s">
        <v>101</v>
      </c>
      <c r="D1161" t="s">
        <v>4576</v>
      </c>
      <c r="E1161" t="s">
        <v>65</v>
      </c>
      <c r="F1161" t="s">
        <v>66</v>
      </c>
      <c r="G1161" t="s">
        <v>67</v>
      </c>
      <c r="H1161" t="s">
        <v>68</v>
      </c>
      <c r="I1161" t="s">
        <v>176</v>
      </c>
      <c r="J1161" t="s">
        <v>177</v>
      </c>
      <c r="K1161" t="s">
        <v>178</v>
      </c>
      <c r="M1161" t="s">
        <v>72</v>
      </c>
      <c r="N1161" t="s">
        <v>179</v>
      </c>
      <c r="O1161" t="s">
        <v>178</v>
      </c>
      <c r="P1161" t="s">
        <v>180</v>
      </c>
      <c r="Q1161" t="s">
        <v>75</v>
      </c>
      <c r="R1161" t="s">
        <v>4501</v>
      </c>
      <c r="S1161" t="s">
        <v>3762</v>
      </c>
      <c r="T1161" t="s">
        <v>78</v>
      </c>
      <c r="U1161" t="s">
        <v>3817</v>
      </c>
      <c r="V1161" t="s">
        <v>80</v>
      </c>
      <c r="W1161" s="1">
        <v>44534</v>
      </c>
      <c r="X1161" t="s">
        <v>4502</v>
      </c>
      <c r="Y1161" t="s">
        <v>4559</v>
      </c>
      <c r="Z1161" t="s">
        <v>83</v>
      </c>
      <c r="AA1161">
        <v>1</v>
      </c>
      <c r="AB1161" t="s">
        <v>133</v>
      </c>
      <c r="AD1161" t="s">
        <v>134</v>
      </c>
      <c r="AE1161" t="s">
        <v>86</v>
      </c>
      <c r="AF1161" t="s">
        <v>146</v>
      </c>
      <c r="AG1161" t="s">
        <v>4577</v>
      </c>
      <c r="AI1161" t="s">
        <v>90</v>
      </c>
      <c r="AJ1161">
        <v>32.337234000000002</v>
      </c>
      <c r="AK1161">
        <v>-110.720839</v>
      </c>
      <c r="AL1161">
        <v>3</v>
      </c>
      <c r="AN1161">
        <v>1466</v>
      </c>
      <c r="AP1161">
        <v>1466</v>
      </c>
      <c r="AQ1161">
        <v>1471.277135</v>
      </c>
      <c r="AT1161">
        <v>4</v>
      </c>
      <c r="AU1161">
        <v>12</v>
      </c>
      <c r="AV1161">
        <v>2021</v>
      </c>
      <c r="AW1161">
        <v>2438038</v>
      </c>
      <c r="AX1161">
        <v>2438038</v>
      </c>
      <c r="AY1161" t="s">
        <v>106</v>
      </c>
      <c r="AZ1161" t="s">
        <v>92</v>
      </c>
      <c r="BA1161" t="s">
        <v>107</v>
      </c>
      <c r="BB1161" t="s">
        <v>4578</v>
      </c>
      <c r="BC1161" t="s">
        <v>1186</v>
      </c>
      <c r="BE1161" t="s">
        <v>96</v>
      </c>
      <c r="BG1161" t="s">
        <v>4507</v>
      </c>
      <c r="BI1161" t="s">
        <v>98</v>
      </c>
      <c r="BJ1161" t="s">
        <v>4579</v>
      </c>
      <c r="BL1161" t="s">
        <v>412</v>
      </c>
    </row>
    <row r="1162" spans="1:64" hidden="1" x14ac:dyDescent="0.2">
      <c r="A1162">
        <v>1371</v>
      </c>
      <c r="B1162">
        <v>4022923342</v>
      </c>
      <c r="C1162" t="s">
        <v>101</v>
      </c>
      <c r="D1162" t="s">
        <v>4587</v>
      </c>
      <c r="E1162" t="s">
        <v>65</v>
      </c>
      <c r="F1162" t="s">
        <v>66</v>
      </c>
      <c r="G1162" t="s">
        <v>67</v>
      </c>
      <c r="H1162" t="s">
        <v>68</v>
      </c>
      <c r="I1162" t="s">
        <v>69</v>
      </c>
      <c r="J1162" t="s">
        <v>70</v>
      </c>
      <c r="K1162" t="s">
        <v>71</v>
      </c>
      <c r="M1162" t="s">
        <v>72</v>
      </c>
      <c r="N1162" t="s">
        <v>73</v>
      </c>
      <c r="O1162" t="s">
        <v>71</v>
      </c>
      <c r="P1162" t="s">
        <v>74</v>
      </c>
      <c r="Q1162" t="s">
        <v>75</v>
      </c>
      <c r="R1162" t="s">
        <v>4501</v>
      </c>
      <c r="S1162" t="s">
        <v>4581</v>
      </c>
      <c r="T1162" t="s">
        <v>78</v>
      </c>
      <c r="U1162" t="s">
        <v>3817</v>
      </c>
      <c r="V1162" t="s">
        <v>80</v>
      </c>
      <c r="W1162" s="1">
        <v>44534</v>
      </c>
      <c r="X1162" t="s">
        <v>4502</v>
      </c>
      <c r="Y1162" t="s">
        <v>4582</v>
      </c>
      <c r="Z1162" t="s">
        <v>83</v>
      </c>
      <c r="AA1162">
        <v>1</v>
      </c>
      <c r="AB1162" t="s">
        <v>672</v>
      </c>
      <c r="AD1162" t="s">
        <v>134</v>
      </c>
      <c r="AE1162" t="s">
        <v>145</v>
      </c>
      <c r="AF1162" t="s">
        <v>281</v>
      </c>
      <c r="AG1162" t="s">
        <v>4588</v>
      </c>
      <c r="AI1162" t="s">
        <v>90</v>
      </c>
      <c r="AJ1162">
        <v>32.337339</v>
      </c>
      <c r="AK1162">
        <v>-110.719842</v>
      </c>
      <c r="AL1162">
        <v>3</v>
      </c>
      <c r="AN1162">
        <v>1467</v>
      </c>
      <c r="AP1162">
        <v>1467</v>
      </c>
      <c r="AQ1162">
        <v>1480.3733520000001</v>
      </c>
      <c r="AT1162">
        <v>4</v>
      </c>
      <c r="AU1162">
        <v>12</v>
      </c>
      <c r="AV1162">
        <v>2021</v>
      </c>
      <c r="AW1162">
        <v>2439581</v>
      </c>
      <c r="AX1162">
        <v>2439581</v>
      </c>
      <c r="AY1162" t="s">
        <v>106</v>
      </c>
      <c r="AZ1162" t="s">
        <v>92</v>
      </c>
      <c r="BA1162" t="s">
        <v>107</v>
      </c>
      <c r="BB1162" t="s">
        <v>4589</v>
      </c>
      <c r="BC1162" t="s">
        <v>1186</v>
      </c>
      <c r="BE1162" t="s">
        <v>96</v>
      </c>
      <c r="BG1162" t="s">
        <v>4507</v>
      </c>
      <c r="BI1162" t="s">
        <v>98</v>
      </c>
      <c r="BJ1162" t="s">
        <v>380</v>
      </c>
      <c r="BL1162" t="s">
        <v>412</v>
      </c>
    </row>
    <row r="1163" spans="1:64" hidden="1" x14ac:dyDescent="0.2">
      <c r="A1163">
        <v>1264</v>
      </c>
      <c r="B1163">
        <v>4022923449</v>
      </c>
      <c r="C1163" t="s">
        <v>101</v>
      </c>
      <c r="D1163" t="s">
        <v>4590</v>
      </c>
      <c r="E1163" t="s">
        <v>65</v>
      </c>
      <c r="F1163" t="s">
        <v>66</v>
      </c>
      <c r="G1163" t="s">
        <v>67</v>
      </c>
      <c r="H1163" t="s">
        <v>68</v>
      </c>
      <c r="I1163" t="s">
        <v>69</v>
      </c>
      <c r="J1163" t="s">
        <v>70</v>
      </c>
      <c r="K1163" t="s">
        <v>71</v>
      </c>
      <c r="M1163" t="s">
        <v>72</v>
      </c>
      <c r="N1163" t="s">
        <v>73</v>
      </c>
      <c r="O1163" t="s">
        <v>71</v>
      </c>
      <c r="P1163" t="s">
        <v>74</v>
      </c>
      <c r="Q1163" t="s">
        <v>75</v>
      </c>
      <c r="R1163" t="s">
        <v>4501</v>
      </c>
      <c r="S1163" t="s">
        <v>4581</v>
      </c>
      <c r="T1163" t="s">
        <v>78</v>
      </c>
      <c r="U1163" t="s">
        <v>3817</v>
      </c>
      <c r="V1163" t="s">
        <v>80</v>
      </c>
      <c r="W1163" s="1">
        <v>44534</v>
      </c>
      <c r="X1163" t="s">
        <v>4502</v>
      </c>
      <c r="Y1163" t="s">
        <v>4582</v>
      </c>
      <c r="Z1163" t="s">
        <v>83</v>
      </c>
      <c r="AA1163">
        <v>1</v>
      </c>
      <c r="AB1163" t="s">
        <v>4517</v>
      </c>
      <c r="AD1163" t="s">
        <v>139</v>
      </c>
      <c r="AE1163" t="s">
        <v>145</v>
      </c>
      <c r="AF1163" t="s">
        <v>281</v>
      </c>
      <c r="AG1163" t="s">
        <v>4588</v>
      </c>
      <c r="AI1163" t="s">
        <v>90</v>
      </c>
      <c r="AJ1163">
        <v>32.337339</v>
      </c>
      <c r="AK1163">
        <v>-110.719842</v>
      </c>
      <c r="AL1163">
        <v>3</v>
      </c>
      <c r="AN1163">
        <v>1467</v>
      </c>
      <c r="AP1163">
        <v>1467</v>
      </c>
      <c r="AQ1163">
        <v>1480.3733520000001</v>
      </c>
      <c r="AT1163">
        <v>4</v>
      </c>
      <c r="AU1163">
        <v>12</v>
      </c>
      <c r="AV1163">
        <v>2021</v>
      </c>
      <c r="AW1163">
        <v>2439581</v>
      </c>
      <c r="AX1163">
        <v>2439581</v>
      </c>
      <c r="AY1163" t="s">
        <v>106</v>
      </c>
      <c r="AZ1163" t="s">
        <v>92</v>
      </c>
      <c r="BA1163" t="s">
        <v>107</v>
      </c>
      <c r="BB1163" t="s">
        <v>4591</v>
      </c>
      <c r="BC1163" t="s">
        <v>1186</v>
      </c>
      <c r="BE1163" t="s">
        <v>96</v>
      </c>
      <c r="BG1163" t="s">
        <v>4507</v>
      </c>
      <c r="BI1163" t="s">
        <v>98</v>
      </c>
      <c r="BJ1163" t="s">
        <v>4592</v>
      </c>
      <c r="BL1163" t="s">
        <v>412</v>
      </c>
    </row>
    <row r="1164" spans="1:64" hidden="1" x14ac:dyDescent="0.2">
      <c r="A1164">
        <v>1196</v>
      </c>
      <c r="B1164">
        <v>4022923517</v>
      </c>
      <c r="C1164" t="s">
        <v>101</v>
      </c>
      <c r="D1164" t="s">
        <v>4593</v>
      </c>
      <c r="E1164" t="s">
        <v>65</v>
      </c>
      <c r="F1164" t="s">
        <v>66</v>
      </c>
      <c r="G1164" t="s">
        <v>67</v>
      </c>
      <c r="H1164" t="s">
        <v>68</v>
      </c>
      <c r="I1164" t="s">
        <v>69</v>
      </c>
      <c r="J1164" t="s">
        <v>70</v>
      </c>
      <c r="K1164" t="s">
        <v>71</v>
      </c>
      <c r="M1164" t="s">
        <v>72</v>
      </c>
      <c r="N1164" t="s">
        <v>73</v>
      </c>
      <c r="O1164" t="s">
        <v>71</v>
      </c>
      <c r="P1164" t="s">
        <v>74</v>
      </c>
      <c r="Q1164" t="s">
        <v>75</v>
      </c>
      <c r="R1164" t="s">
        <v>4501</v>
      </c>
      <c r="S1164" t="s">
        <v>4581</v>
      </c>
      <c r="T1164" t="s">
        <v>78</v>
      </c>
      <c r="U1164" t="s">
        <v>3817</v>
      </c>
      <c r="V1164" t="s">
        <v>80</v>
      </c>
      <c r="W1164" s="1">
        <v>44534</v>
      </c>
      <c r="X1164" t="s">
        <v>4502</v>
      </c>
      <c r="Y1164" t="s">
        <v>4582</v>
      </c>
      <c r="Z1164" t="s">
        <v>83</v>
      </c>
      <c r="AA1164">
        <v>1</v>
      </c>
      <c r="AB1164" t="s">
        <v>4517</v>
      </c>
      <c r="AD1164" t="s">
        <v>123</v>
      </c>
      <c r="AE1164" t="s">
        <v>145</v>
      </c>
      <c r="AF1164" t="s">
        <v>281</v>
      </c>
      <c r="AG1164" t="s">
        <v>4588</v>
      </c>
      <c r="AI1164" t="s">
        <v>90</v>
      </c>
      <c r="AJ1164">
        <v>32.337339</v>
      </c>
      <c r="AK1164">
        <v>-110.719842</v>
      </c>
      <c r="AL1164">
        <v>3</v>
      </c>
      <c r="AN1164">
        <v>1467</v>
      </c>
      <c r="AP1164">
        <v>1467</v>
      </c>
      <c r="AQ1164">
        <v>1480.3733520000001</v>
      </c>
      <c r="AT1164">
        <v>4</v>
      </c>
      <c r="AU1164">
        <v>12</v>
      </c>
      <c r="AV1164">
        <v>2021</v>
      </c>
      <c r="AW1164">
        <v>2439581</v>
      </c>
      <c r="AX1164">
        <v>2439581</v>
      </c>
      <c r="AY1164" t="s">
        <v>106</v>
      </c>
      <c r="AZ1164" t="s">
        <v>92</v>
      </c>
      <c r="BA1164" t="s">
        <v>107</v>
      </c>
      <c r="BB1164" t="s">
        <v>4594</v>
      </c>
      <c r="BC1164" t="s">
        <v>1186</v>
      </c>
      <c r="BE1164" t="s">
        <v>96</v>
      </c>
      <c r="BG1164" t="s">
        <v>4507</v>
      </c>
      <c r="BI1164" t="s">
        <v>98</v>
      </c>
      <c r="BJ1164" t="s">
        <v>4595</v>
      </c>
      <c r="BL1164" t="s">
        <v>412</v>
      </c>
    </row>
    <row r="1165" spans="1:64" hidden="1" x14ac:dyDescent="0.2">
      <c r="A1165">
        <v>1193</v>
      </c>
      <c r="B1165">
        <v>4022923520</v>
      </c>
      <c r="C1165" t="s">
        <v>101</v>
      </c>
      <c r="D1165" t="s">
        <v>4596</v>
      </c>
      <c r="E1165" t="s">
        <v>65</v>
      </c>
      <c r="F1165" t="s">
        <v>66</v>
      </c>
      <c r="G1165" t="s">
        <v>67</v>
      </c>
      <c r="H1165" t="s">
        <v>68</v>
      </c>
      <c r="I1165" t="s">
        <v>69</v>
      </c>
      <c r="J1165" t="s">
        <v>70</v>
      </c>
      <c r="K1165" t="s">
        <v>71</v>
      </c>
      <c r="M1165" t="s">
        <v>72</v>
      </c>
      <c r="N1165" t="s">
        <v>73</v>
      </c>
      <c r="O1165" t="s">
        <v>71</v>
      </c>
      <c r="P1165" t="s">
        <v>74</v>
      </c>
      <c r="Q1165" t="s">
        <v>75</v>
      </c>
      <c r="R1165" t="s">
        <v>4501</v>
      </c>
      <c r="S1165" t="s">
        <v>4581</v>
      </c>
      <c r="T1165" t="s">
        <v>78</v>
      </c>
      <c r="U1165" t="s">
        <v>3817</v>
      </c>
      <c r="V1165" t="s">
        <v>80</v>
      </c>
      <c r="W1165" s="1">
        <v>44534</v>
      </c>
      <c r="X1165" t="s">
        <v>4502</v>
      </c>
      <c r="Y1165" t="s">
        <v>4582</v>
      </c>
      <c r="Z1165" t="s">
        <v>83</v>
      </c>
      <c r="AA1165">
        <v>1</v>
      </c>
      <c r="AB1165" t="s">
        <v>4517</v>
      </c>
      <c r="AD1165" t="s">
        <v>112</v>
      </c>
      <c r="AE1165" t="s">
        <v>145</v>
      </c>
      <c r="AF1165" t="s">
        <v>281</v>
      </c>
      <c r="AG1165" t="s">
        <v>4588</v>
      </c>
      <c r="AI1165" t="s">
        <v>90</v>
      </c>
      <c r="AJ1165">
        <v>32.337339</v>
      </c>
      <c r="AK1165">
        <v>-110.719842</v>
      </c>
      <c r="AL1165">
        <v>3</v>
      </c>
      <c r="AN1165">
        <v>1467</v>
      </c>
      <c r="AP1165">
        <v>1467</v>
      </c>
      <c r="AQ1165">
        <v>1480.3733520000001</v>
      </c>
      <c r="AT1165">
        <v>4</v>
      </c>
      <c r="AU1165">
        <v>12</v>
      </c>
      <c r="AV1165">
        <v>2021</v>
      </c>
      <c r="AW1165">
        <v>2439581</v>
      </c>
      <c r="AX1165">
        <v>2439581</v>
      </c>
      <c r="AY1165" t="s">
        <v>106</v>
      </c>
      <c r="AZ1165" t="s">
        <v>92</v>
      </c>
      <c r="BA1165" t="s">
        <v>107</v>
      </c>
      <c r="BB1165" t="s">
        <v>4597</v>
      </c>
      <c r="BC1165" t="s">
        <v>1186</v>
      </c>
      <c r="BE1165" t="s">
        <v>96</v>
      </c>
      <c r="BG1165" t="s">
        <v>4507</v>
      </c>
      <c r="BI1165" t="s">
        <v>98</v>
      </c>
      <c r="BJ1165" t="s">
        <v>4598</v>
      </c>
      <c r="BL1165" t="s">
        <v>412</v>
      </c>
    </row>
    <row r="1166" spans="1:64" hidden="1" x14ac:dyDescent="0.2">
      <c r="A1166">
        <v>1192</v>
      </c>
      <c r="B1166">
        <v>4022923521</v>
      </c>
      <c r="C1166" t="s">
        <v>101</v>
      </c>
      <c r="D1166" t="s">
        <v>4599</v>
      </c>
      <c r="E1166" t="s">
        <v>65</v>
      </c>
      <c r="F1166" t="s">
        <v>66</v>
      </c>
      <c r="G1166" t="s">
        <v>67</v>
      </c>
      <c r="H1166" t="s">
        <v>68</v>
      </c>
      <c r="I1166" t="s">
        <v>69</v>
      </c>
      <c r="J1166" t="s">
        <v>70</v>
      </c>
      <c r="K1166" t="s">
        <v>71</v>
      </c>
      <c r="M1166" t="s">
        <v>72</v>
      </c>
      <c r="N1166" t="s">
        <v>73</v>
      </c>
      <c r="O1166" t="s">
        <v>71</v>
      </c>
      <c r="P1166" t="s">
        <v>74</v>
      </c>
      <c r="Q1166" t="s">
        <v>75</v>
      </c>
      <c r="R1166" t="s">
        <v>4501</v>
      </c>
      <c r="S1166" t="s">
        <v>4581</v>
      </c>
      <c r="T1166" t="s">
        <v>78</v>
      </c>
      <c r="U1166" t="s">
        <v>3817</v>
      </c>
      <c r="V1166" t="s">
        <v>80</v>
      </c>
      <c r="W1166" s="1">
        <v>44534</v>
      </c>
      <c r="X1166" t="s">
        <v>4502</v>
      </c>
      <c r="Y1166" t="s">
        <v>4582</v>
      </c>
      <c r="Z1166" t="s">
        <v>83</v>
      </c>
      <c r="AA1166">
        <v>1</v>
      </c>
      <c r="AB1166" t="s">
        <v>4517</v>
      </c>
      <c r="AD1166" t="s">
        <v>116</v>
      </c>
      <c r="AE1166" t="s">
        <v>145</v>
      </c>
      <c r="AF1166" t="s">
        <v>281</v>
      </c>
      <c r="AG1166" t="s">
        <v>4588</v>
      </c>
      <c r="AI1166" t="s">
        <v>90</v>
      </c>
      <c r="AJ1166">
        <v>32.337339</v>
      </c>
      <c r="AK1166">
        <v>-110.719842</v>
      </c>
      <c r="AL1166">
        <v>3</v>
      </c>
      <c r="AN1166">
        <v>1467</v>
      </c>
      <c r="AP1166">
        <v>1467</v>
      </c>
      <c r="AQ1166">
        <v>1480.3733520000001</v>
      </c>
      <c r="AT1166">
        <v>4</v>
      </c>
      <c r="AU1166">
        <v>12</v>
      </c>
      <c r="AV1166">
        <v>2021</v>
      </c>
      <c r="AW1166">
        <v>2439581</v>
      </c>
      <c r="AX1166">
        <v>2439581</v>
      </c>
      <c r="AY1166" t="s">
        <v>106</v>
      </c>
      <c r="AZ1166" t="s">
        <v>92</v>
      </c>
      <c r="BA1166" t="s">
        <v>107</v>
      </c>
      <c r="BB1166" t="s">
        <v>4600</v>
      </c>
      <c r="BC1166" t="s">
        <v>1186</v>
      </c>
      <c r="BE1166" t="s">
        <v>96</v>
      </c>
      <c r="BG1166" t="s">
        <v>4507</v>
      </c>
      <c r="BI1166" t="s">
        <v>98</v>
      </c>
      <c r="BJ1166" t="s">
        <v>4601</v>
      </c>
      <c r="BL1166" t="s">
        <v>412</v>
      </c>
    </row>
    <row r="1167" spans="1:64" hidden="1" x14ac:dyDescent="0.2">
      <c r="A1167">
        <v>1189</v>
      </c>
      <c r="B1167">
        <v>4022923524</v>
      </c>
      <c r="C1167" t="s">
        <v>101</v>
      </c>
      <c r="D1167" t="s">
        <v>4602</v>
      </c>
      <c r="E1167" t="s">
        <v>65</v>
      </c>
      <c r="F1167" t="s">
        <v>66</v>
      </c>
      <c r="G1167" t="s">
        <v>67</v>
      </c>
      <c r="H1167" t="s">
        <v>68</v>
      </c>
      <c r="I1167" t="s">
        <v>69</v>
      </c>
      <c r="J1167" t="s">
        <v>70</v>
      </c>
      <c r="K1167" t="s">
        <v>71</v>
      </c>
      <c r="M1167" t="s">
        <v>72</v>
      </c>
      <c r="N1167" t="s">
        <v>73</v>
      </c>
      <c r="O1167" t="s">
        <v>71</v>
      </c>
      <c r="P1167" t="s">
        <v>74</v>
      </c>
      <c r="Q1167" t="s">
        <v>75</v>
      </c>
      <c r="R1167" t="s">
        <v>4501</v>
      </c>
      <c r="S1167" t="s">
        <v>4581</v>
      </c>
      <c r="T1167" t="s">
        <v>78</v>
      </c>
      <c r="U1167" t="s">
        <v>3817</v>
      </c>
      <c r="V1167" t="s">
        <v>80</v>
      </c>
      <c r="W1167" s="1">
        <v>44534</v>
      </c>
      <c r="X1167" t="s">
        <v>4502</v>
      </c>
      <c r="Y1167" t="s">
        <v>4582</v>
      </c>
      <c r="Z1167" t="s">
        <v>83</v>
      </c>
      <c r="AA1167">
        <v>1</v>
      </c>
      <c r="AB1167" t="s">
        <v>4517</v>
      </c>
      <c r="AD1167" t="s">
        <v>104</v>
      </c>
      <c r="AE1167" t="s">
        <v>145</v>
      </c>
      <c r="AF1167" t="s">
        <v>281</v>
      </c>
      <c r="AG1167" t="s">
        <v>4588</v>
      </c>
      <c r="AI1167" t="s">
        <v>90</v>
      </c>
      <c r="AJ1167">
        <v>32.337339</v>
      </c>
      <c r="AK1167">
        <v>-110.719842</v>
      </c>
      <c r="AL1167">
        <v>3</v>
      </c>
      <c r="AN1167">
        <v>1467</v>
      </c>
      <c r="AP1167">
        <v>1467</v>
      </c>
      <c r="AQ1167">
        <v>1480.3733520000001</v>
      </c>
      <c r="AT1167">
        <v>4</v>
      </c>
      <c r="AU1167">
        <v>12</v>
      </c>
      <c r="AV1167">
        <v>2021</v>
      </c>
      <c r="AW1167">
        <v>2439581</v>
      </c>
      <c r="AX1167">
        <v>2439581</v>
      </c>
      <c r="AY1167" t="s">
        <v>106</v>
      </c>
      <c r="AZ1167" t="s">
        <v>92</v>
      </c>
      <c r="BA1167" t="s">
        <v>107</v>
      </c>
      <c r="BB1167" t="s">
        <v>4603</v>
      </c>
      <c r="BC1167" t="s">
        <v>1186</v>
      </c>
      <c r="BE1167" t="s">
        <v>96</v>
      </c>
      <c r="BG1167" t="s">
        <v>4507</v>
      </c>
      <c r="BI1167" t="s">
        <v>98</v>
      </c>
      <c r="BJ1167" t="s">
        <v>4604</v>
      </c>
      <c r="BL1167" t="s">
        <v>412</v>
      </c>
    </row>
    <row r="1168" spans="1:64" x14ac:dyDescent="0.2">
      <c r="A1168">
        <v>355</v>
      </c>
      <c r="B1168">
        <v>4403380310</v>
      </c>
      <c r="C1168" t="s">
        <v>63</v>
      </c>
      <c r="D1168" t="s">
        <v>1307</v>
      </c>
      <c r="E1168" t="s">
        <v>65</v>
      </c>
      <c r="F1168" t="s">
        <v>66</v>
      </c>
      <c r="G1168" t="s">
        <v>67</v>
      </c>
      <c r="H1168" t="s">
        <v>68</v>
      </c>
      <c r="I1168" t="s">
        <v>176</v>
      </c>
      <c r="J1168" t="s">
        <v>1251</v>
      </c>
      <c r="K1168" t="s">
        <v>1252</v>
      </c>
      <c r="M1168" t="s">
        <v>72</v>
      </c>
      <c r="N1168" t="s">
        <v>1253</v>
      </c>
      <c r="O1168" t="s">
        <v>1252</v>
      </c>
      <c r="P1168" t="s">
        <v>1254</v>
      </c>
      <c r="Q1168" t="s">
        <v>75</v>
      </c>
      <c r="R1168" t="s">
        <v>1177</v>
      </c>
      <c r="S1168" t="s">
        <v>547</v>
      </c>
      <c r="T1168" t="s">
        <v>78</v>
      </c>
      <c r="U1168" t="s">
        <v>646</v>
      </c>
      <c r="V1168" t="s">
        <v>1179</v>
      </c>
      <c r="W1168" s="1">
        <v>45108</v>
      </c>
      <c r="X1168" t="s">
        <v>1180</v>
      </c>
      <c r="Y1168" t="s">
        <v>1308</v>
      </c>
      <c r="Z1168" t="s">
        <v>83</v>
      </c>
      <c r="AA1168">
        <v>1</v>
      </c>
      <c r="AB1168" t="s">
        <v>1309</v>
      </c>
      <c r="AC1168">
        <v>1</v>
      </c>
      <c r="AD1168" s="6" t="s">
        <v>85</v>
      </c>
      <c r="AE1168" s="6" t="s">
        <v>145</v>
      </c>
      <c r="AF1168" s="6" t="s">
        <v>402</v>
      </c>
      <c r="AG1168" s="6" t="s">
        <v>1310</v>
      </c>
      <c r="AH1168" s="6" t="s">
        <v>1311</v>
      </c>
      <c r="AI1168" s="6" t="s">
        <v>90</v>
      </c>
      <c r="AJ1168" s="6">
        <v>32.449865000000003</v>
      </c>
      <c r="AK1168" s="6">
        <v>-110.738021</v>
      </c>
      <c r="AL1168" s="6">
        <v>3</v>
      </c>
      <c r="AM1168" s="6"/>
      <c r="AN1168" s="6">
        <v>2089</v>
      </c>
      <c r="AO1168" s="6"/>
      <c r="AP1168" s="6">
        <v>2089</v>
      </c>
      <c r="AQ1168" s="6">
        <v>2094.0279999999998</v>
      </c>
      <c r="AR1168" s="6"/>
      <c r="AS1168" s="6"/>
      <c r="AT1168" s="6">
        <v>1</v>
      </c>
      <c r="AU1168" s="6">
        <v>7</v>
      </c>
      <c r="AV1168" s="6">
        <v>2023</v>
      </c>
      <c r="AW1168" s="6">
        <v>2438156</v>
      </c>
      <c r="AX1168" s="6">
        <v>2438156</v>
      </c>
      <c r="AY1168" s="6" t="s">
        <v>91</v>
      </c>
      <c r="AZ1168" t="s">
        <v>92</v>
      </c>
      <c r="BA1168" t="s">
        <v>93</v>
      </c>
      <c r="BB1168" t="s">
        <v>1312</v>
      </c>
      <c r="BC1168" t="s">
        <v>1186</v>
      </c>
      <c r="BD1168" s="1">
        <v>45108</v>
      </c>
      <c r="BE1168" t="s">
        <v>96</v>
      </c>
      <c r="BG1168" t="s">
        <v>1187</v>
      </c>
      <c r="BI1168" t="s">
        <v>98</v>
      </c>
      <c r="BJ1168" t="s">
        <v>1313</v>
      </c>
      <c r="BK1168" t="s">
        <v>365</v>
      </c>
      <c r="BL1168" t="s">
        <v>100</v>
      </c>
    </row>
    <row r="1169" spans="1:64" hidden="1" x14ac:dyDescent="0.2">
      <c r="A1169">
        <v>1372</v>
      </c>
      <c r="B1169">
        <v>4022923341</v>
      </c>
      <c r="C1169" t="s">
        <v>101</v>
      </c>
      <c r="D1169" s="2" t="s">
        <v>4615</v>
      </c>
      <c r="E1169" t="s">
        <v>65</v>
      </c>
      <c r="F1169" t="s">
        <v>66</v>
      </c>
      <c r="G1169" t="s">
        <v>67</v>
      </c>
      <c r="H1169" t="s">
        <v>68</v>
      </c>
      <c r="I1169" t="s">
        <v>69</v>
      </c>
      <c r="J1169" t="s">
        <v>70</v>
      </c>
      <c r="K1169" t="s">
        <v>4195</v>
      </c>
      <c r="M1169" t="s">
        <v>72</v>
      </c>
      <c r="N1169" t="s">
        <v>4196</v>
      </c>
      <c r="O1169" t="s">
        <v>4195</v>
      </c>
      <c r="P1169" t="s">
        <v>4197</v>
      </c>
      <c r="Q1169" t="s">
        <v>75</v>
      </c>
      <c r="R1169" t="s">
        <v>4501</v>
      </c>
      <c r="S1169" t="s">
        <v>4609</v>
      </c>
      <c r="T1169" t="s">
        <v>78</v>
      </c>
      <c r="U1169" t="s">
        <v>3817</v>
      </c>
      <c r="V1169" t="s">
        <v>80</v>
      </c>
      <c r="W1169" s="1">
        <v>44534</v>
      </c>
      <c r="X1169" t="s">
        <v>4502</v>
      </c>
      <c r="Y1169" t="s">
        <v>4610</v>
      </c>
      <c r="Z1169" t="s">
        <v>83</v>
      </c>
      <c r="AA1169">
        <v>1</v>
      </c>
      <c r="AB1169" t="s">
        <v>672</v>
      </c>
      <c r="AD1169" t="s">
        <v>134</v>
      </c>
      <c r="AE1169" t="s">
        <v>145</v>
      </c>
      <c r="AF1169" t="s">
        <v>281</v>
      </c>
      <c r="AG1169" t="s">
        <v>4616</v>
      </c>
      <c r="AI1169" t="s">
        <v>90</v>
      </c>
      <c r="AJ1169">
        <v>32.337581999999998</v>
      </c>
      <c r="AK1169">
        <v>-110.720142</v>
      </c>
      <c r="AL1169">
        <v>3</v>
      </c>
      <c r="AN1169">
        <v>1475</v>
      </c>
      <c r="AP1169">
        <v>1475</v>
      </c>
      <c r="AQ1169">
        <v>1484.8719169999999</v>
      </c>
      <c r="AT1169">
        <v>4</v>
      </c>
      <c r="AU1169">
        <v>12</v>
      </c>
      <c r="AV1169">
        <v>2021</v>
      </c>
      <c r="AW1169">
        <v>2439589</v>
      </c>
      <c r="AX1169">
        <v>2439589</v>
      </c>
      <c r="AY1169" t="s">
        <v>106</v>
      </c>
      <c r="AZ1169" t="s">
        <v>92</v>
      </c>
      <c r="BA1169" t="s">
        <v>107</v>
      </c>
      <c r="BB1169" t="s">
        <v>4617</v>
      </c>
      <c r="BC1169" t="s">
        <v>1186</v>
      </c>
      <c r="BE1169" t="s">
        <v>96</v>
      </c>
      <c r="BG1169" t="s">
        <v>4507</v>
      </c>
      <c r="BI1169" t="s">
        <v>98</v>
      </c>
      <c r="BJ1169" t="s">
        <v>380</v>
      </c>
      <c r="BL1169" t="s">
        <v>412</v>
      </c>
    </row>
    <row r="1170" spans="1:64" hidden="1" x14ac:dyDescent="0.2">
      <c r="A1170">
        <v>1350</v>
      </c>
      <c r="B1170">
        <v>4022923363</v>
      </c>
      <c r="C1170" t="s">
        <v>101</v>
      </c>
      <c r="D1170" t="s">
        <v>4618</v>
      </c>
      <c r="E1170" t="s">
        <v>65</v>
      </c>
      <c r="F1170" t="s">
        <v>66</v>
      </c>
      <c r="G1170" t="s">
        <v>67</v>
      </c>
      <c r="H1170" t="s">
        <v>68</v>
      </c>
      <c r="I1170" t="s">
        <v>69</v>
      </c>
      <c r="J1170" t="s">
        <v>70</v>
      </c>
      <c r="K1170" t="s">
        <v>4195</v>
      </c>
      <c r="M1170" t="s">
        <v>72</v>
      </c>
      <c r="N1170" t="s">
        <v>4196</v>
      </c>
      <c r="O1170" t="s">
        <v>4195</v>
      </c>
      <c r="P1170" t="s">
        <v>4197</v>
      </c>
      <c r="Q1170" t="s">
        <v>75</v>
      </c>
      <c r="R1170" t="s">
        <v>4501</v>
      </c>
      <c r="S1170" t="s">
        <v>4609</v>
      </c>
      <c r="T1170" t="s">
        <v>78</v>
      </c>
      <c r="U1170" t="s">
        <v>3817</v>
      </c>
      <c r="V1170" t="s">
        <v>80</v>
      </c>
      <c r="W1170" s="1">
        <v>44534</v>
      </c>
      <c r="X1170" t="s">
        <v>4502</v>
      </c>
      <c r="Y1170" t="s">
        <v>4610</v>
      </c>
      <c r="Z1170" t="s">
        <v>83</v>
      </c>
      <c r="AA1170">
        <v>1</v>
      </c>
      <c r="AB1170" t="s">
        <v>4517</v>
      </c>
      <c r="AD1170" t="s">
        <v>139</v>
      </c>
      <c r="AE1170" t="s">
        <v>145</v>
      </c>
      <c r="AF1170" t="s">
        <v>281</v>
      </c>
      <c r="AG1170" t="s">
        <v>4616</v>
      </c>
      <c r="AI1170" t="s">
        <v>90</v>
      </c>
      <c r="AJ1170">
        <v>32.337581999999998</v>
      </c>
      <c r="AK1170">
        <v>-110.720142</v>
      </c>
      <c r="AL1170">
        <v>3</v>
      </c>
      <c r="AN1170">
        <v>1475</v>
      </c>
      <c r="AP1170">
        <v>1475</v>
      </c>
      <c r="AQ1170">
        <v>1484.8719169999999</v>
      </c>
      <c r="AT1170">
        <v>4</v>
      </c>
      <c r="AU1170">
        <v>12</v>
      </c>
      <c r="AV1170">
        <v>2021</v>
      </c>
      <c r="AW1170">
        <v>2439589</v>
      </c>
      <c r="AX1170">
        <v>2439589</v>
      </c>
      <c r="AY1170" t="s">
        <v>106</v>
      </c>
      <c r="AZ1170" t="s">
        <v>92</v>
      </c>
      <c r="BA1170" t="s">
        <v>107</v>
      </c>
      <c r="BB1170" t="s">
        <v>4619</v>
      </c>
      <c r="BC1170" t="s">
        <v>1186</v>
      </c>
      <c r="BE1170" t="s">
        <v>96</v>
      </c>
      <c r="BG1170" t="s">
        <v>4507</v>
      </c>
      <c r="BI1170" t="s">
        <v>98</v>
      </c>
      <c r="BJ1170" t="s">
        <v>4620</v>
      </c>
      <c r="BL1170" t="s">
        <v>412</v>
      </c>
    </row>
    <row r="1171" spans="1:64" hidden="1" x14ac:dyDescent="0.2">
      <c r="A1171">
        <v>1349</v>
      </c>
      <c r="B1171">
        <v>4022923364</v>
      </c>
      <c r="C1171" t="s">
        <v>101</v>
      </c>
      <c r="D1171" t="s">
        <v>4621</v>
      </c>
      <c r="E1171" t="s">
        <v>65</v>
      </c>
      <c r="F1171" t="s">
        <v>66</v>
      </c>
      <c r="G1171" t="s">
        <v>67</v>
      </c>
      <c r="H1171" t="s">
        <v>68</v>
      </c>
      <c r="I1171" t="s">
        <v>69</v>
      </c>
      <c r="J1171" t="s">
        <v>70</v>
      </c>
      <c r="K1171" t="s">
        <v>4195</v>
      </c>
      <c r="M1171" t="s">
        <v>72</v>
      </c>
      <c r="N1171" t="s">
        <v>4196</v>
      </c>
      <c r="O1171" t="s">
        <v>4195</v>
      </c>
      <c r="P1171" t="s">
        <v>4197</v>
      </c>
      <c r="Q1171" t="s">
        <v>75</v>
      </c>
      <c r="R1171" t="s">
        <v>4501</v>
      </c>
      <c r="S1171" t="s">
        <v>4609</v>
      </c>
      <c r="T1171" t="s">
        <v>78</v>
      </c>
      <c r="U1171" t="s">
        <v>3817</v>
      </c>
      <c r="V1171" t="s">
        <v>80</v>
      </c>
      <c r="W1171" s="1">
        <v>44534</v>
      </c>
      <c r="X1171" t="s">
        <v>4502</v>
      </c>
      <c r="Y1171" t="s">
        <v>4610</v>
      </c>
      <c r="Z1171" t="s">
        <v>83</v>
      </c>
      <c r="AA1171">
        <v>1</v>
      </c>
      <c r="AB1171" t="s">
        <v>4517</v>
      </c>
      <c r="AD1171" t="s">
        <v>123</v>
      </c>
      <c r="AE1171" t="s">
        <v>145</v>
      </c>
      <c r="AF1171" t="s">
        <v>281</v>
      </c>
      <c r="AG1171" t="s">
        <v>4616</v>
      </c>
      <c r="AI1171" t="s">
        <v>90</v>
      </c>
      <c r="AJ1171">
        <v>32.337581999999998</v>
      </c>
      <c r="AK1171">
        <v>-110.720142</v>
      </c>
      <c r="AL1171">
        <v>3</v>
      </c>
      <c r="AN1171">
        <v>1475</v>
      </c>
      <c r="AP1171">
        <v>1475</v>
      </c>
      <c r="AQ1171">
        <v>1484.8719169999999</v>
      </c>
      <c r="AT1171">
        <v>4</v>
      </c>
      <c r="AU1171">
        <v>12</v>
      </c>
      <c r="AV1171">
        <v>2021</v>
      </c>
      <c r="AW1171">
        <v>2439589</v>
      </c>
      <c r="AX1171">
        <v>2439589</v>
      </c>
      <c r="AY1171" t="s">
        <v>106</v>
      </c>
      <c r="AZ1171" t="s">
        <v>92</v>
      </c>
      <c r="BA1171" t="s">
        <v>107</v>
      </c>
      <c r="BB1171" t="s">
        <v>4622</v>
      </c>
      <c r="BC1171" t="s">
        <v>1186</v>
      </c>
      <c r="BE1171" t="s">
        <v>96</v>
      </c>
      <c r="BG1171" t="s">
        <v>4507</v>
      </c>
      <c r="BI1171" t="s">
        <v>98</v>
      </c>
      <c r="BJ1171" t="s">
        <v>2273</v>
      </c>
      <c r="BL1171" t="s">
        <v>412</v>
      </c>
    </row>
    <row r="1172" spans="1:64" hidden="1" x14ac:dyDescent="0.2">
      <c r="A1172">
        <v>1348</v>
      </c>
      <c r="B1172">
        <v>4022923365</v>
      </c>
      <c r="C1172" t="s">
        <v>101</v>
      </c>
      <c r="D1172" t="s">
        <v>4623</v>
      </c>
      <c r="E1172" t="s">
        <v>65</v>
      </c>
      <c r="F1172" t="s">
        <v>66</v>
      </c>
      <c r="G1172" t="s">
        <v>67</v>
      </c>
      <c r="H1172" t="s">
        <v>68</v>
      </c>
      <c r="I1172" t="s">
        <v>69</v>
      </c>
      <c r="J1172" t="s">
        <v>70</v>
      </c>
      <c r="K1172" t="s">
        <v>4195</v>
      </c>
      <c r="M1172" t="s">
        <v>72</v>
      </c>
      <c r="N1172" t="s">
        <v>4196</v>
      </c>
      <c r="O1172" t="s">
        <v>4195</v>
      </c>
      <c r="P1172" t="s">
        <v>4197</v>
      </c>
      <c r="Q1172" t="s">
        <v>75</v>
      </c>
      <c r="R1172" t="s">
        <v>4501</v>
      </c>
      <c r="S1172" t="s">
        <v>4609</v>
      </c>
      <c r="T1172" t="s">
        <v>78</v>
      </c>
      <c r="U1172" t="s">
        <v>3817</v>
      </c>
      <c r="V1172" t="s">
        <v>80</v>
      </c>
      <c r="W1172" s="1">
        <v>44534</v>
      </c>
      <c r="X1172" t="s">
        <v>4502</v>
      </c>
      <c r="Y1172" t="s">
        <v>4610</v>
      </c>
      <c r="Z1172" t="s">
        <v>83</v>
      </c>
      <c r="AA1172">
        <v>1</v>
      </c>
      <c r="AB1172" t="s">
        <v>4517</v>
      </c>
      <c r="AD1172" t="s">
        <v>112</v>
      </c>
      <c r="AE1172" t="s">
        <v>145</v>
      </c>
      <c r="AF1172" t="s">
        <v>281</v>
      </c>
      <c r="AG1172" t="s">
        <v>4616</v>
      </c>
      <c r="AI1172" t="s">
        <v>90</v>
      </c>
      <c r="AJ1172">
        <v>32.337581999999998</v>
      </c>
      <c r="AK1172">
        <v>-110.720142</v>
      </c>
      <c r="AL1172">
        <v>3</v>
      </c>
      <c r="AN1172">
        <v>1475</v>
      </c>
      <c r="AP1172">
        <v>1475</v>
      </c>
      <c r="AQ1172">
        <v>1484.8719169999999</v>
      </c>
      <c r="AT1172">
        <v>4</v>
      </c>
      <c r="AU1172">
        <v>12</v>
      </c>
      <c r="AV1172">
        <v>2021</v>
      </c>
      <c r="AW1172">
        <v>2439589</v>
      </c>
      <c r="AX1172">
        <v>2439589</v>
      </c>
      <c r="AY1172" t="s">
        <v>106</v>
      </c>
      <c r="AZ1172" t="s">
        <v>92</v>
      </c>
      <c r="BA1172" t="s">
        <v>107</v>
      </c>
      <c r="BB1172" t="s">
        <v>4624</v>
      </c>
      <c r="BC1172" t="s">
        <v>1186</v>
      </c>
      <c r="BE1172" t="s">
        <v>96</v>
      </c>
      <c r="BG1172" t="s">
        <v>4507</v>
      </c>
      <c r="BI1172" t="s">
        <v>98</v>
      </c>
      <c r="BJ1172" t="s">
        <v>2111</v>
      </c>
      <c r="BL1172" t="s">
        <v>412</v>
      </c>
    </row>
    <row r="1173" spans="1:64" hidden="1" x14ac:dyDescent="0.2">
      <c r="A1173">
        <v>1301</v>
      </c>
      <c r="B1173">
        <v>4022923412</v>
      </c>
      <c r="C1173" t="s">
        <v>101</v>
      </c>
      <c r="D1173" t="s">
        <v>4625</v>
      </c>
      <c r="E1173" t="s">
        <v>65</v>
      </c>
      <c r="F1173" t="s">
        <v>66</v>
      </c>
      <c r="G1173" t="s">
        <v>67</v>
      </c>
      <c r="H1173" t="s">
        <v>68</v>
      </c>
      <c r="I1173" t="s">
        <v>69</v>
      </c>
      <c r="J1173" t="s">
        <v>70</v>
      </c>
      <c r="K1173" t="s">
        <v>4195</v>
      </c>
      <c r="M1173" t="s">
        <v>72</v>
      </c>
      <c r="N1173" t="s">
        <v>4196</v>
      </c>
      <c r="O1173" t="s">
        <v>4195</v>
      </c>
      <c r="P1173" t="s">
        <v>4197</v>
      </c>
      <c r="Q1173" t="s">
        <v>75</v>
      </c>
      <c r="R1173" t="s">
        <v>4501</v>
      </c>
      <c r="S1173" t="s">
        <v>4609</v>
      </c>
      <c r="T1173" t="s">
        <v>78</v>
      </c>
      <c r="U1173" t="s">
        <v>3817</v>
      </c>
      <c r="V1173" t="s">
        <v>80</v>
      </c>
      <c r="W1173" s="1">
        <v>44534</v>
      </c>
      <c r="X1173" t="s">
        <v>4502</v>
      </c>
      <c r="Y1173" t="s">
        <v>4610</v>
      </c>
      <c r="Z1173" t="s">
        <v>83</v>
      </c>
      <c r="AA1173">
        <v>1</v>
      </c>
      <c r="AB1173" t="s">
        <v>4517</v>
      </c>
      <c r="AD1173" t="s">
        <v>116</v>
      </c>
      <c r="AE1173" t="s">
        <v>145</v>
      </c>
      <c r="AF1173" t="s">
        <v>281</v>
      </c>
      <c r="AG1173" t="s">
        <v>4616</v>
      </c>
      <c r="AI1173" t="s">
        <v>90</v>
      </c>
      <c r="AJ1173">
        <v>32.337581999999998</v>
      </c>
      <c r="AK1173">
        <v>-110.720142</v>
      </c>
      <c r="AL1173">
        <v>3</v>
      </c>
      <c r="AN1173">
        <v>1475</v>
      </c>
      <c r="AP1173">
        <v>1475</v>
      </c>
      <c r="AQ1173">
        <v>1484.8719169999999</v>
      </c>
      <c r="AT1173">
        <v>4</v>
      </c>
      <c r="AU1173">
        <v>12</v>
      </c>
      <c r="AV1173">
        <v>2021</v>
      </c>
      <c r="AW1173">
        <v>2439589</v>
      </c>
      <c r="AX1173">
        <v>2439589</v>
      </c>
      <c r="AY1173" t="s">
        <v>106</v>
      </c>
      <c r="AZ1173" t="s">
        <v>92</v>
      </c>
      <c r="BA1173" t="s">
        <v>107</v>
      </c>
      <c r="BB1173" t="s">
        <v>4626</v>
      </c>
      <c r="BC1173" t="s">
        <v>1186</v>
      </c>
      <c r="BE1173" t="s">
        <v>96</v>
      </c>
      <c r="BG1173" t="s">
        <v>4507</v>
      </c>
      <c r="BI1173" t="s">
        <v>98</v>
      </c>
      <c r="BJ1173" t="s">
        <v>4627</v>
      </c>
      <c r="BL1173" t="s">
        <v>412</v>
      </c>
    </row>
    <row r="1174" spans="1:64" hidden="1" x14ac:dyDescent="0.2">
      <c r="A1174">
        <v>1300</v>
      </c>
      <c r="B1174">
        <v>4022923413</v>
      </c>
      <c r="C1174" t="s">
        <v>101</v>
      </c>
      <c r="D1174" t="s">
        <v>4628</v>
      </c>
      <c r="E1174" t="s">
        <v>65</v>
      </c>
      <c r="F1174" t="s">
        <v>66</v>
      </c>
      <c r="G1174" t="s">
        <v>67</v>
      </c>
      <c r="H1174" t="s">
        <v>68</v>
      </c>
      <c r="I1174" t="s">
        <v>69</v>
      </c>
      <c r="J1174" t="s">
        <v>70</v>
      </c>
      <c r="K1174" t="s">
        <v>4195</v>
      </c>
      <c r="M1174" t="s">
        <v>72</v>
      </c>
      <c r="N1174" t="s">
        <v>4196</v>
      </c>
      <c r="O1174" t="s">
        <v>4195</v>
      </c>
      <c r="P1174" t="s">
        <v>4197</v>
      </c>
      <c r="Q1174" t="s">
        <v>75</v>
      </c>
      <c r="R1174" t="s">
        <v>4501</v>
      </c>
      <c r="S1174" t="s">
        <v>4609</v>
      </c>
      <c r="T1174" t="s">
        <v>78</v>
      </c>
      <c r="U1174" t="s">
        <v>3817</v>
      </c>
      <c r="V1174" t="s">
        <v>80</v>
      </c>
      <c r="W1174" s="1">
        <v>44534</v>
      </c>
      <c r="X1174" t="s">
        <v>4502</v>
      </c>
      <c r="Y1174" t="s">
        <v>4610</v>
      </c>
      <c r="Z1174" t="s">
        <v>83</v>
      </c>
      <c r="AA1174">
        <v>1</v>
      </c>
      <c r="AB1174" t="s">
        <v>4517</v>
      </c>
      <c r="AD1174" t="s">
        <v>104</v>
      </c>
      <c r="AE1174" t="s">
        <v>145</v>
      </c>
      <c r="AF1174" t="s">
        <v>281</v>
      </c>
      <c r="AG1174" t="s">
        <v>4616</v>
      </c>
      <c r="AI1174" t="s">
        <v>90</v>
      </c>
      <c r="AJ1174">
        <v>32.337581999999998</v>
      </c>
      <c r="AK1174">
        <v>-110.720142</v>
      </c>
      <c r="AL1174">
        <v>3</v>
      </c>
      <c r="AN1174">
        <v>1475</v>
      </c>
      <c r="AP1174">
        <v>1475</v>
      </c>
      <c r="AQ1174">
        <v>1484.8719169999999</v>
      </c>
      <c r="AT1174">
        <v>4</v>
      </c>
      <c r="AU1174">
        <v>12</v>
      </c>
      <c r="AV1174">
        <v>2021</v>
      </c>
      <c r="AW1174">
        <v>2439589</v>
      </c>
      <c r="AX1174">
        <v>2439589</v>
      </c>
      <c r="AY1174" t="s">
        <v>106</v>
      </c>
      <c r="AZ1174" t="s">
        <v>92</v>
      </c>
      <c r="BA1174" t="s">
        <v>107</v>
      </c>
      <c r="BB1174" t="s">
        <v>4629</v>
      </c>
      <c r="BC1174" t="s">
        <v>1186</v>
      </c>
      <c r="BE1174" t="s">
        <v>96</v>
      </c>
      <c r="BG1174" t="s">
        <v>4507</v>
      </c>
      <c r="BI1174" t="s">
        <v>98</v>
      </c>
      <c r="BJ1174" t="s">
        <v>2077</v>
      </c>
      <c r="BL1174" t="s">
        <v>412</v>
      </c>
    </row>
    <row r="1175" spans="1:64" x14ac:dyDescent="0.2">
      <c r="A1175">
        <v>348</v>
      </c>
      <c r="B1175">
        <v>4403380318</v>
      </c>
      <c r="C1175" t="s">
        <v>63</v>
      </c>
      <c r="D1175" t="s">
        <v>1353</v>
      </c>
      <c r="E1175" t="s">
        <v>65</v>
      </c>
      <c r="F1175" t="s">
        <v>66</v>
      </c>
      <c r="G1175" t="s">
        <v>67</v>
      </c>
      <c r="H1175" t="s">
        <v>68</v>
      </c>
      <c r="I1175" t="s">
        <v>176</v>
      </c>
      <c r="J1175" t="s">
        <v>177</v>
      </c>
      <c r="K1175" t="s">
        <v>178</v>
      </c>
      <c r="M1175" t="s">
        <v>72</v>
      </c>
      <c r="N1175" t="s">
        <v>179</v>
      </c>
      <c r="O1175" t="s">
        <v>178</v>
      </c>
      <c r="P1175" t="s">
        <v>180</v>
      </c>
      <c r="Q1175" t="s">
        <v>75</v>
      </c>
      <c r="R1175" t="s">
        <v>1177</v>
      </c>
      <c r="S1175" t="s">
        <v>1354</v>
      </c>
      <c r="T1175" t="s">
        <v>78</v>
      </c>
      <c r="U1175" t="s">
        <v>646</v>
      </c>
      <c r="V1175" t="s">
        <v>1179</v>
      </c>
      <c r="W1175" s="1">
        <v>45108</v>
      </c>
      <c r="X1175" t="s">
        <v>1180</v>
      </c>
      <c r="Y1175" t="s">
        <v>1355</v>
      </c>
      <c r="Z1175" t="s">
        <v>83</v>
      </c>
      <c r="AA1175">
        <v>1</v>
      </c>
      <c r="AB1175" t="s">
        <v>1356</v>
      </c>
      <c r="AC1175">
        <v>1</v>
      </c>
      <c r="AD1175" s="6" t="s">
        <v>85</v>
      </c>
      <c r="AE1175" s="6" t="s">
        <v>145</v>
      </c>
      <c r="AF1175" s="6" t="s">
        <v>402</v>
      </c>
      <c r="AG1175" s="6" t="s">
        <v>1357</v>
      </c>
      <c r="AH1175" s="6" t="s">
        <v>1358</v>
      </c>
      <c r="AI1175" s="6" t="s">
        <v>90</v>
      </c>
      <c r="AJ1175" s="6">
        <v>32.450465999999999</v>
      </c>
      <c r="AK1175" s="6">
        <v>-110.736558</v>
      </c>
      <c r="AL1175" s="6">
        <v>3</v>
      </c>
      <c r="AM1175" s="6"/>
      <c r="AN1175" s="6">
        <v>2065</v>
      </c>
      <c r="AO1175" s="6"/>
      <c r="AP1175" s="6">
        <v>2065</v>
      </c>
      <c r="AQ1175" s="6">
        <v>2065.2448300000001</v>
      </c>
      <c r="AR1175" s="6"/>
      <c r="AS1175" s="6"/>
      <c r="AT1175" s="6">
        <v>1</v>
      </c>
      <c r="AU1175" s="6">
        <v>7</v>
      </c>
      <c r="AV1175" s="6">
        <v>2023</v>
      </c>
      <c r="AW1175" s="6">
        <v>2438038</v>
      </c>
      <c r="AX1175" s="6">
        <v>2438038</v>
      </c>
      <c r="AY1175" s="6" t="s">
        <v>91</v>
      </c>
      <c r="AZ1175" t="s">
        <v>92</v>
      </c>
      <c r="BA1175" t="s">
        <v>93</v>
      </c>
      <c r="BB1175" t="s">
        <v>1359</v>
      </c>
      <c r="BC1175" t="s">
        <v>1186</v>
      </c>
      <c r="BD1175" s="1">
        <v>45108</v>
      </c>
      <c r="BE1175" t="s">
        <v>96</v>
      </c>
      <c r="BG1175" t="s">
        <v>1187</v>
      </c>
      <c r="BI1175" t="s">
        <v>98</v>
      </c>
      <c r="BJ1175" t="s">
        <v>1360</v>
      </c>
      <c r="BK1175" t="s">
        <v>365</v>
      </c>
      <c r="BL1175" t="s">
        <v>407</v>
      </c>
    </row>
    <row r="1176" spans="1:64" hidden="1" x14ac:dyDescent="0.2">
      <c r="A1176">
        <v>1363</v>
      </c>
      <c r="B1176">
        <v>4022923350</v>
      </c>
      <c r="C1176" t="s">
        <v>101</v>
      </c>
      <c r="D1176" t="s">
        <v>4639</v>
      </c>
      <c r="E1176" t="s">
        <v>65</v>
      </c>
      <c r="F1176" t="s">
        <v>66</v>
      </c>
      <c r="G1176" t="s">
        <v>67</v>
      </c>
      <c r="H1176" t="s">
        <v>68</v>
      </c>
      <c r="I1176" t="s">
        <v>69</v>
      </c>
      <c r="J1176" t="s">
        <v>70</v>
      </c>
      <c r="K1176" t="s">
        <v>4195</v>
      </c>
      <c r="M1176" t="s">
        <v>72</v>
      </c>
      <c r="N1176" t="s">
        <v>4196</v>
      </c>
      <c r="O1176" t="s">
        <v>4195</v>
      </c>
      <c r="P1176" t="s">
        <v>4197</v>
      </c>
      <c r="Q1176" t="s">
        <v>75</v>
      </c>
      <c r="R1176" t="s">
        <v>4501</v>
      </c>
      <c r="S1176" t="s">
        <v>3990</v>
      </c>
      <c r="T1176" t="s">
        <v>78</v>
      </c>
      <c r="U1176" t="s">
        <v>3817</v>
      </c>
      <c r="V1176" t="s">
        <v>80</v>
      </c>
      <c r="W1176" s="1">
        <v>44534</v>
      </c>
      <c r="X1176" t="s">
        <v>4502</v>
      </c>
      <c r="Y1176" t="s">
        <v>4634</v>
      </c>
      <c r="Z1176" t="s">
        <v>83</v>
      </c>
      <c r="AA1176">
        <v>1</v>
      </c>
      <c r="AB1176" t="s">
        <v>672</v>
      </c>
      <c r="AD1176" t="s">
        <v>134</v>
      </c>
      <c r="AE1176" t="s">
        <v>145</v>
      </c>
      <c r="AF1176" t="s">
        <v>610</v>
      </c>
      <c r="AG1176" t="s">
        <v>4640</v>
      </c>
      <c r="AI1176" t="s">
        <v>90</v>
      </c>
      <c r="AJ1176">
        <v>32.337062000000003</v>
      </c>
      <c r="AK1176">
        <v>-110.721555</v>
      </c>
      <c r="AL1176">
        <v>3</v>
      </c>
      <c r="AN1176">
        <v>1463</v>
      </c>
      <c r="AP1176">
        <v>1463</v>
      </c>
      <c r="AQ1176">
        <v>1467.3854739999999</v>
      </c>
      <c r="AT1176">
        <v>4</v>
      </c>
      <c r="AU1176">
        <v>12</v>
      </c>
      <c r="AV1176">
        <v>2021</v>
      </c>
      <c r="AW1176">
        <v>2439589</v>
      </c>
      <c r="AX1176">
        <v>2439589</v>
      </c>
      <c r="AY1176" t="s">
        <v>106</v>
      </c>
      <c r="AZ1176" t="s">
        <v>92</v>
      </c>
      <c r="BA1176" t="s">
        <v>107</v>
      </c>
      <c r="BB1176" t="s">
        <v>4641</v>
      </c>
      <c r="BC1176" t="s">
        <v>1186</v>
      </c>
      <c r="BE1176" t="s">
        <v>96</v>
      </c>
      <c r="BG1176" t="s">
        <v>4507</v>
      </c>
      <c r="BI1176" t="s">
        <v>98</v>
      </c>
      <c r="BJ1176" t="s">
        <v>596</v>
      </c>
      <c r="BL1176" t="s">
        <v>412</v>
      </c>
    </row>
    <row r="1177" spans="1:64" hidden="1" x14ac:dyDescent="0.2">
      <c r="A1177">
        <v>1216</v>
      </c>
      <c r="B1177">
        <v>4022923497</v>
      </c>
      <c r="C1177" t="s">
        <v>101</v>
      </c>
      <c r="D1177" t="s">
        <v>4642</v>
      </c>
      <c r="E1177" t="s">
        <v>65</v>
      </c>
      <c r="F1177" t="s">
        <v>66</v>
      </c>
      <c r="G1177" t="s">
        <v>67</v>
      </c>
      <c r="H1177" t="s">
        <v>68</v>
      </c>
      <c r="I1177" t="s">
        <v>69</v>
      </c>
      <c r="J1177" t="s">
        <v>70</v>
      </c>
      <c r="K1177" t="s">
        <v>4195</v>
      </c>
      <c r="M1177" t="s">
        <v>72</v>
      </c>
      <c r="N1177" t="s">
        <v>4196</v>
      </c>
      <c r="O1177" t="s">
        <v>4195</v>
      </c>
      <c r="P1177" t="s">
        <v>4197</v>
      </c>
      <c r="Q1177" t="s">
        <v>75</v>
      </c>
      <c r="R1177" t="s">
        <v>4501</v>
      </c>
      <c r="S1177" t="s">
        <v>3990</v>
      </c>
      <c r="T1177" t="s">
        <v>78</v>
      </c>
      <c r="U1177" t="s">
        <v>3817</v>
      </c>
      <c r="V1177" t="s">
        <v>80</v>
      </c>
      <c r="W1177" s="1">
        <v>44534</v>
      </c>
      <c r="X1177" t="s">
        <v>4502</v>
      </c>
      <c r="Y1177" t="s">
        <v>4634</v>
      </c>
      <c r="Z1177" t="s">
        <v>83</v>
      </c>
      <c r="AA1177">
        <v>1</v>
      </c>
      <c r="AB1177" t="s">
        <v>4517</v>
      </c>
      <c r="AD1177" t="s">
        <v>123</v>
      </c>
      <c r="AE1177" t="s">
        <v>145</v>
      </c>
      <c r="AF1177" t="s">
        <v>610</v>
      </c>
      <c r="AG1177" t="s">
        <v>4640</v>
      </c>
      <c r="AI1177" t="s">
        <v>90</v>
      </c>
      <c r="AJ1177">
        <v>32.337062000000003</v>
      </c>
      <c r="AK1177">
        <v>-110.721555</v>
      </c>
      <c r="AL1177">
        <v>3</v>
      </c>
      <c r="AN1177">
        <v>1463</v>
      </c>
      <c r="AP1177">
        <v>1463</v>
      </c>
      <c r="AQ1177">
        <v>1467.3854739999999</v>
      </c>
      <c r="AT1177">
        <v>4</v>
      </c>
      <c r="AU1177">
        <v>12</v>
      </c>
      <c r="AV1177">
        <v>2021</v>
      </c>
      <c r="AW1177">
        <v>2439589</v>
      </c>
      <c r="AX1177">
        <v>2439589</v>
      </c>
      <c r="AY1177" t="s">
        <v>106</v>
      </c>
      <c r="AZ1177" t="s">
        <v>92</v>
      </c>
      <c r="BA1177" t="s">
        <v>107</v>
      </c>
      <c r="BB1177" t="s">
        <v>4643</v>
      </c>
      <c r="BC1177" t="s">
        <v>1186</v>
      </c>
      <c r="BE1177" t="s">
        <v>96</v>
      </c>
      <c r="BG1177" t="s">
        <v>4507</v>
      </c>
      <c r="BI1177" t="s">
        <v>98</v>
      </c>
      <c r="BJ1177" t="s">
        <v>4644</v>
      </c>
      <c r="BL1177" t="s">
        <v>412</v>
      </c>
    </row>
    <row r="1178" spans="1:64" hidden="1" x14ac:dyDescent="0.2">
      <c r="A1178">
        <v>1213</v>
      </c>
      <c r="B1178">
        <v>4022923500</v>
      </c>
      <c r="C1178" t="s">
        <v>101</v>
      </c>
      <c r="D1178" t="s">
        <v>4645</v>
      </c>
      <c r="E1178" t="s">
        <v>65</v>
      </c>
      <c r="F1178" t="s">
        <v>66</v>
      </c>
      <c r="G1178" t="s">
        <v>67</v>
      </c>
      <c r="H1178" t="s">
        <v>68</v>
      </c>
      <c r="I1178" t="s">
        <v>69</v>
      </c>
      <c r="J1178" t="s">
        <v>70</v>
      </c>
      <c r="K1178" t="s">
        <v>4195</v>
      </c>
      <c r="M1178" t="s">
        <v>72</v>
      </c>
      <c r="N1178" t="s">
        <v>4196</v>
      </c>
      <c r="O1178" t="s">
        <v>4195</v>
      </c>
      <c r="P1178" t="s">
        <v>4197</v>
      </c>
      <c r="Q1178" t="s">
        <v>75</v>
      </c>
      <c r="R1178" t="s">
        <v>4501</v>
      </c>
      <c r="S1178" t="s">
        <v>3990</v>
      </c>
      <c r="T1178" t="s">
        <v>78</v>
      </c>
      <c r="U1178" t="s">
        <v>3817</v>
      </c>
      <c r="V1178" t="s">
        <v>80</v>
      </c>
      <c r="W1178" s="1">
        <v>44534</v>
      </c>
      <c r="X1178" t="s">
        <v>4502</v>
      </c>
      <c r="Y1178" t="s">
        <v>4634</v>
      </c>
      <c r="Z1178" t="s">
        <v>83</v>
      </c>
      <c r="AA1178">
        <v>1</v>
      </c>
      <c r="AB1178" t="s">
        <v>4517</v>
      </c>
      <c r="AD1178" t="s">
        <v>112</v>
      </c>
      <c r="AE1178" t="s">
        <v>145</v>
      </c>
      <c r="AF1178" t="s">
        <v>610</v>
      </c>
      <c r="AG1178" t="s">
        <v>4640</v>
      </c>
      <c r="AI1178" t="s">
        <v>90</v>
      </c>
      <c r="AJ1178">
        <v>32.337062000000003</v>
      </c>
      <c r="AK1178">
        <v>-110.721555</v>
      </c>
      <c r="AL1178">
        <v>3</v>
      </c>
      <c r="AN1178">
        <v>1463</v>
      </c>
      <c r="AP1178">
        <v>1463</v>
      </c>
      <c r="AQ1178">
        <v>1467.3854739999999</v>
      </c>
      <c r="AT1178">
        <v>4</v>
      </c>
      <c r="AU1178">
        <v>12</v>
      </c>
      <c r="AV1178">
        <v>2021</v>
      </c>
      <c r="AW1178">
        <v>2439589</v>
      </c>
      <c r="AX1178">
        <v>2439589</v>
      </c>
      <c r="AY1178" t="s">
        <v>106</v>
      </c>
      <c r="AZ1178" t="s">
        <v>92</v>
      </c>
      <c r="BA1178" t="s">
        <v>107</v>
      </c>
      <c r="BB1178" t="s">
        <v>4646</v>
      </c>
      <c r="BC1178" t="s">
        <v>1186</v>
      </c>
      <c r="BE1178" t="s">
        <v>96</v>
      </c>
      <c r="BG1178" t="s">
        <v>4507</v>
      </c>
      <c r="BI1178" t="s">
        <v>98</v>
      </c>
      <c r="BJ1178" t="s">
        <v>4644</v>
      </c>
      <c r="BL1178" t="s">
        <v>412</v>
      </c>
    </row>
    <row r="1179" spans="1:64" hidden="1" x14ac:dyDescent="0.2">
      <c r="A1179">
        <v>1212</v>
      </c>
      <c r="B1179">
        <v>4022923501</v>
      </c>
      <c r="C1179" t="s">
        <v>101</v>
      </c>
      <c r="D1179" t="s">
        <v>4647</v>
      </c>
      <c r="E1179" t="s">
        <v>65</v>
      </c>
      <c r="F1179" t="s">
        <v>66</v>
      </c>
      <c r="G1179" t="s">
        <v>67</v>
      </c>
      <c r="H1179" t="s">
        <v>68</v>
      </c>
      <c r="I1179" t="s">
        <v>69</v>
      </c>
      <c r="J1179" t="s">
        <v>70</v>
      </c>
      <c r="K1179" t="s">
        <v>4195</v>
      </c>
      <c r="M1179" t="s">
        <v>72</v>
      </c>
      <c r="N1179" t="s">
        <v>4196</v>
      </c>
      <c r="O1179" t="s">
        <v>4195</v>
      </c>
      <c r="P1179" t="s">
        <v>4197</v>
      </c>
      <c r="Q1179" t="s">
        <v>75</v>
      </c>
      <c r="R1179" t="s">
        <v>4501</v>
      </c>
      <c r="S1179" t="s">
        <v>3990</v>
      </c>
      <c r="T1179" t="s">
        <v>78</v>
      </c>
      <c r="U1179" t="s">
        <v>3817</v>
      </c>
      <c r="V1179" t="s">
        <v>80</v>
      </c>
      <c r="W1179" s="1">
        <v>44534</v>
      </c>
      <c r="X1179" t="s">
        <v>4502</v>
      </c>
      <c r="Y1179" t="s">
        <v>4634</v>
      </c>
      <c r="Z1179" t="s">
        <v>83</v>
      </c>
      <c r="AA1179">
        <v>1</v>
      </c>
      <c r="AB1179" t="s">
        <v>4517</v>
      </c>
      <c r="AD1179" t="s">
        <v>116</v>
      </c>
      <c r="AE1179" t="s">
        <v>145</v>
      </c>
      <c r="AF1179" t="s">
        <v>610</v>
      </c>
      <c r="AG1179" t="s">
        <v>4640</v>
      </c>
      <c r="AI1179" t="s">
        <v>90</v>
      </c>
      <c r="AJ1179">
        <v>32.337062000000003</v>
      </c>
      <c r="AK1179">
        <v>-110.721555</v>
      </c>
      <c r="AL1179">
        <v>3</v>
      </c>
      <c r="AN1179">
        <v>1463</v>
      </c>
      <c r="AP1179">
        <v>1463</v>
      </c>
      <c r="AQ1179">
        <v>1467.3854739999999</v>
      </c>
      <c r="AT1179">
        <v>4</v>
      </c>
      <c r="AU1179">
        <v>12</v>
      </c>
      <c r="AV1179">
        <v>2021</v>
      </c>
      <c r="AW1179">
        <v>2439589</v>
      </c>
      <c r="AX1179">
        <v>2439589</v>
      </c>
      <c r="AY1179" t="s">
        <v>106</v>
      </c>
      <c r="AZ1179" t="s">
        <v>92</v>
      </c>
      <c r="BA1179" t="s">
        <v>107</v>
      </c>
      <c r="BB1179" t="s">
        <v>4648</v>
      </c>
      <c r="BC1179" t="s">
        <v>1186</v>
      </c>
      <c r="BE1179" t="s">
        <v>96</v>
      </c>
      <c r="BG1179" t="s">
        <v>4507</v>
      </c>
      <c r="BI1179" t="s">
        <v>98</v>
      </c>
      <c r="BJ1179" t="s">
        <v>4644</v>
      </c>
      <c r="BL1179" t="s">
        <v>412</v>
      </c>
    </row>
    <row r="1180" spans="1:64" hidden="1" x14ac:dyDescent="0.2">
      <c r="A1180">
        <v>1209</v>
      </c>
      <c r="B1180">
        <v>4022923504</v>
      </c>
      <c r="C1180" t="s">
        <v>101</v>
      </c>
      <c r="D1180" t="s">
        <v>4649</v>
      </c>
      <c r="E1180" t="s">
        <v>65</v>
      </c>
      <c r="F1180" t="s">
        <v>66</v>
      </c>
      <c r="G1180" t="s">
        <v>67</v>
      </c>
      <c r="H1180" t="s">
        <v>68</v>
      </c>
      <c r="I1180" t="s">
        <v>69</v>
      </c>
      <c r="J1180" t="s">
        <v>70</v>
      </c>
      <c r="K1180" t="s">
        <v>4195</v>
      </c>
      <c r="M1180" t="s">
        <v>72</v>
      </c>
      <c r="N1180" t="s">
        <v>4196</v>
      </c>
      <c r="O1180" t="s">
        <v>4195</v>
      </c>
      <c r="P1180" t="s">
        <v>4197</v>
      </c>
      <c r="Q1180" t="s">
        <v>75</v>
      </c>
      <c r="R1180" t="s">
        <v>4501</v>
      </c>
      <c r="S1180" t="s">
        <v>3990</v>
      </c>
      <c r="T1180" t="s">
        <v>78</v>
      </c>
      <c r="U1180" t="s">
        <v>3817</v>
      </c>
      <c r="V1180" t="s">
        <v>80</v>
      </c>
      <c r="W1180" s="1">
        <v>44534</v>
      </c>
      <c r="X1180" t="s">
        <v>4502</v>
      </c>
      <c r="Y1180" t="s">
        <v>4634</v>
      </c>
      <c r="Z1180" t="s">
        <v>83</v>
      </c>
      <c r="AA1180">
        <v>1</v>
      </c>
      <c r="AB1180" t="s">
        <v>4517</v>
      </c>
      <c r="AD1180" t="s">
        <v>104</v>
      </c>
      <c r="AE1180" t="s">
        <v>145</v>
      </c>
      <c r="AF1180" t="s">
        <v>610</v>
      </c>
      <c r="AG1180" t="s">
        <v>4640</v>
      </c>
      <c r="AI1180" t="s">
        <v>90</v>
      </c>
      <c r="AJ1180">
        <v>32.337062000000003</v>
      </c>
      <c r="AK1180">
        <v>-110.721555</v>
      </c>
      <c r="AL1180">
        <v>3</v>
      </c>
      <c r="AN1180">
        <v>1463</v>
      </c>
      <c r="AP1180">
        <v>1463</v>
      </c>
      <c r="AQ1180">
        <v>1467.3854739999999</v>
      </c>
      <c r="AT1180">
        <v>4</v>
      </c>
      <c r="AU1180">
        <v>12</v>
      </c>
      <c r="AV1180">
        <v>2021</v>
      </c>
      <c r="AW1180">
        <v>2439589</v>
      </c>
      <c r="AX1180">
        <v>2439589</v>
      </c>
      <c r="AY1180" t="s">
        <v>106</v>
      </c>
      <c r="AZ1180" t="s">
        <v>92</v>
      </c>
      <c r="BA1180" t="s">
        <v>107</v>
      </c>
      <c r="BB1180" t="s">
        <v>4650</v>
      </c>
      <c r="BC1180" t="s">
        <v>1186</v>
      </c>
      <c r="BE1180" t="s">
        <v>96</v>
      </c>
      <c r="BG1180" t="s">
        <v>4507</v>
      </c>
      <c r="BI1180" t="s">
        <v>98</v>
      </c>
      <c r="BJ1180" t="s">
        <v>692</v>
      </c>
      <c r="BL1180" t="s">
        <v>412</v>
      </c>
    </row>
    <row r="1181" spans="1:64" hidden="1" x14ac:dyDescent="0.2">
      <c r="A1181">
        <v>1228</v>
      </c>
      <c r="B1181">
        <v>4022923485</v>
      </c>
      <c r="C1181" t="s">
        <v>101</v>
      </c>
      <c r="D1181" t="s">
        <v>4651</v>
      </c>
      <c r="E1181" t="s">
        <v>65</v>
      </c>
      <c r="F1181" t="s">
        <v>66</v>
      </c>
      <c r="G1181" t="s">
        <v>67</v>
      </c>
      <c r="H1181" t="s">
        <v>68</v>
      </c>
      <c r="I1181" t="s">
        <v>69</v>
      </c>
      <c r="J1181" t="s">
        <v>70</v>
      </c>
      <c r="K1181" t="s">
        <v>4195</v>
      </c>
      <c r="M1181" t="s">
        <v>72</v>
      </c>
      <c r="N1181" t="s">
        <v>4196</v>
      </c>
      <c r="O1181" t="s">
        <v>4195</v>
      </c>
      <c r="P1181" t="s">
        <v>4197</v>
      </c>
      <c r="Q1181" t="s">
        <v>75</v>
      </c>
      <c r="R1181" t="s">
        <v>4501</v>
      </c>
      <c r="S1181" t="s">
        <v>3990</v>
      </c>
      <c r="T1181" t="s">
        <v>78</v>
      </c>
      <c r="U1181" t="s">
        <v>3817</v>
      </c>
      <c r="V1181" t="s">
        <v>80</v>
      </c>
      <c r="W1181" s="1">
        <v>44534</v>
      </c>
      <c r="X1181" t="s">
        <v>4502</v>
      </c>
      <c r="Y1181" t="s">
        <v>4634</v>
      </c>
      <c r="Z1181" t="s">
        <v>83</v>
      </c>
      <c r="AA1181">
        <v>1</v>
      </c>
      <c r="AB1181" t="s">
        <v>4517</v>
      </c>
      <c r="AD1181" t="s">
        <v>139</v>
      </c>
      <c r="AE1181" t="s">
        <v>145</v>
      </c>
      <c r="AF1181" t="s">
        <v>610</v>
      </c>
      <c r="AG1181" t="s">
        <v>4640</v>
      </c>
      <c r="AI1181" t="s">
        <v>90</v>
      </c>
      <c r="AJ1181">
        <v>32.337062000000003</v>
      </c>
      <c r="AK1181">
        <v>-110.721555</v>
      </c>
      <c r="AL1181">
        <v>3</v>
      </c>
      <c r="AN1181">
        <v>1463</v>
      </c>
      <c r="AP1181">
        <v>1463</v>
      </c>
      <c r="AQ1181">
        <v>1467.3854739999999</v>
      </c>
      <c r="AT1181">
        <v>4</v>
      </c>
      <c r="AU1181">
        <v>12</v>
      </c>
      <c r="AV1181">
        <v>2021</v>
      </c>
      <c r="AW1181">
        <v>2439589</v>
      </c>
      <c r="AX1181">
        <v>2439589</v>
      </c>
      <c r="AY1181" t="s">
        <v>106</v>
      </c>
      <c r="AZ1181" t="s">
        <v>92</v>
      </c>
      <c r="BA1181" t="s">
        <v>107</v>
      </c>
      <c r="BB1181" t="s">
        <v>4652</v>
      </c>
      <c r="BC1181" t="s">
        <v>1186</v>
      </c>
      <c r="BE1181" t="s">
        <v>96</v>
      </c>
      <c r="BG1181" t="s">
        <v>4507</v>
      </c>
      <c r="BI1181" t="s">
        <v>98</v>
      </c>
      <c r="BJ1181" t="s">
        <v>4653</v>
      </c>
      <c r="BL1181" t="s">
        <v>412</v>
      </c>
    </row>
    <row r="1182" spans="1:64" x14ac:dyDescent="0.2">
      <c r="A1182">
        <v>346</v>
      </c>
      <c r="B1182">
        <v>4403380320</v>
      </c>
      <c r="C1182" t="s">
        <v>63</v>
      </c>
      <c r="D1182" t="s">
        <v>1389</v>
      </c>
      <c r="E1182" t="s">
        <v>65</v>
      </c>
      <c r="F1182" t="s">
        <v>66</v>
      </c>
      <c r="G1182" t="s">
        <v>67</v>
      </c>
      <c r="H1182" t="s">
        <v>68</v>
      </c>
      <c r="I1182" t="s">
        <v>176</v>
      </c>
      <c r="J1182" t="s">
        <v>177</v>
      </c>
      <c r="K1182" t="s">
        <v>178</v>
      </c>
      <c r="M1182" t="s">
        <v>72</v>
      </c>
      <c r="N1182" t="s">
        <v>179</v>
      </c>
      <c r="O1182" t="s">
        <v>178</v>
      </c>
      <c r="P1182" t="s">
        <v>180</v>
      </c>
      <c r="Q1182" t="s">
        <v>75</v>
      </c>
      <c r="R1182" t="s">
        <v>1177</v>
      </c>
      <c r="S1182" t="s">
        <v>1390</v>
      </c>
      <c r="T1182" t="s">
        <v>78</v>
      </c>
      <c r="U1182" t="s">
        <v>646</v>
      </c>
      <c r="V1182" t="s">
        <v>1179</v>
      </c>
      <c r="W1182" s="1">
        <v>45108</v>
      </c>
      <c r="X1182" t="s">
        <v>1180</v>
      </c>
      <c r="Y1182" t="s">
        <v>1391</v>
      </c>
      <c r="Z1182" t="s">
        <v>83</v>
      </c>
      <c r="AA1182">
        <v>1</v>
      </c>
      <c r="AB1182" t="s">
        <v>1392</v>
      </c>
      <c r="AC1182">
        <v>1</v>
      </c>
      <c r="AD1182" s="6" t="s">
        <v>85</v>
      </c>
      <c r="AE1182" s="6" t="s">
        <v>86</v>
      </c>
      <c r="AF1182" s="6" t="s">
        <v>402</v>
      </c>
      <c r="AG1182" s="6" t="s">
        <v>1393</v>
      </c>
      <c r="AH1182" s="6" t="s">
        <v>1394</v>
      </c>
      <c r="AI1182" s="6" t="s">
        <v>90</v>
      </c>
      <c r="AJ1182" s="6">
        <v>32.450394000000003</v>
      </c>
      <c r="AK1182" s="6">
        <v>-110.736435</v>
      </c>
      <c r="AL1182" s="6">
        <v>3</v>
      </c>
      <c r="AM1182" s="6"/>
      <c r="AN1182" s="6">
        <v>2067</v>
      </c>
      <c r="AO1182" s="6"/>
      <c r="AP1182" s="6">
        <v>2067</v>
      </c>
      <c r="AQ1182" s="6">
        <v>2064.0276349999999</v>
      </c>
      <c r="AR1182" s="6"/>
      <c r="AS1182" s="6"/>
      <c r="AT1182" s="6">
        <v>1</v>
      </c>
      <c r="AU1182" s="6">
        <v>7</v>
      </c>
      <c r="AV1182" s="6">
        <v>2023</v>
      </c>
      <c r="AW1182" s="6">
        <v>2438038</v>
      </c>
      <c r="AX1182" s="6">
        <v>2438038</v>
      </c>
      <c r="AY1182" s="6" t="s">
        <v>91</v>
      </c>
      <c r="AZ1182" t="s">
        <v>92</v>
      </c>
      <c r="BA1182" t="s">
        <v>93</v>
      </c>
      <c r="BB1182" t="s">
        <v>1395</v>
      </c>
      <c r="BC1182" t="s">
        <v>1186</v>
      </c>
      <c r="BD1182" s="1">
        <v>45108</v>
      </c>
      <c r="BE1182" t="s">
        <v>96</v>
      </c>
      <c r="BG1182" t="s">
        <v>1187</v>
      </c>
      <c r="BI1182" t="s">
        <v>98</v>
      </c>
      <c r="BJ1182" t="s">
        <v>1396</v>
      </c>
      <c r="BK1182" t="s">
        <v>365</v>
      </c>
      <c r="BL1182" t="s">
        <v>407</v>
      </c>
    </row>
    <row r="1183" spans="1:64" hidden="1" x14ac:dyDescent="0.2">
      <c r="A1183">
        <v>1364</v>
      </c>
      <c r="B1183">
        <v>4022923349</v>
      </c>
      <c r="C1183" t="s">
        <v>101</v>
      </c>
      <c r="D1183" t="s">
        <v>4657</v>
      </c>
      <c r="E1183" t="s">
        <v>65</v>
      </c>
      <c r="F1183" t="s">
        <v>66</v>
      </c>
      <c r="G1183" t="s">
        <v>67</v>
      </c>
      <c r="H1183" t="s">
        <v>68</v>
      </c>
      <c r="I1183" t="s">
        <v>176</v>
      </c>
      <c r="J1183" t="s">
        <v>177</v>
      </c>
      <c r="K1183" t="s">
        <v>178</v>
      </c>
      <c r="M1183" t="s">
        <v>72</v>
      </c>
      <c r="N1183" t="s">
        <v>179</v>
      </c>
      <c r="O1183" t="s">
        <v>178</v>
      </c>
      <c r="P1183" t="s">
        <v>180</v>
      </c>
      <c r="Q1183" t="s">
        <v>75</v>
      </c>
      <c r="R1183" t="s">
        <v>4501</v>
      </c>
      <c r="S1183" t="s">
        <v>3767</v>
      </c>
      <c r="T1183" t="s">
        <v>78</v>
      </c>
      <c r="U1183" t="s">
        <v>3817</v>
      </c>
      <c r="V1183" t="s">
        <v>80</v>
      </c>
      <c r="W1183" s="1">
        <v>44534</v>
      </c>
      <c r="X1183" t="s">
        <v>4502</v>
      </c>
      <c r="Y1183" t="s">
        <v>4658</v>
      </c>
      <c r="Z1183" t="s">
        <v>83</v>
      </c>
      <c r="AA1183">
        <v>1</v>
      </c>
      <c r="AB1183" t="s">
        <v>4659</v>
      </c>
      <c r="AD1183" t="s">
        <v>343</v>
      </c>
      <c r="AE1183" t="s">
        <v>145</v>
      </c>
      <c r="AF1183" t="s">
        <v>146</v>
      </c>
      <c r="AG1183" t="s">
        <v>980</v>
      </c>
      <c r="AI1183" t="s">
        <v>90</v>
      </c>
      <c r="AJ1183">
        <v>32.337204999999997</v>
      </c>
      <c r="AK1183">
        <v>-110.720883</v>
      </c>
      <c r="AL1183">
        <v>3</v>
      </c>
      <c r="AN1183">
        <v>1466</v>
      </c>
      <c r="AP1183">
        <v>1466</v>
      </c>
      <c r="AQ1183">
        <v>1470.5477719999999</v>
      </c>
      <c r="AT1183">
        <v>4</v>
      </c>
      <c r="AU1183">
        <v>12</v>
      </c>
      <c r="AV1183">
        <v>2021</v>
      </c>
      <c r="AW1183">
        <v>2438038</v>
      </c>
      <c r="AX1183">
        <v>2438038</v>
      </c>
      <c r="AY1183" t="s">
        <v>106</v>
      </c>
      <c r="AZ1183" t="s">
        <v>92</v>
      </c>
      <c r="BA1183" t="s">
        <v>107</v>
      </c>
      <c r="BB1183" t="s">
        <v>4660</v>
      </c>
      <c r="BC1183" t="s">
        <v>1186</v>
      </c>
      <c r="BE1183" t="s">
        <v>96</v>
      </c>
      <c r="BG1183" t="s">
        <v>4507</v>
      </c>
      <c r="BI1183" t="s">
        <v>98</v>
      </c>
      <c r="BJ1183" t="s">
        <v>605</v>
      </c>
      <c r="BL1183" t="s">
        <v>412</v>
      </c>
    </row>
    <row r="1184" spans="1:64" x14ac:dyDescent="0.2">
      <c r="A1184">
        <v>347</v>
      </c>
      <c r="B1184">
        <v>4403380319</v>
      </c>
      <c r="C1184" t="s">
        <v>63</v>
      </c>
      <c r="D1184" t="s">
        <v>1424</v>
      </c>
      <c r="E1184" t="s">
        <v>65</v>
      </c>
      <c r="F1184" t="s">
        <v>66</v>
      </c>
      <c r="G1184" t="s">
        <v>67</v>
      </c>
      <c r="H1184" t="s">
        <v>68</v>
      </c>
      <c r="I1184" t="s">
        <v>176</v>
      </c>
      <c r="J1184" t="s">
        <v>177</v>
      </c>
      <c r="K1184" t="s">
        <v>178</v>
      </c>
      <c r="M1184" t="s">
        <v>72</v>
      </c>
      <c r="N1184" t="s">
        <v>179</v>
      </c>
      <c r="O1184" t="s">
        <v>178</v>
      </c>
      <c r="P1184" t="s">
        <v>180</v>
      </c>
      <c r="Q1184" t="s">
        <v>75</v>
      </c>
      <c r="R1184" t="s">
        <v>1177</v>
      </c>
      <c r="S1184" t="s">
        <v>1425</v>
      </c>
      <c r="T1184" t="s">
        <v>78</v>
      </c>
      <c r="U1184" t="s">
        <v>646</v>
      </c>
      <c r="V1184" t="s">
        <v>1179</v>
      </c>
      <c r="W1184" s="1">
        <v>45108</v>
      </c>
      <c r="X1184" t="s">
        <v>1180</v>
      </c>
      <c r="Y1184" t="s">
        <v>1426</v>
      </c>
      <c r="Z1184" t="s">
        <v>83</v>
      </c>
      <c r="AA1184">
        <v>1</v>
      </c>
      <c r="AB1184" t="s">
        <v>1427</v>
      </c>
      <c r="AC1184">
        <v>1</v>
      </c>
      <c r="AD1184" s="6" t="s">
        <v>85</v>
      </c>
      <c r="AE1184" s="6" t="s">
        <v>145</v>
      </c>
      <c r="AF1184" s="6" t="s">
        <v>402</v>
      </c>
      <c r="AG1184" s="6" t="s">
        <v>1428</v>
      </c>
      <c r="AH1184" s="6" t="s">
        <v>1429</v>
      </c>
      <c r="AI1184" s="6" t="s">
        <v>90</v>
      </c>
      <c r="AJ1184" s="6">
        <v>32.450868999999997</v>
      </c>
      <c r="AK1184" s="6">
        <v>-110.736958</v>
      </c>
      <c r="AL1184" s="6">
        <v>3</v>
      </c>
      <c r="AM1184" s="6"/>
      <c r="AN1184" s="6">
        <v>2055</v>
      </c>
      <c r="AO1184" s="6"/>
      <c r="AP1184" s="6">
        <v>2055</v>
      </c>
      <c r="AQ1184" s="6">
        <v>2062.4493339999999</v>
      </c>
      <c r="AR1184" s="6"/>
      <c r="AS1184" s="6"/>
      <c r="AT1184" s="6">
        <v>1</v>
      </c>
      <c r="AU1184" s="6">
        <v>7</v>
      </c>
      <c r="AV1184" s="6">
        <v>2023</v>
      </c>
      <c r="AW1184" s="6">
        <v>2438038</v>
      </c>
      <c r="AX1184" s="6">
        <v>2438038</v>
      </c>
      <c r="AY1184" s="6" t="s">
        <v>91</v>
      </c>
      <c r="AZ1184" t="s">
        <v>92</v>
      </c>
      <c r="BA1184" t="s">
        <v>93</v>
      </c>
      <c r="BB1184" t="s">
        <v>1430</v>
      </c>
      <c r="BC1184" t="s">
        <v>1186</v>
      </c>
      <c r="BD1184" s="1">
        <v>45108</v>
      </c>
      <c r="BE1184" t="s">
        <v>96</v>
      </c>
      <c r="BG1184" t="s">
        <v>1187</v>
      </c>
      <c r="BI1184" t="s">
        <v>98</v>
      </c>
      <c r="BJ1184" t="s">
        <v>1431</v>
      </c>
      <c r="BK1184" t="s">
        <v>365</v>
      </c>
      <c r="BL1184" t="s">
        <v>407</v>
      </c>
    </row>
    <row r="1185" spans="1:64" hidden="1" x14ac:dyDescent="0.2">
      <c r="A1185">
        <v>1603</v>
      </c>
      <c r="B1185">
        <v>3744741530</v>
      </c>
      <c r="C1185" t="s">
        <v>101</v>
      </c>
      <c r="D1185" t="s">
        <v>4669</v>
      </c>
      <c r="E1185" t="s">
        <v>65</v>
      </c>
      <c r="F1185" t="s">
        <v>66</v>
      </c>
      <c r="G1185" t="s">
        <v>67</v>
      </c>
      <c r="H1185" t="s">
        <v>68</v>
      </c>
      <c r="I1185" t="s">
        <v>69</v>
      </c>
      <c r="J1185" t="s">
        <v>70</v>
      </c>
      <c r="K1185" t="s">
        <v>4195</v>
      </c>
      <c r="M1185" t="s">
        <v>72</v>
      </c>
      <c r="N1185" t="s">
        <v>4196</v>
      </c>
      <c r="O1185" t="s">
        <v>4195</v>
      </c>
      <c r="P1185" t="s">
        <v>4197</v>
      </c>
      <c r="Q1185" t="s">
        <v>75</v>
      </c>
      <c r="R1185" t="s">
        <v>4510</v>
      </c>
      <c r="T1185" t="s">
        <v>78</v>
      </c>
      <c r="U1185" t="s">
        <v>3817</v>
      </c>
      <c r="V1185" t="s">
        <v>80</v>
      </c>
      <c r="W1185" s="1">
        <v>44534</v>
      </c>
      <c r="X1185" t="s">
        <v>4502</v>
      </c>
      <c r="Y1185" t="s">
        <v>4664</v>
      </c>
      <c r="Z1185" t="s">
        <v>83</v>
      </c>
      <c r="AA1185">
        <v>1</v>
      </c>
      <c r="AB1185" t="s">
        <v>4670</v>
      </c>
      <c r="AD1185" t="s">
        <v>378</v>
      </c>
      <c r="AE1185" t="s">
        <v>86</v>
      </c>
      <c r="AF1185" t="s">
        <v>146</v>
      </c>
      <c r="AG1185" t="s">
        <v>1257</v>
      </c>
      <c r="AH1185" t="s">
        <v>4671</v>
      </c>
      <c r="AI1185" t="s">
        <v>90</v>
      </c>
      <c r="AJ1185">
        <v>32.337280999999997</v>
      </c>
      <c r="AK1185">
        <v>-110.721047</v>
      </c>
      <c r="AL1185">
        <v>3</v>
      </c>
      <c r="AN1185">
        <v>1464</v>
      </c>
      <c r="AP1185">
        <v>1464</v>
      </c>
      <c r="AQ1185">
        <v>1470.222438</v>
      </c>
      <c r="AT1185">
        <v>4</v>
      </c>
      <c r="AU1185">
        <v>12</v>
      </c>
      <c r="AV1185">
        <v>2021</v>
      </c>
      <c r="AW1185">
        <v>2439589</v>
      </c>
      <c r="AX1185">
        <v>2439589</v>
      </c>
      <c r="AY1185" t="s">
        <v>106</v>
      </c>
      <c r="AZ1185" t="s">
        <v>92</v>
      </c>
      <c r="BA1185" t="s">
        <v>107</v>
      </c>
      <c r="BB1185" t="s">
        <v>4672</v>
      </c>
      <c r="BC1185" t="s">
        <v>1186</v>
      </c>
      <c r="BE1185" t="s">
        <v>96</v>
      </c>
      <c r="BG1185" t="s">
        <v>4507</v>
      </c>
      <c r="BI1185" t="s">
        <v>98</v>
      </c>
      <c r="BJ1185" t="s">
        <v>4673</v>
      </c>
      <c r="BL1185" t="s">
        <v>412</v>
      </c>
    </row>
    <row r="1186" spans="1:64" x14ac:dyDescent="0.2">
      <c r="A1186">
        <v>341</v>
      </c>
      <c r="B1186">
        <v>4403380325</v>
      </c>
      <c r="C1186" t="s">
        <v>63</v>
      </c>
      <c r="D1186" t="s">
        <v>1480</v>
      </c>
      <c r="E1186" t="s">
        <v>65</v>
      </c>
      <c r="F1186" t="s">
        <v>66</v>
      </c>
      <c r="G1186" t="s">
        <v>67</v>
      </c>
      <c r="H1186" t="s">
        <v>68</v>
      </c>
      <c r="I1186" t="s">
        <v>176</v>
      </c>
      <c r="J1186" t="s">
        <v>177</v>
      </c>
      <c r="K1186" t="s">
        <v>178</v>
      </c>
      <c r="M1186" t="s">
        <v>72</v>
      </c>
      <c r="N1186" t="s">
        <v>179</v>
      </c>
      <c r="O1186" t="s">
        <v>178</v>
      </c>
      <c r="P1186" t="s">
        <v>180</v>
      </c>
      <c r="Q1186" t="s">
        <v>75</v>
      </c>
      <c r="R1186" t="s">
        <v>1177</v>
      </c>
      <c r="S1186" t="s">
        <v>469</v>
      </c>
      <c r="T1186" t="s">
        <v>78</v>
      </c>
      <c r="U1186" t="s">
        <v>646</v>
      </c>
      <c r="V1186" t="s">
        <v>1179</v>
      </c>
      <c r="W1186" s="1">
        <v>45108</v>
      </c>
      <c r="X1186" t="s">
        <v>1180</v>
      </c>
      <c r="Y1186" t="s">
        <v>1481</v>
      </c>
      <c r="Z1186" t="s">
        <v>83</v>
      </c>
      <c r="AA1186">
        <v>1</v>
      </c>
      <c r="AB1186" t="s">
        <v>1482</v>
      </c>
      <c r="AC1186">
        <v>1</v>
      </c>
      <c r="AD1186" s="6" t="s">
        <v>85</v>
      </c>
      <c r="AE1186" s="6" t="s">
        <v>86</v>
      </c>
      <c r="AF1186" s="6" t="s">
        <v>402</v>
      </c>
      <c r="AG1186" s="6" t="s">
        <v>1483</v>
      </c>
      <c r="AH1186" s="6" t="s">
        <v>1484</v>
      </c>
      <c r="AI1186" s="6" t="s">
        <v>90</v>
      </c>
      <c r="AJ1186" s="6">
        <v>32.449679000000003</v>
      </c>
      <c r="AK1186" s="6">
        <v>-110.736582</v>
      </c>
      <c r="AL1186" s="6">
        <v>3</v>
      </c>
      <c r="AM1186" s="6"/>
      <c r="AN1186" s="6">
        <v>2075</v>
      </c>
      <c r="AO1186" s="6"/>
      <c r="AP1186" s="6">
        <v>2075</v>
      </c>
      <c r="AQ1186" s="6">
        <v>2083.6500510000001</v>
      </c>
      <c r="AR1186" s="6"/>
      <c r="AS1186" s="6"/>
      <c r="AT1186" s="6">
        <v>1</v>
      </c>
      <c r="AU1186" s="6">
        <v>7</v>
      </c>
      <c r="AV1186" s="6">
        <v>2023</v>
      </c>
      <c r="AW1186" s="6">
        <v>2438038</v>
      </c>
      <c r="AX1186" s="6">
        <v>2438038</v>
      </c>
      <c r="AY1186" s="6" t="s">
        <v>91</v>
      </c>
      <c r="AZ1186" t="s">
        <v>92</v>
      </c>
      <c r="BA1186" t="s">
        <v>93</v>
      </c>
      <c r="BB1186" t="s">
        <v>1485</v>
      </c>
      <c r="BC1186" t="s">
        <v>1186</v>
      </c>
      <c r="BD1186" s="1">
        <v>45108</v>
      </c>
      <c r="BE1186" t="s">
        <v>96</v>
      </c>
      <c r="BG1186" t="s">
        <v>1187</v>
      </c>
      <c r="BI1186" t="s">
        <v>98</v>
      </c>
      <c r="BJ1186" t="s">
        <v>1486</v>
      </c>
      <c r="BK1186" t="s">
        <v>365</v>
      </c>
      <c r="BL1186" t="s">
        <v>407</v>
      </c>
    </row>
    <row r="1187" spans="1:64" hidden="1" x14ac:dyDescent="0.2">
      <c r="A1187">
        <v>1375</v>
      </c>
      <c r="B1187">
        <v>4022923338</v>
      </c>
      <c r="C1187" t="s">
        <v>101</v>
      </c>
      <c r="D1187" t="s">
        <v>4676</v>
      </c>
      <c r="E1187" t="s">
        <v>65</v>
      </c>
      <c r="F1187" t="s">
        <v>66</v>
      </c>
      <c r="G1187" t="s">
        <v>67</v>
      </c>
      <c r="H1187" t="s">
        <v>68</v>
      </c>
      <c r="I1187" t="s">
        <v>69</v>
      </c>
      <c r="J1187" t="s">
        <v>70</v>
      </c>
      <c r="K1187" t="s">
        <v>4195</v>
      </c>
      <c r="M1187" t="s">
        <v>72</v>
      </c>
      <c r="N1187" t="s">
        <v>4196</v>
      </c>
      <c r="O1187" t="s">
        <v>4195</v>
      </c>
      <c r="P1187" t="s">
        <v>4197</v>
      </c>
      <c r="Q1187" t="s">
        <v>75</v>
      </c>
      <c r="R1187" t="s">
        <v>4501</v>
      </c>
      <c r="S1187" t="s">
        <v>3804</v>
      </c>
      <c r="T1187" t="s">
        <v>78</v>
      </c>
      <c r="U1187" t="s">
        <v>3817</v>
      </c>
      <c r="V1187" t="s">
        <v>80</v>
      </c>
      <c r="W1187" s="1">
        <v>44534</v>
      </c>
      <c r="X1187" t="s">
        <v>4502</v>
      </c>
      <c r="Y1187" t="s">
        <v>4664</v>
      </c>
      <c r="Z1187" t="s">
        <v>83</v>
      </c>
      <c r="AA1187">
        <v>1</v>
      </c>
      <c r="AB1187" t="s">
        <v>133</v>
      </c>
      <c r="AD1187" t="s">
        <v>134</v>
      </c>
      <c r="AE1187" t="s">
        <v>86</v>
      </c>
      <c r="AF1187" t="s">
        <v>146</v>
      </c>
      <c r="AG1187" t="s">
        <v>3607</v>
      </c>
      <c r="AI1187" t="s">
        <v>90</v>
      </c>
      <c r="AJ1187">
        <v>32.337280999999997</v>
      </c>
      <c r="AK1187">
        <v>-110.721047</v>
      </c>
      <c r="AL1187">
        <v>3</v>
      </c>
      <c r="AN1187">
        <v>1464</v>
      </c>
      <c r="AP1187">
        <v>1464</v>
      </c>
      <c r="AQ1187">
        <v>1470.222438</v>
      </c>
      <c r="AT1187">
        <v>4</v>
      </c>
      <c r="AU1187">
        <v>12</v>
      </c>
      <c r="AV1187">
        <v>2021</v>
      </c>
      <c r="AW1187">
        <v>2439589</v>
      </c>
      <c r="AX1187">
        <v>2439589</v>
      </c>
      <c r="AY1187" t="s">
        <v>106</v>
      </c>
      <c r="AZ1187" t="s">
        <v>92</v>
      </c>
      <c r="BA1187" t="s">
        <v>107</v>
      </c>
      <c r="BB1187" t="s">
        <v>4677</v>
      </c>
      <c r="BC1187" t="s">
        <v>1186</v>
      </c>
      <c r="BE1187" t="s">
        <v>96</v>
      </c>
      <c r="BG1187" t="s">
        <v>4507</v>
      </c>
      <c r="BI1187" t="s">
        <v>98</v>
      </c>
      <c r="BJ1187" t="s">
        <v>411</v>
      </c>
      <c r="BL1187" t="s">
        <v>412</v>
      </c>
    </row>
    <row r="1188" spans="1:64" hidden="1" x14ac:dyDescent="0.2">
      <c r="A1188">
        <v>1376</v>
      </c>
      <c r="B1188">
        <v>4022923337</v>
      </c>
      <c r="C1188" t="s">
        <v>101</v>
      </c>
      <c r="D1188" t="s">
        <v>4678</v>
      </c>
      <c r="E1188" t="s">
        <v>65</v>
      </c>
      <c r="F1188" t="s">
        <v>66</v>
      </c>
      <c r="G1188" t="s">
        <v>67</v>
      </c>
      <c r="H1188" t="s">
        <v>68</v>
      </c>
      <c r="I1188" t="s">
        <v>69</v>
      </c>
      <c r="J1188" t="s">
        <v>70</v>
      </c>
      <c r="K1188" t="s">
        <v>4195</v>
      </c>
      <c r="M1188" t="s">
        <v>72</v>
      </c>
      <c r="N1188" t="s">
        <v>4196</v>
      </c>
      <c r="O1188" t="s">
        <v>4195</v>
      </c>
      <c r="P1188" t="s">
        <v>4197</v>
      </c>
      <c r="Q1188" t="s">
        <v>75</v>
      </c>
      <c r="R1188" t="s">
        <v>4501</v>
      </c>
      <c r="S1188" t="s">
        <v>3804</v>
      </c>
      <c r="T1188" t="s">
        <v>78</v>
      </c>
      <c r="U1188" t="s">
        <v>3817</v>
      </c>
      <c r="V1188" t="s">
        <v>80</v>
      </c>
      <c r="W1188" s="1">
        <v>44534</v>
      </c>
      <c r="X1188" t="s">
        <v>4502</v>
      </c>
      <c r="Y1188" t="s">
        <v>4664</v>
      </c>
      <c r="Z1188" t="s">
        <v>83</v>
      </c>
      <c r="AA1188">
        <v>1</v>
      </c>
      <c r="AB1188" t="s">
        <v>4517</v>
      </c>
      <c r="AD1188" t="s">
        <v>104</v>
      </c>
      <c r="AE1188" t="s">
        <v>86</v>
      </c>
      <c r="AF1188" t="s">
        <v>146</v>
      </c>
      <c r="AG1188" t="s">
        <v>1257</v>
      </c>
      <c r="AI1188" t="s">
        <v>90</v>
      </c>
      <c r="AJ1188">
        <v>32.337280999999997</v>
      </c>
      <c r="AK1188">
        <v>-110.721047</v>
      </c>
      <c r="AL1188">
        <v>3</v>
      </c>
      <c r="AN1188">
        <v>1464</v>
      </c>
      <c r="AP1188">
        <v>1464</v>
      </c>
      <c r="AQ1188">
        <v>1470.222438</v>
      </c>
      <c r="AT1188">
        <v>4</v>
      </c>
      <c r="AU1188">
        <v>12</v>
      </c>
      <c r="AV1188">
        <v>2021</v>
      </c>
      <c r="AW1188">
        <v>2439589</v>
      </c>
      <c r="AX1188">
        <v>2439589</v>
      </c>
      <c r="AY1188" t="s">
        <v>106</v>
      </c>
      <c r="AZ1188" t="s">
        <v>92</v>
      </c>
      <c r="BA1188" t="s">
        <v>107</v>
      </c>
      <c r="BB1188" t="s">
        <v>4679</v>
      </c>
      <c r="BC1188" t="s">
        <v>1186</v>
      </c>
      <c r="BE1188" t="s">
        <v>96</v>
      </c>
      <c r="BG1188" t="s">
        <v>4507</v>
      </c>
      <c r="BI1188" t="s">
        <v>98</v>
      </c>
      <c r="BJ1188" t="s">
        <v>411</v>
      </c>
      <c r="BL1188" t="s">
        <v>412</v>
      </c>
    </row>
    <row r="1189" spans="1:64" hidden="1" x14ac:dyDescent="0.2">
      <c r="A1189">
        <v>1377</v>
      </c>
      <c r="B1189">
        <v>4022923336</v>
      </c>
      <c r="C1189" t="s">
        <v>101</v>
      </c>
      <c r="D1189" t="s">
        <v>4680</v>
      </c>
      <c r="E1189" t="s">
        <v>65</v>
      </c>
      <c r="F1189" t="s">
        <v>66</v>
      </c>
      <c r="G1189" t="s">
        <v>67</v>
      </c>
      <c r="H1189" t="s">
        <v>68</v>
      </c>
      <c r="I1189" t="s">
        <v>69</v>
      </c>
      <c r="J1189" t="s">
        <v>70</v>
      </c>
      <c r="K1189" t="s">
        <v>4195</v>
      </c>
      <c r="M1189" t="s">
        <v>72</v>
      </c>
      <c r="N1189" t="s">
        <v>4196</v>
      </c>
      <c r="O1189" t="s">
        <v>4195</v>
      </c>
      <c r="P1189" t="s">
        <v>4197</v>
      </c>
      <c r="Q1189" t="s">
        <v>75</v>
      </c>
      <c r="R1189" t="s">
        <v>4501</v>
      </c>
      <c r="S1189" t="s">
        <v>3804</v>
      </c>
      <c r="T1189" t="s">
        <v>78</v>
      </c>
      <c r="U1189" t="s">
        <v>3817</v>
      </c>
      <c r="V1189" t="s">
        <v>80</v>
      </c>
      <c r="W1189" s="1">
        <v>44534</v>
      </c>
      <c r="X1189" t="s">
        <v>4502</v>
      </c>
      <c r="Y1189" t="s">
        <v>4664</v>
      </c>
      <c r="Z1189" t="s">
        <v>83</v>
      </c>
      <c r="AA1189">
        <v>1</v>
      </c>
      <c r="AB1189" t="s">
        <v>4517</v>
      </c>
      <c r="AD1189" t="s">
        <v>116</v>
      </c>
      <c r="AE1189" t="s">
        <v>86</v>
      </c>
      <c r="AF1189" t="s">
        <v>146</v>
      </c>
      <c r="AG1189" t="s">
        <v>1257</v>
      </c>
      <c r="AI1189" t="s">
        <v>90</v>
      </c>
      <c r="AJ1189">
        <v>32.337280999999997</v>
      </c>
      <c r="AK1189">
        <v>-110.721047</v>
      </c>
      <c r="AL1189">
        <v>3</v>
      </c>
      <c r="AN1189">
        <v>1464</v>
      </c>
      <c r="AP1189">
        <v>1464</v>
      </c>
      <c r="AQ1189">
        <v>1470.222438</v>
      </c>
      <c r="AT1189">
        <v>4</v>
      </c>
      <c r="AU1189">
        <v>12</v>
      </c>
      <c r="AV1189">
        <v>2021</v>
      </c>
      <c r="AW1189">
        <v>2439589</v>
      </c>
      <c r="AX1189">
        <v>2439589</v>
      </c>
      <c r="AY1189" t="s">
        <v>106</v>
      </c>
      <c r="AZ1189" t="s">
        <v>92</v>
      </c>
      <c r="BA1189" t="s">
        <v>107</v>
      </c>
      <c r="BB1189" t="s">
        <v>4681</v>
      </c>
      <c r="BC1189" t="s">
        <v>1186</v>
      </c>
      <c r="BE1189" t="s">
        <v>96</v>
      </c>
      <c r="BG1189" t="s">
        <v>4507</v>
      </c>
      <c r="BI1189" t="s">
        <v>98</v>
      </c>
      <c r="BJ1189" t="s">
        <v>419</v>
      </c>
      <c r="BL1189" t="s">
        <v>412</v>
      </c>
    </row>
    <row r="1190" spans="1:64" hidden="1" x14ac:dyDescent="0.2">
      <c r="A1190">
        <v>929</v>
      </c>
      <c r="B1190">
        <v>4040367317</v>
      </c>
      <c r="C1190" t="s">
        <v>101</v>
      </c>
      <c r="D1190" t="s">
        <v>4682</v>
      </c>
      <c r="E1190" t="s">
        <v>65</v>
      </c>
      <c r="F1190" t="s">
        <v>66</v>
      </c>
      <c r="G1190" t="s">
        <v>67</v>
      </c>
      <c r="H1190" t="s">
        <v>68</v>
      </c>
      <c r="I1190" t="s">
        <v>69</v>
      </c>
      <c r="J1190" t="s">
        <v>70</v>
      </c>
      <c r="K1190" t="s">
        <v>4195</v>
      </c>
      <c r="M1190" t="s">
        <v>72</v>
      </c>
      <c r="N1190" t="s">
        <v>4196</v>
      </c>
      <c r="O1190" t="s">
        <v>4195</v>
      </c>
      <c r="P1190" t="s">
        <v>4197</v>
      </c>
      <c r="Q1190" t="s">
        <v>75</v>
      </c>
      <c r="R1190" t="s">
        <v>4501</v>
      </c>
      <c r="S1190" t="s">
        <v>3804</v>
      </c>
      <c r="T1190" t="s">
        <v>78</v>
      </c>
      <c r="U1190" t="s">
        <v>3817</v>
      </c>
      <c r="V1190" t="s">
        <v>80</v>
      </c>
      <c r="W1190" s="1">
        <v>44534</v>
      </c>
      <c r="X1190" t="s">
        <v>4502</v>
      </c>
      <c r="Y1190" t="s">
        <v>4664</v>
      </c>
      <c r="Z1190" t="s">
        <v>83</v>
      </c>
      <c r="AA1190">
        <v>1</v>
      </c>
      <c r="AB1190" t="s">
        <v>4517</v>
      </c>
      <c r="AD1190" t="s">
        <v>112</v>
      </c>
      <c r="AE1190" t="s">
        <v>86</v>
      </c>
      <c r="AF1190" t="s">
        <v>146</v>
      </c>
      <c r="AG1190" t="s">
        <v>1257</v>
      </c>
      <c r="AI1190" t="s">
        <v>90</v>
      </c>
      <c r="AJ1190">
        <v>32.337280999999997</v>
      </c>
      <c r="AK1190">
        <v>-110.721047</v>
      </c>
      <c r="AL1190">
        <v>3</v>
      </c>
      <c r="AN1190">
        <v>1464</v>
      </c>
      <c r="AP1190">
        <v>1464</v>
      </c>
      <c r="AQ1190">
        <v>1470.222438</v>
      </c>
      <c r="AT1190">
        <v>4</v>
      </c>
      <c r="AU1190">
        <v>12</v>
      </c>
      <c r="AV1190">
        <v>2021</v>
      </c>
      <c r="AW1190">
        <v>2439589</v>
      </c>
      <c r="AX1190">
        <v>2439589</v>
      </c>
      <c r="AY1190" t="s">
        <v>106</v>
      </c>
      <c r="AZ1190" t="s">
        <v>92</v>
      </c>
      <c r="BA1190" t="s">
        <v>107</v>
      </c>
      <c r="BB1190" t="s">
        <v>4683</v>
      </c>
      <c r="BC1190" t="s">
        <v>1186</v>
      </c>
      <c r="BE1190" t="s">
        <v>96</v>
      </c>
      <c r="BG1190" t="s">
        <v>4507</v>
      </c>
      <c r="BI1190" t="s">
        <v>98</v>
      </c>
      <c r="BJ1190" t="s">
        <v>4557</v>
      </c>
      <c r="BL1190" t="s">
        <v>412</v>
      </c>
    </row>
    <row r="1191" spans="1:64" hidden="1" x14ac:dyDescent="0.2">
      <c r="A1191">
        <v>1378</v>
      </c>
      <c r="B1191">
        <v>4022923335</v>
      </c>
      <c r="C1191" t="s">
        <v>101</v>
      </c>
      <c r="D1191" t="s">
        <v>4690</v>
      </c>
      <c r="E1191" t="s">
        <v>65</v>
      </c>
      <c r="F1191" t="s">
        <v>66</v>
      </c>
      <c r="G1191" t="s">
        <v>67</v>
      </c>
      <c r="H1191" t="s">
        <v>68</v>
      </c>
      <c r="I1191" t="s">
        <v>176</v>
      </c>
      <c r="J1191" t="s">
        <v>177</v>
      </c>
      <c r="K1191" t="s">
        <v>178</v>
      </c>
      <c r="M1191" t="s">
        <v>72</v>
      </c>
      <c r="N1191" t="s">
        <v>179</v>
      </c>
      <c r="O1191" t="s">
        <v>178</v>
      </c>
      <c r="P1191" t="s">
        <v>180</v>
      </c>
      <c r="Q1191" t="s">
        <v>75</v>
      </c>
      <c r="R1191" t="s">
        <v>4501</v>
      </c>
      <c r="S1191" t="s">
        <v>3788</v>
      </c>
      <c r="T1191" t="s">
        <v>78</v>
      </c>
      <c r="U1191" t="s">
        <v>3817</v>
      </c>
      <c r="V1191" t="s">
        <v>80</v>
      </c>
      <c r="W1191" s="1">
        <v>44534</v>
      </c>
      <c r="X1191" t="s">
        <v>4502</v>
      </c>
      <c r="Y1191" t="s">
        <v>4685</v>
      </c>
      <c r="Z1191" t="s">
        <v>83</v>
      </c>
      <c r="AA1191">
        <v>1</v>
      </c>
      <c r="AB1191" t="s">
        <v>4517</v>
      </c>
      <c r="AD1191" t="s">
        <v>104</v>
      </c>
      <c r="AE1191" t="s">
        <v>145</v>
      </c>
      <c r="AF1191" t="s">
        <v>146</v>
      </c>
      <c r="AG1191" t="s">
        <v>4691</v>
      </c>
      <c r="AI1191" t="s">
        <v>90</v>
      </c>
      <c r="AJ1191">
        <v>32.337034000000003</v>
      </c>
      <c r="AK1191">
        <v>-110.721254</v>
      </c>
      <c r="AL1191">
        <v>3</v>
      </c>
      <c r="AN1191">
        <v>1463</v>
      </c>
      <c r="AP1191">
        <v>1463</v>
      </c>
      <c r="AQ1191">
        <v>1469.004001</v>
      </c>
      <c r="AT1191">
        <v>4</v>
      </c>
      <c r="AU1191">
        <v>12</v>
      </c>
      <c r="AV1191">
        <v>2021</v>
      </c>
      <c r="AW1191">
        <v>2438038</v>
      </c>
      <c r="AX1191">
        <v>2438038</v>
      </c>
      <c r="AY1191" t="s">
        <v>106</v>
      </c>
      <c r="AZ1191" t="s">
        <v>92</v>
      </c>
      <c r="BA1191" t="s">
        <v>107</v>
      </c>
      <c r="BB1191" t="s">
        <v>4692</v>
      </c>
      <c r="BC1191" t="s">
        <v>1186</v>
      </c>
      <c r="BE1191" t="s">
        <v>96</v>
      </c>
      <c r="BG1191" t="s">
        <v>4507</v>
      </c>
      <c r="BI1191" t="s">
        <v>98</v>
      </c>
      <c r="BJ1191" t="s">
        <v>395</v>
      </c>
      <c r="BL1191" t="s">
        <v>412</v>
      </c>
    </row>
    <row r="1192" spans="1:64" hidden="1" x14ac:dyDescent="0.2">
      <c r="A1192">
        <v>1405</v>
      </c>
      <c r="B1192">
        <v>4022923308</v>
      </c>
      <c r="C1192" t="s">
        <v>101</v>
      </c>
      <c r="D1192" t="s">
        <v>4693</v>
      </c>
      <c r="E1192" t="s">
        <v>65</v>
      </c>
      <c r="F1192" t="s">
        <v>66</v>
      </c>
      <c r="G1192" t="s">
        <v>67</v>
      </c>
      <c r="H1192" t="s">
        <v>68</v>
      </c>
      <c r="I1192" t="s">
        <v>176</v>
      </c>
      <c r="J1192" t="s">
        <v>177</v>
      </c>
      <c r="K1192" t="s">
        <v>178</v>
      </c>
      <c r="M1192" t="s">
        <v>72</v>
      </c>
      <c r="N1192" t="s">
        <v>179</v>
      </c>
      <c r="O1192" t="s">
        <v>178</v>
      </c>
      <c r="P1192" t="s">
        <v>180</v>
      </c>
      <c r="Q1192" t="s">
        <v>75</v>
      </c>
      <c r="R1192" t="s">
        <v>4501</v>
      </c>
      <c r="S1192" t="s">
        <v>3788</v>
      </c>
      <c r="T1192" t="s">
        <v>78</v>
      </c>
      <c r="U1192" t="s">
        <v>3817</v>
      </c>
      <c r="V1192" t="s">
        <v>80</v>
      </c>
      <c r="W1192" s="1">
        <v>44534</v>
      </c>
      <c r="X1192" t="s">
        <v>4502</v>
      </c>
      <c r="Y1192" t="s">
        <v>4685</v>
      </c>
      <c r="Z1192" t="s">
        <v>83</v>
      </c>
      <c r="AA1192">
        <v>1</v>
      </c>
      <c r="AB1192" t="s">
        <v>4517</v>
      </c>
      <c r="AD1192" t="s">
        <v>112</v>
      </c>
      <c r="AE1192" t="s">
        <v>145</v>
      </c>
      <c r="AF1192" t="s">
        <v>146</v>
      </c>
      <c r="AG1192" t="s">
        <v>4691</v>
      </c>
      <c r="AI1192" t="s">
        <v>90</v>
      </c>
      <c r="AJ1192">
        <v>32.337034000000003</v>
      </c>
      <c r="AK1192">
        <v>-110.721254</v>
      </c>
      <c r="AL1192">
        <v>3</v>
      </c>
      <c r="AN1192">
        <v>1463</v>
      </c>
      <c r="AP1192">
        <v>1463</v>
      </c>
      <c r="AQ1192">
        <v>1469.004001</v>
      </c>
      <c r="AT1192">
        <v>4</v>
      </c>
      <c r="AU1192">
        <v>12</v>
      </c>
      <c r="AV1192">
        <v>2021</v>
      </c>
      <c r="AW1192">
        <v>2438038</v>
      </c>
      <c r="AX1192">
        <v>2438038</v>
      </c>
      <c r="AY1192" t="s">
        <v>106</v>
      </c>
      <c r="AZ1192" t="s">
        <v>92</v>
      </c>
      <c r="BA1192" t="s">
        <v>107</v>
      </c>
      <c r="BB1192" t="s">
        <v>4694</v>
      </c>
      <c r="BC1192" t="s">
        <v>1186</v>
      </c>
      <c r="BE1192" t="s">
        <v>96</v>
      </c>
      <c r="BG1192" t="s">
        <v>4507</v>
      </c>
      <c r="BI1192" t="s">
        <v>98</v>
      </c>
      <c r="BJ1192" t="s">
        <v>4695</v>
      </c>
      <c r="BL1192" t="s">
        <v>412</v>
      </c>
    </row>
    <row r="1193" spans="1:64" hidden="1" x14ac:dyDescent="0.2">
      <c r="A1193">
        <v>1407</v>
      </c>
      <c r="B1193">
        <v>4022923306</v>
      </c>
      <c r="C1193" t="s">
        <v>101</v>
      </c>
      <c r="D1193" t="s">
        <v>4696</v>
      </c>
      <c r="E1193" t="s">
        <v>65</v>
      </c>
      <c r="F1193" t="s">
        <v>66</v>
      </c>
      <c r="G1193" t="s">
        <v>67</v>
      </c>
      <c r="H1193" t="s">
        <v>68</v>
      </c>
      <c r="I1193" t="s">
        <v>176</v>
      </c>
      <c r="J1193" t="s">
        <v>177</v>
      </c>
      <c r="K1193" t="s">
        <v>178</v>
      </c>
      <c r="M1193" t="s">
        <v>72</v>
      </c>
      <c r="N1193" t="s">
        <v>179</v>
      </c>
      <c r="O1193" t="s">
        <v>178</v>
      </c>
      <c r="P1193" t="s">
        <v>180</v>
      </c>
      <c r="Q1193" t="s">
        <v>75</v>
      </c>
      <c r="R1193" t="s">
        <v>4501</v>
      </c>
      <c r="S1193" t="s">
        <v>3788</v>
      </c>
      <c r="T1193" t="s">
        <v>78</v>
      </c>
      <c r="U1193" t="s">
        <v>3817</v>
      </c>
      <c r="V1193" t="s">
        <v>80</v>
      </c>
      <c r="W1193" s="1">
        <v>44534</v>
      </c>
      <c r="X1193" t="s">
        <v>4502</v>
      </c>
      <c r="Y1193" t="s">
        <v>4685</v>
      </c>
      <c r="Z1193" t="s">
        <v>83</v>
      </c>
      <c r="AA1193">
        <v>1</v>
      </c>
      <c r="AB1193" t="s">
        <v>4517</v>
      </c>
      <c r="AD1193" t="s">
        <v>123</v>
      </c>
      <c r="AE1193" t="s">
        <v>145</v>
      </c>
      <c r="AF1193" t="s">
        <v>146</v>
      </c>
      <c r="AG1193" t="s">
        <v>4691</v>
      </c>
      <c r="AI1193" t="s">
        <v>90</v>
      </c>
      <c r="AJ1193">
        <v>32.337034000000003</v>
      </c>
      <c r="AK1193">
        <v>-110.721254</v>
      </c>
      <c r="AL1193">
        <v>3</v>
      </c>
      <c r="AN1193">
        <v>1463</v>
      </c>
      <c r="AP1193">
        <v>1463</v>
      </c>
      <c r="AQ1193">
        <v>1469.004001</v>
      </c>
      <c r="AT1193">
        <v>4</v>
      </c>
      <c r="AU1193">
        <v>12</v>
      </c>
      <c r="AV1193">
        <v>2021</v>
      </c>
      <c r="AW1193">
        <v>2438038</v>
      </c>
      <c r="AX1193">
        <v>2438038</v>
      </c>
      <c r="AY1193" t="s">
        <v>106</v>
      </c>
      <c r="AZ1193" t="s">
        <v>92</v>
      </c>
      <c r="BA1193" t="s">
        <v>107</v>
      </c>
      <c r="BB1193" t="s">
        <v>4697</v>
      </c>
      <c r="BC1193" t="s">
        <v>1186</v>
      </c>
      <c r="BE1193" t="s">
        <v>96</v>
      </c>
      <c r="BG1193" t="s">
        <v>4507</v>
      </c>
      <c r="BI1193" t="s">
        <v>98</v>
      </c>
      <c r="BJ1193" t="s">
        <v>4698</v>
      </c>
      <c r="BL1193" t="s">
        <v>412</v>
      </c>
    </row>
    <row r="1194" spans="1:64" hidden="1" x14ac:dyDescent="0.2">
      <c r="A1194">
        <v>1409</v>
      </c>
      <c r="B1194">
        <v>4022923304</v>
      </c>
      <c r="C1194" t="s">
        <v>101</v>
      </c>
      <c r="D1194" t="s">
        <v>4699</v>
      </c>
      <c r="E1194" t="s">
        <v>65</v>
      </c>
      <c r="F1194" t="s">
        <v>66</v>
      </c>
      <c r="G1194" t="s">
        <v>67</v>
      </c>
      <c r="H1194" t="s">
        <v>68</v>
      </c>
      <c r="I1194" t="s">
        <v>176</v>
      </c>
      <c r="J1194" t="s">
        <v>177</v>
      </c>
      <c r="K1194" t="s">
        <v>178</v>
      </c>
      <c r="M1194" t="s">
        <v>72</v>
      </c>
      <c r="N1194" t="s">
        <v>179</v>
      </c>
      <c r="O1194" t="s">
        <v>178</v>
      </c>
      <c r="P1194" t="s">
        <v>180</v>
      </c>
      <c r="Q1194" t="s">
        <v>75</v>
      </c>
      <c r="R1194" t="s">
        <v>4501</v>
      </c>
      <c r="S1194" t="s">
        <v>3788</v>
      </c>
      <c r="T1194" t="s">
        <v>78</v>
      </c>
      <c r="U1194" t="s">
        <v>3817</v>
      </c>
      <c r="V1194" t="s">
        <v>80</v>
      </c>
      <c r="W1194" s="1">
        <v>44534</v>
      </c>
      <c r="X1194" t="s">
        <v>4502</v>
      </c>
      <c r="Y1194" t="s">
        <v>4685</v>
      </c>
      <c r="Z1194" t="s">
        <v>83</v>
      </c>
      <c r="AA1194">
        <v>1</v>
      </c>
      <c r="AB1194" t="s">
        <v>4517</v>
      </c>
      <c r="AD1194" t="s">
        <v>139</v>
      </c>
      <c r="AE1194" t="s">
        <v>145</v>
      </c>
      <c r="AF1194" t="s">
        <v>146</v>
      </c>
      <c r="AG1194" t="s">
        <v>4691</v>
      </c>
      <c r="AI1194" t="s">
        <v>90</v>
      </c>
      <c r="AJ1194">
        <v>32.337034000000003</v>
      </c>
      <c r="AK1194">
        <v>-110.721254</v>
      </c>
      <c r="AL1194">
        <v>3</v>
      </c>
      <c r="AN1194">
        <v>1463</v>
      </c>
      <c r="AP1194">
        <v>1463</v>
      </c>
      <c r="AQ1194">
        <v>1469.004001</v>
      </c>
      <c r="AT1194">
        <v>4</v>
      </c>
      <c r="AU1194">
        <v>12</v>
      </c>
      <c r="AV1194">
        <v>2021</v>
      </c>
      <c r="AW1194">
        <v>2438038</v>
      </c>
      <c r="AX1194">
        <v>2438038</v>
      </c>
      <c r="AY1194" t="s">
        <v>106</v>
      </c>
      <c r="AZ1194" t="s">
        <v>92</v>
      </c>
      <c r="BA1194" t="s">
        <v>107</v>
      </c>
      <c r="BB1194" t="s">
        <v>4700</v>
      </c>
      <c r="BC1194" t="s">
        <v>1186</v>
      </c>
      <c r="BE1194" t="s">
        <v>96</v>
      </c>
      <c r="BG1194" t="s">
        <v>4507</v>
      </c>
      <c r="BI1194" t="s">
        <v>98</v>
      </c>
      <c r="BJ1194" t="s">
        <v>2419</v>
      </c>
      <c r="BL1194" t="s">
        <v>412</v>
      </c>
    </row>
    <row r="1195" spans="1:64" hidden="1" x14ac:dyDescent="0.2">
      <c r="A1195">
        <v>1411</v>
      </c>
      <c r="B1195">
        <v>4022923302</v>
      </c>
      <c r="C1195" t="s">
        <v>101</v>
      </c>
      <c r="D1195" t="s">
        <v>4701</v>
      </c>
      <c r="E1195" t="s">
        <v>65</v>
      </c>
      <c r="F1195" t="s">
        <v>66</v>
      </c>
      <c r="G1195" t="s">
        <v>67</v>
      </c>
      <c r="H1195" t="s">
        <v>68</v>
      </c>
      <c r="I1195" t="s">
        <v>176</v>
      </c>
      <c r="J1195" t="s">
        <v>177</v>
      </c>
      <c r="K1195" t="s">
        <v>178</v>
      </c>
      <c r="M1195" t="s">
        <v>72</v>
      </c>
      <c r="N1195" t="s">
        <v>179</v>
      </c>
      <c r="O1195" t="s">
        <v>178</v>
      </c>
      <c r="P1195" t="s">
        <v>180</v>
      </c>
      <c r="Q1195" t="s">
        <v>75</v>
      </c>
      <c r="R1195" t="s">
        <v>4501</v>
      </c>
      <c r="S1195" t="s">
        <v>3788</v>
      </c>
      <c r="T1195" t="s">
        <v>78</v>
      </c>
      <c r="U1195" t="s">
        <v>3817</v>
      </c>
      <c r="V1195" t="s">
        <v>80</v>
      </c>
      <c r="W1195" s="1">
        <v>44534</v>
      </c>
      <c r="X1195" t="s">
        <v>4502</v>
      </c>
      <c r="Y1195" t="s">
        <v>4685</v>
      </c>
      <c r="Z1195" t="s">
        <v>83</v>
      </c>
      <c r="AA1195">
        <v>1</v>
      </c>
      <c r="AB1195" t="s">
        <v>672</v>
      </c>
      <c r="AD1195" t="s">
        <v>134</v>
      </c>
      <c r="AE1195" t="s">
        <v>145</v>
      </c>
      <c r="AF1195" t="s">
        <v>146</v>
      </c>
      <c r="AG1195" t="s">
        <v>4691</v>
      </c>
      <c r="AI1195" t="s">
        <v>90</v>
      </c>
      <c r="AJ1195">
        <v>32.337034000000003</v>
      </c>
      <c r="AK1195">
        <v>-110.721254</v>
      </c>
      <c r="AL1195">
        <v>3</v>
      </c>
      <c r="AN1195">
        <v>1463</v>
      </c>
      <c r="AP1195">
        <v>1463</v>
      </c>
      <c r="AQ1195">
        <v>1469.004001</v>
      </c>
      <c r="AT1195">
        <v>4</v>
      </c>
      <c r="AU1195">
        <v>12</v>
      </c>
      <c r="AV1195">
        <v>2021</v>
      </c>
      <c r="AW1195">
        <v>2438038</v>
      </c>
      <c r="AX1195">
        <v>2438038</v>
      </c>
      <c r="AY1195" t="s">
        <v>106</v>
      </c>
      <c r="AZ1195" t="s">
        <v>92</v>
      </c>
      <c r="BA1195" t="s">
        <v>107</v>
      </c>
      <c r="BB1195" t="s">
        <v>4702</v>
      </c>
      <c r="BC1195" t="s">
        <v>1186</v>
      </c>
      <c r="BE1195" t="s">
        <v>96</v>
      </c>
      <c r="BG1195" t="s">
        <v>4507</v>
      </c>
      <c r="BI1195" t="s">
        <v>98</v>
      </c>
      <c r="BJ1195" t="s">
        <v>1827</v>
      </c>
      <c r="BL1195" t="s">
        <v>412</v>
      </c>
    </row>
    <row r="1196" spans="1:64" hidden="1" x14ac:dyDescent="0.2">
      <c r="A1196">
        <v>1393</v>
      </c>
      <c r="B1196">
        <v>4022923320</v>
      </c>
      <c r="C1196" t="s">
        <v>101</v>
      </c>
      <c r="D1196" t="s">
        <v>4703</v>
      </c>
      <c r="E1196" t="s">
        <v>65</v>
      </c>
      <c r="F1196" t="s">
        <v>66</v>
      </c>
      <c r="G1196" t="s">
        <v>67</v>
      </c>
      <c r="H1196" t="s">
        <v>68</v>
      </c>
      <c r="I1196" t="s">
        <v>176</v>
      </c>
      <c r="J1196" t="s">
        <v>177</v>
      </c>
      <c r="K1196" t="s">
        <v>178</v>
      </c>
      <c r="M1196" t="s">
        <v>72</v>
      </c>
      <c r="N1196" t="s">
        <v>179</v>
      </c>
      <c r="O1196" t="s">
        <v>178</v>
      </c>
      <c r="P1196" t="s">
        <v>180</v>
      </c>
      <c r="Q1196" t="s">
        <v>75</v>
      </c>
      <c r="R1196" t="s">
        <v>4501</v>
      </c>
      <c r="S1196" t="s">
        <v>3788</v>
      </c>
      <c r="T1196" t="s">
        <v>78</v>
      </c>
      <c r="U1196" t="s">
        <v>3817</v>
      </c>
      <c r="V1196" t="s">
        <v>80</v>
      </c>
      <c r="W1196" s="1">
        <v>44534</v>
      </c>
      <c r="X1196" t="s">
        <v>4502</v>
      </c>
      <c r="Y1196" t="s">
        <v>4685</v>
      </c>
      <c r="Z1196" t="s">
        <v>83</v>
      </c>
      <c r="AA1196">
        <v>1</v>
      </c>
      <c r="AB1196" t="s">
        <v>4517</v>
      </c>
      <c r="AD1196" t="s">
        <v>116</v>
      </c>
      <c r="AE1196" t="s">
        <v>145</v>
      </c>
      <c r="AF1196" t="s">
        <v>146</v>
      </c>
      <c r="AG1196" t="s">
        <v>4691</v>
      </c>
      <c r="AI1196" t="s">
        <v>90</v>
      </c>
      <c r="AJ1196">
        <v>32.337034000000003</v>
      </c>
      <c r="AK1196">
        <v>-110.721254</v>
      </c>
      <c r="AL1196">
        <v>3</v>
      </c>
      <c r="AN1196">
        <v>1463</v>
      </c>
      <c r="AP1196">
        <v>1463</v>
      </c>
      <c r="AQ1196">
        <v>1469.004001</v>
      </c>
      <c r="AT1196">
        <v>4</v>
      </c>
      <c r="AU1196">
        <v>12</v>
      </c>
      <c r="AV1196">
        <v>2021</v>
      </c>
      <c r="AW1196">
        <v>2438038</v>
      </c>
      <c r="AX1196">
        <v>2438038</v>
      </c>
      <c r="AY1196" t="s">
        <v>106</v>
      </c>
      <c r="AZ1196" t="s">
        <v>92</v>
      </c>
      <c r="BA1196" t="s">
        <v>107</v>
      </c>
      <c r="BB1196" t="s">
        <v>4704</v>
      </c>
      <c r="BC1196" t="s">
        <v>1186</v>
      </c>
      <c r="BE1196" t="s">
        <v>96</v>
      </c>
      <c r="BG1196" t="s">
        <v>4507</v>
      </c>
      <c r="BI1196" t="s">
        <v>98</v>
      </c>
      <c r="BJ1196" t="s">
        <v>4698</v>
      </c>
      <c r="BL1196" t="s">
        <v>412</v>
      </c>
    </row>
    <row r="1197" spans="1:64" x14ac:dyDescent="0.2">
      <c r="A1197">
        <v>342</v>
      </c>
      <c r="B1197">
        <v>4403380324</v>
      </c>
      <c r="C1197" t="s">
        <v>63</v>
      </c>
      <c r="D1197" t="s">
        <v>1642</v>
      </c>
      <c r="E1197" t="s">
        <v>65</v>
      </c>
      <c r="F1197" t="s">
        <v>66</v>
      </c>
      <c r="G1197" t="s">
        <v>67</v>
      </c>
      <c r="H1197" t="s">
        <v>68</v>
      </c>
      <c r="I1197" t="s">
        <v>176</v>
      </c>
      <c r="J1197" t="s">
        <v>1251</v>
      </c>
      <c r="K1197" t="s">
        <v>1252</v>
      </c>
      <c r="M1197" t="s">
        <v>72</v>
      </c>
      <c r="N1197" t="s">
        <v>1253</v>
      </c>
      <c r="O1197" t="s">
        <v>1252</v>
      </c>
      <c r="P1197" t="s">
        <v>1254</v>
      </c>
      <c r="Q1197" t="s">
        <v>75</v>
      </c>
      <c r="R1197" t="s">
        <v>1177</v>
      </c>
      <c r="S1197" t="s">
        <v>1643</v>
      </c>
      <c r="T1197" t="s">
        <v>78</v>
      </c>
      <c r="U1197" t="s">
        <v>646</v>
      </c>
      <c r="V1197" t="s">
        <v>1179</v>
      </c>
      <c r="W1197" s="1">
        <v>45109</v>
      </c>
      <c r="X1197" t="s">
        <v>1180</v>
      </c>
      <c r="Y1197" t="s">
        <v>1644</v>
      </c>
      <c r="Z1197" t="s">
        <v>83</v>
      </c>
      <c r="AA1197">
        <v>1</v>
      </c>
      <c r="AB1197" t="s">
        <v>1645</v>
      </c>
      <c r="AC1197">
        <v>1</v>
      </c>
      <c r="AD1197" s="6" t="s">
        <v>85</v>
      </c>
      <c r="AE1197" s="6" t="s">
        <v>86</v>
      </c>
      <c r="AF1197" s="6" t="s">
        <v>402</v>
      </c>
      <c r="AG1197" s="6" t="s">
        <v>1646</v>
      </c>
      <c r="AH1197" s="6" t="s">
        <v>1647</v>
      </c>
      <c r="AI1197" s="6" t="s">
        <v>90</v>
      </c>
      <c r="AJ1197" s="6">
        <v>32.449154</v>
      </c>
      <c r="AK1197" s="6">
        <v>-110.737861</v>
      </c>
      <c r="AL1197" s="6">
        <v>3</v>
      </c>
      <c r="AM1197" s="6"/>
      <c r="AN1197" s="6">
        <v>2065</v>
      </c>
      <c r="AO1197" s="6"/>
      <c r="AP1197" s="6">
        <v>2065</v>
      </c>
      <c r="AQ1197" s="6">
        <v>2087.4860619999999</v>
      </c>
      <c r="AR1197" s="6"/>
      <c r="AS1197" s="6"/>
      <c r="AT1197" s="6">
        <v>2</v>
      </c>
      <c r="AU1197" s="6">
        <v>7</v>
      </c>
      <c r="AV1197" s="6">
        <v>2023</v>
      </c>
      <c r="AW1197" s="6">
        <v>2438156</v>
      </c>
      <c r="AX1197" s="6">
        <v>2438156</v>
      </c>
      <c r="AY1197" s="6" t="s">
        <v>91</v>
      </c>
      <c r="AZ1197" t="s">
        <v>92</v>
      </c>
      <c r="BA1197" t="s">
        <v>93</v>
      </c>
      <c r="BB1197" t="s">
        <v>1648</v>
      </c>
      <c r="BC1197" t="s">
        <v>1186</v>
      </c>
      <c r="BD1197" s="1">
        <v>45109</v>
      </c>
      <c r="BE1197" t="s">
        <v>96</v>
      </c>
      <c r="BG1197" t="s">
        <v>1649</v>
      </c>
      <c r="BI1197" t="s">
        <v>98</v>
      </c>
      <c r="BJ1197" t="s">
        <v>1431</v>
      </c>
      <c r="BK1197" t="s">
        <v>365</v>
      </c>
      <c r="BL1197" t="s">
        <v>407</v>
      </c>
    </row>
    <row r="1198" spans="1:64" hidden="1" x14ac:dyDescent="0.2">
      <c r="A1198">
        <v>1601</v>
      </c>
      <c r="B1198">
        <v>3744741532</v>
      </c>
      <c r="C1198" t="s">
        <v>101</v>
      </c>
      <c r="D1198" t="s">
        <v>4712</v>
      </c>
      <c r="E1198" t="s">
        <v>65</v>
      </c>
      <c r="F1198" t="s">
        <v>66</v>
      </c>
      <c r="G1198" t="s">
        <v>67</v>
      </c>
      <c r="H1198" t="s">
        <v>68</v>
      </c>
      <c r="I1198" t="s">
        <v>69</v>
      </c>
      <c r="J1198" t="s">
        <v>70</v>
      </c>
      <c r="K1198" t="s">
        <v>4195</v>
      </c>
      <c r="M1198" t="s">
        <v>72</v>
      </c>
      <c r="N1198" t="s">
        <v>4196</v>
      </c>
      <c r="O1198" t="s">
        <v>4195</v>
      </c>
      <c r="P1198" t="s">
        <v>4197</v>
      </c>
      <c r="Q1198" t="s">
        <v>75</v>
      </c>
      <c r="R1198" t="s">
        <v>4510</v>
      </c>
      <c r="S1198" t="s">
        <v>3812</v>
      </c>
      <c r="T1198" t="s">
        <v>78</v>
      </c>
      <c r="U1198" t="s">
        <v>3817</v>
      </c>
      <c r="V1198" t="s">
        <v>80</v>
      </c>
      <c r="W1198" s="1">
        <v>44534</v>
      </c>
      <c r="X1198" t="s">
        <v>4502</v>
      </c>
      <c r="Y1198" t="s">
        <v>4708</v>
      </c>
      <c r="Z1198" t="s">
        <v>83</v>
      </c>
      <c r="AA1198">
        <v>1</v>
      </c>
      <c r="AB1198" t="s">
        <v>4517</v>
      </c>
      <c r="AD1198" t="s">
        <v>139</v>
      </c>
      <c r="AE1198" t="s">
        <v>86</v>
      </c>
      <c r="AF1198" t="s">
        <v>281</v>
      </c>
      <c r="AG1198" t="s">
        <v>2650</v>
      </c>
      <c r="AI1198" t="s">
        <v>90</v>
      </c>
      <c r="AJ1198">
        <v>32.337330999999999</v>
      </c>
      <c r="AK1198">
        <v>-110.721548</v>
      </c>
      <c r="AL1198">
        <v>3</v>
      </c>
      <c r="AN1198">
        <v>1460</v>
      </c>
      <c r="AP1198">
        <v>1460</v>
      </c>
      <c r="AQ1198">
        <v>1467.900983</v>
      </c>
      <c r="AT1198">
        <v>4</v>
      </c>
      <c r="AU1198">
        <v>12</v>
      </c>
      <c r="AV1198">
        <v>2021</v>
      </c>
      <c r="AW1198">
        <v>2439589</v>
      </c>
      <c r="AX1198">
        <v>2439589</v>
      </c>
      <c r="AY1198" t="s">
        <v>106</v>
      </c>
      <c r="AZ1198" t="s">
        <v>92</v>
      </c>
      <c r="BA1198" t="s">
        <v>107</v>
      </c>
      <c r="BB1198" t="s">
        <v>4713</v>
      </c>
      <c r="BC1198" t="s">
        <v>1186</v>
      </c>
      <c r="BE1198" t="s">
        <v>96</v>
      </c>
      <c r="BG1198" t="s">
        <v>4507</v>
      </c>
      <c r="BI1198" t="s">
        <v>98</v>
      </c>
      <c r="BJ1198" t="s">
        <v>467</v>
      </c>
      <c r="BL1198" t="s">
        <v>412</v>
      </c>
    </row>
    <row r="1199" spans="1:64" x14ac:dyDescent="0.2">
      <c r="A1199">
        <v>339</v>
      </c>
      <c r="B1199">
        <v>4403380327</v>
      </c>
      <c r="C1199" t="s">
        <v>63</v>
      </c>
      <c r="D1199" t="s">
        <v>1673</v>
      </c>
      <c r="E1199" t="s">
        <v>65</v>
      </c>
      <c r="F1199" t="s">
        <v>66</v>
      </c>
      <c r="G1199" t="s">
        <v>67</v>
      </c>
      <c r="H1199" t="s">
        <v>68</v>
      </c>
      <c r="I1199" t="s">
        <v>176</v>
      </c>
      <c r="J1199" t="s">
        <v>773</v>
      </c>
      <c r="K1199" t="s">
        <v>774</v>
      </c>
      <c r="M1199" t="s">
        <v>72</v>
      </c>
      <c r="N1199" t="s">
        <v>775</v>
      </c>
      <c r="O1199" t="s">
        <v>774</v>
      </c>
      <c r="P1199" t="s">
        <v>776</v>
      </c>
      <c r="Q1199" t="s">
        <v>75</v>
      </c>
      <c r="R1199" t="s">
        <v>1177</v>
      </c>
      <c r="S1199" t="s">
        <v>1674</v>
      </c>
      <c r="T1199" t="s">
        <v>78</v>
      </c>
      <c r="U1199" t="s">
        <v>646</v>
      </c>
      <c r="V1199" t="s">
        <v>1179</v>
      </c>
      <c r="W1199" s="1">
        <v>45109</v>
      </c>
      <c r="X1199" t="s">
        <v>1180</v>
      </c>
      <c r="Y1199" t="s">
        <v>1675</v>
      </c>
      <c r="Z1199" t="s">
        <v>83</v>
      </c>
      <c r="AA1199">
        <v>1</v>
      </c>
      <c r="AB1199" t="s">
        <v>1676</v>
      </c>
      <c r="AC1199">
        <v>1</v>
      </c>
      <c r="AD1199" s="6" t="s">
        <v>85</v>
      </c>
      <c r="AE1199" s="6" t="s">
        <v>86</v>
      </c>
      <c r="AF1199" s="6" t="s">
        <v>359</v>
      </c>
      <c r="AG1199" s="6" t="s">
        <v>1677</v>
      </c>
      <c r="AH1199" s="6" t="s">
        <v>1678</v>
      </c>
      <c r="AI1199" s="6" t="s">
        <v>90</v>
      </c>
      <c r="AJ1199" s="6">
        <v>32.450713999999998</v>
      </c>
      <c r="AK1199" s="6">
        <v>-110.73682599999999</v>
      </c>
      <c r="AL1199" s="6">
        <v>3</v>
      </c>
      <c r="AM1199" s="6"/>
      <c r="AN1199" s="6">
        <v>2063</v>
      </c>
      <c r="AO1199" s="6"/>
      <c r="AP1199" s="6">
        <v>2063</v>
      </c>
      <c r="AQ1199" s="6">
        <v>2064.604855</v>
      </c>
      <c r="AR1199" s="6"/>
      <c r="AS1199" s="6"/>
      <c r="AT1199" s="6">
        <v>2</v>
      </c>
      <c r="AU1199" s="6">
        <v>7</v>
      </c>
      <c r="AV1199" s="6">
        <v>2023</v>
      </c>
      <c r="AW1199" s="6">
        <v>2438447</v>
      </c>
      <c r="AX1199" s="6">
        <v>2438447</v>
      </c>
      <c r="AY1199" s="6" t="s">
        <v>91</v>
      </c>
      <c r="AZ1199" t="s">
        <v>92</v>
      </c>
      <c r="BA1199" t="s">
        <v>93</v>
      </c>
      <c r="BB1199" t="s">
        <v>1679</v>
      </c>
      <c r="BC1199" t="s">
        <v>1186</v>
      </c>
      <c r="BD1199" s="1">
        <v>45109</v>
      </c>
      <c r="BE1199" t="s">
        <v>96</v>
      </c>
      <c r="BG1199" t="s">
        <v>1649</v>
      </c>
      <c r="BI1199" t="s">
        <v>98</v>
      </c>
      <c r="BJ1199" t="s">
        <v>1431</v>
      </c>
      <c r="BK1199" t="s">
        <v>365</v>
      </c>
      <c r="BL1199" t="s">
        <v>407</v>
      </c>
    </row>
    <row r="1200" spans="1:64" x14ac:dyDescent="0.2">
      <c r="A1200">
        <v>340</v>
      </c>
      <c r="B1200">
        <v>4403380326</v>
      </c>
      <c r="C1200" t="s">
        <v>63</v>
      </c>
      <c r="D1200" t="s">
        <v>1714</v>
      </c>
      <c r="E1200" t="s">
        <v>65</v>
      </c>
      <c r="F1200" t="s">
        <v>66</v>
      </c>
      <c r="G1200" t="s">
        <v>67</v>
      </c>
      <c r="H1200" t="s">
        <v>68</v>
      </c>
      <c r="I1200" t="s">
        <v>176</v>
      </c>
      <c r="J1200" t="s">
        <v>773</v>
      </c>
      <c r="K1200" t="s">
        <v>1347</v>
      </c>
      <c r="M1200" t="s">
        <v>72</v>
      </c>
      <c r="N1200" t="s">
        <v>1348</v>
      </c>
      <c r="O1200" t="s">
        <v>1347</v>
      </c>
      <c r="P1200" t="s">
        <v>1349</v>
      </c>
      <c r="Q1200" t="s">
        <v>75</v>
      </c>
      <c r="R1200" t="s">
        <v>1177</v>
      </c>
      <c r="S1200" t="s">
        <v>1715</v>
      </c>
      <c r="T1200" t="s">
        <v>78</v>
      </c>
      <c r="U1200" t="s">
        <v>646</v>
      </c>
      <c r="V1200" t="s">
        <v>1179</v>
      </c>
      <c r="W1200" s="1">
        <v>45109</v>
      </c>
      <c r="X1200" t="s">
        <v>1180</v>
      </c>
      <c r="Y1200" t="s">
        <v>1716</v>
      </c>
      <c r="Z1200" t="s">
        <v>83</v>
      </c>
      <c r="AA1200">
        <v>1</v>
      </c>
      <c r="AB1200" t="s">
        <v>1717</v>
      </c>
      <c r="AC1200">
        <v>1</v>
      </c>
      <c r="AD1200" s="6" t="s">
        <v>85</v>
      </c>
      <c r="AE1200" s="6" t="s">
        <v>145</v>
      </c>
      <c r="AF1200" s="6" t="s">
        <v>610</v>
      </c>
      <c r="AG1200" s="6" t="s">
        <v>1718</v>
      </c>
      <c r="AH1200" s="6" t="s">
        <v>1719</v>
      </c>
      <c r="AI1200" s="6" t="s">
        <v>90</v>
      </c>
      <c r="AJ1200" s="6">
        <v>32.449168999999998</v>
      </c>
      <c r="AK1200" s="6">
        <v>-110.737905</v>
      </c>
      <c r="AL1200" s="6">
        <v>3</v>
      </c>
      <c r="AM1200" s="6"/>
      <c r="AN1200" s="6">
        <v>2071</v>
      </c>
      <c r="AO1200" s="6"/>
      <c r="AP1200" s="6">
        <v>2071</v>
      </c>
      <c r="AQ1200" s="6">
        <v>2087.5710469999999</v>
      </c>
      <c r="AR1200" s="6"/>
      <c r="AS1200" s="6"/>
      <c r="AT1200" s="6">
        <v>2</v>
      </c>
      <c r="AU1200" s="6">
        <v>7</v>
      </c>
      <c r="AV1200" s="6">
        <v>2023</v>
      </c>
      <c r="AW1200" s="6">
        <v>2438454</v>
      </c>
      <c r="AX1200" s="6">
        <v>2438454</v>
      </c>
      <c r="AY1200" s="6" t="s">
        <v>91</v>
      </c>
      <c r="AZ1200" t="s">
        <v>92</v>
      </c>
      <c r="BA1200" t="s">
        <v>93</v>
      </c>
      <c r="BB1200" t="s">
        <v>1720</v>
      </c>
      <c r="BC1200" t="s">
        <v>1186</v>
      </c>
      <c r="BD1200" s="1">
        <v>45109</v>
      </c>
      <c r="BE1200" t="s">
        <v>96</v>
      </c>
      <c r="BG1200" t="s">
        <v>1649</v>
      </c>
      <c r="BI1200" t="s">
        <v>98</v>
      </c>
      <c r="BJ1200" t="s">
        <v>1360</v>
      </c>
      <c r="BK1200" t="s">
        <v>365</v>
      </c>
      <c r="BL1200" t="s">
        <v>407</v>
      </c>
    </row>
    <row r="1201" spans="1:64" hidden="1" x14ac:dyDescent="0.2">
      <c r="A1201">
        <v>1381</v>
      </c>
      <c r="B1201">
        <v>4022923332</v>
      </c>
      <c r="C1201" t="s">
        <v>101</v>
      </c>
      <c r="D1201" t="s">
        <v>4718</v>
      </c>
      <c r="E1201" t="s">
        <v>65</v>
      </c>
      <c r="F1201" t="s">
        <v>66</v>
      </c>
      <c r="G1201" t="s">
        <v>67</v>
      </c>
      <c r="H1201" t="s">
        <v>68</v>
      </c>
      <c r="I1201" t="s">
        <v>69</v>
      </c>
      <c r="J1201" t="s">
        <v>70</v>
      </c>
      <c r="K1201" t="s">
        <v>4195</v>
      </c>
      <c r="M1201" t="s">
        <v>72</v>
      </c>
      <c r="N1201" t="s">
        <v>4196</v>
      </c>
      <c r="O1201" t="s">
        <v>4195</v>
      </c>
      <c r="P1201" t="s">
        <v>4197</v>
      </c>
      <c r="Q1201" t="s">
        <v>75</v>
      </c>
      <c r="R1201" t="s">
        <v>4501</v>
      </c>
      <c r="S1201" t="s">
        <v>3812</v>
      </c>
      <c r="T1201" t="s">
        <v>78</v>
      </c>
      <c r="U1201" t="s">
        <v>3817</v>
      </c>
      <c r="V1201" t="s">
        <v>80</v>
      </c>
      <c r="W1201" s="1">
        <v>44534</v>
      </c>
      <c r="X1201" t="s">
        <v>4502</v>
      </c>
      <c r="Y1201" t="s">
        <v>4708</v>
      </c>
      <c r="Z1201" t="s">
        <v>83</v>
      </c>
      <c r="AA1201">
        <v>1</v>
      </c>
      <c r="AB1201" t="s">
        <v>4517</v>
      </c>
      <c r="AD1201" t="s">
        <v>123</v>
      </c>
      <c r="AE1201" t="s">
        <v>86</v>
      </c>
      <c r="AF1201" t="s">
        <v>281</v>
      </c>
      <c r="AG1201" t="s">
        <v>2650</v>
      </c>
      <c r="AI1201" t="s">
        <v>90</v>
      </c>
      <c r="AJ1201">
        <v>32.337330999999999</v>
      </c>
      <c r="AK1201">
        <v>-110.721548</v>
      </c>
      <c r="AL1201">
        <v>3</v>
      </c>
      <c r="AN1201">
        <v>1460</v>
      </c>
      <c r="AP1201">
        <v>1460</v>
      </c>
      <c r="AQ1201">
        <v>1467.900983</v>
      </c>
      <c r="AT1201">
        <v>4</v>
      </c>
      <c r="AU1201">
        <v>12</v>
      </c>
      <c r="AV1201">
        <v>2021</v>
      </c>
      <c r="AW1201">
        <v>2439589</v>
      </c>
      <c r="AX1201">
        <v>2439589</v>
      </c>
      <c r="AY1201" t="s">
        <v>106</v>
      </c>
      <c r="AZ1201" t="s">
        <v>92</v>
      </c>
      <c r="BA1201" t="s">
        <v>107</v>
      </c>
      <c r="BB1201" t="s">
        <v>4719</v>
      </c>
      <c r="BC1201" t="s">
        <v>1186</v>
      </c>
      <c r="BE1201" t="s">
        <v>96</v>
      </c>
      <c r="BG1201" t="s">
        <v>4507</v>
      </c>
      <c r="BI1201" t="s">
        <v>98</v>
      </c>
      <c r="BJ1201" t="s">
        <v>450</v>
      </c>
      <c r="BL1201" t="s">
        <v>412</v>
      </c>
    </row>
    <row r="1202" spans="1:64" hidden="1" x14ac:dyDescent="0.2">
      <c r="A1202">
        <v>1373</v>
      </c>
      <c r="B1202">
        <v>4022923340</v>
      </c>
      <c r="C1202" t="s">
        <v>101</v>
      </c>
      <c r="D1202" t="s">
        <v>4720</v>
      </c>
      <c r="E1202" t="s">
        <v>65</v>
      </c>
      <c r="F1202" t="s">
        <v>66</v>
      </c>
      <c r="G1202" t="s">
        <v>67</v>
      </c>
      <c r="H1202" t="s">
        <v>68</v>
      </c>
      <c r="I1202" t="s">
        <v>69</v>
      </c>
      <c r="J1202" t="s">
        <v>70</v>
      </c>
      <c r="K1202" t="s">
        <v>4195</v>
      </c>
      <c r="M1202" t="s">
        <v>72</v>
      </c>
      <c r="N1202" t="s">
        <v>4196</v>
      </c>
      <c r="O1202" t="s">
        <v>4195</v>
      </c>
      <c r="P1202" t="s">
        <v>4197</v>
      </c>
      <c r="Q1202" t="s">
        <v>75</v>
      </c>
      <c r="R1202" t="s">
        <v>4501</v>
      </c>
      <c r="S1202" t="s">
        <v>3812</v>
      </c>
      <c r="T1202" t="s">
        <v>78</v>
      </c>
      <c r="U1202" t="s">
        <v>3817</v>
      </c>
      <c r="V1202" t="s">
        <v>80</v>
      </c>
      <c r="W1202" s="1">
        <v>44534</v>
      </c>
      <c r="X1202" t="s">
        <v>4502</v>
      </c>
      <c r="Y1202" t="s">
        <v>4708</v>
      </c>
      <c r="Z1202" t="s">
        <v>83</v>
      </c>
      <c r="AA1202">
        <v>1</v>
      </c>
      <c r="AB1202" t="s">
        <v>4517</v>
      </c>
      <c r="AD1202" t="s">
        <v>112</v>
      </c>
      <c r="AE1202" t="s">
        <v>86</v>
      </c>
      <c r="AF1202" t="s">
        <v>281</v>
      </c>
      <c r="AG1202" t="s">
        <v>2650</v>
      </c>
      <c r="AI1202" t="s">
        <v>90</v>
      </c>
      <c r="AJ1202">
        <v>32.337330999999999</v>
      </c>
      <c r="AK1202">
        <v>-110.721548</v>
      </c>
      <c r="AL1202">
        <v>3</v>
      </c>
      <c r="AN1202">
        <v>1460</v>
      </c>
      <c r="AP1202">
        <v>1460</v>
      </c>
      <c r="AQ1202">
        <v>1467.900983</v>
      </c>
      <c r="AT1202">
        <v>4</v>
      </c>
      <c r="AU1202">
        <v>12</v>
      </c>
      <c r="AV1202">
        <v>2021</v>
      </c>
      <c r="AW1202">
        <v>2439589</v>
      </c>
      <c r="AX1202">
        <v>2439589</v>
      </c>
      <c r="AY1202" t="s">
        <v>106</v>
      </c>
      <c r="AZ1202" t="s">
        <v>92</v>
      </c>
      <c r="BA1202" t="s">
        <v>107</v>
      </c>
      <c r="BB1202" t="s">
        <v>4721</v>
      </c>
      <c r="BC1202" t="s">
        <v>1186</v>
      </c>
      <c r="BE1202" t="s">
        <v>96</v>
      </c>
      <c r="BG1202" t="s">
        <v>4507</v>
      </c>
      <c r="BI1202" t="s">
        <v>98</v>
      </c>
      <c r="BJ1202" t="s">
        <v>380</v>
      </c>
      <c r="BL1202" t="s">
        <v>412</v>
      </c>
    </row>
    <row r="1203" spans="1:64" hidden="1" x14ac:dyDescent="0.2">
      <c r="A1203">
        <v>1275</v>
      </c>
      <c r="B1203">
        <v>4022923438</v>
      </c>
      <c r="C1203" t="s">
        <v>101</v>
      </c>
      <c r="D1203" t="s">
        <v>4722</v>
      </c>
      <c r="E1203" t="s">
        <v>65</v>
      </c>
      <c r="F1203" t="s">
        <v>66</v>
      </c>
      <c r="G1203" t="s">
        <v>67</v>
      </c>
      <c r="H1203" t="s">
        <v>68</v>
      </c>
      <c r="I1203" t="s">
        <v>69</v>
      </c>
      <c r="J1203" t="s">
        <v>70</v>
      </c>
      <c r="K1203" t="s">
        <v>4195</v>
      </c>
      <c r="M1203" t="s">
        <v>72</v>
      </c>
      <c r="N1203" t="s">
        <v>4196</v>
      </c>
      <c r="O1203" t="s">
        <v>4195</v>
      </c>
      <c r="P1203" t="s">
        <v>4197</v>
      </c>
      <c r="Q1203" t="s">
        <v>75</v>
      </c>
      <c r="R1203" t="s">
        <v>4501</v>
      </c>
      <c r="S1203" t="s">
        <v>3812</v>
      </c>
      <c r="T1203" t="s">
        <v>78</v>
      </c>
      <c r="U1203" t="s">
        <v>3817</v>
      </c>
      <c r="V1203" t="s">
        <v>80</v>
      </c>
      <c r="W1203" s="1">
        <v>44534</v>
      </c>
      <c r="X1203" t="s">
        <v>4502</v>
      </c>
      <c r="Y1203" t="s">
        <v>4708</v>
      </c>
      <c r="Z1203" t="s">
        <v>83</v>
      </c>
      <c r="AA1203">
        <v>1</v>
      </c>
      <c r="AB1203" t="s">
        <v>4517</v>
      </c>
      <c r="AD1203" t="s">
        <v>116</v>
      </c>
      <c r="AE1203" t="s">
        <v>86</v>
      </c>
      <c r="AF1203" t="s">
        <v>281</v>
      </c>
      <c r="AG1203" t="s">
        <v>2650</v>
      </c>
      <c r="AI1203" t="s">
        <v>90</v>
      </c>
      <c r="AJ1203">
        <v>32.337330999999999</v>
      </c>
      <c r="AK1203">
        <v>-110.721548</v>
      </c>
      <c r="AL1203">
        <v>3</v>
      </c>
      <c r="AN1203">
        <v>1460</v>
      </c>
      <c r="AP1203">
        <v>1460</v>
      </c>
      <c r="AQ1203">
        <v>1467.900983</v>
      </c>
      <c r="AT1203">
        <v>4</v>
      </c>
      <c r="AU1203">
        <v>12</v>
      </c>
      <c r="AV1203">
        <v>2021</v>
      </c>
      <c r="AW1203">
        <v>2439589</v>
      </c>
      <c r="AX1203">
        <v>2439589</v>
      </c>
      <c r="AY1203" t="s">
        <v>106</v>
      </c>
      <c r="AZ1203" t="s">
        <v>92</v>
      </c>
      <c r="BA1203" t="s">
        <v>107</v>
      </c>
      <c r="BB1203" t="s">
        <v>4723</v>
      </c>
      <c r="BC1203" t="s">
        <v>1186</v>
      </c>
      <c r="BE1203" t="s">
        <v>96</v>
      </c>
      <c r="BG1203" t="s">
        <v>4507</v>
      </c>
      <c r="BI1203" t="s">
        <v>98</v>
      </c>
      <c r="BJ1203" t="s">
        <v>4724</v>
      </c>
      <c r="BL1203" t="s">
        <v>412</v>
      </c>
    </row>
    <row r="1204" spans="1:64" hidden="1" x14ac:dyDescent="0.2">
      <c r="A1204">
        <v>1225</v>
      </c>
      <c r="B1204">
        <v>4022923488</v>
      </c>
      <c r="C1204" t="s">
        <v>101</v>
      </c>
      <c r="D1204" t="s">
        <v>4725</v>
      </c>
      <c r="E1204" t="s">
        <v>65</v>
      </c>
      <c r="F1204" t="s">
        <v>66</v>
      </c>
      <c r="G1204" t="s">
        <v>67</v>
      </c>
      <c r="H1204" t="s">
        <v>68</v>
      </c>
      <c r="I1204" t="s">
        <v>69</v>
      </c>
      <c r="J1204" t="s">
        <v>70</v>
      </c>
      <c r="K1204" t="s">
        <v>4195</v>
      </c>
      <c r="M1204" t="s">
        <v>72</v>
      </c>
      <c r="N1204" t="s">
        <v>4196</v>
      </c>
      <c r="O1204" t="s">
        <v>4195</v>
      </c>
      <c r="P1204" t="s">
        <v>4197</v>
      </c>
      <c r="Q1204" t="s">
        <v>75</v>
      </c>
      <c r="R1204" t="s">
        <v>4501</v>
      </c>
      <c r="S1204" t="s">
        <v>3812</v>
      </c>
      <c r="T1204" t="s">
        <v>78</v>
      </c>
      <c r="U1204" t="s">
        <v>3817</v>
      </c>
      <c r="V1204" t="s">
        <v>80</v>
      </c>
      <c r="W1204" s="1">
        <v>44534</v>
      </c>
      <c r="X1204" t="s">
        <v>4502</v>
      </c>
      <c r="Y1204" t="s">
        <v>4708</v>
      </c>
      <c r="Z1204" t="s">
        <v>83</v>
      </c>
      <c r="AA1204">
        <v>1</v>
      </c>
      <c r="AB1204" t="s">
        <v>4517</v>
      </c>
      <c r="AD1204" t="s">
        <v>104</v>
      </c>
      <c r="AE1204" t="s">
        <v>86</v>
      </c>
      <c r="AF1204" t="s">
        <v>281</v>
      </c>
      <c r="AG1204" t="s">
        <v>2650</v>
      </c>
      <c r="AI1204" t="s">
        <v>90</v>
      </c>
      <c r="AJ1204">
        <v>32.337330999999999</v>
      </c>
      <c r="AK1204">
        <v>-110.721548</v>
      </c>
      <c r="AL1204">
        <v>3</v>
      </c>
      <c r="AN1204">
        <v>1460</v>
      </c>
      <c r="AP1204">
        <v>1460</v>
      </c>
      <c r="AQ1204">
        <v>1467.900983</v>
      </c>
      <c r="AT1204">
        <v>4</v>
      </c>
      <c r="AU1204">
        <v>12</v>
      </c>
      <c r="AV1204">
        <v>2021</v>
      </c>
      <c r="AW1204">
        <v>2439589</v>
      </c>
      <c r="AX1204">
        <v>2439589</v>
      </c>
      <c r="AY1204" t="s">
        <v>106</v>
      </c>
      <c r="AZ1204" t="s">
        <v>92</v>
      </c>
      <c r="BA1204" t="s">
        <v>107</v>
      </c>
      <c r="BB1204" t="s">
        <v>4726</v>
      </c>
      <c r="BC1204" t="s">
        <v>1186</v>
      </c>
      <c r="BE1204" t="s">
        <v>96</v>
      </c>
      <c r="BG1204" t="s">
        <v>4507</v>
      </c>
      <c r="BI1204" t="s">
        <v>98</v>
      </c>
      <c r="BJ1204" t="s">
        <v>4601</v>
      </c>
      <c r="BL1204" t="s">
        <v>412</v>
      </c>
    </row>
    <row r="1205" spans="1:64" hidden="1" x14ac:dyDescent="0.2">
      <c r="A1205">
        <v>1224</v>
      </c>
      <c r="B1205">
        <v>4022923489</v>
      </c>
      <c r="C1205" t="s">
        <v>101</v>
      </c>
      <c r="D1205" t="s">
        <v>4727</v>
      </c>
      <c r="E1205" t="s">
        <v>65</v>
      </c>
      <c r="F1205" t="s">
        <v>66</v>
      </c>
      <c r="G1205" t="s">
        <v>67</v>
      </c>
      <c r="H1205" t="s">
        <v>68</v>
      </c>
      <c r="I1205" t="s">
        <v>69</v>
      </c>
      <c r="J1205" t="s">
        <v>70</v>
      </c>
      <c r="K1205" t="s">
        <v>4195</v>
      </c>
      <c r="M1205" t="s">
        <v>72</v>
      </c>
      <c r="N1205" t="s">
        <v>4196</v>
      </c>
      <c r="O1205" t="s">
        <v>4195</v>
      </c>
      <c r="P1205" t="s">
        <v>4197</v>
      </c>
      <c r="Q1205" t="s">
        <v>75</v>
      </c>
      <c r="R1205" t="s">
        <v>4501</v>
      </c>
      <c r="S1205" t="s">
        <v>3812</v>
      </c>
      <c r="T1205" t="s">
        <v>78</v>
      </c>
      <c r="U1205" t="s">
        <v>3817</v>
      </c>
      <c r="V1205" t="s">
        <v>80</v>
      </c>
      <c r="W1205" s="1">
        <v>44534</v>
      </c>
      <c r="X1205" t="s">
        <v>4502</v>
      </c>
      <c r="Y1205" t="s">
        <v>4708</v>
      </c>
      <c r="Z1205" t="s">
        <v>83</v>
      </c>
      <c r="AA1205">
        <v>1</v>
      </c>
      <c r="AB1205" t="s">
        <v>133</v>
      </c>
      <c r="AD1205" t="s">
        <v>134</v>
      </c>
      <c r="AE1205" t="s">
        <v>86</v>
      </c>
      <c r="AF1205" t="s">
        <v>281</v>
      </c>
      <c r="AG1205" t="s">
        <v>4728</v>
      </c>
      <c r="AI1205" t="s">
        <v>90</v>
      </c>
      <c r="AJ1205">
        <v>32.337330999999999</v>
      </c>
      <c r="AK1205">
        <v>-110.721548</v>
      </c>
      <c r="AL1205">
        <v>3</v>
      </c>
      <c r="AN1205">
        <v>1460</v>
      </c>
      <c r="AP1205">
        <v>1460</v>
      </c>
      <c r="AQ1205">
        <v>1467.900983</v>
      </c>
      <c r="AT1205">
        <v>4</v>
      </c>
      <c r="AU1205">
        <v>12</v>
      </c>
      <c r="AV1205">
        <v>2021</v>
      </c>
      <c r="AW1205">
        <v>2439589</v>
      </c>
      <c r="AX1205">
        <v>2439589</v>
      </c>
      <c r="AY1205" t="s">
        <v>106</v>
      </c>
      <c r="AZ1205" t="s">
        <v>92</v>
      </c>
      <c r="BA1205" t="s">
        <v>107</v>
      </c>
      <c r="BB1205" t="s">
        <v>4729</v>
      </c>
      <c r="BC1205" t="s">
        <v>1186</v>
      </c>
      <c r="BE1205" t="s">
        <v>96</v>
      </c>
      <c r="BG1205" t="s">
        <v>4507</v>
      </c>
      <c r="BI1205" t="s">
        <v>98</v>
      </c>
      <c r="BJ1205" t="s">
        <v>4730</v>
      </c>
      <c r="BL1205" t="s">
        <v>412</v>
      </c>
    </row>
    <row r="1206" spans="1:64" hidden="1" x14ac:dyDescent="0.2">
      <c r="A1206">
        <v>1278</v>
      </c>
      <c r="B1206">
        <v>4022923435</v>
      </c>
      <c r="C1206" t="s">
        <v>101</v>
      </c>
      <c r="D1206" t="s">
        <v>4731</v>
      </c>
      <c r="E1206" t="s">
        <v>65</v>
      </c>
      <c r="F1206" t="s">
        <v>66</v>
      </c>
      <c r="G1206" t="s">
        <v>67</v>
      </c>
      <c r="H1206" t="s">
        <v>68</v>
      </c>
      <c r="I1206" t="s">
        <v>176</v>
      </c>
      <c r="J1206" t="s">
        <v>177</v>
      </c>
      <c r="K1206" t="s">
        <v>178</v>
      </c>
      <c r="M1206" t="s">
        <v>72</v>
      </c>
      <c r="N1206" t="s">
        <v>179</v>
      </c>
      <c r="O1206" t="s">
        <v>178</v>
      </c>
      <c r="P1206" t="s">
        <v>180</v>
      </c>
      <c r="Q1206" t="s">
        <v>75</v>
      </c>
      <c r="R1206" t="s">
        <v>4501</v>
      </c>
      <c r="S1206" t="s">
        <v>4732</v>
      </c>
      <c r="T1206" t="s">
        <v>78</v>
      </c>
      <c r="U1206" t="s">
        <v>3817</v>
      </c>
      <c r="V1206" t="s">
        <v>80</v>
      </c>
      <c r="W1206" s="1">
        <v>44534</v>
      </c>
      <c r="X1206" t="s">
        <v>4502</v>
      </c>
      <c r="Y1206" t="s">
        <v>4733</v>
      </c>
      <c r="Z1206" t="s">
        <v>83</v>
      </c>
      <c r="AA1206">
        <v>1</v>
      </c>
      <c r="AB1206" t="s">
        <v>4517</v>
      </c>
      <c r="AD1206" t="s">
        <v>343</v>
      </c>
      <c r="AE1206" t="s">
        <v>86</v>
      </c>
      <c r="AF1206" t="s">
        <v>610</v>
      </c>
      <c r="AG1206" t="s">
        <v>875</v>
      </c>
      <c r="AI1206" t="s">
        <v>90</v>
      </c>
      <c r="AJ1206">
        <v>32.337369000000002</v>
      </c>
      <c r="AK1206">
        <v>-110.719869</v>
      </c>
      <c r="AL1206">
        <v>3</v>
      </c>
      <c r="AN1206">
        <v>1468</v>
      </c>
      <c r="AP1206">
        <v>1468</v>
      </c>
      <c r="AQ1206">
        <v>1480.5584120000001</v>
      </c>
      <c r="AT1206">
        <v>4</v>
      </c>
      <c r="AU1206">
        <v>12</v>
      </c>
      <c r="AV1206">
        <v>2021</v>
      </c>
      <c r="AW1206">
        <v>2438038</v>
      </c>
      <c r="AX1206">
        <v>2438038</v>
      </c>
      <c r="AY1206" t="s">
        <v>106</v>
      </c>
      <c r="AZ1206" t="s">
        <v>92</v>
      </c>
      <c r="BA1206" t="s">
        <v>107</v>
      </c>
      <c r="BB1206" t="s">
        <v>4734</v>
      </c>
      <c r="BC1206" t="s">
        <v>1186</v>
      </c>
      <c r="BE1206" t="s">
        <v>96</v>
      </c>
      <c r="BG1206" t="s">
        <v>4507</v>
      </c>
      <c r="BI1206" t="s">
        <v>98</v>
      </c>
      <c r="BJ1206" t="s">
        <v>4724</v>
      </c>
      <c r="BL1206" t="s">
        <v>412</v>
      </c>
    </row>
    <row r="1207" spans="1:64" x14ac:dyDescent="0.2">
      <c r="A1207">
        <v>344</v>
      </c>
      <c r="B1207">
        <v>4403380322</v>
      </c>
      <c r="C1207" t="s">
        <v>63</v>
      </c>
      <c r="D1207" t="s">
        <v>3173</v>
      </c>
      <c r="E1207" t="s">
        <v>65</v>
      </c>
      <c r="F1207" t="s">
        <v>66</v>
      </c>
      <c r="G1207" t="s">
        <v>67</v>
      </c>
      <c r="H1207" t="s">
        <v>68</v>
      </c>
      <c r="I1207" t="s">
        <v>176</v>
      </c>
      <c r="J1207" t="s">
        <v>773</v>
      </c>
      <c r="K1207" t="s">
        <v>774</v>
      </c>
      <c r="M1207" t="s">
        <v>72</v>
      </c>
      <c r="N1207" t="s">
        <v>775</v>
      </c>
      <c r="O1207" t="s">
        <v>774</v>
      </c>
      <c r="P1207" t="s">
        <v>776</v>
      </c>
      <c r="Q1207" t="s">
        <v>75</v>
      </c>
      <c r="R1207" t="s">
        <v>3174</v>
      </c>
      <c r="S1207" t="s">
        <v>1584</v>
      </c>
      <c r="T1207" t="s">
        <v>78</v>
      </c>
      <c r="U1207" t="s">
        <v>1822</v>
      </c>
      <c r="V1207" t="s">
        <v>80</v>
      </c>
      <c r="W1207" s="1">
        <v>45110</v>
      </c>
      <c r="X1207" t="s">
        <v>1859</v>
      </c>
      <c r="Y1207" t="s">
        <v>3175</v>
      </c>
      <c r="Z1207" t="s">
        <v>83</v>
      </c>
      <c r="AA1207">
        <v>1</v>
      </c>
      <c r="AB1207" t="s">
        <v>3176</v>
      </c>
      <c r="AC1207">
        <v>1</v>
      </c>
      <c r="AD1207" s="6" t="s">
        <v>85</v>
      </c>
      <c r="AE1207" s="6" t="s">
        <v>145</v>
      </c>
      <c r="AF1207" s="6" t="s">
        <v>402</v>
      </c>
      <c r="AG1207" s="6" t="s">
        <v>3177</v>
      </c>
      <c r="AH1207" s="6" t="s">
        <v>3178</v>
      </c>
      <c r="AI1207" s="6" t="s">
        <v>90</v>
      </c>
      <c r="AJ1207" s="6">
        <v>32.422648000000002</v>
      </c>
      <c r="AK1207" s="6">
        <v>-110.734174</v>
      </c>
      <c r="AL1207" s="6">
        <v>3</v>
      </c>
      <c r="AM1207" s="6"/>
      <c r="AN1207" s="6">
        <v>2407</v>
      </c>
      <c r="AO1207" s="6"/>
      <c r="AP1207" s="6">
        <v>2407</v>
      </c>
      <c r="AQ1207" s="6">
        <v>2430.4372669999998</v>
      </c>
      <c r="AR1207" s="6"/>
      <c r="AS1207" s="6"/>
      <c r="AT1207" s="6">
        <v>3</v>
      </c>
      <c r="AU1207" s="6">
        <v>7</v>
      </c>
      <c r="AV1207" s="6">
        <v>2023</v>
      </c>
      <c r="AW1207" s="6">
        <v>2438447</v>
      </c>
      <c r="AX1207" s="6">
        <v>2438447</v>
      </c>
      <c r="AY1207" s="6" t="s">
        <v>91</v>
      </c>
      <c r="AZ1207" t="s">
        <v>92</v>
      </c>
      <c r="BA1207" t="s">
        <v>93</v>
      </c>
      <c r="BB1207" t="s">
        <v>3179</v>
      </c>
      <c r="BC1207" t="s">
        <v>1186</v>
      </c>
      <c r="BD1207" s="1">
        <v>45110</v>
      </c>
      <c r="BE1207" t="s">
        <v>96</v>
      </c>
      <c r="BG1207" t="s">
        <v>1187</v>
      </c>
      <c r="BI1207" t="s">
        <v>98</v>
      </c>
      <c r="BJ1207" t="s">
        <v>1396</v>
      </c>
      <c r="BK1207" t="s">
        <v>365</v>
      </c>
      <c r="BL1207" t="s">
        <v>407</v>
      </c>
    </row>
    <row r="1208" spans="1:64" x14ac:dyDescent="0.2">
      <c r="A1208">
        <v>345</v>
      </c>
      <c r="B1208">
        <v>4403380321</v>
      </c>
      <c r="C1208" t="s">
        <v>63</v>
      </c>
      <c r="D1208" t="s">
        <v>3244</v>
      </c>
      <c r="E1208" t="s">
        <v>65</v>
      </c>
      <c r="F1208" t="s">
        <v>66</v>
      </c>
      <c r="G1208" t="s">
        <v>67</v>
      </c>
      <c r="H1208" t="s">
        <v>68</v>
      </c>
      <c r="I1208" t="s">
        <v>176</v>
      </c>
      <c r="J1208" t="s">
        <v>177</v>
      </c>
      <c r="K1208" t="s">
        <v>1817</v>
      </c>
      <c r="M1208" t="s">
        <v>72</v>
      </c>
      <c r="N1208" t="s">
        <v>1818</v>
      </c>
      <c r="O1208" t="s">
        <v>1817</v>
      </c>
      <c r="P1208" t="s">
        <v>1819</v>
      </c>
      <c r="Q1208" t="s">
        <v>75</v>
      </c>
      <c r="R1208" t="s">
        <v>3174</v>
      </c>
      <c r="S1208" t="s">
        <v>3245</v>
      </c>
      <c r="T1208" t="s">
        <v>78</v>
      </c>
      <c r="U1208" t="s">
        <v>1822</v>
      </c>
      <c r="V1208" t="s">
        <v>80</v>
      </c>
      <c r="W1208" s="1">
        <v>45110</v>
      </c>
      <c r="X1208" t="s">
        <v>1859</v>
      </c>
      <c r="Y1208" t="s">
        <v>3246</v>
      </c>
      <c r="Z1208" t="s">
        <v>83</v>
      </c>
      <c r="AA1208">
        <v>1</v>
      </c>
      <c r="AB1208" t="s">
        <v>3247</v>
      </c>
      <c r="AC1208">
        <v>1</v>
      </c>
      <c r="AD1208" s="6" t="s">
        <v>85</v>
      </c>
      <c r="AE1208" s="6" t="s">
        <v>145</v>
      </c>
      <c r="AF1208" s="6" t="s">
        <v>402</v>
      </c>
      <c r="AG1208" s="6" t="s">
        <v>3248</v>
      </c>
      <c r="AH1208" s="6" t="s">
        <v>3249</v>
      </c>
      <c r="AI1208" s="6" t="s">
        <v>90</v>
      </c>
      <c r="AJ1208" s="6">
        <v>32.422624999999996</v>
      </c>
      <c r="AK1208" s="6">
        <v>-110.73399999999999</v>
      </c>
      <c r="AL1208" s="6">
        <v>3</v>
      </c>
      <c r="AM1208" s="6"/>
      <c r="AN1208" s="6">
        <v>2407</v>
      </c>
      <c r="AO1208" s="6"/>
      <c r="AP1208" s="6">
        <v>2407</v>
      </c>
      <c r="AQ1208" s="6">
        <v>2428.2800000000002</v>
      </c>
      <c r="AR1208" s="6"/>
      <c r="AS1208" s="6"/>
      <c r="AT1208" s="6">
        <v>3</v>
      </c>
      <c r="AU1208" s="6">
        <v>7</v>
      </c>
      <c r="AV1208" s="6">
        <v>2023</v>
      </c>
      <c r="AW1208" s="6">
        <v>2437967</v>
      </c>
      <c r="AX1208" s="6">
        <v>2437967</v>
      </c>
      <c r="AY1208" s="6" t="s">
        <v>91</v>
      </c>
      <c r="AZ1208" t="s">
        <v>92</v>
      </c>
      <c r="BA1208" t="s">
        <v>93</v>
      </c>
      <c r="BB1208" t="s">
        <v>3250</v>
      </c>
      <c r="BC1208" t="s">
        <v>1186</v>
      </c>
      <c r="BD1208" s="1">
        <v>45110</v>
      </c>
      <c r="BE1208" t="s">
        <v>96</v>
      </c>
      <c r="BG1208" t="s">
        <v>1187</v>
      </c>
      <c r="BI1208" t="s">
        <v>98</v>
      </c>
      <c r="BJ1208" t="s">
        <v>3251</v>
      </c>
      <c r="BK1208" t="s">
        <v>365</v>
      </c>
      <c r="BL1208" t="s">
        <v>407</v>
      </c>
    </row>
    <row r="1209" spans="1:64" hidden="1" x14ac:dyDescent="0.2">
      <c r="A1209">
        <v>1801</v>
      </c>
      <c r="B1209">
        <v>3744741301</v>
      </c>
      <c r="C1209" t="s">
        <v>101</v>
      </c>
      <c r="D1209" t="s">
        <v>4747</v>
      </c>
      <c r="E1209" t="s">
        <v>65</v>
      </c>
      <c r="F1209" t="s">
        <v>66</v>
      </c>
      <c r="G1209" t="s">
        <v>67</v>
      </c>
      <c r="H1209" t="s">
        <v>68</v>
      </c>
      <c r="I1209" t="s">
        <v>69</v>
      </c>
      <c r="J1209" t="s">
        <v>70</v>
      </c>
      <c r="K1209" t="s">
        <v>4195</v>
      </c>
      <c r="M1209" t="s">
        <v>72</v>
      </c>
      <c r="N1209" t="s">
        <v>4196</v>
      </c>
      <c r="O1209" t="s">
        <v>4195</v>
      </c>
      <c r="P1209" t="s">
        <v>4197</v>
      </c>
      <c r="Q1209" t="s">
        <v>75</v>
      </c>
      <c r="R1209" t="s">
        <v>4748</v>
      </c>
      <c r="S1209" t="s">
        <v>4742</v>
      </c>
      <c r="T1209" t="s">
        <v>78</v>
      </c>
      <c r="U1209" t="s">
        <v>3817</v>
      </c>
      <c r="V1209" t="s">
        <v>80</v>
      </c>
      <c r="W1209" s="1">
        <v>44534</v>
      </c>
      <c r="X1209" t="s">
        <v>4502</v>
      </c>
      <c r="Y1209" t="s">
        <v>4743</v>
      </c>
      <c r="Z1209" t="s">
        <v>83</v>
      </c>
      <c r="AA1209">
        <v>1</v>
      </c>
      <c r="AB1209" t="s">
        <v>4517</v>
      </c>
      <c r="AD1209" t="s">
        <v>139</v>
      </c>
      <c r="AE1209" t="s">
        <v>86</v>
      </c>
      <c r="AF1209" t="s">
        <v>610</v>
      </c>
      <c r="AG1209" t="s">
        <v>1257</v>
      </c>
      <c r="AI1209" t="s">
        <v>90</v>
      </c>
      <c r="AJ1209">
        <v>32.337865000000001</v>
      </c>
      <c r="AK1209">
        <v>-110.72019</v>
      </c>
      <c r="AL1209">
        <v>3</v>
      </c>
      <c r="AN1209">
        <v>1381</v>
      </c>
      <c r="AP1209">
        <v>1381</v>
      </c>
      <c r="AQ1209">
        <v>1489.831222</v>
      </c>
      <c r="AT1209">
        <v>4</v>
      </c>
      <c r="AU1209">
        <v>12</v>
      </c>
      <c r="AV1209">
        <v>2021</v>
      </c>
      <c r="AW1209">
        <v>2439589</v>
      </c>
      <c r="AX1209">
        <v>2439589</v>
      </c>
      <c r="AY1209" t="s">
        <v>106</v>
      </c>
      <c r="AZ1209" t="s">
        <v>92</v>
      </c>
      <c r="BA1209" t="s">
        <v>107</v>
      </c>
      <c r="BB1209" t="s">
        <v>4749</v>
      </c>
      <c r="BC1209" t="s">
        <v>1186</v>
      </c>
      <c r="BE1209" t="s">
        <v>96</v>
      </c>
      <c r="BG1209" t="s">
        <v>4507</v>
      </c>
      <c r="BI1209" t="s">
        <v>98</v>
      </c>
      <c r="BJ1209" t="s">
        <v>330</v>
      </c>
      <c r="BL1209" t="s">
        <v>110</v>
      </c>
    </row>
    <row r="1210" spans="1:64" hidden="1" x14ac:dyDescent="0.2">
      <c r="A1210">
        <v>1283</v>
      </c>
      <c r="B1210">
        <v>4022923430</v>
      </c>
      <c r="C1210" t="s">
        <v>101</v>
      </c>
      <c r="D1210" t="s">
        <v>4750</v>
      </c>
      <c r="E1210" t="s">
        <v>65</v>
      </c>
      <c r="F1210" t="s">
        <v>66</v>
      </c>
      <c r="G1210" t="s">
        <v>67</v>
      </c>
      <c r="H1210" t="s">
        <v>68</v>
      </c>
      <c r="I1210" t="s">
        <v>69</v>
      </c>
      <c r="J1210" t="s">
        <v>70</v>
      </c>
      <c r="K1210" t="s">
        <v>4195</v>
      </c>
      <c r="M1210" t="s">
        <v>72</v>
      </c>
      <c r="N1210" t="s">
        <v>4196</v>
      </c>
      <c r="O1210" t="s">
        <v>4195</v>
      </c>
      <c r="P1210" t="s">
        <v>4197</v>
      </c>
      <c r="Q1210" t="s">
        <v>75</v>
      </c>
      <c r="R1210" t="s">
        <v>4501</v>
      </c>
      <c r="S1210" t="s">
        <v>4751</v>
      </c>
      <c r="T1210" t="s">
        <v>78</v>
      </c>
      <c r="U1210" t="s">
        <v>3817</v>
      </c>
      <c r="V1210" t="s">
        <v>80</v>
      </c>
      <c r="W1210" s="1">
        <v>44534</v>
      </c>
      <c r="X1210" t="s">
        <v>4502</v>
      </c>
      <c r="Y1210" t="s">
        <v>4743</v>
      </c>
      <c r="Z1210" t="s">
        <v>83</v>
      </c>
      <c r="AA1210">
        <v>1</v>
      </c>
      <c r="AB1210" t="s">
        <v>133</v>
      </c>
      <c r="AD1210" t="s">
        <v>134</v>
      </c>
      <c r="AE1210" t="s">
        <v>86</v>
      </c>
      <c r="AF1210" t="s">
        <v>87</v>
      </c>
      <c r="AG1210" t="s">
        <v>3607</v>
      </c>
      <c r="AI1210" t="s">
        <v>90</v>
      </c>
      <c r="AJ1210">
        <v>32.337865000000001</v>
      </c>
      <c r="AK1210">
        <v>-110.72019</v>
      </c>
      <c r="AL1210">
        <v>3</v>
      </c>
      <c r="AN1210">
        <v>1481</v>
      </c>
      <c r="AP1210">
        <v>1481</v>
      </c>
      <c r="AQ1210">
        <v>1489.831222</v>
      </c>
      <c r="AT1210">
        <v>4</v>
      </c>
      <c r="AU1210">
        <v>12</v>
      </c>
      <c r="AV1210">
        <v>2021</v>
      </c>
      <c r="AW1210">
        <v>2439589</v>
      </c>
      <c r="AX1210">
        <v>2439589</v>
      </c>
      <c r="AY1210" t="s">
        <v>106</v>
      </c>
      <c r="AZ1210" t="s">
        <v>92</v>
      </c>
      <c r="BA1210" t="s">
        <v>107</v>
      </c>
      <c r="BB1210" t="s">
        <v>4752</v>
      </c>
      <c r="BC1210" t="s">
        <v>1186</v>
      </c>
      <c r="BE1210" t="s">
        <v>96</v>
      </c>
      <c r="BG1210" t="s">
        <v>4507</v>
      </c>
      <c r="BI1210" t="s">
        <v>98</v>
      </c>
      <c r="BJ1210" t="s">
        <v>4753</v>
      </c>
      <c r="BL1210" t="s">
        <v>110</v>
      </c>
    </row>
    <row r="1211" spans="1:64" hidden="1" x14ac:dyDescent="0.2">
      <c r="A1211">
        <v>1286</v>
      </c>
      <c r="B1211">
        <v>4022923427</v>
      </c>
      <c r="C1211" t="s">
        <v>101</v>
      </c>
      <c r="D1211" t="s">
        <v>4754</v>
      </c>
      <c r="E1211" t="s">
        <v>65</v>
      </c>
      <c r="F1211" t="s">
        <v>66</v>
      </c>
      <c r="G1211" t="s">
        <v>67</v>
      </c>
      <c r="H1211" t="s">
        <v>68</v>
      </c>
      <c r="I1211" t="s">
        <v>69</v>
      </c>
      <c r="J1211" t="s">
        <v>70</v>
      </c>
      <c r="K1211" t="s">
        <v>4195</v>
      </c>
      <c r="M1211" t="s">
        <v>72</v>
      </c>
      <c r="N1211" t="s">
        <v>4196</v>
      </c>
      <c r="O1211" t="s">
        <v>4195</v>
      </c>
      <c r="P1211" t="s">
        <v>4197</v>
      </c>
      <c r="Q1211" t="s">
        <v>75</v>
      </c>
      <c r="R1211" t="s">
        <v>4501</v>
      </c>
      <c r="S1211" t="s">
        <v>4742</v>
      </c>
      <c r="T1211" t="s">
        <v>78</v>
      </c>
      <c r="U1211" t="s">
        <v>3817</v>
      </c>
      <c r="V1211" t="s">
        <v>80</v>
      </c>
      <c r="W1211" s="1">
        <v>44534</v>
      </c>
      <c r="X1211" t="s">
        <v>4502</v>
      </c>
      <c r="Y1211" t="s">
        <v>4743</v>
      </c>
      <c r="Z1211" t="s">
        <v>83</v>
      </c>
      <c r="AA1211">
        <v>1</v>
      </c>
      <c r="AB1211" t="s">
        <v>4517</v>
      </c>
      <c r="AD1211" t="s">
        <v>104</v>
      </c>
      <c r="AE1211" t="s">
        <v>86</v>
      </c>
      <c r="AF1211" t="s">
        <v>610</v>
      </c>
      <c r="AG1211" t="s">
        <v>1257</v>
      </c>
      <c r="AI1211" t="s">
        <v>90</v>
      </c>
      <c r="AJ1211">
        <v>32.337865000000001</v>
      </c>
      <c r="AK1211">
        <v>-110.72019</v>
      </c>
      <c r="AL1211">
        <v>3</v>
      </c>
      <c r="AN1211">
        <v>1481</v>
      </c>
      <c r="AP1211">
        <v>1481</v>
      </c>
      <c r="AQ1211">
        <v>1489.831222</v>
      </c>
      <c r="AT1211">
        <v>4</v>
      </c>
      <c r="AU1211">
        <v>12</v>
      </c>
      <c r="AV1211">
        <v>2021</v>
      </c>
      <c r="AW1211">
        <v>2439589</v>
      </c>
      <c r="AX1211">
        <v>2439589</v>
      </c>
      <c r="AY1211" t="s">
        <v>106</v>
      </c>
      <c r="AZ1211" t="s">
        <v>92</v>
      </c>
      <c r="BA1211" t="s">
        <v>107</v>
      </c>
      <c r="BB1211" t="s">
        <v>4755</v>
      </c>
      <c r="BC1211" t="s">
        <v>1186</v>
      </c>
      <c r="BE1211" t="s">
        <v>96</v>
      </c>
      <c r="BG1211" t="s">
        <v>4507</v>
      </c>
      <c r="BI1211" t="s">
        <v>98</v>
      </c>
      <c r="BJ1211" t="s">
        <v>4724</v>
      </c>
      <c r="BL1211" t="s">
        <v>110</v>
      </c>
    </row>
    <row r="1212" spans="1:64" hidden="1" x14ac:dyDescent="0.2">
      <c r="A1212">
        <v>1287</v>
      </c>
      <c r="B1212">
        <v>4022923426</v>
      </c>
      <c r="C1212" t="s">
        <v>101</v>
      </c>
      <c r="D1212" t="s">
        <v>4756</v>
      </c>
      <c r="E1212" t="s">
        <v>65</v>
      </c>
      <c r="F1212" t="s">
        <v>66</v>
      </c>
      <c r="G1212" t="s">
        <v>67</v>
      </c>
      <c r="H1212" t="s">
        <v>68</v>
      </c>
      <c r="I1212" t="s">
        <v>69</v>
      </c>
      <c r="J1212" t="s">
        <v>70</v>
      </c>
      <c r="K1212" t="s">
        <v>4195</v>
      </c>
      <c r="M1212" t="s">
        <v>72</v>
      </c>
      <c r="N1212" t="s">
        <v>4196</v>
      </c>
      <c r="O1212" t="s">
        <v>4195</v>
      </c>
      <c r="P1212" t="s">
        <v>4197</v>
      </c>
      <c r="Q1212" t="s">
        <v>75</v>
      </c>
      <c r="R1212" t="s">
        <v>4501</v>
      </c>
      <c r="S1212" t="s">
        <v>4742</v>
      </c>
      <c r="T1212" t="s">
        <v>78</v>
      </c>
      <c r="U1212" t="s">
        <v>3817</v>
      </c>
      <c r="V1212" t="s">
        <v>80</v>
      </c>
      <c r="W1212" s="1">
        <v>44534</v>
      </c>
      <c r="X1212" t="s">
        <v>4502</v>
      </c>
      <c r="Y1212" t="s">
        <v>4743</v>
      </c>
      <c r="Z1212" t="s">
        <v>83</v>
      </c>
      <c r="AA1212">
        <v>1</v>
      </c>
      <c r="AB1212" t="s">
        <v>4517</v>
      </c>
      <c r="AD1212" t="s">
        <v>116</v>
      </c>
      <c r="AE1212" t="s">
        <v>86</v>
      </c>
      <c r="AF1212" t="s">
        <v>610</v>
      </c>
      <c r="AG1212" t="s">
        <v>1257</v>
      </c>
      <c r="AI1212" t="s">
        <v>90</v>
      </c>
      <c r="AJ1212">
        <v>32.337865000000001</v>
      </c>
      <c r="AK1212">
        <v>-110.72019</v>
      </c>
      <c r="AL1212">
        <v>3</v>
      </c>
      <c r="AN1212">
        <v>1481</v>
      </c>
      <c r="AP1212">
        <v>1481</v>
      </c>
      <c r="AQ1212">
        <v>1489.831222</v>
      </c>
      <c r="AT1212">
        <v>4</v>
      </c>
      <c r="AU1212">
        <v>12</v>
      </c>
      <c r="AV1212">
        <v>2021</v>
      </c>
      <c r="AW1212">
        <v>2439589</v>
      </c>
      <c r="AX1212">
        <v>2439589</v>
      </c>
      <c r="AY1212" t="s">
        <v>106</v>
      </c>
      <c r="AZ1212" t="s">
        <v>92</v>
      </c>
      <c r="BA1212" t="s">
        <v>107</v>
      </c>
      <c r="BB1212" t="s">
        <v>4757</v>
      </c>
      <c r="BC1212" t="s">
        <v>1186</v>
      </c>
      <c r="BE1212" t="s">
        <v>96</v>
      </c>
      <c r="BG1212" t="s">
        <v>4507</v>
      </c>
      <c r="BI1212" t="s">
        <v>98</v>
      </c>
      <c r="BJ1212" t="s">
        <v>4758</v>
      </c>
      <c r="BL1212" t="s">
        <v>110</v>
      </c>
    </row>
    <row r="1213" spans="1:64" hidden="1" x14ac:dyDescent="0.2">
      <c r="A1213">
        <v>1331</v>
      </c>
      <c r="B1213">
        <v>4022923382</v>
      </c>
      <c r="C1213" t="s">
        <v>101</v>
      </c>
      <c r="D1213" t="s">
        <v>4759</v>
      </c>
      <c r="E1213" t="s">
        <v>65</v>
      </c>
      <c r="F1213" t="s">
        <v>66</v>
      </c>
      <c r="G1213" t="s">
        <v>67</v>
      </c>
      <c r="H1213" t="s">
        <v>68</v>
      </c>
      <c r="I1213" t="s">
        <v>69</v>
      </c>
      <c r="J1213" t="s">
        <v>70</v>
      </c>
      <c r="K1213" t="s">
        <v>4195</v>
      </c>
      <c r="M1213" t="s">
        <v>72</v>
      </c>
      <c r="N1213" t="s">
        <v>4196</v>
      </c>
      <c r="O1213" t="s">
        <v>4195</v>
      </c>
      <c r="P1213" t="s">
        <v>4197</v>
      </c>
      <c r="Q1213" t="s">
        <v>75</v>
      </c>
      <c r="R1213" t="s">
        <v>4501</v>
      </c>
      <c r="S1213" t="s">
        <v>4742</v>
      </c>
      <c r="T1213" t="s">
        <v>78</v>
      </c>
      <c r="U1213" t="s">
        <v>3817</v>
      </c>
      <c r="V1213" t="s">
        <v>80</v>
      </c>
      <c r="W1213" s="1">
        <v>44534</v>
      </c>
      <c r="X1213" t="s">
        <v>4502</v>
      </c>
      <c r="Y1213" t="s">
        <v>4743</v>
      </c>
      <c r="Z1213" t="s">
        <v>83</v>
      </c>
      <c r="AA1213">
        <v>1</v>
      </c>
      <c r="AB1213" t="s">
        <v>4517</v>
      </c>
      <c r="AD1213" t="s">
        <v>123</v>
      </c>
      <c r="AE1213" t="s">
        <v>86</v>
      </c>
      <c r="AF1213" t="s">
        <v>610</v>
      </c>
      <c r="AG1213" t="s">
        <v>1257</v>
      </c>
      <c r="AI1213" t="s">
        <v>90</v>
      </c>
      <c r="AJ1213">
        <v>32.337865000000001</v>
      </c>
      <c r="AK1213">
        <v>-110.72019</v>
      </c>
      <c r="AL1213">
        <v>3</v>
      </c>
      <c r="AN1213">
        <v>1481</v>
      </c>
      <c r="AP1213">
        <v>1481</v>
      </c>
      <c r="AQ1213">
        <v>1489.831222</v>
      </c>
      <c r="AT1213">
        <v>4</v>
      </c>
      <c r="AU1213">
        <v>12</v>
      </c>
      <c r="AV1213">
        <v>2021</v>
      </c>
      <c r="AW1213">
        <v>2439589</v>
      </c>
      <c r="AX1213">
        <v>2439589</v>
      </c>
      <c r="AY1213" t="s">
        <v>106</v>
      </c>
      <c r="AZ1213" t="s">
        <v>92</v>
      </c>
      <c r="BA1213" t="s">
        <v>107</v>
      </c>
      <c r="BB1213" t="s">
        <v>4760</v>
      </c>
      <c r="BC1213" t="s">
        <v>1186</v>
      </c>
      <c r="BE1213" t="s">
        <v>96</v>
      </c>
      <c r="BG1213" t="s">
        <v>4507</v>
      </c>
      <c r="BI1213" t="s">
        <v>98</v>
      </c>
      <c r="BJ1213" t="s">
        <v>2640</v>
      </c>
      <c r="BL1213" t="s">
        <v>110</v>
      </c>
    </row>
    <row r="1214" spans="1:64" x14ac:dyDescent="0.2">
      <c r="A1214">
        <v>343</v>
      </c>
      <c r="B1214">
        <v>4403380323</v>
      </c>
      <c r="C1214" t="s">
        <v>63</v>
      </c>
      <c r="D1214" t="s">
        <v>3273</v>
      </c>
      <c r="E1214" t="s">
        <v>65</v>
      </c>
      <c r="F1214" t="s">
        <v>66</v>
      </c>
      <c r="G1214" t="s">
        <v>67</v>
      </c>
      <c r="H1214" t="s">
        <v>68</v>
      </c>
      <c r="I1214" t="s">
        <v>176</v>
      </c>
      <c r="J1214" t="s">
        <v>177</v>
      </c>
      <c r="K1214" t="s">
        <v>178</v>
      </c>
      <c r="M1214" t="s">
        <v>72</v>
      </c>
      <c r="N1214" t="s">
        <v>179</v>
      </c>
      <c r="O1214" t="s">
        <v>178</v>
      </c>
      <c r="P1214" t="s">
        <v>180</v>
      </c>
      <c r="Q1214" t="s">
        <v>75</v>
      </c>
      <c r="R1214" t="s">
        <v>3174</v>
      </c>
      <c r="S1214" t="s">
        <v>3274</v>
      </c>
      <c r="T1214" t="s">
        <v>78</v>
      </c>
      <c r="U1214" t="s">
        <v>1822</v>
      </c>
      <c r="V1214" t="s">
        <v>80</v>
      </c>
      <c r="W1214" s="1">
        <v>45110</v>
      </c>
      <c r="X1214" t="s">
        <v>1859</v>
      </c>
      <c r="Y1214" t="s">
        <v>3275</v>
      </c>
      <c r="Z1214" t="s">
        <v>83</v>
      </c>
      <c r="AA1214">
        <v>1</v>
      </c>
      <c r="AB1214" t="s">
        <v>3276</v>
      </c>
      <c r="AC1214">
        <v>1</v>
      </c>
      <c r="AD1214" s="6" t="s">
        <v>85</v>
      </c>
      <c r="AE1214" s="6" t="s">
        <v>145</v>
      </c>
      <c r="AF1214" s="6" t="s">
        <v>402</v>
      </c>
      <c r="AG1214" s="6" t="s">
        <v>3277</v>
      </c>
      <c r="AH1214" s="6" t="s">
        <v>3278</v>
      </c>
      <c r="AI1214" s="6" t="s">
        <v>90</v>
      </c>
      <c r="AJ1214" s="6">
        <v>32.424762000000001</v>
      </c>
      <c r="AK1214" s="6">
        <v>-110.738646</v>
      </c>
      <c r="AL1214" s="6"/>
      <c r="AM1214" s="6"/>
      <c r="AN1214" s="6">
        <v>2367</v>
      </c>
      <c r="AO1214" s="6"/>
      <c r="AP1214" s="6">
        <v>2367</v>
      </c>
      <c r="AQ1214" s="6">
        <v>2387.4999990000001</v>
      </c>
      <c r="AR1214" s="6"/>
      <c r="AS1214" s="6"/>
      <c r="AT1214" s="6">
        <v>3</v>
      </c>
      <c r="AU1214" s="6">
        <v>7</v>
      </c>
      <c r="AV1214" s="6">
        <v>2023</v>
      </c>
      <c r="AW1214" s="6">
        <v>2438038</v>
      </c>
      <c r="AX1214" s="6">
        <v>2438038</v>
      </c>
      <c r="AY1214" s="6" t="s">
        <v>91</v>
      </c>
      <c r="AZ1214" t="s">
        <v>92</v>
      </c>
      <c r="BA1214" t="s">
        <v>93</v>
      </c>
      <c r="BB1214" t="s">
        <v>3279</v>
      </c>
      <c r="BC1214" t="s">
        <v>1186</v>
      </c>
      <c r="BD1214" s="1">
        <v>45110</v>
      </c>
      <c r="BE1214" t="s">
        <v>96</v>
      </c>
      <c r="BG1214" t="s">
        <v>1187</v>
      </c>
      <c r="BI1214" t="s">
        <v>98</v>
      </c>
      <c r="BJ1214" t="s">
        <v>474</v>
      </c>
      <c r="BK1214" t="s">
        <v>365</v>
      </c>
      <c r="BL1214" t="s">
        <v>100</v>
      </c>
    </row>
    <row r="1215" spans="1:64" hidden="1" x14ac:dyDescent="0.2">
      <c r="A1215">
        <v>1320</v>
      </c>
      <c r="B1215">
        <v>4022923393</v>
      </c>
      <c r="C1215" t="s">
        <v>101</v>
      </c>
      <c r="D1215" t="s">
        <v>4763</v>
      </c>
      <c r="E1215" t="s">
        <v>65</v>
      </c>
      <c r="F1215" t="s">
        <v>66</v>
      </c>
      <c r="G1215" t="s">
        <v>67</v>
      </c>
      <c r="H1215" t="s">
        <v>68</v>
      </c>
      <c r="I1215" t="s">
        <v>69</v>
      </c>
      <c r="J1215" t="s">
        <v>70</v>
      </c>
      <c r="K1215" t="s">
        <v>4195</v>
      </c>
      <c r="M1215" t="s">
        <v>72</v>
      </c>
      <c r="N1215" t="s">
        <v>4196</v>
      </c>
      <c r="O1215" t="s">
        <v>4195</v>
      </c>
      <c r="P1215" t="s">
        <v>4197</v>
      </c>
      <c r="Q1215" t="s">
        <v>75</v>
      </c>
      <c r="R1215" t="s">
        <v>4501</v>
      </c>
      <c r="S1215" t="s">
        <v>4742</v>
      </c>
      <c r="T1215" t="s">
        <v>78</v>
      </c>
      <c r="U1215" t="s">
        <v>3817</v>
      </c>
      <c r="V1215" t="s">
        <v>80</v>
      </c>
      <c r="W1215" s="1">
        <v>44534</v>
      </c>
      <c r="X1215" t="s">
        <v>4502</v>
      </c>
      <c r="Y1215" t="s">
        <v>4743</v>
      </c>
      <c r="Z1215" t="s">
        <v>83</v>
      </c>
      <c r="AA1215">
        <v>1</v>
      </c>
      <c r="AB1215" t="s">
        <v>4517</v>
      </c>
      <c r="AD1215" t="s">
        <v>112</v>
      </c>
      <c r="AE1215" t="s">
        <v>86</v>
      </c>
      <c r="AF1215" t="s">
        <v>610</v>
      </c>
      <c r="AG1215" t="s">
        <v>1257</v>
      </c>
      <c r="AI1215" t="s">
        <v>90</v>
      </c>
      <c r="AJ1215">
        <v>32.337865000000001</v>
      </c>
      <c r="AK1215">
        <v>-110.72019</v>
      </c>
      <c r="AL1215">
        <v>3</v>
      </c>
      <c r="AN1215">
        <v>1481</v>
      </c>
      <c r="AP1215">
        <v>1481</v>
      </c>
      <c r="AQ1215">
        <v>1489.831222</v>
      </c>
      <c r="AT1215">
        <v>4</v>
      </c>
      <c r="AU1215">
        <v>12</v>
      </c>
      <c r="AV1215">
        <v>2021</v>
      </c>
      <c r="AW1215">
        <v>2439589</v>
      </c>
      <c r="AX1215">
        <v>2439589</v>
      </c>
      <c r="AY1215" t="s">
        <v>106</v>
      </c>
      <c r="AZ1215" t="s">
        <v>92</v>
      </c>
      <c r="BA1215" t="s">
        <v>107</v>
      </c>
      <c r="BB1215" t="s">
        <v>4764</v>
      </c>
      <c r="BC1215" t="s">
        <v>1186</v>
      </c>
      <c r="BE1215" t="s">
        <v>96</v>
      </c>
      <c r="BG1215" t="s">
        <v>4507</v>
      </c>
      <c r="BI1215" t="s">
        <v>98</v>
      </c>
      <c r="BJ1215" t="s">
        <v>2077</v>
      </c>
      <c r="BL1215" t="s">
        <v>110</v>
      </c>
    </row>
    <row r="1216" spans="1:64" hidden="1" x14ac:dyDescent="0.2">
      <c r="A1216">
        <v>1332</v>
      </c>
      <c r="B1216">
        <v>4022923381</v>
      </c>
      <c r="C1216" t="s">
        <v>101</v>
      </c>
      <c r="D1216" t="s">
        <v>4765</v>
      </c>
      <c r="E1216" t="s">
        <v>65</v>
      </c>
      <c r="F1216" t="s">
        <v>66</v>
      </c>
      <c r="G1216" t="s">
        <v>67</v>
      </c>
      <c r="H1216" t="s">
        <v>68</v>
      </c>
      <c r="I1216" t="s">
        <v>69</v>
      </c>
      <c r="J1216" t="s">
        <v>70</v>
      </c>
      <c r="K1216" t="s">
        <v>4195</v>
      </c>
      <c r="M1216" t="s">
        <v>72</v>
      </c>
      <c r="N1216" t="s">
        <v>4196</v>
      </c>
      <c r="O1216" t="s">
        <v>4195</v>
      </c>
      <c r="P1216" t="s">
        <v>4197</v>
      </c>
      <c r="Q1216" t="s">
        <v>75</v>
      </c>
      <c r="R1216" t="s">
        <v>4501</v>
      </c>
      <c r="S1216" t="s">
        <v>4766</v>
      </c>
      <c r="T1216" t="s">
        <v>78</v>
      </c>
      <c r="U1216" t="s">
        <v>3817</v>
      </c>
      <c r="V1216" t="s">
        <v>80</v>
      </c>
      <c r="W1216" s="1">
        <v>44534</v>
      </c>
      <c r="X1216" t="s">
        <v>4502</v>
      </c>
      <c r="Y1216" t="s">
        <v>4767</v>
      </c>
      <c r="Z1216" t="s">
        <v>83</v>
      </c>
      <c r="AA1216">
        <v>1</v>
      </c>
      <c r="AB1216" t="s">
        <v>4517</v>
      </c>
      <c r="AD1216" t="s">
        <v>343</v>
      </c>
      <c r="AE1216" t="s">
        <v>86</v>
      </c>
      <c r="AF1216" t="s">
        <v>146</v>
      </c>
      <c r="AG1216" t="s">
        <v>875</v>
      </c>
      <c r="AI1216" t="s">
        <v>90</v>
      </c>
      <c r="AJ1216">
        <v>32.337893000000001</v>
      </c>
      <c r="AK1216">
        <v>-110.72021599999999</v>
      </c>
      <c r="AL1216">
        <v>3</v>
      </c>
      <c r="AN1216">
        <v>1483</v>
      </c>
      <c r="AP1216">
        <v>1483</v>
      </c>
      <c r="AQ1216">
        <v>1490.58745</v>
      </c>
      <c r="AT1216">
        <v>4</v>
      </c>
      <c r="AU1216">
        <v>12</v>
      </c>
      <c r="AV1216">
        <v>2021</v>
      </c>
      <c r="AW1216">
        <v>2439589</v>
      </c>
      <c r="AX1216">
        <v>2439589</v>
      </c>
      <c r="AY1216" t="s">
        <v>106</v>
      </c>
      <c r="AZ1216" t="s">
        <v>92</v>
      </c>
      <c r="BA1216" t="s">
        <v>107</v>
      </c>
      <c r="BB1216" t="s">
        <v>4768</v>
      </c>
      <c r="BC1216" t="s">
        <v>1186</v>
      </c>
      <c r="BE1216" t="s">
        <v>96</v>
      </c>
      <c r="BG1216" t="s">
        <v>4507</v>
      </c>
      <c r="BI1216" t="s">
        <v>98</v>
      </c>
      <c r="BJ1216" t="s">
        <v>4769</v>
      </c>
      <c r="BL1216" t="s">
        <v>412</v>
      </c>
    </row>
    <row r="1217" spans="1:64" x14ac:dyDescent="0.2">
      <c r="A1217">
        <v>362</v>
      </c>
      <c r="B1217">
        <v>4403380301</v>
      </c>
      <c r="C1217" t="s">
        <v>63</v>
      </c>
      <c r="D1217" t="s">
        <v>3330</v>
      </c>
      <c r="E1217" t="s">
        <v>65</v>
      </c>
      <c r="F1217" t="s">
        <v>66</v>
      </c>
      <c r="G1217" t="s">
        <v>67</v>
      </c>
      <c r="H1217" t="s">
        <v>68</v>
      </c>
      <c r="I1217" t="s">
        <v>176</v>
      </c>
      <c r="J1217" t="s">
        <v>177</v>
      </c>
      <c r="K1217" t="s">
        <v>178</v>
      </c>
      <c r="M1217" t="s">
        <v>72</v>
      </c>
      <c r="N1217" t="s">
        <v>179</v>
      </c>
      <c r="O1217" t="s">
        <v>178</v>
      </c>
      <c r="P1217" t="s">
        <v>180</v>
      </c>
      <c r="Q1217" t="s">
        <v>75</v>
      </c>
      <c r="R1217" t="s">
        <v>3174</v>
      </c>
      <c r="S1217" t="s">
        <v>355</v>
      </c>
      <c r="T1217" t="s">
        <v>78</v>
      </c>
      <c r="U1217" t="s">
        <v>1822</v>
      </c>
      <c r="V1217" t="s">
        <v>80</v>
      </c>
      <c r="W1217" s="1">
        <v>45110</v>
      </c>
      <c r="X1217" t="s">
        <v>1859</v>
      </c>
      <c r="Y1217" t="s">
        <v>3331</v>
      </c>
      <c r="Z1217" t="s">
        <v>83</v>
      </c>
      <c r="AA1217">
        <v>1</v>
      </c>
      <c r="AB1217" t="s">
        <v>3332</v>
      </c>
      <c r="AC1217">
        <v>1</v>
      </c>
      <c r="AD1217" s="6" t="s">
        <v>85</v>
      </c>
      <c r="AE1217" s="6" t="s">
        <v>86</v>
      </c>
      <c r="AF1217" s="6" t="s">
        <v>610</v>
      </c>
      <c r="AG1217" s="6" t="s">
        <v>3333</v>
      </c>
      <c r="AH1217" s="6" t="s">
        <v>3334</v>
      </c>
      <c r="AI1217" s="6" t="s">
        <v>90</v>
      </c>
      <c r="AJ1217" s="6">
        <v>32.425854000000001</v>
      </c>
      <c r="AK1217" s="6">
        <v>-110.74023699999999</v>
      </c>
      <c r="AL1217" s="6"/>
      <c r="AM1217" s="6"/>
      <c r="AN1217" s="6">
        <v>2357</v>
      </c>
      <c r="AO1217" s="6"/>
      <c r="AP1217" s="6">
        <v>2357</v>
      </c>
      <c r="AQ1217" s="6">
        <v>2387.34854</v>
      </c>
      <c r="AR1217" s="6"/>
      <c r="AS1217" s="6"/>
      <c r="AT1217" s="6">
        <v>3</v>
      </c>
      <c r="AU1217" s="6">
        <v>7</v>
      </c>
      <c r="AV1217" s="6">
        <v>2023</v>
      </c>
      <c r="AW1217" s="6">
        <v>2438038</v>
      </c>
      <c r="AX1217" s="6">
        <v>2438038</v>
      </c>
      <c r="AY1217" s="6" t="s">
        <v>91</v>
      </c>
      <c r="AZ1217" t="s">
        <v>92</v>
      </c>
      <c r="BA1217" t="s">
        <v>93</v>
      </c>
      <c r="BB1217" t="s">
        <v>3335</v>
      </c>
      <c r="BC1217" t="s">
        <v>1186</v>
      </c>
      <c r="BD1217" s="1">
        <v>45110</v>
      </c>
      <c r="BE1217" t="s">
        <v>96</v>
      </c>
      <c r="BG1217" t="s">
        <v>1187</v>
      </c>
      <c r="BI1217" t="s">
        <v>98</v>
      </c>
      <c r="BJ1217" t="s">
        <v>3336</v>
      </c>
      <c r="BK1217" t="s">
        <v>365</v>
      </c>
      <c r="BL1217" t="s">
        <v>100</v>
      </c>
    </row>
    <row r="1218" spans="1:64" hidden="1" x14ac:dyDescent="0.2">
      <c r="A1218">
        <v>1304</v>
      </c>
      <c r="B1218">
        <v>4022923409</v>
      </c>
      <c r="C1218" t="s">
        <v>101</v>
      </c>
      <c r="D1218" t="s">
        <v>4772</v>
      </c>
      <c r="E1218" t="s">
        <v>65</v>
      </c>
      <c r="F1218" t="s">
        <v>66</v>
      </c>
      <c r="G1218" t="s">
        <v>67</v>
      </c>
      <c r="H1218" t="s">
        <v>68</v>
      </c>
      <c r="I1218" t="s">
        <v>69</v>
      </c>
      <c r="J1218" t="s">
        <v>70</v>
      </c>
      <c r="K1218" t="s">
        <v>4195</v>
      </c>
      <c r="M1218" t="s">
        <v>72</v>
      </c>
      <c r="N1218" t="s">
        <v>4196</v>
      </c>
      <c r="O1218" t="s">
        <v>4195</v>
      </c>
      <c r="P1218" t="s">
        <v>4197</v>
      </c>
      <c r="Q1218" t="s">
        <v>75</v>
      </c>
      <c r="R1218" t="s">
        <v>4501</v>
      </c>
      <c r="S1218" t="s">
        <v>4773</v>
      </c>
      <c r="T1218" t="s">
        <v>78</v>
      </c>
      <c r="U1218" t="s">
        <v>3817</v>
      </c>
      <c r="V1218" t="s">
        <v>80</v>
      </c>
      <c r="W1218" s="1">
        <v>44534</v>
      </c>
      <c r="X1218" t="s">
        <v>4502</v>
      </c>
      <c r="Y1218" t="s">
        <v>4774</v>
      </c>
      <c r="Z1218" t="s">
        <v>83</v>
      </c>
      <c r="AA1218">
        <v>1</v>
      </c>
      <c r="AB1218" t="s">
        <v>4517</v>
      </c>
      <c r="AD1218" t="s">
        <v>343</v>
      </c>
      <c r="AE1218" t="s">
        <v>86</v>
      </c>
      <c r="AF1218" t="s">
        <v>146</v>
      </c>
      <c r="AG1218" t="s">
        <v>875</v>
      </c>
      <c r="AI1218" t="s">
        <v>90</v>
      </c>
      <c r="AJ1218">
        <v>32.338448999999997</v>
      </c>
      <c r="AK1218">
        <v>-110.720089</v>
      </c>
      <c r="AL1218">
        <v>3</v>
      </c>
      <c r="AN1218">
        <v>1497</v>
      </c>
      <c r="AP1218">
        <v>1497</v>
      </c>
      <c r="AQ1218">
        <v>1496.3657539999999</v>
      </c>
      <c r="AT1218">
        <v>4</v>
      </c>
      <c r="AU1218">
        <v>12</v>
      </c>
      <c r="AV1218">
        <v>2021</v>
      </c>
      <c r="AW1218">
        <v>2439589</v>
      </c>
      <c r="AX1218">
        <v>2439589</v>
      </c>
      <c r="AY1218" t="s">
        <v>106</v>
      </c>
      <c r="AZ1218" t="s">
        <v>92</v>
      </c>
      <c r="BA1218" t="s">
        <v>107</v>
      </c>
      <c r="BB1218" t="s">
        <v>4775</v>
      </c>
      <c r="BC1218" t="s">
        <v>1186</v>
      </c>
      <c r="BE1218" t="s">
        <v>96</v>
      </c>
      <c r="BG1218" t="s">
        <v>4507</v>
      </c>
      <c r="BI1218" t="s">
        <v>98</v>
      </c>
      <c r="BJ1218" t="s">
        <v>4737</v>
      </c>
      <c r="BL1218" t="s">
        <v>412</v>
      </c>
    </row>
    <row r="1219" spans="1:64" x14ac:dyDescent="0.2">
      <c r="A1219">
        <v>360</v>
      </c>
      <c r="B1219">
        <v>4403380304</v>
      </c>
      <c r="C1219" t="s">
        <v>63</v>
      </c>
      <c r="D1219" t="s">
        <v>3390</v>
      </c>
      <c r="E1219" t="s">
        <v>65</v>
      </c>
      <c r="F1219" t="s">
        <v>66</v>
      </c>
      <c r="G1219" t="s">
        <v>67</v>
      </c>
      <c r="H1219" t="s">
        <v>68</v>
      </c>
      <c r="I1219" t="s">
        <v>176</v>
      </c>
      <c r="J1219" t="s">
        <v>177</v>
      </c>
      <c r="K1219" t="s">
        <v>178</v>
      </c>
      <c r="M1219" t="s">
        <v>72</v>
      </c>
      <c r="N1219" t="s">
        <v>179</v>
      </c>
      <c r="O1219" t="s">
        <v>178</v>
      </c>
      <c r="P1219" t="s">
        <v>180</v>
      </c>
      <c r="Q1219" t="s">
        <v>75</v>
      </c>
      <c r="R1219" t="s">
        <v>3174</v>
      </c>
      <c r="S1219" t="s">
        <v>3391</v>
      </c>
      <c r="T1219" t="s">
        <v>78</v>
      </c>
      <c r="U1219" t="s">
        <v>1822</v>
      </c>
      <c r="V1219" t="s">
        <v>80</v>
      </c>
      <c r="W1219" s="1">
        <v>45110</v>
      </c>
      <c r="X1219" t="s">
        <v>1859</v>
      </c>
      <c r="Y1219" t="s">
        <v>3392</v>
      </c>
      <c r="Z1219" t="s">
        <v>83</v>
      </c>
      <c r="AA1219">
        <v>1</v>
      </c>
      <c r="AB1219" t="s">
        <v>3393</v>
      </c>
      <c r="AC1219">
        <v>1</v>
      </c>
      <c r="AD1219" s="6" t="s">
        <v>85</v>
      </c>
      <c r="AE1219" s="6" t="s">
        <v>145</v>
      </c>
      <c r="AF1219" s="6" t="s">
        <v>402</v>
      </c>
      <c r="AG1219" s="6" t="s">
        <v>1937</v>
      </c>
      <c r="AH1219" s="6" t="s">
        <v>3394</v>
      </c>
      <c r="AI1219" s="6" t="s">
        <v>90</v>
      </c>
      <c r="AJ1219" s="6">
        <v>32.424565999999999</v>
      </c>
      <c r="AK1219" s="6">
        <v>-110.738364</v>
      </c>
      <c r="AL1219" s="6"/>
      <c r="AM1219" s="6"/>
      <c r="AN1219" s="6">
        <v>2372</v>
      </c>
      <c r="AO1219" s="6"/>
      <c r="AP1219" s="6">
        <v>2372</v>
      </c>
      <c r="AQ1219" s="6">
        <v>2394.5947120000001</v>
      </c>
      <c r="AR1219" s="6"/>
      <c r="AS1219" s="6"/>
      <c r="AT1219" s="6">
        <v>3</v>
      </c>
      <c r="AU1219" s="6">
        <v>7</v>
      </c>
      <c r="AV1219" s="6">
        <v>2023</v>
      </c>
      <c r="AW1219" s="6">
        <v>2438038</v>
      </c>
      <c r="AX1219" s="6">
        <v>2438038</v>
      </c>
      <c r="AY1219" s="6" t="s">
        <v>91</v>
      </c>
      <c r="AZ1219" t="s">
        <v>92</v>
      </c>
      <c r="BA1219" t="s">
        <v>93</v>
      </c>
      <c r="BB1219" t="s">
        <v>3395</v>
      </c>
      <c r="BC1219" t="s">
        <v>1186</v>
      </c>
      <c r="BD1219" s="1">
        <v>45110</v>
      </c>
      <c r="BE1219" t="s">
        <v>96</v>
      </c>
      <c r="BG1219" t="s">
        <v>1187</v>
      </c>
      <c r="BI1219" t="s">
        <v>98</v>
      </c>
      <c r="BJ1219" t="s">
        <v>3396</v>
      </c>
      <c r="BK1219" t="s">
        <v>365</v>
      </c>
      <c r="BL1219" t="s">
        <v>100</v>
      </c>
    </row>
    <row r="1220" spans="1:64" hidden="1" x14ac:dyDescent="0.2">
      <c r="A1220">
        <v>1308</v>
      </c>
      <c r="B1220">
        <v>4022923405</v>
      </c>
      <c r="C1220" t="s">
        <v>101</v>
      </c>
      <c r="D1220" t="s">
        <v>4778</v>
      </c>
      <c r="E1220" t="s">
        <v>65</v>
      </c>
      <c r="F1220" t="s">
        <v>66</v>
      </c>
      <c r="G1220" t="s">
        <v>67</v>
      </c>
      <c r="H1220" t="s">
        <v>68</v>
      </c>
      <c r="I1220" t="s">
        <v>176</v>
      </c>
      <c r="J1220" t="s">
        <v>177</v>
      </c>
      <c r="K1220" t="s">
        <v>178</v>
      </c>
      <c r="M1220" t="s">
        <v>72</v>
      </c>
      <c r="N1220" t="s">
        <v>179</v>
      </c>
      <c r="O1220" t="s">
        <v>178</v>
      </c>
      <c r="P1220" t="s">
        <v>180</v>
      </c>
      <c r="Q1220" t="s">
        <v>75</v>
      </c>
      <c r="R1220" t="s">
        <v>4501</v>
      </c>
      <c r="S1220" t="s">
        <v>4779</v>
      </c>
      <c r="T1220" t="s">
        <v>78</v>
      </c>
      <c r="U1220" t="s">
        <v>3817</v>
      </c>
      <c r="V1220" t="s">
        <v>80</v>
      </c>
      <c r="W1220" s="1">
        <v>44534</v>
      </c>
      <c r="X1220" t="s">
        <v>4502</v>
      </c>
      <c r="Y1220" t="s">
        <v>4780</v>
      </c>
      <c r="Z1220" t="s">
        <v>83</v>
      </c>
      <c r="AA1220">
        <v>1</v>
      </c>
      <c r="AB1220" t="s">
        <v>4517</v>
      </c>
      <c r="AD1220" t="s">
        <v>343</v>
      </c>
      <c r="AE1220" t="s">
        <v>2400</v>
      </c>
      <c r="AF1220" t="s">
        <v>402</v>
      </c>
      <c r="AG1220" t="s">
        <v>875</v>
      </c>
      <c r="AI1220" t="s">
        <v>90</v>
      </c>
      <c r="AJ1220">
        <v>32.338557999999999</v>
      </c>
      <c r="AK1220">
        <v>-110.72013200000001</v>
      </c>
      <c r="AL1220">
        <v>3</v>
      </c>
      <c r="AN1220">
        <v>1502</v>
      </c>
      <c r="AP1220">
        <v>1502</v>
      </c>
      <c r="AQ1220">
        <v>1500.3109730000001</v>
      </c>
      <c r="AT1220">
        <v>4</v>
      </c>
      <c r="AU1220">
        <v>12</v>
      </c>
      <c r="AV1220">
        <v>2021</v>
      </c>
      <c r="AW1220">
        <v>2438038</v>
      </c>
      <c r="AX1220">
        <v>2438038</v>
      </c>
      <c r="AY1220" t="s">
        <v>106</v>
      </c>
      <c r="AZ1220" t="s">
        <v>92</v>
      </c>
      <c r="BA1220" t="s">
        <v>107</v>
      </c>
      <c r="BB1220" t="s">
        <v>4781</v>
      </c>
      <c r="BC1220" t="s">
        <v>1186</v>
      </c>
      <c r="BE1220" t="s">
        <v>96</v>
      </c>
      <c r="BG1220" t="s">
        <v>4507</v>
      </c>
      <c r="BI1220" t="s">
        <v>98</v>
      </c>
      <c r="BJ1220" t="s">
        <v>4724</v>
      </c>
      <c r="BL1220" t="s">
        <v>412</v>
      </c>
    </row>
    <row r="1221" spans="1:64" x14ac:dyDescent="0.2">
      <c r="A1221">
        <v>1414</v>
      </c>
      <c r="B1221">
        <v>4022922333</v>
      </c>
      <c r="C1221" t="s">
        <v>63</v>
      </c>
      <c r="D1221" t="s">
        <v>4741</v>
      </c>
      <c r="E1221" t="s">
        <v>65</v>
      </c>
      <c r="F1221" t="s">
        <v>66</v>
      </c>
      <c r="G1221" t="s">
        <v>67</v>
      </c>
      <c r="H1221" t="s">
        <v>68</v>
      </c>
      <c r="I1221" t="s">
        <v>69</v>
      </c>
      <c r="J1221" t="s">
        <v>70</v>
      </c>
      <c r="K1221" t="s">
        <v>4195</v>
      </c>
      <c r="M1221" t="s">
        <v>72</v>
      </c>
      <c r="N1221" t="s">
        <v>4196</v>
      </c>
      <c r="O1221" t="s">
        <v>4195</v>
      </c>
      <c r="P1221" t="s">
        <v>4197</v>
      </c>
      <c r="Q1221" t="s">
        <v>75</v>
      </c>
      <c r="R1221" t="s">
        <v>4501</v>
      </c>
      <c r="S1221" t="s">
        <v>4742</v>
      </c>
      <c r="T1221" t="s">
        <v>78</v>
      </c>
      <c r="U1221" t="s">
        <v>3817</v>
      </c>
      <c r="V1221" t="s">
        <v>80</v>
      </c>
      <c r="W1221" s="1">
        <v>44534</v>
      </c>
      <c r="X1221" t="s">
        <v>4502</v>
      </c>
      <c r="Y1221" t="s">
        <v>4743</v>
      </c>
      <c r="Z1221" t="s">
        <v>83</v>
      </c>
      <c r="AA1221">
        <v>1</v>
      </c>
      <c r="AB1221" t="s">
        <v>4744</v>
      </c>
      <c r="AC1221">
        <v>1</v>
      </c>
      <c r="AD1221" s="6" t="s">
        <v>2320</v>
      </c>
      <c r="AE1221" s="6" t="s">
        <v>86</v>
      </c>
      <c r="AF1221" s="6" t="s">
        <v>610</v>
      </c>
      <c r="AG1221" s="6" t="s">
        <v>1257</v>
      </c>
      <c r="AH1221" s="6"/>
      <c r="AI1221" s="6" t="s">
        <v>90</v>
      </c>
      <c r="AJ1221" s="6">
        <v>32.337865000000001</v>
      </c>
      <c r="AK1221" s="6">
        <v>-110.72019</v>
      </c>
      <c r="AL1221" s="6">
        <v>3</v>
      </c>
      <c r="AM1221" s="6"/>
      <c r="AN1221" s="6">
        <v>1481</v>
      </c>
      <c r="AO1221" s="6"/>
      <c r="AP1221" s="6">
        <v>1481</v>
      </c>
      <c r="AQ1221" s="6">
        <v>1489.831222</v>
      </c>
      <c r="AR1221" s="6"/>
      <c r="AS1221" s="6"/>
      <c r="AT1221" s="6">
        <v>4</v>
      </c>
      <c r="AU1221" s="6">
        <v>12</v>
      </c>
      <c r="AV1221" s="6">
        <v>2021</v>
      </c>
      <c r="AW1221" s="6">
        <v>2439589</v>
      </c>
      <c r="AX1221" s="6">
        <v>2439589</v>
      </c>
      <c r="AY1221" s="6" t="s">
        <v>91</v>
      </c>
      <c r="AZ1221" t="s">
        <v>92</v>
      </c>
      <c r="BA1221" t="s">
        <v>93</v>
      </c>
      <c r="BB1221" t="s">
        <v>4745</v>
      </c>
      <c r="BC1221" t="s">
        <v>1186</v>
      </c>
      <c r="BE1221" t="s">
        <v>96</v>
      </c>
      <c r="BG1221" t="s">
        <v>4507</v>
      </c>
      <c r="BI1221" t="s">
        <v>98</v>
      </c>
      <c r="BJ1221" t="s">
        <v>4746</v>
      </c>
      <c r="BL1221" t="s">
        <v>100</v>
      </c>
    </row>
    <row r="1222" spans="1:64" hidden="1" x14ac:dyDescent="0.2">
      <c r="A1222">
        <v>1312</v>
      </c>
      <c r="B1222">
        <v>4022923401</v>
      </c>
      <c r="C1222" t="s">
        <v>101</v>
      </c>
      <c r="D1222" t="s">
        <v>4785</v>
      </c>
      <c r="E1222" t="s">
        <v>65</v>
      </c>
      <c r="F1222" t="s">
        <v>66</v>
      </c>
      <c r="G1222" t="s">
        <v>67</v>
      </c>
      <c r="H1222" t="s">
        <v>68</v>
      </c>
      <c r="I1222" t="s">
        <v>176</v>
      </c>
      <c r="J1222" t="s">
        <v>177</v>
      </c>
      <c r="K1222" t="s">
        <v>178</v>
      </c>
      <c r="M1222" t="s">
        <v>72</v>
      </c>
      <c r="N1222" t="s">
        <v>179</v>
      </c>
      <c r="O1222" t="s">
        <v>178</v>
      </c>
      <c r="P1222" t="s">
        <v>180</v>
      </c>
      <c r="Q1222" t="s">
        <v>75</v>
      </c>
      <c r="R1222" t="s">
        <v>4501</v>
      </c>
      <c r="S1222" t="s">
        <v>4786</v>
      </c>
      <c r="T1222" t="s">
        <v>78</v>
      </c>
      <c r="U1222" t="s">
        <v>3817</v>
      </c>
      <c r="V1222" t="s">
        <v>80</v>
      </c>
      <c r="W1222" s="1">
        <v>44534</v>
      </c>
      <c r="X1222" t="s">
        <v>4502</v>
      </c>
      <c r="Y1222" t="s">
        <v>4787</v>
      </c>
      <c r="Z1222" t="s">
        <v>83</v>
      </c>
      <c r="AA1222">
        <v>1</v>
      </c>
      <c r="AB1222" t="s">
        <v>4517</v>
      </c>
      <c r="AD1222" t="s">
        <v>343</v>
      </c>
      <c r="AE1222" t="s">
        <v>145</v>
      </c>
      <c r="AF1222" t="s">
        <v>402</v>
      </c>
      <c r="AG1222" t="s">
        <v>980</v>
      </c>
      <c r="AI1222" t="s">
        <v>90</v>
      </c>
      <c r="AJ1222">
        <v>32.338628</v>
      </c>
      <c r="AK1222">
        <v>-110.72014299999999</v>
      </c>
      <c r="AL1222">
        <v>3</v>
      </c>
      <c r="AN1222">
        <v>1504</v>
      </c>
      <c r="AP1222">
        <v>1504</v>
      </c>
      <c r="AQ1222">
        <v>1502.912098</v>
      </c>
      <c r="AT1222">
        <v>4</v>
      </c>
      <c r="AU1222">
        <v>12</v>
      </c>
      <c r="AV1222">
        <v>2021</v>
      </c>
      <c r="AW1222">
        <v>2438038</v>
      </c>
      <c r="AX1222">
        <v>2438038</v>
      </c>
      <c r="AY1222" t="s">
        <v>106</v>
      </c>
      <c r="AZ1222" t="s">
        <v>92</v>
      </c>
      <c r="BA1222" t="s">
        <v>107</v>
      </c>
      <c r="BB1222" t="s">
        <v>4788</v>
      </c>
      <c r="BC1222" t="s">
        <v>1186</v>
      </c>
      <c r="BE1222" t="s">
        <v>96</v>
      </c>
      <c r="BG1222" t="s">
        <v>4507</v>
      </c>
      <c r="BI1222" t="s">
        <v>98</v>
      </c>
      <c r="BJ1222" t="s">
        <v>4789</v>
      </c>
      <c r="BL1222" t="s">
        <v>412</v>
      </c>
    </row>
    <row r="1223" spans="1:64" x14ac:dyDescent="0.2">
      <c r="A1223">
        <v>1421</v>
      </c>
      <c r="B1223">
        <v>4022922326</v>
      </c>
      <c r="C1223" t="s">
        <v>63</v>
      </c>
      <c r="D1223" t="s">
        <v>4799</v>
      </c>
      <c r="E1223" t="s">
        <v>65</v>
      </c>
      <c r="F1223" t="s">
        <v>66</v>
      </c>
      <c r="G1223" t="s">
        <v>67</v>
      </c>
      <c r="H1223" t="s">
        <v>68</v>
      </c>
      <c r="I1223" t="s">
        <v>69</v>
      </c>
      <c r="J1223" t="s">
        <v>70</v>
      </c>
      <c r="K1223" t="s">
        <v>4195</v>
      </c>
      <c r="M1223" t="s">
        <v>72</v>
      </c>
      <c r="N1223" t="s">
        <v>4196</v>
      </c>
      <c r="O1223" t="s">
        <v>4195</v>
      </c>
      <c r="P1223" t="s">
        <v>4197</v>
      </c>
      <c r="Q1223" t="s">
        <v>75</v>
      </c>
      <c r="R1223" t="s">
        <v>4501</v>
      </c>
      <c r="S1223" t="s">
        <v>4800</v>
      </c>
      <c r="T1223" t="s">
        <v>78</v>
      </c>
      <c r="U1223" t="s">
        <v>3817</v>
      </c>
      <c r="V1223" t="s">
        <v>80</v>
      </c>
      <c r="W1223" s="1">
        <v>44534</v>
      </c>
      <c r="X1223" t="s">
        <v>4502</v>
      </c>
      <c r="Y1223" t="s">
        <v>4801</v>
      </c>
      <c r="Z1223" t="s">
        <v>83</v>
      </c>
      <c r="AA1223">
        <v>1</v>
      </c>
      <c r="AB1223" t="s">
        <v>4802</v>
      </c>
      <c r="AC1223">
        <v>1</v>
      </c>
      <c r="AD1223" s="6" t="s">
        <v>2320</v>
      </c>
      <c r="AE1223" s="6" t="s">
        <v>86</v>
      </c>
      <c r="AF1223" s="6" t="s">
        <v>146</v>
      </c>
      <c r="AG1223" s="6" t="s">
        <v>1257</v>
      </c>
      <c r="AH1223" s="6" t="s">
        <v>4803</v>
      </c>
      <c r="AI1223" s="6" t="s">
        <v>90</v>
      </c>
      <c r="AJ1223" s="6">
        <v>32.339016999999998</v>
      </c>
      <c r="AK1223" s="6">
        <v>-110.720274</v>
      </c>
      <c r="AL1223" s="6">
        <v>3</v>
      </c>
      <c r="AM1223" s="6"/>
      <c r="AN1223" s="6">
        <v>1519</v>
      </c>
      <c r="AO1223" s="6"/>
      <c r="AP1223" s="6">
        <v>1519</v>
      </c>
      <c r="AQ1223" s="6">
        <v>1525.3321249999999</v>
      </c>
      <c r="AR1223" s="6"/>
      <c r="AS1223" s="6"/>
      <c r="AT1223" s="6">
        <v>4</v>
      </c>
      <c r="AU1223" s="6">
        <v>12</v>
      </c>
      <c r="AV1223" s="6">
        <v>2021</v>
      </c>
      <c r="AW1223" s="6">
        <v>2439589</v>
      </c>
      <c r="AX1223" s="6">
        <v>2439589</v>
      </c>
      <c r="AY1223" s="6" t="s">
        <v>91</v>
      </c>
      <c r="AZ1223" t="s">
        <v>92</v>
      </c>
      <c r="BA1223" t="s">
        <v>93</v>
      </c>
      <c r="BB1223" t="s">
        <v>4804</v>
      </c>
      <c r="BC1223" t="s">
        <v>1186</v>
      </c>
      <c r="BE1223" t="s">
        <v>96</v>
      </c>
      <c r="BG1223" t="s">
        <v>4507</v>
      </c>
      <c r="BI1223" t="s">
        <v>98</v>
      </c>
      <c r="BJ1223" t="s">
        <v>4805</v>
      </c>
      <c r="BL1223" t="s">
        <v>407</v>
      </c>
    </row>
    <row r="1224" spans="1:64" hidden="1" x14ac:dyDescent="0.2">
      <c r="A1224">
        <v>1316</v>
      </c>
      <c r="B1224">
        <v>4022923397</v>
      </c>
      <c r="C1224" t="s">
        <v>101</v>
      </c>
      <c r="D1224" t="s">
        <v>4792</v>
      </c>
      <c r="E1224" t="s">
        <v>65</v>
      </c>
      <c r="F1224" t="s">
        <v>66</v>
      </c>
      <c r="G1224" t="s">
        <v>67</v>
      </c>
      <c r="H1224" t="s">
        <v>68</v>
      </c>
      <c r="I1224" t="s">
        <v>69</v>
      </c>
      <c r="J1224" t="s">
        <v>70</v>
      </c>
      <c r="K1224" t="s">
        <v>4195</v>
      </c>
      <c r="M1224" t="s">
        <v>72</v>
      </c>
      <c r="N1224" t="s">
        <v>4196</v>
      </c>
      <c r="O1224" t="s">
        <v>4195</v>
      </c>
      <c r="P1224" t="s">
        <v>4197</v>
      </c>
      <c r="Q1224" t="s">
        <v>75</v>
      </c>
      <c r="R1224" t="s">
        <v>4501</v>
      </c>
      <c r="S1224" t="s">
        <v>4793</v>
      </c>
      <c r="T1224" t="s">
        <v>78</v>
      </c>
      <c r="U1224" t="s">
        <v>3817</v>
      </c>
      <c r="V1224" t="s">
        <v>80</v>
      </c>
      <c r="W1224" s="1">
        <v>44534</v>
      </c>
      <c r="X1224" t="s">
        <v>4502</v>
      </c>
      <c r="Y1224" t="s">
        <v>4794</v>
      </c>
      <c r="Z1224" t="s">
        <v>83</v>
      </c>
      <c r="AA1224">
        <v>1</v>
      </c>
      <c r="AB1224" t="s">
        <v>4517</v>
      </c>
      <c r="AD1224" t="s">
        <v>343</v>
      </c>
      <c r="AE1224" t="s">
        <v>86</v>
      </c>
      <c r="AF1224" t="s">
        <v>146</v>
      </c>
      <c r="AG1224" t="s">
        <v>4795</v>
      </c>
      <c r="AI1224" t="s">
        <v>90</v>
      </c>
      <c r="AJ1224">
        <v>32.338814999999997</v>
      </c>
      <c r="AK1224">
        <v>-110.720236</v>
      </c>
      <c r="AL1224">
        <v>3</v>
      </c>
      <c r="AN1224">
        <v>1512</v>
      </c>
      <c r="AP1224">
        <v>1512</v>
      </c>
      <c r="AQ1224">
        <v>1513.598804</v>
      </c>
      <c r="AT1224">
        <v>4</v>
      </c>
      <c r="AU1224">
        <v>12</v>
      </c>
      <c r="AV1224">
        <v>2021</v>
      </c>
      <c r="AW1224">
        <v>2439589</v>
      </c>
      <c r="AX1224">
        <v>2439589</v>
      </c>
      <c r="AY1224" t="s">
        <v>106</v>
      </c>
      <c r="AZ1224" t="s">
        <v>92</v>
      </c>
      <c r="BA1224" t="s">
        <v>107</v>
      </c>
      <c r="BB1224" t="s">
        <v>4796</v>
      </c>
      <c r="BC1224" t="s">
        <v>1186</v>
      </c>
      <c r="BE1224" t="s">
        <v>96</v>
      </c>
      <c r="BG1224" t="s">
        <v>4507</v>
      </c>
      <c r="BI1224" t="s">
        <v>98</v>
      </c>
      <c r="BJ1224" t="s">
        <v>2640</v>
      </c>
      <c r="BL1224" t="s">
        <v>412</v>
      </c>
    </row>
    <row r="1225" spans="1:64" x14ac:dyDescent="0.2">
      <c r="A1225">
        <v>1438</v>
      </c>
      <c r="B1225">
        <v>4022922307</v>
      </c>
      <c r="C1225" t="s">
        <v>63</v>
      </c>
      <c r="D1225" t="s">
        <v>4830</v>
      </c>
      <c r="E1225" t="s">
        <v>65</v>
      </c>
      <c r="F1225" t="s">
        <v>66</v>
      </c>
      <c r="G1225" t="s">
        <v>67</v>
      </c>
      <c r="H1225" t="s">
        <v>68</v>
      </c>
      <c r="I1225" t="s">
        <v>176</v>
      </c>
      <c r="J1225" t="s">
        <v>773</v>
      </c>
      <c r="K1225" t="s">
        <v>1347</v>
      </c>
      <c r="M1225" t="s">
        <v>72</v>
      </c>
      <c r="N1225" t="s">
        <v>1348</v>
      </c>
      <c r="O1225" t="s">
        <v>1347</v>
      </c>
      <c r="P1225" t="s">
        <v>1349</v>
      </c>
      <c r="Q1225" t="s">
        <v>75</v>
      </c>
      <c r="R1225" t="s">
        <v>4501</v>
      </c>
      <c r="S1225" t="s">
        <v>4831</v>
      </c>
      <c r="T1225" t="s">
        <v>78</v>
      </c>
      <c r="U1225" t="s">
        <v>3817</v>
      </c>
      <c r="V1225" t="s">
        <v>80</v>
      </c>
      <c r="W1225" s="1">
        <v>44534</v>
      </c>
      <c r="X1225" t="s">
        <v>4502</v>
      </c>
      <c r="Y1225" t="s">
        <v>4832</v>
      </c>
      <c r="Z1225" t="s">
        <v>83</v>
      </c>
      <c r="AA1225">
        <v>1</v>
      </c>
      <c r="AB1225" t="s">
        <v>4833</v>
      </c>
      <c r="AC1225">
        <v>1</v>
      </c>
      <c r="AD1225" s="6" t="s">
        <v>2320</v>
      </c>
      <c r="AE1225" s="6" t="s">
        <v>145</v>
      </c>
      <c r="AF1225" s="6" t="s">
        <v>146</v>
      </c>
      <c r="AG1225" s="6" t="s">
        <v>4834</v>
      </c>
      <c r="AH1225" s="6" t="s">
        <v>4835</v>
      </c>
      <c r="AI1225" s="6" t="s">
        <v>90</v>
      </c>
      <c r="AJ1225" s="6">
        <v>32.339241000000001</v>
      </c>
      <c r="AK1225" s="6">
        <v>-110.720311</v>
      </c>
      <c r="AL1225" s="6">
        <v>3</v>
      </c>
      <c r="AM1225" s="6"/>
      <c r="AN1225" s="6">
        <v>1530</v>
      </c>
      <c r="AO1225" s="6"/>
      <c r="AP1225" s="6">
        <v>1530</v>
      </c>
      <c r="AQ1225" s="6">
        <v>1535.844799</v>
      </c>
      <c r="AR1225" s="6"/>
      <c r="AS1225" s="6"/>
      <c r="AT1225" s="6">
        <v>4</v>
      </c>
      <c r="AU1225" s="6">
        <v>12</v>
      </c>
      <c r="AV1225" s="6">
        <v>2021</v>
      </c>
      <c r="AW1225" s="6">
        <v>2438454</v>
      </c>
      <c r="AX1225" s="6">
        <v>2438454</v>
      </c>
      <c r="AY1225" s="6" t="s">
        <v>91</v>
      </c>
      <c r="AZ1225" t="s">
        <v>92</v>
      </c>
      <c r="BA1225" t="s">
        <v>93</v>
      </c>
      <c r="BB1225" t="s">
        <v>4836</v>
      </c>
      <c r="BC1225" t="s">
        <v>1186</v>
      </c>
      <c r="BE1225" t="s">
        <v>96</v>
      </c>
      <c r="BG1225" t="s">
        <v>4507</v>
      </c>
      <c r="BI1225" t="s">
        <v>98</v>
      </c>
      <c r="BJ1225" t="s">
        <v>4837</v>
      </c>
      <c r="BL1225" t="s">
        <v>407</v>
      </c>
    </row>
    <row r="1226" spans="1:64" hidden="1" x14ac:dyDescent="0.2">
      <c r="A1226">
        <v>1606</v>
      </c>
      <c r="B1226">
        <v>3744741527</v>
      </c>
      <c r="C1226" t="s">
        <v>101</v>
      </c>
      <c r="D1226" t="s">
        <v>4806</v>
      </c>
      <c r="E1226" t="s">
        <v>65</v>
      </c>
      <c r="F1226" t="s">
        <v>66</v>
      </c>
      <c r="G1226" t="s">
        <v>67</v>
      </c>
      <c r="H1226" t="s">
        <v>68</v>
      </c>
      <c r="I1226" t="s">
        <v>69</v>
      </c>
      <c r="J1226" t="s">
        <v>70</v>
      </c>
      <c r="K1226" t="s">
        <v>71</v>
      </c>
      <c r="M1226" t="s">
        <v>72</v>
      </c>
      <c r="N1226" t="s">
        <v>73</v>
      </c>
      <c r="O1226" t="s">
        <v>71</v>
      </c>
      <c r="P1226" t="s">
        <v>74</v>
      </c>
      <c r="Q1226" t="s">
        <v>75</v>
      </c>
      <c r="R1226" t="s">
        <v>4748</v>
      </c>
      <c r="S1226" t="s">
        <v>4800</v>
      </c>
      <c r="T1226" t="s">
        <v>78</v>
      </c>
      <c r="U1226" t="s">
        <v>3817</v>
      </c>
      <c r="V1226" t="s">
        <v>80</v>
      </c>
      <c r="W1226" s="1">
        <v>44534</v>
      </c>
      <c r="X1226" t="s">
        <v>4502</v>
      </c>
      <c r="Y1226" t="s">
        <v>4801</v>
      </c>
      <c r="Z1226" t="s">
        <v>83</v>
      </c>
      <c r="AA1226">
        <v>1</v>
      </c>
      <c r="AB1226" t="s">
        <v>133</v>
      </c>
      <c r="AD1226" t="s">
        <v>134</v>
      </c>
      <c r="AE1226" t="s">
        <v>86</v>
      </c>
      <c r="AF1226" t="s">
        <v>402</v>
      </c>
      <c r="AG1226" t="s">
        <v>3607</v>
      </c>
      <c r="AI1226" t="s">
        <v>90</v>
      </c>
      <c r="AJ1226">
        <v>32.339016999999998</v>
      </c>
      <c r="AK1226">
        <v>-110.720274</v>
      </c>
      <c r="AL1226">
        <v>3</v>
      </c>
      <c r="AN1226">
        <v>1519</v>
      </c>
      <c r="AP1226">
        <v>1519</v>
      </c>
      <c r="AQ1226">
        <v>1525.3321249999999</v>
      </c>
      <c r="AT1226">
        <v>4</v>
      </c>
      <c r="AU1226">
        <v>12</v>
      </c>
      <c r="AV1226">
        <v>2021</v>
      </c>
      <c r="AW1226">
        <v>2439581</v>
      </c>
      <c r="AX1226">
        <v>2439581</v>
      </c>
      <c r="AY1226" t="s">
        <v>106</v>
      </c>
      <c r="AZ1226" t="s">
        <v>92</v>
      </c>
      <c r="BA1226" t="s">
        <v>107</v>
      </c>
      <c r="BB1226" t="s">
        <v>4807</v>
      </c>
      <c r="BC1226" t="s">
        <v>1186</v>
      </c>
      <c r="BE1226" t="s">
        <v>96</v>
      </c>
      <c r="BG1226" t="s">
        <v>4507</v>
      </c>
      <c r="BI1226" t="s">
        <v>98</v>
      </c>
      <c r="BJ1226" t="s">
        <v>4673</v>
      </c>
      <c r="BL1226" t="s">
        <v>412</v>
      </c>
    </row>
    <row r="1227" spans="1:64" x14ac:dyDescent="0.2">
      <c r="A1227">
        <v>1441</v>
      </c>
      <c r="B1227">
        <v>4022922304</v>
      </c>
      <c r="C1227" t="s">
        <v>63</v>
      </c>
      <c r="D1227" t="s">
        <v>5034</v>
      </c>
      <c r="E1227" t="s">
        <v>65</v>
      </c>
      <c r="F1227" t="s">
        <v>66</v>
      </c>
      <c r="G1227" t="s">
        <v>67</v>
      </c>
      <c r="H1227" t="s">
        <v>68</v>
      </c>
      <c r="I1227" t="s">
        <v>176</v>
      </c>
      <c r="J1227" t="s">
        <v>177</v>
      </c>
      <c r="K1227" t="s">
        <v>3925</v>
      </c>
      <c r="M1227" t="s">
        <v>72</v>
      </c>
      <c r="N1227" t="s">
        <v>3926</v>
      </c>
      <c r="O1227" t="s">
        <v>3925</v>
      </c>
      <c r="P1227" t="s">
        <v>1176</v>
      </c>
      <c r="Q1227" t="s">
        <v>75</v>
      </c>
      <c r="R1227" t="s">
        <v>5008</v>
      </c>
      <c r="S1227" t="s">
        <v>245</v>
      </c>
      <c r="T1227" t="s">
        <v>78</v>
      </c>
      <c r="U1227" t="s">
        <v>5009</v>
      </c>
      <c r="V1227" t="s">
        <v>80</v>
      </c>
      <c r="W1227" s="1">
        <v>44534</v>
      </c>
      <c r="X1227" t="s">
        <v>5010</v>
      </c>
      <c r="Y1227" t="s">
        <v>5035</v>
      </c>
      <c r="Z1227" t="s">
        <v>83</v>
      </c>
      <c r="AA1227">
        <v>1</v>
      </c>
      <c r="AB1227" t="s">
        <v>5036</v>
      </c>
      <c r="AC1227">
        <v>1</v>
      </c>
      <c r="AD1227" s="6" t="s">
        <v>2320</v>
      </c>
      <c r="AE1227" s="6" t="s">
        <v>145</v>
      </c>
      <c r="AF1227" s="6" t="s">
        <v>402</v>
      </c>
      <c r="AG1227" s="6" t="s">
        <v>5037</v>
      </c>
      <c r="AH1227" s="6"/>
      <c r="AI1227" s="6" t="s">
        <v>90</v>
      </c>
      <c r="AJ1227" s="6">
        <v>32.313015999999998</v>
      </c>
      <c r="AK1227" s="6">
        <v>-110.711777</v>
      </c>
      <c r="AL1227" s="6">
        <v>3</v>
      </c>
      <c r="AM1227" s="6"/>
      <c r="AN1227" s="6">
        <v>1148</v>
      </c>
      <c r="AO1227" s="6"/>
      <c r="AP1227" s="6">
        <v>1148</v>
      </c>
      <c r="AQ1227" s="6">
        <v>1146.1815200000001</v>
      </c>
      <c r="AR1227" s="6"/>
      <c r="AS1227" s="6"/>
      <c r="AT1227" s="6">
        <v>4</v>
      </c>
      <c r="AU1227" s="6">
        <v>12</v>
      </c>
      <c r="AV1227" s="6">
        <v>2021</v>
      </c>
      <c r="AW1227" s="6">
        <v>2437981</v>
      </c>
      <c r="AX1227" s="6">
        <v>2437981</v>
      </c>
      <c r="AY1227" s="6" t="s">
        <v>91</v>
      </c>
      <c r="AZ1227" t="s">
        <v>92</v>
      </c>
      <c r="BA1227" t="s">
        <v>93</v>
      </c>
      <c r="BB1227" t="s">
        <v>5038</v>
      </c>
      <c r="BC1227" t="s">
        <v>1186</v>
      </c>
      <c r="BE1227" t="s">
        <v>96</v>
      </c>
      <c r="BG1227" t="s">
        <v>4507</v>
      </c>
      <c r="BI1227" t="s">
        <v>98</v>
      </c>
      <c r="BJ1227" t="s">
        <v>5039</v>
      </c>
      <c r="BL1227" t="s">
        <v>100</v>
      </c>
    </row>
    <row r="1228" spans="1:64" hidden="1" x14ac:dyDescent="0.2">
      <c r="A1228">
        <v>1251</v>
      </c>
      <c r="B1228">
        <v>4022923462</v>
      </c>
      <c r="C1228" t="s">
        <v>101</v>
      </c>
      <c r="D1228" t="s">
        <v>4810</v>
      </c>
      <c r="E1228" t="s">
        <v>65</v>
      </c>
      <c r="F1228" t="s">
        <v>66</v>
      </c>
      <c r="G1228" t="s">
        <v>67</v>
      </c>
      <c r="H1228" t="s">
        <v>68</v>
      </c>
      <c r="I1228" t="s">
        <v>69</v>
      </c>
      <c r="J1228" t="s">
        <v>70</v>
      </c>
      <c r="K1228" t="s">
        <v>4195</v>
      </c>
      <c r="M1228" t="s">
        <v>72</v>
      </c>
      <c r="N1228" t="s">
        <v>4196</v>
      </c>
      <c r="O1228" t="s">
        <v>4195</v>
      </c>
      <c r="P1228" t="s">
        <v>4197</v>
      </c>
      <c r="Q1228" t="s">
        <v>75</v>
      </c>
      <c r="R1228" t="s">
        <v>4501</v>
      </c>
      <c r="S1228" t="s">
        <v>4800</v>
      </c>
      <c r="T1228" t="s">
        <v>78</v>
      </c>
      <c r="U1228" t="s">
        <v>3817</v>
      </c>
      <c r="V1228" t="s">
        <v>80</v>
      </c>
      <c r="W1228" s="1">
        <v>44534</v>
      </c>
      <c r="X1228" t="s">
        <v>4502</v>
      </c>
      <c r="Y1228" t="s">
        <v>4801</v>
      </c>
      <c r="Z1228" t="s">
        <v>83</v>
      </c>
      <c r="AA1228">
        <v>1</v>
      </c>
      <c r="AB1228" t="s">
        <v>4517</v>
      </c>
      <c r="AD1228" t="s">
        <v>123</v>
      </c>
      <c r="AE1228" t="s">
        <v>86</v>
      </c>
      <c r="AF1228" t="s">
        <v>146</v>
      </c>
      <c r="AG1228" t="s">
        <v>1257</v>
      </c>
      <c r="AI1228" t="s">
        <v>90</v>
      </c>
      <c r="AJ1228">
        <v>32.339016999999998</v>
      </c>
      <c r="AK1228">
        <v>-110.720274</v>
      </c>
      <c r="AL1228">
        <v>3</v>
      </c>
      <c r="AN1228">
        <v>1519</v>
      </c>
      <c r="AP1228">
        <v>1519</v>
      </c>
      <c r="AQ1228">
        <v>1525.3321249999999</v>
      </c>
      <c r="AT1228">
        <v>4</v>
      </c>
      <c r="AU1228">
        <v>12</v>
      </c>
      <c r="AV1228">
        <v>2021</v>
      </c>
      <c r="AW1228">
        <v>2439589</v>
      </c>
      <c r="AX1228">
        <v>2439589</v>
      </c>
      <c r="AY1228" t="s">
        <v>106</v>
      </c>
      <c r="AZ1228" t="s">
        <v>92</v>
      </c>
      <c r="BA1228" t="s">
        <v>107</v>
      </c>
      <c r="BB1228" t="s">
        <v>4811</v>
      </c>
      <c r="BC1228" t="s">
        <v>1186</v>
      </c>
      <c r="BE1228" t="s">
        <v>96</v>
      </c>
      <c r="BG1228" t="s">
        <v>4507</v>
      </c>
      <c r="BI1228" t="s">
        <v>98</v>
      </c>
      <c r="BJ1228" t="s">
        <v>4812</v>
      </c>
      <c r="BL1228" t="s">
        <v>412</v>
      </c>
    </row>
    <row r="1229" spans="1:64" x14ac:dyDescent="0.2">
      <c r="A1229">
        <v>1435</v>
      </c>
      <c r="B1229">
        <v>4022922310</v>
      </c>
      <c r="C1229" t="s">
        <v>63</v>
      </c>
      <c r="D1229" t="s">
        <v>5138</v>
      </c>
      <c r="E1229" t="s">
        <v>65</v>
      </c>
      <c r="F1229" t="s">
        <v>66</v>
      </c>
      <c r="G1229" t="s">
        <v>67</v>
      </c>
      <c r="H1229" t="s">
        <v>68</v>
      </c>
      <c r="I1229" t="s">
        <v>350</v>
      </c>
      <c r="J1229" t="s">
        <v>4050</v>
      </c>
      <c r="K1229" t="s">
        <v>4051</v>
      </c>
      <c r="M1229" t="s">
        <v>72</v>
      </c>
      <c r="N1229" t="s">
        <v>4052</v>
      </c>
      <c r="O1229" t="s">
        <v>4051</v>
      </c>
      <c r="P1229" t="s">
        <v>4053</v>
      </c>
      <c r="Q1229" t="s">
        <v>75</v>
      </c>
      <c r="R1229" t="s">
        <v>5008</v>
      </c>
      <c r="S1229" t="s">
        <v>5139</v>
      </c>
      <c r="T1229" t="s">
        <v>78</v>
      </c>
      <c r="U1229" t="s">
        <v>5009</v>
      </c>
      <c r="V1229" t="s">
        <v>80</v>
      </c>
      <c r="W1229" s="1">
        <v>44534</v>
      </c>
      <c r="X1229" t="s">
        <v>5010</v>
      </c>
      <c r="Y1229" t="s">
        <v>5140</v>
      </c>
      <c r="Z1229" t="s">
        <v>83</v>
      </c>
      <c r="AA1229">
        <v>1</v>
      </c>
      <c r="AB1229" t="s">
        <v>5141</v>
      </c>
      <c r="AC1229">
        <v>1</v>
      </c>
      <c r="AD1229" s="6" t="s">
        <v>2320</v>
      </c>
      <c r="AE1229" s="6" t="s">
        <v>86</v>
      </c>
      <c r="AF1229" s="6" t="s">
        <v>146</v>
      </c>
      <c r="AG1229" s="6" t="s">
        <v>1393</v>
      </c>
      <c r="AH1229" s="6"/>
      <c r="AI1229" s="6" t="s">
        <v>90</v>
      </c>
      <c r="AJ1229" s="6">
        <v>32.31324</v>
      </c>
      <c r="AK1229" s="6">
        <v>-110.71200899999999</v>
      </c>
      <c r="AL1229" s="6">
        <v>3</v>
      </c>
      <c r="AM1229" s="6"/>
      <c r="AN1229" s="6">
        <v>1153</v>
      </c>
      <c r="AO1229" s="6"/>
      <c r="AP1229" s="6">
        <v>1153</v>
      </c>
      <c r="AQ1229" s="6">
        <v>1156.50323</v>
      </c>
      <c r="AR1229" s="6"/>
      <c r="AS1229" s="6"/>
      <c r="AT1229" s="6">
        <v>4</v>
      </c>
      <c r="AU1229" s="6">
        <v>12</v>
      </c>
      <c r="AV1229" s="6">
        <v>2021</v>
      </c>
      <c r="AW1229" s="6">
        <v>2437568</v>
      </c>
      <c r="AX1229" s="6">
        <v>2437568</v>
      </c>
      <c r="AY1229" s="6" t="s">
        <v>91</v>
      </c>
      <c r="AZ1229" t="s">
        <v>92</v>
      </c>
      <c r="BA1229" t="s">
        <v>93</v>
      </c>
      <c r="BB1229" t="s">
        <v>5142</v>
      </c>
      <c r="BC1229" t="s">
        <v>1186</v>
      </c>
      <c r="BE1229" t="s">
        <v>96</v>
      </c>
      <c r="BG1229" t="s">
        <v>4507</v>
      </c>
      <c r="BI1229" t="s">
        <v>98</v>
      </c>
      <c r="BJ1229" t="s">
        <v>5143</v>
      </c>
      <c r="BL1229" t="s">
        <v>100</v>
      </c>
    </row>
    <row r="1230" spans="1:64" hidden="1" x14ac:dyDescent="0.2">
      <c r="A1230">
        <v>1230</v>
      </c>
      <c r="B1230">
        <v>4022923483</v>
      </c>
      <c r="C1230" t="s">
        <v>101</v>
      </c>
      <c r="D1230" t="s">
        <v>4816</v>
      </c>
      <c r="E1230" t="s">
        <v>65</v>
      </c>
      <c r="F1230" t="s">
        <v>66</v>
      </c>
      <c r="G1230" t="s">
        <v>67</v>
      </c>
      <c r="H1230" t="s">
        <v>68</v>
      </c>
      <c r="I1230" t="s">
        <v>69</v>
      </c>
      <c r="J1230" t="s">
        <v>70</v>
      </c>
      <c r="K1230" t="s">
        <v>4195</v>
      </c>
      <c r="M1230" t="s">
        <v>72</v>
      </c>
      <c r="N1230" t="s">
        <v>4196</v>
      </c>
      <c r="O1230" t="s">
        <v>4195</v>
      </c>
      <c r="P1230" t="s">
        <v>4197</v>
      </c>
      <c r="Q1230" t="s">
        <v>75</v>
      </c>
      <c r="R1230" t="s">
        <v>4501</v>
      </c>
      <c r="S1230" t="s">
        <v>4800</v>
      </c>
      <c r="T1230" t="s">
        <v>78</v>
      </c>
      <c r="U1230" t="s">
        <v>3817</v>
      </c>
      <c r="V1230" t="s">
        <v>80</v>
      </c>
      <c r="W1230" s="1">
        <v>44534</v>
      </c>
      <c r="X1230" t="s">
        <v>4502</v>
      </c>
      <c r="Y1230" t="s">
        <v>4801</v>
      </c>
      <c r="Z1230" t="s">
        <v>83</v>
      </c>
      <c r="AA1230">
        <v>1</v>
      </c>
      <c r="AB1230" t="s">
        <v>4517</v>
      </c>
      <c r="AD1230" t="s">
        <v>116</v>
      </c>
      <c r="AE1230" t="s">
        <v>86</v>
      </c>
      <c r="AF1230" t="s">
        <v>146</v>
      </c>
      <c r="AG1230" t="s">
        <v>1257</v>
      </c>
      <c r="AI1230" t="s">
        <v>90</v>
      </c>
      <c r="AJ1230">
        <v>32.339016999999998</v>
      </c>
      <c r="AK1230">
        <v>-110.720274</v>
      </c>
      <c r="AL1230">
        <v>3</v>
      </c>
      <c r="AN1230">
        <v>1519</v>
      </c>
      <c r="AP1230">
        <v>1519</v>
      </c>
      <c r="AQ1230">
        <v>1525.3321249999999</v>
      </c>
      <c r="AT1230">
        <v>4</v>
      </c>
      <c r="AU1230">
        <v>12</v>
      </c>
      <c r="AV1230">
        <v>2021</v>
      </c>
      <c r="AW1230">
        <v>2439589</v>
      </c>
      <c r="AX1230">
        <v>2439589</v>
      </c>
      <c r="AY1230" t="s">
        <v>106</v>
      </c>
      <c r="AZ1230" t="s">
        <v>92</v>
      </c>
      <c r="BA1230" t="s">
        <v>107</v>
      </c>
      <c r="BB1230" t="s">
        <v>4817</v>
      </c>
      <c r="BC1230" t="s">
        <v>1186</v>
      </c>
      <c r="BE1230" t="s">
        <v>96</v>
      </c>
      <c r="BG1230" t="s">
        <v>4507</v>
      </c>
      <c r="BI1230" t="s">
        <v>98</v>
      </c>
      <c r="BJ1230" t="s">
        <v>4815</v>
      </c>
      <c r="BL1230" t="s">
        <v>412</v>
      </c>
    </row>
    <row r="1231" spans="1:64" hidden="1" x14ac:dyDescent="0.2">
      <c r="A1231">
        <v>1231</v>
      </c>
      <c r="B1231">
        <v>4022923482</v>
      </c>
      <c r="C1231" t="s">
        <v>101</v>
      </c>
      <c r="D1231" t="s">
        <v>4818</v>
      </c>
      <c r="E1231" t="s">
        <v>65</v>
      </c>
      <c r="F1231" t="s">
        <v>66</v>
      </c>
      <c r="G1231" t="s">
        <v>67</v>
      </c>
      <c r="H1231" t="s">
        <v>68</v>
      </c>
      <c r="I1231" t="s">
        <v>69</v>
      </c>
      <c r="J1231" t="s">
        <v>70</v>
      </c>
      <c r="K1231" t="s">
        <v>4195</v>
      </c>
      <c r="M1231" t="s">
        <v>72</v>
      </c>
      <c r="N1231" t="s">
        <v>4196</v>
      </c>
      <c r="O1231" t="s">
        <v>4195</v>
      </c>
      <c r="P1231" t="s">
        <v>4197</v>
      </c>
      <c r="Q1231" t="s">
        <v>75</v>
      </c>
      <c r="R1231" t="s">
        <v>4501</v>
      </c>
      <c r="S1231" t="s">
        <v>4800</v>
      </c>
      <c r="T1231" t="s">
        <v>78</v>
      </c>
      <c r="U1231" t="s">
        <v>3817</v>
      </c>
      <c r="V1231" t="s">
        <v>80</v>
      </c>
      <c r="W1231" s="1">
        <v>44534</v>
      </c>
      <c r="X1231" t="s">
        <v>4502</v>
      </c>
      <c r="Y1231" t="s">
        <v>4801</v>
      </c>
      <c r="Z1231" t="s">
        <v>83</v>
      </c>
      <c r="AA1231">
        <v>1</v>
      </c>
      <c r="AB1231" t="s">
        <v>4517</v>
      </c>
      <c r="AD1231" t="s">
        <v>112</v>
      </c>
      <c r="AE1231" t="s">
        <v>86</v>
      </c>
      <c r="AF1231" t="s">
        <v>146</v>
      </c>
      <c r="AG1231" t="s">
        <v>1257</v>
      </c>
      <c r="AI1231" t="s">
        <v>90</v>
      </c>
      <c r="AJ1231">
        <v>32.339016999999998</v>
      </c>
      <c r="AK1231">
        <v>-110.720274</v>
      </c>
      <c r="AL1231">
        <v>3</v>
      </c>
      <c r="AN1231">
        <v>1519</v>
      </c>
      <c r="AP1231">
        <v>1519</v>
      </c>
      <c r="AQ1231">
        <v>1525.3321249999999</v>
      </c>
      <c r="AT1231">
        <v>4</v>
      </c>
      <c r="AU1231">
        <v>12</v>
      </c>
      <c r="AV1231">
        <v>2021</v>
      </c>
      <c r="AW1231">
        <v>2439589</v>
      </c>
      <c r="AX1231">
        <v>2439589</v>
      </c>
      <c r="AY1231" t="s">
        <v>106</v>
      </c>
      <c r="AZ1231" t="s">
        <v>92</v>
      </c>
      <c r="BA1231" t="s">
        <v>107</v>
      </c>
      <c r="BB1231" t="s">
        <v>4819</v>
      </c>
      <c r="BC1231" t="s">
        <v>1186</v>
      </c>
      <c r="BE1231" t="s">
        <v>96</v>
      </c>
      <c r="BG1231" t="s">
        <v>4507</v>
      </c>
      <c r="BI1231" t="s">
        <v>98</v>
      </c>
      <c r="BJ1231" t="s">
        <v>4820</v>
      </c>
      <c r="BL1231" t="s">
        <v>412</v>
      </c>
    </row>
    <row r="1232" spans="1:64" hidden="1" x14ac:dyDescent="0.2">
      <c r="A1232">
        <v>1395</v>
      </c>
      <c r="B1232">
        <v>4022923318</v>
      </c>
      <c r="C1232" t="s">
        <v>101</v>
      </c>
      <c r="D1232" t="s">
        <v>4821</v>
      </c>
      <c r="E1232" t="s">
        <v>65</v>
      </c>
      <c r="F1232" t="s">
        <v>66</v>
      </c>
      <c r="G1232" t="s">
        <v>67</v>
      </c>
      <c r="H1232" t="s">
        <v>68</v>
      </c>
      <c r="I1232" t="s">
        <v>69</v>
      </c>
      <c r="J1232" t="s">
        <v>70</v>
      </c>
      <c r="K1232" t="s">
        <v>4195</v>
      </c>
      <c r="M1232" t="s">
        <v>72</v>
      </c>
      <c r="N1232" t="s">
        <v>4196</v>
      </c>
      <c r="O1232" t="s">
        <v>4195</v>
      </c>
      <c r="P1232" t="s">
        <v>4197</v>
      </c>
      <c r="Q1232" t="s">
        <v>75</v>
      </c>
      <c r="R1232" t="s">
        <v>4501</v>
      </c>
      <c r="T1232" t="s">
        <v>78</v>
      </c>
      <c r="U1232" t="s">
        <v>3817</v>
      </c>
      <c r="V1232" t="s">
        <v>80</v>
      </c>
      <c r="W1232" s="1">
        <v>44534</v>
      </c>
      <c r="X1232" t="s">
        <v>4502</v>
      </c>
      <c r="Y1232" t="s">
        <v>4801</v>
      </c>
      <c r="Z1232" t="s">
        <v>83</v>
      </c>
      <c r="AA1232">
        <v>1</v>
      </c>
      <c r="AB1232" t="s">
        <v>4822</v>
      </c>
      <c r="AD1232" t="s">
        <v>378</v>
      </c>
      <c r="AE1232" t="s">
        <v>86</v>
      </c>
      <c r="AF1232" t="s">
        <v>146</v>
      </c>
      <c r="AG1232" t="s">
        <v>1257</v>
      </c>
      <c r="AH1232" t="s">
        <v>4823</v>
      </c>
      <c r="AI1232" t="s">
        <v>90</v>
      </c>
      <c r="AJ1232">
        <v>32.339016999999998</v>
      </c>
      <c r="AK1232">
        <v>-110.720274</v>
      </c>
      <c r="AL1232">
        <v>3</v>
      </c>
      <c r="AN1232">
        <v>1519</v>
      </c>
      <c r="AP1232">
        <v>1519</v>
      </c>
      <c r="AQ1232">
        <v>1525.3321249999999</v>
      </c>
      <c r="AT1232">
        <v>4</v>
      </c>
      <c r="AU1232">
        <v>12</v>
      </c>
      <c r="AV1232">
        <v>2021</v>
      </c>
      <c r="AW1232">
        <v>2439589</v>
      </c>
      <c r="AX1232">
        <v>2439589</v>
      </c>
      <c r="AY1232" t="s">
        <v>106</v>
      </c>
      <c r="AZ1232" t="s">
        <v>92</v>
      </c>
      <c r="BA1232" t="s">
        <v>107</v>
      </c>
      <c r="BB1232" t="s">
        <v>4824</v>
      </c>
      <c r="BC1232" t="s">
        <v>1186</v>
      </c>
      <c r="BE1232" t="s">
        <v>96</v>
      </c>
      <c r="BG1232" t="s">
        <v>4507</v>
      </c>
      <c r="BI1232" t="s">
        <v>98</v>
      </c>
      <c r="BJ1232" t="s">
        <v>2422</v>
      </c>
      <c r="BL1232" t="s">
        <v>412</v>
      </c>
    </row>
    <row r="1233" spans="1:64" hidden="1" x14ac:dyDescent="0.2">
      <c r="A1233">
        <v>1340</v>
      </c>
      <c r="B1233">
        <v>4022923373</v>
      </c>
      <c r="C1233" t="s">
        <v>101</v>
      </c>
      <c r="D1233" t="s">
        <v>4825</v>
      </c>
      <c r="E1233" t="s">
        <v>65</v>
      </c>
      <c r="F1233" t="s">
        <v>66</v>
      </c>
      <c r="G1233" t="s">
        <v>67</v>
      </c>
      <c r="H1233" t="s">
        <v>68</v>
      </c>
      <c r="I1233" t="s">
        <v>69</v>
      </c>
      <c r="J1233" t="s">
        <v>70</v>
      </c>
      <c r="K1233" t="s">
        <v>4195</v>
      </c>
      <c r="M1233" t="s">
        <v>72</v>
      </c>
      <c r="N1233" t="s">
        <v>4196</v>
      </c>
      <c r="O1233" t="s">
        <v>4195</v>
      </c>
      <c r="P1233" t="s">
        <v>4197</v>
      </c>
      <c r="Q1233" t="s">
        <v>75</v>
      </c>
      <c r="R1233" t="s">
        <v>4501</v>
      </c>
      <c r="S1233" t="s">
        <v>4800</v>
      </c>
      <c r="T1233" t="s">
        <v>78</v>
      </c>
      <c r="U1233" t="s">
        <v>3817</v>
      </c>
      <c r="V1233" t="s">
        <v>80</v>
      </c>
      <c r="W1233" s="1">
        <v>44534</v>
      </c>
      <c r="X1233" t="s">
        <v>4502</v>
      </c>
      <c r="Y1233" t="s">
        <v>4801</v>
      </c>
      <c r="Z1233" t="s">
        <v>83</v>
      </c>
      <c r="AA1233">
        <v>1</v>
      </c>
      <c r="AB1233" t="s">
        <v>4517</v>
      </c>
      <c r="AD1233" t="s">
        <v>139</v>
      </c>
      <c r="AE1233" t="s">
        <v>86</v>
      </c>
      <c r="AF1233" t="s">
        <v>146</v>
      </c>
      <c r="AG1233" t="s">
        <v>1257</v>
      </c>
      <c r="AI1233" t="s">
        <v>90</v>
      </c>
      <c r="AJ1233">
        <v>32.339016999999998</v>
      </c>
      <c r="AK1233">
        <v>-110.720274</v>
      </c>
      <c r="AL1233">
        <v>3</v>
      </c>
      <c r="AN1233">
        <v>1519</v>
      </c>
      <c r="AP1233">
        <v>1519</v>
      </c>
      <c r="AQ1233">
        <v>1525.3321249999999</v>
      </c>
      <c r="AT1233">
        <v>4</v>
      </c>
      <c r="AU1233">
        <v>12</v>
      </c>
      <c r="AV1233">
        <v>2021</v>
      </c>
      <c r="AW1233">
        <v>2439589</v>
      </c>
      <c r="AX1233">
        <v>2439589</v>
      </c>
      <c r="AY1233" t="s">
        <v>106</v>
      </c>
      <c r="AZ1233" t="s">
        <v>92</v>
      </c>
      <c r="BA1233" t="s">
        <v>107</v>
      </c>
      <c r="BB1233" t="s">
        <v>4826</v>
      </c>
      <c r="BC1233" t="s">
        <v>1186</v>
      </c>
      <c r="BE1233" t="s">
        <v>96</v>
      </c>
      <c r="BG1233" t="s">
        <v>4507</v>
      </c>
      <c r="BI1233" t="s">
        <v>98</v>
      </c>
      <c r="BJ1233" t="s">
        <v>2592</v>
      </c>
      <c r="BL1233" t="s">
        <v>412</v>
      </c>
    </row>
    <row r="1234" spans="1:64" hidden="1" x14ac:dyDescent="0.2">
      <c r="A1234">
        <v>928</v>
      </c>
      <c r="B1234">
        <v>4040367318</v>
      </c>
      <c r="C1234" t="s">
        <v>101</v>
      </c>
      <c r="D1234" t="s">
        <v>4827</v>
      </c>
      <c r="E1234" t="s">
        <v>65</v>
      </c>
      <c r="F1234" t="s">
        <v>66</v>
      </c>
      <c r="G1234" t="s">
        <v>67</v>
      </c>
      <c r="H1234" t="s">
        <v>68</v>
      </c>
      <c r="I1234" t="s">
        <v>69</v>
      </c>
      <c r="J1234" t="s">
        <v>70</v>
      </c>
      <c r="K1234" t="s">
        <v>4195</v>
      </c>
      <c r="M1234" t="s">
        <v>72</v>
      </c>
      <c r="N1234" t="s">
        <v>4196</v>
      </c>
      <c r="O1234" t="s">
        <v>4195</v>
      </c>
      <c r="P1234" t="s">
        <v>4197</v>
      </c>
      <c r="Q1234" t="s">
        <v>75</v>
      </c>
      <c r="R1234" t="s">
        <v>4501</v>
      </c>
      <c r="S1234" t="s">
        <v>4800</v>
      </c>
      <c r="T1234" t="s">
        <v>78</v>
      </c>
      <c r="U1234" t="s">
        <v>3817</v>
      </c>
      <c r="V1234" t="s">
        <v>80</v>
      </c>
      <c r="W1234" s="1">
        <v>44534</v>
      </c>
      <c r="X1234" t="s">
        <v>4502</v>
      </c>
      <c r="Y1234" t="s">
        <v>4801</v>
      </c>
      <c r="Z1234" t="s">
        <v>83</v>
      </c>
      <c r="AA1234">
        <v>1</v>
      </c>
      <c r="AB1234" t="s">
        <v>4517</v>
      </c>
      <c r="AD1234" t="s">
        <v>104</v>
      </c>
      <c r="AE1234" t="s">
        <v>86</v>
      </c>
      <c r="AF1234" t="s">
        <v>146</v>
      </c>
      <c r="AG1234" t="s">
        <v>1257</v>
      </c>
      <c r="AI1234" t="s">
        <v>90</v>
      </c>
      <c r="AJ1234">
        <v>32.339016999999998</v>
      </c>
      <c r="AK1234">
        <v>-110.720274</v>
      </c>
      <c r="AL1234">
        <v>3</v>
      </c>
      <c r="AN1234">
        <v>1519</v>
      </c>
      <c r="AP1234">
        <v>1519</v>
      </c>
      <c r="AQ1234">
        <v>1525.3321249999999</v>
      </c>
      <c r="AT1234">
        <v>4</v>
      </c>
      <c r="AU1234">
        <v>12</v>
      </c>
      <c r="AV1234">
        <v>2021</v>
      </c>
      <c r="AW1234">
        <v>2439589</v>
      </c>
      <c r="AX1234">
        <v>2439589</v>
      </c>
      <c r="AY1234" t="s">
        <v>106</v>
      </c>
      <c r="AZ1234" t="s">
        <v>92</v>
      </c>
      <c r="BA1234" t="s">
        <v>107</v>
      </c>
      <c r="BB1234" t="s">
        <v>4828</v>
      </c>
      <c r="BC1234" t="s">
        <v>1186</v>
      </c>
      <c r="BE1234" t="s">
        <v>96</v>
      </c>
      <c r="BG1234" t="s">
        <v>4507</v>
      </c>
      <c r="BI1234" t="s">
        <v>98</v>
      </c>
      <c r="BJ1234" t="s">
        <v>4829</v>
      </c>
      <c r="BL1234" t="s">
        <v>412</v>
      </c>
    </row>
    <row r="1235" spans="1:64" hidden="1" x14ac:dyDescent="0.2">
      <c r="A1235">
        <v>1604</v>
      </c>
      <c r="B1235">
        <v>3744741529</v>
      </c>
      <c r="C1235" t="s">
        <v>101</v>
      </c>
      <c r="D1235" t="s">
        <v>4838</v>
      </c>
      <c r="E1235" t="s">
        <v>65</v>
      </c>
      <c r="F1235" t="s">
        <v>66</v>
      </c>
      <c r="G1235" t="s">
        <v>67</v>
      </c>
      <c r="H1235" t="s">
        <v>68</v>
      </c>
      <c r="I1235" t="s">
        <v>176</v>
      </c>
      <c r="J1235" t="s">
        <v>773</v>
      </c>
      <c r="K1235" t="s">
        <v>1347</v>
      </c>
      <c r="M1235" t="s">
        <v>72</v>
      </c>
      <c r="N1235" t="s">
        <v>1348</v>
      </c>
      <c r="O1235" t="s">
        <v>1347</v>
      </c>
      <c r="P1235" t="s">
        <v>1349</v>
      </c>
      <c r="Q1235" t="s">
        <v>75</v>
      </c>
      <c r="R1235" t="s">
        <v>4748</v>
      </c>
      <c r="T1235" t="s">
        <v>78</v>
      </c>
      <c r="U1235" t="s">
        <v>3817</v>
      </c>
      <c r="V1235" t="s">
        <v>80</v>
      </c>
      <c r="W1235" s="1">
        <v>44534</v>
      </c>
      <c r="X1235" t="s">
        <v>4502</v>
      </c>
      <c r="Y1235" t="s">
        <v>4832</v>
      </c>
      <c r="Z1235" t="s">
        <v>83</v>
      </c>
      <c r="AA1235">
        <v>1</v>
      </c>
      <c r="AB1235" t="s">
        <v>4839</v>
      </c>
      <c r="AD1235" t="s">
        <v>378</v>
      </c>
      <c r="AE1235" t="s">
        <v>145</v>
      </c>
      <c r="AF1235" t="s">
        <v>146</v>
      </c>
      <c r="AG1235" t="s">
        <v>4840</v>
      </c>
      <c r="AH1235" t="s">
        <v>4841</v>
      </c>
      <c r="AI1235" t="s">
        <v>90</v>
      </c>
      <c r="AJ1235">
        <v>32.339241000000001</v>
      </c>
      <c r="AK1235">
        <v>-110.720311</v>
      </c>
      <c r="AL1235">
        <v>3</v>
      </c>
      <c r="AN1235">
        <v>1530</v>
      </c>
      <c r="AP1235">
        <v>1530</v>
      </c>
      <c r="AQ1235">
        <v>1535.844799</v>
      </c>
      <c r="AT1235">
        <v>4</v>
      </c>
      <c r="AU1235">
        <v>12</v>
      </c>
      <c r="AV1235">
        <v>2021</v>
      </c>
      <c r="AW1235">
        <v>2438454</v>
      </c>
      <c r="AX1235">
        <v>2438454</v>
      </c>
      <c r="AY1235" t="s">
        <v>106</v>
      </c>
      <c r="AZ1235" t="s">
        <v>92</v>
      </c>
      <c r="BA1235" t="s">
        <v>107</v>
      </c>
      <c r="BB1235" t="s">
        <v>4842</v>
      </c>
      <c r="BC1235" t="s">
        <v>1186</v>
      </c>
      <c r="BE1235" t="s">
        <v>96</v>
      </c>
      <c r="BG1235" t="s">
        <v>4507</v>
      </c>
      <c r="BI1235" t="s">
        <v>98</v>
      </c>
      <c r="BJ1235" t="s">
        <v>4673</v>
      </c>
      <c r="BL1235" t="s">
        <v>412</v>
      </c>
    </row>
    <row r="1236" spans="1:64" hidden="1" x14ac:dyDescent="0.2">
      <c r="A1236">
        <v>1233</v>
      </c>
      <c r="B1236">
        <v>4022923480</v>
      </c>
      <c r="C1236" t="s">
        <v>101</v>
      </c>
      <c r="D1236" t="s">
        <v>4843</v>
      </c>
      <c r="E1236" t="s">
        <v>65</v>
      </c>
      <c r="F1236" t="s">
        <v>66</v>
      </c>
      <c r="G1236" t="s">
        <v>67</v>
      </c>
      <c r="H1236" t="s">
        <v>68</v>
      </c>
      <c r="I1236" t="s">
        <v>176</v>
      </c>
      <c r="J1236" t="s">
        <v>773</v>
      </c>
      <c r="K1236" t="s">
        <v>1347</v>
      </c>
      <c r="M1236" t="s">
        <v>72</v>
      </c>
      <c r="N1236" t="s">
        <v>1348</v>
      </c>
      <c r="O1236" t="s">
        <v>1347</v>
      </c>
      <c r="P1236" t="s">
        <v>1349</v>
      </c>
      <c r="Q1236" t="s">
        <v>75</v>
      </c>
      <c r="R1236" t="s">
        <v>4501</v>
      </c>
      <c r="S1236" t="s">
        <v>4831</v>
      </c>
      <c r="T1236" t="s">
        <v>78</v>
      </c>
      <c r="U1236" t="s">
        <v>3817</v>
      </c>
      <c r="V1236" t="s">
        <v>80</v>
      </c>
      <c r="W1236" s="1">
        <v>44534</v>
      </c>
      <c r="X1236" t="s">
        <v>4502</v>
      </c>
      <c r="Y1236" t="s">
        <v>4832</v>
      </c>
      <c r="Z1236" t="s">
        <v>83</v>
      </c>
      <c r="AA1236">
        <v>1</v>
      </c>
      <c r="AB1236" t="s">
        <v>4517</v>
      </c>
      <c r="AD1236" t="s">
        <v>104</v>
      </c>
      <c r="AE1236" t="s">
        <v>145</v>
      </c>
      <c r="AF1236" t="s">
        <v>146</v>
      </c>
      <c r="AG1236" t="s">
        <v>4840</v>
      </c>
      <c r="AI1236" t="s">
        <v>90</v>
      </c>
      <c r="AJ1236">
        <v>32.339241000000001</v>
      </c>
      <c r="AK1236">
        <v>-110.720311</v>
      </c>
      <c r="AL1236">
        <v>3</v>
      </c>
      <c r="AN1236">
        <v>1530</v>
      </c>
      <c r="AP1236">
        <v>1530</v>
      </c>
      <c r="AQ1236">
        <v>1535.844799</v>
      </c>
      <c r="AT1236">
        <v>4</v>
      </c>
      <c r="AU1236">
        <v>12</v>
      </c>
      <c r="AV1236">
        <v>2021</v>
      </c>
      <c r="AW1236">
        <v>2438454</v>
      </c>
      <c r="AX1236">
        <v>2438454</v>
      </c>
      <c r="AY1236" t="s">
        <v>106</v>
      </c>
      <c r="AZ1236" t="s">
        <v>92</v>
      </c>
      <c r="BA1236" t="s">
        <v>107</v>
      </c>
      <c r="BB1236" t="s">
        <v>4844</v>
      </c>
      <c r="BC1236" t="s">
        <v>1186</v>
      </c>
      <c r="BE1236" t="s">
        <v>96</v>
      </c>
      <c r="BG1236" t="s">
        <v>4507</v>
      </c>
      <c r="BI1236" t="s">
        <v>98</v>
      </c>
      <c r="BJ1236" t="s">
        <v>4815</v>
      </c>
      <c r="BL1236" t="s">
        <v>412</v>
      </c>
    </row>
    <row r="1237" spans="1:64" hidden="1" x14ac:dyDescent="0.2">
      <c r="A1237">
        <v>1234</v>
      </c>
      <c r="B1237">
        <v>4022923479</v>
      </c>
      <c r="C1237" t="s">
        <v>101</v>
      </c>
      <c r="D1237" t="s">
        <v>4845</v>
      </c>
      <c r="E1237" t="s">
        <v>65</v>
      </c>
      <c r="F1237" t="s">
        <v>66</v>
      </c>
      <c r="G1237" t="s">
        <v>67</v>
      </c>
      <c r="H1237" t="s">
        <v>68</v>
      </c>
      <c r="I1237" t="s">
        <v>176</v>
      </c>
      <c r="J1237" t="s">
        <v>773</v>
      </c>
      <c r="K1237" t="s">
        <v>1347</v>
      </c>
      <c r="M1237" t="s">
        <v>72</v>
      </c>
      <c r="N1237" t="s">
        <v>1348</v>
      </c>
      <c r="O1237" t="s">
        <v>1347</v>
      </c>
      <c r="P1237" t="s">
        <v>1349</v>
      </c>
      <c r="Q1237" t="s">
        <v>75</v>
      </c>
      <c r="R1237" t="s">
        <v>4501</v>
      </c>
      <c r="S1237" t="s">
        <v>4831</v>
      </c>
      <c r="T1237" t="s">
        <v>78</v>
      </c>
      <c r="U1237" t="s">
        <v>3817</v>
      </c>
      <c r="V1237" t="s">
        <v>80</v>
      </c>
      <c r="W1237" s="1">
        <v>44534</v>
      </c>
      <c r="X1237" t="s">
        <v>4502</v>
      </c>
      <c r="Y1237" t="s">
        <v>4832</v>
      </c>
      <c r="Z1237" t="s">
        <v>83</v>
      </c>
      <c r="AA1237">
        <v>1</v>
      </c>
      <c r="AB1237" t="s">
        <v>4517</v>
      </c>
      <c r="AD1237" t="s">
        <v>116</v>
      </c>
      <c r="AE1237" t="s">
        <v>145</v>
      </c>
      <c r="AF1237" t="s">
        <v>146</v>
      </c>
      <c r="AG1237" t="s">
        <v>4840</v>
      </c>
      <c r="AI1237" t="s">
        <v>90</v>
      </c>
      <c r="AJ1237">
        <v>32.339241000000001</v>
      </c>
      <c r="AK1237">
        <v>-110.720311</v>
      </c>
      <c r="AL1237">
        <v>3</v>
      </c>
      <c r="AN1237">
        <v>1530</v>
      </c>
      <c r="AP1237">
        <v>1530</v>
      </c>
      <c r="AQ1237">
        <v>1535.844799</v>
      </c>
      <c r="AT1237">
        <v>4</v>
      </c>
      <c r="AU1237">
        <v>12</v>
      </c>
      <c r="AV1237">
        <v>2021</v>
      </c>
      <c r="AW1237">
        <v>2438454</v>
      </c>
      <c r="AX1237">
        <v>2438454</v>
      </c>
      <c r="AY1237" t="s">
        <v>106</v>
      </c>
      <c r="AZ1237" t="s">
        <v>92</v>
      </c>
      <c r="BA1237" t="s">
        <v>107</v>
      </c>
      <c r="BB1237" t="s">
        <v>4846</v>
      </c>
      <c r="BC1237" t="s">
        <v>1186</v>
      </c>
      <c r="BE1237" t="s">
        <v>96</v>
      </c>
      <c r="BG1237" t="s">
        <v>4507</v>
      </c>
      <c r="BI1237" t="s">
        <v>98</v>
      </c>
      <c r="BJ1237" t="s">
        <v>4847</v>
      </c>
      <c r="BL1237" t="s">
        <v>412</v>
      </c>
    </row>
    <row r="1238" spans="1:64" hidden="1" x14ac:dyDescent="0.2">
      <c r="A1238">
        <v>1235</v>
      </c>
      <c r="B1238">
        <v>4022923478</v>
      </c>
      <c r="C1238" t="s">
        <v>101</v>
      </c>
      <c r="D1238" t="s">
        <v>4848</v>
      </c>
      <c r="E1238" t="s">
        <v>65</v>
      </c>
      <c r="F1238" t="s">
        <v>66</v>
      </c>
      <c r="G1238" t="s">
        <v>67</v>
      </c>
      <c r="H1238" t="s">
        <v>68</v>
      </c>
      <c r="I1238" t="s">
        <v>176</v>
      </c>
      <c r="J1238" t="s">
        <v>773</v>
      </c>
      <c r="K1238" t="s">
        <v>1347</v>
      </c>
      <c r="M1238" t="s">
        <v>72</v>
      </c>
      <c r="N1238" t="s">
        <v>1348</v>
      </c>
      <c r="O1238" t="s">
        <v>1347</v>
      </c>
      <c r="P1238" t="s">
        <v>1349</v>
      </c>
      <c r="Q1238" t="s">
        <v>75</v>
      </c>
      <c r="R1238" t="s">
        <v>4501</v>
      </c>
      <c r="S1238" t="s">
        <v>4831</v>
      </c>
      <c r="T1238" t="s">
        <v>78</v>
      </c>
      <c r="U1238" t="s">
        <v>3817</v>
      </c>
      <c r="V1238" t="s">
        <v>80</v>
      </c>
      <c r="W1238" s="1">
        <v>44534</v>
      </c>
      <c r="X1238" t="s">
        <v>4502</v>
      </c>
      <c r="Y1238" t="s">
        <v>4832</v>
      </c>
      <c r="Z1238" t="s">
        <v>83</v>
      </c>
      <c r="AA1238">
        <v>1</v>
      </c>
      <c r="AB1238" t="s">
        <v>4517</v>
      </c>
      <c r="AD1238" t="s">
        <v>112</v>
      </c>
      <c r="AE1238" t="s">
        <v>145</v>
      </c>
      <c r="AF1238" t="s">
        <v>146</v>
      </c>
      <c r="AG1238" t="s">
        <v>4840</v>
      </c>
      <c r="AI1238" t="s">
        <v>90</v>
      </c>
      <c r="AJ1238">
        <v>32.339241000000001</v>
      </c>
      <c r="AK1238">
        <v>-110.720311</v>
      </c>
      <c r="AL1238">
        <v>3</v>
      </c>
      <c r="AN1238">
        <v>1530</v>
      </c>
      <c r="AP1238">
        <v>1530</v>
      </c>
      <c r="AQ1238">
        <v>1535.844799</v>
      </c>
      <c r="AT1238">
        <v>4</v>
      </c>
      <c r="AU1238">
        <v>12</v>
      </c>
      <c r="AV1238">
        <v>2021</v>
      </c>
      <c r="AW1238">
        <v>2438454</v>
      </c>
      <c r="AX1238">
        <v>2438454</v>
      </c>
      <c r="AY1238" t="s">
        <v>106</v>
      </c>
      <c r="AZ1238" t="s">
        <v>92</v>
      </c>
      <c r="BA1238" t="s">
        <v>107</v>
      </c>
      <c r="BB1238" t="s">
        <v>4849</v>
      </c>
      <c r="BC1238" t="s">
        <v>1186</v>
      </c>
      <c r="BE1238" t="s">
        <v>96</v>
      </c>
      <c r="BG1238" t="s">
        <v>4507</v>
      </c>
      <c r="BI1238" t="s">
        <v>98</v>
      </c>
      <c r="BJ1238" t="s">
        <v>4815</v>
      </c>
      <c r="BL1238" t="s">
        <v>412</v>
      </c>
    </row>
    <row r="1239" spans="1:64" x14ac:dyDescent="0.2">
      <c r="A1239">
        <v>1415</v>
      </c>
      <c r="B1239">
        <v>4022922332</v>
      </c>
      <c r="C1239" t="s">
        <v>63</v>
      </c>
      <c r="D1239" t="s">
        <v>2316</v>
      </c>
      <c r="E1239" t="s">
        <v>65</v>
      </c>
      <c r="F1239" t="s">
        <v>66</v>
      </c>
      <c r="G1239" t="s">
        <v>67</v>
      </c>
      <c r="H1239" t="s">
        <v>68</v>
      </c>
      <c r="I1239" t="s">
        <v>176</v>
      </c>
      <c r="J1239" t="s">
        <v>773</v>
      </c>
      <c r="K1239" t="s">
        <v>774</v>
      </c>
      <c r="M1239" t="s">
        <v>72</v>
      </c>
      <c r="N1239" t="s">
        <v>775</v>
      </c>
      <c r="O1239" t="s">
        <v>774</v>
      </c>
      <c r="P1239" t="s">
        <v>776</v>
      </c>
      <c r="Q1239" t="s">
        <v>75</v>
      </c>
      <c r="R1239" t="s">
        <v>2238</v>
      </c>
      <c r="S1239" t="s">
        <v>2317</v>
      </c>
      <c r="T1239" t="s">
        <v>78</v>
      </c>
      <c r="U1239" t="s">
        <v>1822</v>
      </c>
      <c r="V1239" t="s">
        <v>80</v>
      </c>
      <c r="W1239" s="1">
        <v>44813</v>
      </c>
      <c r="X1239" t="s">
        <v>1823</v>
      </c>
      <c r="Y1239" t="s">
        <v>2318</v>
      </c>
      <c r="Z1239" t="s">
        <v>83</v>
      </c>
      <c r="AA1239">
        <v>1</v>
      </c>
      <c r="AB1239" t="s">
        <v>2319</v>
      </c>
      <c r="AC1239">
        <v>1</v>
      </c>
      <c r="AD1239" s="6" t="s">
        <v>2320</v>
      </c>
      <c r="AE1239" s="6" t="s">
        <v>86</v>
      </c>
      <c r="AF1239" s="6" t="s">
        <v>146</v>
      </c>
      <c r="AG1239" s="6" t="s">
        <v>2321</v>
      </c>
      <c r="AH1239" s="6" t="s">
        <v>2322</v>
      </c>
      <c r="AI1239" s="6" t="s">
        <v>90</v>
      </c>
      <c r="AJ1239" s="6">
        <v>32.441259000000002</v>
      </c>
      <c r="AK1239" s="6">
        <v>-110.786177</v>
      </c>
      <c r="AL1239" s="6">
        <v>15</v>
      </c>
      <c r="AM1239" s="6"/>
      <c r="AN1239" s="6">
        <v>2757</v>
      </c>
      <c r="AO1239" s="6"/>
      <c r="AP1239" s="6">
        <v>2757</v>
      </c>
      <c r="AQ1239" s="6">
        <v>2773.254516</v>
      </c>
      <c r="AR1239" s="6"/>
      <c r="AS1239" s="6"/>
      <c r="AT1239" s="6">
        <v>9</v>
      </c>
      <c r="AU1239" s="6">
        <v>9</v>
      </c>
      <c r="AV1239" s="6">
        <v>2022</v>
      </c>
      <c r="AW1239" s="6">
        <v>2438447</v>
      </c>
      <c r="AX1239" s="6">
        <v>2438447</v>
      </c>
      <c r="AY1239" s="6" t="s">
        <v>91</v>
      </c>
      <c r="AZ1239" t="s">
        <v>92</v>
      </c>
      <c r="BA1239" t="s">
        <v>93</v>
      </c>
      <c r="BB1239" t="s">
        <v>2323</v>
      </c>
      <c r="BC1239" t="s">
        <v>2245</v>
      </c>
      <c r="BE1239" t="s">
        <v>96</v>
      </c>
      <c r="BG1239" t="s">
        <v>2246</v>
      </c>
      <c r="BI1239" t="s">
        <v>98</v>
      </c>
      <c r="BJ1239" t="s">
        <v>2324</v>
      </c>
      <c r="BL1239" t="s">
        <v>407</v>
      </c>
    </row>
    <row r="1240" spans="1:64" x14ac:dyDescent="0.2">
      <c r="A1240">
        <v>1697</v>
      </c>
      <c r="B1240">
        <v>3744741436</v>
      </c>
      <c r="C1240" t="s">
        <v>101</v>
      </c>
      <c r="D1240" t="s">
        <v>3597</v>
      </c>
      <c r="E1240" t="s">
        <v>65</v>
      </c>
      <c r="F1240" t="s">
        <v>66</v>
      </c>
      <c r="G1240" t="s">
        <v>67</v>
      </c>
      <c r="H1240" t="s">
        <v>68</v>
      </c>
      <c r="I1240" t="s">
        <v>176</v>
      </c>
      <c r="J1240" t="s">
        <v>177</v>
      </c>
      <c r="K1240" t="s">
        <v>1817</v>
      </c>
      <c r="M1240" t="s">
        <v>72</v>
      </c>
      <c r="N1240" t="s">
        <v>1818</v>
      </c>
      <c r="O1240" t="s">
        <v>1817</v>
      </c>
      <c r="P1240" t="s">
        <v>1819</v>
      </c>
      <c r="Q1240" t="s">
        <v>75</v>
      </c>
      <c r="R1240" t="s">
        <v>3564</v>
      </c>
      <c r="S1240" t="s">
        <v>3584</v>
      </c>
      <c r="T1240" t="s">
        <v>78</v>
      </c>
      <c r="U1240" t="s">
        <v>1822</v>
      </c>
      <c r="V1240" t="s">
        <v>80</v>
      </c>
      <c r="W1240" s="1">
        <v>44508</v>
      </c>
      <c r="X1240" t="s">
        <v>1823</v>
      </c>
      <c r="Y1240" t="s">
        <v>3585</v>
      </c>
      <c r="Z1240" t="s">
        <v>83</v>
      </c>
      <c r="AA1240">
        <v>1</v>
      </c>
      <c r="AB1240" t="s">
        <v>103</v>
      </c>
      <c r="AC1240">
        <v>1</v>
      </c>
      <c r="AD1240" t="s">
        <v>119</v>
      </c>
      <c r="AE1240" t="s">
        <v>86</v>
      </c>
      <c r="AF1240" t="s">
        <v>146</v>
      </c>
      <c r="AG1240" t="s">
        <v>560</v>
      </c>
      <c r="AH1240" t="s">
        <v>3591</v>
      </c>
      <c r="AI1240" t="s">
        <v>90</v>
      </c>
      <c r="AJ1240">
        <v>32.441132000000003</v>
      </c>
      <c r="AK1240">
        <v>-110.785222</v>
      </c>
      <c r="AL1240">
        <v>4</v>
      </c>
      <c r="AN1240">
        <v>2762</v>
      </c>
      <c r="AP1240">
        <v>2762</v>
      </c>
      <c r="AQ1240">
        <v>2778.7345009999999</v>
      </c>
      <c r="AT1240">
        <v>8</v>
      </c>
      <c r="AU1240">
        <v>11</v>
      </c>
      <c r="AV1240">
        <v>2021</v>
      </c>
      <c r="AW1240">
        <v>2437967</v>
      </c>
      <c r="AX1240">
        <v>2437967</v>
      </c>
      <c r="AY1240" t="s">
        <v>106</v>
      </c>
      <c r="AZ1240" t="s">
        <v>92</v>
      </c>
      <c r="BA1240" t="s">
        <v>107</v>
      </c>
      <c r="BB1240" t="s">
        <v>3598</v>
      </c>
      <c r="BC1240" t="s">
        <v>1186</v>
      </c>
      <c r="BE1240" t="s">
        <v>96</v>
      </c>
      <c r="BG1240" t="s">
        <v>1186</v>
      </c>
      <c r="BI1240" t="s">
        <v>98</v>
      </c>
      <c r="BJ1240" t="s">
        <v>3389</v>
      </c>
      <c r="BL1240" t="s">
        <v>110</v>
      </c>
    </row>
    <row r="1241" spans="1:64" hidden="1" x14ac:dyDescent="0.2">
      <c r="A1241">
        <v>1292</v>
      </c>
      <c r="B1241">
        <v>4022923421</v>
      </c>
      <c r="C1241" t="s">
        <v>101</v>
      </c>
      <c r="D1241" t="s">
        <v>4854</v>
      </c>
      <c r="E1241" t="s">
        <v>65</v>
      </c>
      <c r="F1241" t="s">
        <v>66</v>
      </c>
      <c r="G1241" t="s">
        <v>67</v>
      </c>
      <c r="H1241" t="s">
        <v>68</v>
      </c>
      <c r="I1241" t="s">
        <v>176</v>
      </c>
      <c r="J1241" t="s">
        <v>773</v>
      </c>
      <c r="K1241" t="s">
        <v>1347</v>
      </c>
      <c r="M1241" t="s">
        <v>72</v>
      </c>
      <c r="N1241" t="s">
        <v>1348</v>
      </c>
      <c r="O1241" t="s">
        <v>1347</v>
      </c>
      <c r="P1241" t="s">
        <v>1349</v>
      </c>
      <c r="Q1241" t="s">
        <v>75</v>
      </c>
      <c r="R1241" t="s">
        <v>4501</v>
      </c>
      <c r="S1241" t="s">
        <v>4831</v>
      </c>
      <c r="T1241" t="s">
        <v>78</v>
      </c>
      <c r="U1241" t="s">
        <v>3817</v>
      </c>
      <c r="V1241" t="s">
        <v>80</v>
      </c>
      <c r="W1241" s="1">
        <v>44534</v>
      </c>
      <c r="X1241" t="s">
        <v>4502</v>
      </c>
      <c r="Y1241" t="s">
        <v>4832</v>
      </c>
      <c r="Z1241" t="s">
        <v>83</v>
      </c>
      <c r="AA1241">
        <v>1</v>
      </c>
      <c r="AB1241" t="s">
        <v>4517</v>
      </c>
      <c r="AD1241" t="s">
        <v>300</v>
      </c>
      <c r="AE1241" t="s">
        <v>145</v>
      </c>
      <c r="AF1241" t="s">
        <v>146</v>
      </c>
      <c r="AG1241" t="s">
        <v>4840</v>
      </c>
      <c r="AI1241" t="s">
        <v>90</v>
      </c>
      <c r="AJ1241">
        <v>32.339241000000001</v>
      </c>
      <c r="AK1241">
        <v>-110.720311</v>
      </c>
      <c r="AL1241">
        <v>3</v>
      </c>
      <c r="AN1241">
        <v>1530</v>
      </c>
      <c r="AP1241">
        <v>1530</v>
      </c>
      <c r="AQ1241">
        <v>1535.844799</v>
      </c>
      <c r="AT1241">
        <v>4</v>
      </c>
      <c r="AU1241">
        <v>12</v>
      </c>
      <c r="AV1241">
        <v>2021</v>
      </c>
      <c r="AW1241">
        <v>2438454</v>
      </c>
      <c r="AX1241">
        <v>2438454</v>
      </c>
      <c r="AY1241" t="s">
        <v>106</v>
      </c>
      <c r="AZ1241" t="s">
        <v>92</v>
      </c>
      <c r="BA1241" t="s">
        <v>107</v>
      </c>
      <c r="BB1241" t="s">
        <v>4855</v>
      </c>
      <c r="BC1241" t="s">
        <v>1186</v>
      </c>
      <c r="BE1241" t="s">
        <v>96</v>
      </c>
      <c r="BG1241" t="s">
        <v>4507</v>
      </c>
      <c r="BI1241" t="s">
        <v>98</v>
      </c>
      <c r="BJ1241" t="s">
        <v>4856</v>
      </c>
      <c r="BL1241" t="s">
        <v>412</v>
      </c>
    </row>
    <row r="1242" spans="1:64" hidden="1" x14ac:dyDescent="0.2">
      <c r="A1242">
        <v>907</v>
      </c>
      <c r="B1242">
        <v>4070420315</v>
      </c>
      <c r="C1242" t="s">
        <v>101</v>
      </c>
      <c r="D1242" t="s">
        <v>4857</v>
      </c>
      <c r="E1242" t="s">
        <v>65</v>
      </c>
      <c r="F1242" t="s">
        <v>66</v>
      </c>
      <c r="G1242" t="s">
        <v>67</v>
      </c>
      <c r="H1242" t="s">
        <v>68</v>
      </c>
      <c r="I1242" t="s">
        <v>176</v>
      </c>
      <c r="J1242" t="s">
        <v>773</v>
      </c>
      <c r="K1242" t="s">
        <v>1347</v>
      </c>
      <c r="M1242" t="s">
        <v>72</v>
      </c>
      <c r="N1242" t="s">
        <v>1348</v>
      </c>
      <c r="O1242" t="s">
        <v>1347</v>
      </c>
      <c r="P1242" t="s">
        <v>1349</v>
      </c>
      <c r="Q1242" t="s">
        <v>75</v>
      </c>
      <c r="R1242" t="s">
        <v>4501</v>
      </c>
      <c r="S1242" t="s">
        <v>4831</v>
      </c>
      <c r="T1242" t="s">
        <v>78</v>
      </c>
      <c r="U1242" t="s">
        <v>3817</v>
      </c>
      <c r="V1242" t="s">
        <v>80</v>
      </c>
      <c r="W1242" s="1">
        <v>44534</v>
      </c>
      <c r="X1242" t="s">
        <v>4502</v>
      </c>
      <c r="Y1242" t="s">
        <v>4832</v>
      </c>
      <c r="Z1242" t="s">
        <v>83</v>
      </c>
      <c r="AA1242">
        <v>1</v>
      </c>
      <c r="AB1242" t="s">
        <v>133</v>
      </c>
      <c r="AD1242" t="s">
        <v>134</v>
      </c>
      <c r="AE1242" t="s">
        <v>145</v>
      </c>
      <c r="AF1242" t="s">
        <v>402</v>
      </c>
      <c r="AG1242" t="s">
        <v>4858</v>
      </c>
      <c r="AI1242" t="s">
        <v>90</v>
      </c>
      <c r="AJ1242">
        <v>32.339241000000001</v>
      </c>
      <c r="AK1242">
        <v>-110.720311</v>
      </c>
      <c r="AL1242">
        <v>3</v>
      </c>
      <c r="AN1242">
        <v>1530</v>
      </c>
      <c r="AP1242">
        <v>1530</v>
      </c>
      <c r="AQ1242">
        <v>1535.844799</v>
      </c>
      <c r="AT1242">
        <v>4</v>
      </c>
      <c r="AU1242">
        <v>12</v>
      </c>
      <c r="AV1242">
        <v>2021</v>
      </c>
      <c r="AW1242">
        <v>2438454</v>
      </c>
      <c r="AX1242">
        <v>2438454</v>
      </c>
      <c r="AY1242" t="s">
        <v>106</v>
      </c>
      <c r="AZ1242" t="s">
        <v>92</v>
      </c>
      <c r="BA1242" t="s">
        <v>107</v>
      </c>
      <c r="BB1242" t="s">
        <v>4859</v>
      </c>
      <c r="BC1242" t="s">
        <v>1186</v>
      </c>
      <c r="BE1242" t="s">
        <v>96</v>
      </c>
      <c r="BG1242" t="s">
        <v>4507</v>
      </c>
      <c r="BI1242" t="s">
        <v>98</v>
      </c>
      <c r="BJ1242" t="s">
        <v>1400</v>
      </c>
      <c r="BL1242" t="s">
        <v>412</v>
      </c>
    </row>
    <row r="1243" spans="1:64" hidden="1" x14ac:dyDescent="0.2">
      <c r="A1243">
        <v>1238</v>
      </c>
      <c r="B1243">
        <v>4022923475</v>
      </c>
      <c r="C1243" t="s">
        <v>101</v>
      </c>
      <c r="D1243" t="s">
        <v>4860</v>
      </c>
      <c r="E1243" t="s">
        <v>65</v>
      </c>
      <c r="F1243" t="s">
        <v>66</v>
      </c>
      <c r="G1243" t="s">
        <v>67</v>
      </c>
      <c r="H1243" t="s">
        <v>68</v>
      </c>
      <c r="I1243" t="s">
        <v>69</v>
      </c>
      <c r="J1243" t="s">
        <v>70</v>
      </c>
      <c r="K1243" t="s">
        <v>4195</v>
      </c>
      <c r="M1243" t="s">
        <v>72</v>
      </c>
      <c r="N1243" t="s">
        <v>4196</v>
      </c>
      <c r="O1243" t="s">
        <v>4195</v>
      </c>
      <c r="P1243" t="s">
        <v>4197</v>
      </c>
      <c r="Q1243" t="s">
        <v>75</v>
      </c>
      <c r="R1243" t="s">
        <v>4501</v>
      </c>
      <c r="S1243" t="s">
        <v>4861</v>
      </c>
      <c r="T1243" t="s">
        <v>78</v>
      </c>
      <c r="U1243" t="s">
        <v>3817</v>
      </c>
      <c r="V1243" t="s">
        <v>80</v>
      </c>
      <c r="W1243" s="1">
        <v>44534</v>
      </c>
      <c r="X1243" t="s">
        <v>4502</v>
      </c>
      <c r="Y1243" t="s">
        <v>4862</v>
      </c>
      <c r="Z1243" t="s">
        <v>83</v>
      </c>
      <c r="AA1243">
        <v>1</v>
      </c>
      <c r="AB1243" t="s">
        <v>4517</v>
      </c>
      <c r="AD1243" t="s">
        <v>343</v>
      </c>
      <c r="AE1243" t="s">
        <v>145</v>
      </c>
      <c r="AF1243" t="s">
        <v>146</v>
      </c>
      <c r="AG1243" t="s">
        <v>980</v>
      </c>
      <c r="AI1243" t="s">
        <v>90</v>
      </c>
      <c r="AJ1243">
        <v>32.339331999999999</v>
      </c>
      <c r="AK1243">
        <v>-110.720327</v>
      </c>
      <c r="AL1243">
        <v>3</v>
      </c>
      <c r="AN1243">
        <v>1531</v>
      </c>
      <c r="AP1243">
        <v>1531</v>
      </c>
      <c r="AQ1243">
        <v>1537.9255989999999</v>
      </c>
      <c r="AT1243">
        <v>4</v>
      </c>
      <c r="AU1243">
        <v>12</v>
      </c>
      <c r="AV1243">
        <v>2021</v>
      </c>
      <c r="AW1243">
        <v>2439589</v>
      </c>
      <c r="AX1243">
        <v>2439589</v>
      </c>
      <c r="AY1243" t="s">
        <v>106</v>
      </c>
      <c r="AZ1243" t="s">
        <v>92</v>
      </c>
      <c r="BA1243" t="s">
        <v>107</v>
      </c>
      <c r="BB1243" t="s">
        <v>4863</v>
      </c>
      <c r="BC1243" t="s">
        <v>1186</v>
      </c>
      <c r="BE1243" t="s">
        <v>96</v>
      </c>
      <c r="BG1243" t="s">
        <v>4507</v>
      </c>
      <c r="BI1243" t="s">
        <v>98</v>
      </c>
      <c r="BJ1243" t="s">
        <v>4815</v>
      </c>
      <c r="BL1243" t="s">
        <v>412</v>
      </c>
    </row>
    <row r="1244" spans="1:64" x14ac:dyDescent="0.2">
      <c r="A1244">
        <v>1715</v>
      </c>
      <c r="B1244">
        <v>3744741418</v>
      </c>
      <c r="C1244" t="s">
        <v>101</v>
      </c>
      <c r="D1244" t="s">
        <v>3621</v>
      </c>
      <c r="E1244" t="s">
        <v>65</v>
      </c>
      <c r="F1244" t="s">
        <v>66</v>
      </c>
      <c r="G1244" t="s">
        <v>67</v>
      </c>
      <c r="H1244" t="s">
        <v>68</v>
      </c>
      <c r="I1244" t="s">
        <v>176</v>
      </c>
      <c r="J1244" t="s">
        <v>773</v>
      </c>
      <c r="K1244" t="s">
        <v>774</v>
      </c>
      <c r="M1244" t="s">
        <v>72</v>
      </c>
      <c r="N1244" t="s">
        <v>775</v>
      </c>
      <c r="O1244" t="s">
        <v>774</v>
      </c>
      <c r="P1244" t="s">
        <v>776</v>
      </c>
      <c r="Q1244" t="s">
        <v>75</v>
      </c>
      <c r="R1244" t="s">
        <v>3564</v>
      </c>
      <c r="S1244" t="s">
        <v>3604</v>
      </c>
      <c r="T1244" t="s">
        <v>78</v>
      </c>
      <c r="U1244" t="s">
        <v>1822</v>
      </c>
      <c r="V1244" t="s">
        <v>80</v>
      </c>
      <c r="W1244" s="1">
        <v>44508</v>
      </c>
      <c r="X1244" t="s">
        <v>1823</v>
      </c>
      <c r="Y1244" t="s">
        <v>3605</v>
      </c>
      <c r="Z1244" t="s">
        <v>83</v>
      </c>
      <c r="AA1244">
        <v>1</v>
      </c>
      <c r="AB1244" t="s">
        <v>103</v>
      </c>
      <c r="AC1244">
        <v>1</v>
      </c>
      <c r="AD1244" t="s">
        <v>119</v>
      </c>
      <c r="AE1244" t="s">
        <v>86</v>
      </c>
      <c r="AF1244" t="s">
        <v>146</v>
      </c>
      <c r="AG1244" t="s">
        <v>3607</v>
      </c>
      <c r="AH1244" t="s">
        <v>3615</v>
      </c>
      <c r="AI1244" t="s">
        <v>90</v>
      </c>
      <c r="AJ1244">
        <v>32.440997000000003</v>
      </c>
      <c r="AK1244">
        <v>-110.78562700000001</v>
      </c>
      <c r="AL1244">
        <v>3</v>
      </c>
      <c r="AN1244">
        <v>2795</v>
      </c>
      <c r="AP1244">
        <v>2795</v>
      </c>
      <c r="AQ1244">
        <v>2780.5704580000001</v>
      </c>
      <c r="AT1244">
        <v>8</v>
      </c>
      <c r="AU1244">
        <v>11</v>
      </c>
      <c r="AV1244">
        <v>2021</v>
      </c>
      <c r="AW1244">
        <v>2438447</v>
      </c>
      <c r="AX1244">
        <v>2438447</v>
      </c>
      <c r="AY1244" t="s">
        <v>106</v>
      </c>
      <c r="AZ1244" t="s">
        <v>92</v>
      </c>
      <c r="BA1244" t="s">
        <v>107</v>
      </c>
      <c r="BB1244" t="s">
        <v>3622</v>
      </c>
      <c r="BC1244" t="s">
        <v>95</v>
      </c>
      <c r="BD1244" s="1">
        <v>44635</v>
      </c>
      <c r="BE1244" t="s">
        <v>96</v>
      </c>
      <c r="BG1244" t="s">
        <v>1186</v>
      </c>
      <c r="BI1244" t="s">
        <v>98</v>
      </c>
      <c r="BJ1244" t="s">
        <v>3617</v>
      </c>
      <c r="BL1244" t="s">
        <v>110</v>
      </c>
    </row>
    <row r="1245" spans="1:64" hidden="1" x14ac:dyDescent="0.2">
      <c r="A1245">
        <v>1270</v>
      </c>
      <c r="B1245">
        <v>4022923443</v>
      </c>
      <c r="C1245" t="s">
        <v>101</v>
      </c>
      <c r="D1245" t="s">
        <v>4866</v>
      </c>
      <c r="E1245" t="s">
        <v>65</v>
      </c>
      <c r="F1245" t="s">
        <v>66</v>
      </c>
      <c r="G1245" t="s">
        <v>67</v>
      </c>
      <c r="H1245" t="s">
        <v>68</v>
      </c>
      <c r="I1245" t="s">
        <v>176</v>
      </c>
      <c r="J1245" t="s">
        <v>177</v>
      </c>
      <c r="K1245" t="s">
        <v>178</v>
      </c>
      <c r="M1245" t="s">
        <v>72</v>
      </c>
      <c r="N1245" t="s">
        <v>179</v>
      </c>
      <c r="O1245" t="s">
        <v>178</v>
      </c>
      <c r="P1245" t="s">
        <v>180</v>
      </c>
      <c r="Q1245" t="s">
        <v>75</v>
      </c>
      <c r="R1245" t="s">
        <v>4501</v>
      </c>
      <c r="S1245" t="s">
        <v>3956</v>
      </c>
      <c r="T1245" t="s">
        <v>78</v>
      </c>
      <c r="U1245" t="s">
        <v>3817</v>
      </c>
      <c r="V1245" t="s">
        <v>80</v>
      </c>
      <c r="W1245" s="1">
        <v>44534</v>
      </c>
      <c r="X1245" t="s">
        <v>4502</v>
      </c>
      <c r="Y1245" t="s">
        <v>4867</v>
      </c>
      <c r="Z1245" t="s">
        <v>83</v>
      </c>
      <c r="AA1245">
        <v>1</v>
      </c>
      <c r="AB1245" t="s">
        <v>4517</v>
      </c>
      <c r="AD1245" t="s">
        <v>343</v>
      </c>
      <c r="AE1245" t="s">
        <v>86</v>
      </c>
      <c r="AF1245" t="s">
        <v>146</v>
      </c>
      <c r="AG1245" t="s">
        <v>4868</v>
      </c>
      <c r="AI1245" t="s">
        <v>90</v>
      </c>
      <c r="AJ1245">
        <v>32.337069999999997</v>
      </c>
      <c r="AK1245">
        <v>-110.72148900000001</v>
      </c>
      <c r="AL1245">
        <v>3</v>
      </c>
      <c r="AN1245">
        <v>1462</v>
      </c>
      <c r="AP1245">
        <v>1462</v>
      </c>
      <c r="AQ1245">
        <v>1467.4465009999999</v>
      </c>
      <c r="AT1245">
        <v>4</v>
      </c>
      <c r="AU1245">
        <v>12</v>
      </c>
      <c r="AV1245">
        <v>2021</v>
      </c>
      <c r="AW1245">
        <v>2438038</v>
      </c>
      <c r="AX1245">
        <v>2438038</v>
      </c>
      <c r="AY1245" t="s">
        <v>106</v>
      </c>
      <c r="AZ1245" t="s">
        <v>92</v>
      </c>
      <c r="BA1245" t="s">
        <v>107</v>
      </c>
      <c r="BB1245" t="s">
        <v>4869</v>
      </c>
      <c r="BC1245" t="s">
        <v>1186</v>
      </c>
      <c r="BE1245" t="s">
        <v>96</v>
      </c>
      <c r="BG1245" t="s">
        <v>4507</v>
      </c>
      <c r="BI1245" t="s">
        <v>98</v>
      </c>
      <c r="BJ1245" t="s">
        <v>4737</v>
      </c>
      <c r="BL1245" t="s">
        <v>412</v>
      </c>
    </row>
    <row r="1246" spans="1:64" x14ac:dyDescent="0.2">
      <c r="A1246">
        <v>1760</v>
      </c>
      <c r="B1246">
        <v>3744741373</v>
      </c>
      <c r="C1246" t="s">
        <v>101</v>
      </c>
      <c r="D1246" t="s">
        <v>3672</v>
      </c>
      <c r="E1246" t="s">
        <v>65</v>
      </c>
      <c r="F1246" t="s">
        <v>66</v>
      </c>
      <c r="G1246" t="s">
        <v>67</v>
      </c>
      <c r="H1246" t="s">
        <v>68</v>
      </c>
      <c r="I1246" t="s">
        <v>176</v>
      </c>
      <c r="J1246" t="s">
        <v>177</v>
      </c>
      <c r="K1246" t="s">
        <v>1817</v>
      </c>
      <c r="M1246" t="s">
        <v>72</v>
      </c>
      <c r="N1246" t="s">
        <v>1818</v>
      </c>
      <c r="O1246" t="s">
        <v>1817</v>
      </c>
      <c r="P1246" t="s">
        <v>1819</v>
      </c>
      <c r="Q1246" t="s">
        <v>75</v>
      </c>
      <c r="R1246" t="s">
        <v>3564</v>
      </c>
      <c r="S1246" t="s">
        <v>3660</v>
      </c>
      <c r="T1246" t="s">
        <v>78</v>
      </c>
      <c r="U1246" t="s">
        <v>1822</v>
      </c>
      <c r="V1246" t="s">
        <v>80</v>
      </c>
      <c r="W1246" s="1">
        <v>44508</v>
      </c>
      <c r="X1246" t="s">
        <v>1823</v>
      </c>
      <c r="Y1246" t="s">
        <v>3661</v>
      </c>
      <c r="Z1246" t="s">
        <v>83</v>
      </c>
      <c r="AA1246">
        <v>1</v>
      </c>
      <c r="AB1246" t="s">
        <v>103</v>
      </c>
      <c r="AC1246">
        <v>1</v>
      </c>
      <c r="AD1246" t="s">
        <v>119</v>
      </c>
      <c r="AE1246" t="s">
        <v>145</v>
      </c>
      <c r="AF1246" t="s">
        <v>146</v>
      </c>
      <c r="AG1246" t="s">
        <v>1526</v>
      </c>
      <c r="AH1246" t="s">
        <v>3667</v>
      </c>
      <c r="AI1246" t="s">
        <v>90</v>
      </c>
      <c r="AJ1246">
        <v>32.441085999999999</v>
      </c>
      <c r="AK1246">
        <v>-110.78582299999999</v>
      </c>
      <c r="AL1246">
        <v>6</v>
      </c>
      <c r="AN1246">
        <v>2772</v>
      </c>
      <c r="AP1246">
        <v>2772</v>
      </c>
      <c r="AQ1246">
        <v>2778.6294379999999</v>
      </c>
      <c r="AT1246">
        <v>8</v>
      </c>
      <c r="AU1246">
        <v>11</v>
      </c>
      <c r="AV1246">
        <v>2021</v>
      </c>
      <c r="AW1246">
        <v>2437967</v>
      </c>
      <c r="AX1246">
        <v>2437967</v>
      </c>
      <c r="AY1246" t="s">
        <v>106</v>
      </c>
      <c r="AZ1246" t="s">
        <v>92</v>
      </c>
      <c r="BA1246" t="s">
        <v>107</v>
      </c>
      <c r="BB1246" t="s">
        <v>3673</v>
      </c>
      <c r="BC1246" t="s">
        <v>1186</v>
      </c>
      <c r="BE1246" t="s">
        <v>96</v>
      </c>
      <c r="BG1246" t="s">
        <v>1186</v>
      </c>
      <c r="BI1246" t="s">
        <v>98</v>
      </c>
      <c r="BJ1246" t="s">
        <v>3448</v>
      </c>
      <c r="BL1246" t="s">
        <v>110</v>
      </c>
    </row>
    <row r="1247" spans="1:64" hidden="1" x14ac:dyDescent="0.2">
      <c r="A1247">
        <v>1254</v>
      </c>
      <c r="B1247">
        <v>4022923459</v>
      </c>
      <c r="C1247" t="s">
        <v>101</v>
      </c>
      <c r="D1247" t="s">
        <v>4872</v>
      </c>
      <c r="E1247" t="s">
        <v>65</v>
      </c>
      <c r="F1247" t="s">
        <v>66</v>
      </c>
      <c r="G1247" t="s">
        <v>67</v>
      </c>
      <c r="H1247" t="s">
        <v>68</v>
      </c>
      <c r="I1247" t="s">
        <v>69</v>
      </c>
      <c r="J1247" t="s">
        <v>70</v>
      </c>
      <c r="K1247" t="s">
        <v>4195</v>
      </c>
      <c r="M1247" t="s">
        <v>72</v>
      </c>
      <c r="N1247" t="s">
        <v>4196</v>
      </c>
      <c r="O1247" t="s">
        <v>4195</v>
      </c>
      <c r="P1247" t="s">
        <v>4197</v>
      </c>
      <c r="Q1247" t="s">
        <v>75</v>
      </c>
      <c r="R1247" t="s">
        <v>4501</v>
      </c>
      <c r="S1247" t="s">
        <v>4016</v>
      </c>
      <c r="T1247" t="s">
        <v>78</v>
      </c>
      <c r="U1247" t="s">
        <v>3817</v>
      </c>
      <c r="V1247" t="s">
        <v>80</v>
      </c>
      <c r="W1247" s="1">
        <v>44534</v>
      </c>
      <c r="X1247" t="s">
        <v>4502</v>
      </c>
      <c r="Y1247" t="s">
        <v>4873</v>
      </c>
      <c r="Z1247" t="s">
        <v>83</v>
      </c>
      <c r="AA1247">
        <v>1</v>
      </c>
      <c r="AB1247" t="s">
        <v>4517</v>
      </c>
      <c r="AD1247" t="s">
        <v>343</v>
      </c>
      <c r="AE1247" t="s">
        <v>86</v>
      </c>
      <c r="AF1247" t="s">
        <v>146</v>
      </c>
      <c r="AG1247" t="s">
        <v>875</v>
      </c>
      <c r="AI1247" t="s">
        <v>90</v>
      </c>
      <c r="AJ1247">
        <v>32.337032000000001</v>
      </c>
      <c r="AK1247">
        <v>-110.721782</v>
      </c>
      <c r="AL1247">
        <v>3</v>
      </c>
      <c r="AN1247">
        <v>1460</v>
      </c>
      <c r="AP1247">
        <v>1460</v>
      </c>
      <c r="AQ1247">
        <v>1467.3470130000001</v>
      </c>
      <c r="AT1247">
        <v>4</v>
      </c>
      <c r="AU1247">
        <v>12</v>
      </c>
      <c r="AV1247">
        <v>2021</v>
      </c>
      <c r="AW1247">
        <v>2439589</v>
      </c>
      <c r="AX1247">
        <v>2439589</v>
      </c>
      <c r="AY1247" t="s">
        <v>106</v>
      </c>
      <c r="AZ1247" t="s">
        <v>92</v>
      </c>
      <c r="BA1247" t="s">
        <v>107</v>
      </c>
      <c r="BB1247" t="s">
        <v>4874</v>
      </c>
      <c r="BC1247" t="s">
        <v>1186</v>
      </c>
      <c r="BE1247" t="s">
        <v>96</v>
      </c>
      <c r="BG1247" t="s">
        <v>4507</v>
      </c>
      <c r="BI1247" t="s">
        <v>98</v>
      </c>
      <c r="BJ1247" t="s">
        <v>4753</v>
      </c>
      <c r="BL1247" t="s">
        <v>412</v>
      </c>
    </row>
    <row r="1248" spans="1:64" x14ac:dyDescent="0.2">
      <c r="A1248">
        <v>1495</v>
      </c>
      <c r="B1248">
        <v>3744741638</v>
      </c>
      <c r="C1248" t="s">
        <v>101</v>
      </c>
      <c r="D1248" t="s">
        <v>3721</v>
      </c>
      <c r="E1248" t="s">
        <v>65</v>
      </c>
      <c r="F1248" t="s">
        <v>66</v>
      </c>
      <c r="G1248" t="s">
        <v>67</v>
      </c>
      <c r="H1248" t="s">
        <v>68</v>
      </c>
      <c r="I1248" t="s">
        <v>176</v>
      </c>
      <c r="J1248" t="s">
        <v>773</v>
      </c>
      <c r="K1248" t="s">
        <v>774</v>
      </c>
      <c r="M1248" t="s">
        <v>72</v>
      </c>
      <c r="N1248" t="s">
        <v>775</v>
      </c>
      <c r="O1248" t="s">
        <v>774</v>
      </c>
      <c r="P1248" t="s">
        <v>776</v>
      </c>
      <c r="Q1248" t="s">
        <v>75</v>
      </c>
      <c r="R1248" t="s">
        <v>3564</v>
      </c>
      <c r="S1248" t="s">
        <v>3703</v>
      </c>
      <c r="T1248" t="s">
        <v>78</v>
      </c>
      <c r="U1248" t="s">
        <v>1822</v>
      </c>
      <c r="V1248" t="s">
        <v>80</v>
      </c>
      <c r="W1248" s="1">
        <v>44508</v>
      </c>
      <c r="X1248" t="s">
        <v>1823</v>
      </c>
      <c r="Y1248" t="s">
        <v>3704</v>
      </c>
      <c r="Z1248" t="s">
        <v>83</v>
      </c>
      <c r="AA1248">
        <v>1</v>
      </c>
      <c r="AB1248" t="s">
        <v>103</v>
      </c>
      <c r="AC1248">
        <v>1</v>
      </c>
      <c r="AD1248" t="s">
        <v>119</v>
      </c>
      <c r="AE1248" t="s">
        <v>86</v>
      </c>
      <c r="AF1248" t="s">
        <v>146</v>
      </c>
      <c r="AG1248" t="s">
        <v>3706</v>
      </c>
      <c r="AH1248" t="s">
        <v>3711</v>
      </c>
      <c r="AI1248" t="s">
        <v>90</v>
      </c>
      <c r="AJ1248">
        <v>32.441271999999998</v>
      </c>
      <c r="AK1248">
        <v>-110.786057</v>
      </c>
      <c r="AL1248">
        <v>13</v>
      </c>
      <c r="AN1248">
        <v>2730</v>
      </c>
      <c r="AP1248">
        <v>2730</v>
      </c>
      <c r="AQ1248">
        <v>2772.5468289999999</v>
      </c>
      <c r="AT1248">
        <v>8</v>
      </c>
      <c r="AU1248">
        <v>11</v>
      </c>
      <c r="AV1248">
        <v>2021</v>
      </c>
      <c r="AW1248">
        <v>2438447</v>
      </c>
      <c r="AX1248">
        <v>2438447</v>
      </c>
      <c r="AY1248" t="s">
        <v>106</v>
      </c>
      <c r="AZ1248" t="s">
        <v>92</v>
      </c>
      <c r="BA1248" t="s">
        <v>107</v>
      </c>
      <c r="BB1248" t="s">
        <v>3722</v>
      </c>
      <c r="BC1248" t="s">
        <v>1186</v>
      </c>
      <c r="BE1248" t="s">
        <v>96</v>
      </c>
      <c r="BG1248" t="s">
        <v>1186</v>
      </c>
      <c r="BI1248" t="s">
        <v>98</v>
      </c>
      <c r="BJ1248" t="s">
        <v>2657</v>
      </c>
      <c r="BL1248" t="s">
        <v>110</v>
      </c>
    </row>
    <row r="1249" spans="1:64" hidden="1" x14ac:dyDescent="0.2">
      <c r="A1249">
        <v>1258</v>
      </c>
      <c r="B1249">
        <v>4022923455</v>
      </c>
      <c r="C1249" t="s">
        <v>101</v>
      </c>
      <c r="D1249" t="s">
        <v>4877</v>
      </c>
      <c r="E1249" t="s">
        <v>65</v>
      </c>
      <c r="F1249" t="s">
        <v>66</v>
      </c>
      <c r="G1249" t="s">
        <v>67</v>
      </c>
      <c r="H1249" t="s">
        <v>68</v>
      </c>
      <c r="I1249" t="s">
        <v>69</v>
      </c>
      <c r="J1249" t="s">
        <v>70</v>
      </c>
      <c r="K1249" t="s">
        <v>4195</v>
      </c>
      <c r="M1249" t="s">
        <v>72</v>
      </c>
      <c r="N1249" t="s">
        <v>4196</v>
      </c>
      <c r="O1249" t="s">
        <v>4195</v>
      </c>
      <c r="P1249" t="s">
        <v>4197</v>
      </c>
      <c r="Q1249" t="s">
        <v>75</v>
      </c>
      <c r="R1249" t="s">
        <v>4501</v>
      </c>
      <c r="S1249" t="s">
        <v>4164</v>
      </c>
      <c r="T1249" t="s">
        <v>78</v>
      </c>
      <c r="U1249" t="s">
        <v>3817</v>
      </c>
      <c r="V1249" t="s">
        <v>80</v>
      </c>
      <c r="W1249" s="1">
        <v>44534</v>
      </c>
      <c r="X1249" t="s">
        <v>4502</v>
      </c>
      <c r="Y1249" t="s">
        <v>4878</v>
      </c>
      <c r="Z1249" t="s">
        <v>83</v>
      </c>
      <c r="AA1249">
        <v>1</v>
      </c>
      <c r="AB1249" t="s">
        <v>4517</v>
      </c>
      <c r="AD1249" t="s">
        <v>343</v>
      </c>
      <c r="AE1249" t="s">
        <v>86</v>
      </c>
      <c r="AF1249" t="s">
        <v>610</v>
      </c>
      <c r="AG1249" t="s">
        <v>4879</v>
      </c>
      <c r="AI1249" t="s">
        <v>90</v>
      </c>
      <c r="AJ1249">
        <v>32.336615999999999</v>
      </c>
      <c r="AK1249">
        <v>-110.72205599999999</v>
      </c>
      <c r="AL1249">
        <v>3</v>
      </c>
      <c r="AN1249">
        <v>1459</v>
      </c>
      <c r="AP1249">
        <v>1459</v>
      </c>
      <c r="AQ1249">
        <v>1472.1456009999999</v>
      </c>
      <c r="AT1249">
        <v>4</v>
      </c>
      <c r="AU1249">
        <v>12</v>
      </c>
      <c r="AV1249">
        <v>2021</v>
      </c>
      <c r="AW1249">
        <v>2439589</v>
      </c>
      <c r="AX1249">
        <v>2439589</v>
      </c>
      <c r="AY1249" t="s">
        <v>106</v>
      </c>
      <c r="AZ1249" t="s">
        <v>92</v>
      </c>
      <c r="BA1249" t="s">
        <v>107</v>
      </c>
      <c r="BB1249" t="s">
        <v>4880</v>
      </c>
      <c r="BC1249" t="s">
        <v>1186</v>
      </c>
      <c r="BE1249" t="s">
        <v>96</v>
      </c>
      <c r="BG1249" t="s">
        <v>4507</v>
      </c>
      <c r="BI1249" t="s">
        <v>98</v>
      </c>
      <c r="BJ1249" t="s">
        <v>4758</v>
      </c>
      <c r="BL1249" t="s">
        <v>110</v>
      </c>
    </row>
    <row r="1250" spans="1:64" x14ac:dyDescent="0.2">
      <c r="A1250">
        <v>1540</v>
      </c>
      <c r="B1250">
        <v>3744741593</v>
      </c>
      <c r="C1250" t="s">
        <v>101</v>
      </c>
      <c r="D1250" t="s">
        <v>3779</v>
      </c>
      <c r="E1250" t="s">
        <v>65</v>
      </c>
      <c r="F1250" t="s">
        <v>66</v>
      </c>
      <c r="G1250" t="s">
        <v>67</v>
      </c>
      <c r="H1250" t="s">
        <v>68</v>
      </c>
      <c r="I1250" t="s">
        <v>176</v>
      </c>
      <c r="J1250" t="s">
        <v>773</v>
      </c>
      <c r="K1250" t="s">
        <v>774</v>
      </c>
      <c r="M1250" t="s">
        <v>72</v>
      </c>
      <c r="N1250" t="s">
        <v>775</v>
      </c>
      <c r="O1250" t="s">
        <v>774</v>
      </c>
      <c r="P1250" t="s">
        <v>776</v>
      </c>
      <c r="Q1250" t="s">
        <v>75</v>
      </c>
      <c r="R1250" t="s">
        <v>3733</v>
      </c>
      <c r="S1250" t="s">
        <v>3767</v>
      </c>
      <c r="T1250" t="s">
        <v>78</v>
      </c>
      <c r="U1250" t="s">
        <v>1822</v>
      </c>
      <c r="V1250" t="s">
        <v>80</v>
      </c>
      <c r="W1250" s="1">
        <v>44508</v>
      </c>
      <c r="X1250" t="s">
        <v>1823</v>
      </c>
      <c r="Y1250" t="s">
        <v>3768</v>
      </c>
      <c r="Z1250" t="s">
        <v>83</v>
      </c>
      <c r="AA1250">
        <v>1</v>
      </c>
      <c r="AB1250" t="s">
        <v>103</v>
      </c>
      <c r="AC1250">
        <v>1</v>
      </c>
      <c r="AD1250" t="s">
        <v>119</v>
      </c>
      <c r="AE1250" t="s">
        <v>86</v>
      </c>
      <c r="AF1250" t="s">
        <v>146</v>
      </c>
      <c r="AG1250" t="s">
        <v>3770</v>
      </c>
      <c r="AH1250" t="s">
        <v>3775</v>
      </c>
      <c r="AI1250" t="s">
        <v>90</v>
      </c>
      <c r="AJ1250">
        <v>32.441274</v>
      </c>
      <c r="AK1250">
        <v>-110.787142</v>
      </c>
      <c r="AL1250">
        <v>3</v>
      </c>
      <c r="AN1250">
        <v>2772</v>
      </c>
      <c r="AP1250">
        <v>2772</v>
      </c>
      <c r="AQ1250">
        <v>2785.02</v>
      </c>
      <c r="AT1250">
        <v>8</v>
      </c>
      <c r="AU1250">
        <v>11</v>
      </c>
      <c r="AV1250">
        <v>2021</v>
      </c>
      <c r="AW1250">
        <v>2438447</v>
      </c>
      <c r="AX1250">
        <v>2438447</v>
      </c>
      <c r="AY1250" t="s">
        <v>106</v>
      </c>
      <c r="AZ1250" t="s">
        <v>92</v>
      </c>
      <c r="BA1250" t="s">
        <v>107</v>
      </c>
      <c r="BB1250" t="s">
        <v>3780</v>
      </c>
      <c r="BC1250" t="s">
        <v>1186</v>
      </c>
      <c r="BE1250" t="s">
        <v>96</v>
      </c>
      <c r="BG1250" t="s">
        <v>1186</v>
      </c>
      <c r="BI1250" t="s">
        <v>98</v>
      </c>
      <c r="BJ1250" t="s">
        <v>914</v>
      </c>
      <c r="BL1250" t="s">
        <v>110</v>
      </c>
    </row>
    <row r="1251" spans="1:64" x14ac:dyDescent="0.2">
      <c r="A1251">
        <v>1587</v>
      </c>
      <c r="B1251">
        <v>3744741546</v>
      </c>
      <c r="C1251" t="s">
        <v>101</v>
      </c>
      <c r="D1251" t="s">
        <v>3859</v>
      </c>
      <c r="E1251" t="s">
        <v>65</v>
      </c>
      <c r="F1251" t="s">
        <v>66</v>
      </c>
      <c r="G1251" t="s">
        <v>67</v>
      </c>
      <c r="H1251" t="s">
        <v>68</v>
      </c>
      <c r="I1251" t="s">
        <v>176</v>
      </c>
      <c r="J1251" t="s">
        <v>3844</v>
      </c>
      <c r="K1251" t="s">
        <v>3845</v>
      </c>
      <c r="M1251" t="s">
        <v>72</v>
      </c>
      <c r="N1251" t="s">
        <v>3846</v>
      </c>
      <c r="O1251" t="s">
        <v>3845</v>
      </c>
      <c r="P1251" t="s">
        <v>3847</v>
      </c>
      <c r="Q1251" t="s">
        <v>75</v>
      </c>
      <c r="R1251" t="s">
        <v>3816</v>
      </c>
      <c r="S1251" t="s">
        <v>3734</v>
      </c>
      <c r="T1251" t="s">
        <v>78</v>
      </c>
      <c r="U1251" t="s">
        <v>3817</v>
      </c>
      <c r="V1251" t="s">
        <v>80</v>
      </c>
      <c r="W1251" s="1">
        <v>44519</v>
      </c>
      <c r="X1251" t="s">
        <v>3818</v>
      </c>
      <c r="Y1251" t="s">
        <v>3848</v>
      </c>
      <c r="Z1251" t="s">
        <v>83</v>
      </c>
      <c r="AA1251">
        <v>1</v>
      </c>
      <c r="AB1251" t="s">
        <v>103</v>
      </c>
      <c r="AC1251">
        <v>1</v>
      </c>
      <c r="AD1251" t="s">
        <v>119</v>
      </c>
      <c r="AE1251" t="s">
        <v>86</v>
      </c>
      <c r="AF1251" t="s">
        <v>146</v>
      </c>
      <c r="AG1251" t="s">
        <v>3850</v>
      </c>
      <c r="AH1251" t="s">
        <v>3855</v>
      </c>
      <c r="AI1251" t="s">
        <v>90</v>
      </c>
      <c r="AJ1251">
        <v>32.516151999999998</v>
      </c>
      <c r="AK1251">
        <v>-110.688148</v>
      </c>
      <c r="AL1251">
        <v>3</v>
      </c>
      <c r="AN1251">
        <v>1356</v>
      </c>
      <c r="AP1251">
        <v>1356</v>
      </c>
      <c r="AQ1251">
        <v>1363.5597660000001</v>
      </c>
      <c r="AT1251">
        <v>19</v>
      </c>
      <c r="AU1251">
        <v>11</v>
      </c>
      <c r="AV1251">
        <v>2021</v>
      </c>
      <c r="AW1251">
        <v>2438516</v>
      </c>
      <c r="AX1251">
        <v>2438516</v>
      </c>
      <c r="AY1251" t="s">
        <v>106</v>
      </c>
      <c r="AZ1251" t="s">
        <v>92</v>
      </c>
      <c r="BA1251" t="s">
        <v>107</v>
      </c>
      <c r="BB1251" t="s">
        <v>3860</v>
      </c>
      <c r="BC1251" t="s">
        <v>97</v>
      </c>
      <c r="BE1251" t="s">
        <v>96</v>
      </c>
      <c r="BG1251" t="s">
        <v>97</v>
      </c>
      <c r="BI1251" t="s">
        <v>98</v>
      </c>
      <c r="BJ1251" t="s">
        <v>2384</v>
      </c>
      <c r="BL1251" t="s">
        <v>110</v>
      </c>
    </row>
    <row r="1252" spans="1:64" x14ac:dyDescent="0.2">
      <c r="A1252">
        <v>1628</v>
      </c>
      <c r="B1252">
        <v>3744741505</v>
      </c>
      <c r="C1252" t="s">
        <v>101</v>
      </c>
      <c r="D1252" t="s">
        <v>3914</v>
      </c>
      <c r="E1252" t="s">
        <v>65</v>
      </c>
      <c r="F1252" t="s">
        <v>66</v>
      </c>
      <c r="G1252" t="s">
        <v>67</v>
      </c>
      <c r="H1252" t="s">
        <v>68</v>
      </c>
      <c r="I1252" t="s">
        <v>176</v>
      </c>
      <c r="J1252" t="s">
        <v>773</v>
      </c>
      <c r="K1252" t="s">
        <v>1347</v>
      </c>
      <c r="M1252" t="s">
        <v>72</v>
      </c>
      <c r="N1252" t="s">
        <v>1348</v>
      </c>
      <c r="O1252" t="s">
        <v>1347</v>
      </c>
      <c r="P1252" t="s">
        <v>1349</v>
      </c>
      <c r="Q1252" t="s">
        <v>75</v>
      </c>
      <c r="R1252" t="s">
        <v>3816</v>
      </c>
      <c r="S1252" t="s">
        <v>3767</v>
      </c>
      <c r="T1252" t="s">
        <v>78</v>
      </c>
      <c r="U1252" t="s">
        <v>3817</v>
      </c>
      <c r="V1252" t="s">
        <v>80</v>
      </c>
      <c r="W1252" s="1">
        <v>44519</v>
      </c>
      <c r="X1252" t="s">
        <v>3818</v>
      </c>
      <c r="Y1252" t="s">
        <v>3895</v>
      </c>
      <c r="Z1252" t="s">
        <v>83</v>
      </c>
      <c r="AA1252">
        <v>1</v>
      </c>
      <c r="AB1252" t="s">
        <v>103</v>
      </c>
      <c r="AC1252">
        <v>1</v>
      </c>
      <c r="AD1252" t="s">
        <v>119</v>
      </c>
      <c r="AE1252" t="s">
        <v>86</v>
      </c>
      <c r="AF1252" t="s">
        <v>146</v>
      </c>
      <c r="AG1252" t="s">
        <v>3897</v>
      </c>
      <c r="AH1252" t="s">
        <v>3902</v>
      </c>
      <c r="AI1252" t="s">
        <v>90</v>
      </c>
      <c r="AJ1252">
        <v>32.515863000000003</v>
      </c>
      <c r="AK1252">
        <v>-110.68825200000001</v>
      </c>
      <c r="AL1252">
        <v>3</v>
      </c>
      <c r="AN1252">
        <v>1361</v>
      </c>
      <c r="AP1252">
        <v>1361</v>
      </c>
      <c r="AQ1252">
        <v>1366.3425890000001</v>
      </c>
      <c r="AT1252">
        <v>19</v>
      </c>
      <c r="AU1252">
        <v>11</v>
      </c>
      <c r="AV1252">
        <v>2021</v>
      </c>
      <c r="AW1252">
        <v>2438454</v>
      </c>
      <c r="AX1252">
        <v>2438454</v>
      </c>
      <c r="AY1252" t="s">
        <v>106</v>
      </c>
      <c r="AZ1252" t="s">
        <v>92</v>
      </c>
      <c r="BA1252" t="s">
        <v>107</v>
      </c>
      <c r="BB1252" t="s">
        <v>3915</v>
      </c>
      <c r="BC1252" t="s">
        <v>97</v>
      </c>
      <c r="BE1252" t="s">
        <v>96</v>
      </c>
      <c r="BG1252" t="s">
        <v>97</v>
      </c>
      <c r="BI1252" t="s">
        <v>98</v>
      </c>
      <c r="BJ1252" t="s">
        <v>3916</v>
      </c>
      <c r="BL1252" t="s">
        <v>110</v>
      </c>
    </row>
    <row r="1253" spans="1:64" hidden="1" x14ac:dyDescent="0.2">
      <c r="A1253">
        <v>1158</v>
      </c>
      <c r="B1253">
        <v>4022923555</v>
      </c>
      <c r="C1253" t="s">
        <v>101</v>
      </c>
      <c r="D1253" t="s">
        <v>4901</v>
      </c>
      <c r="E1253" t="s">
        <v>65</v>
      </c>
      <c r="F1253" t="s">
        <v>66</v>
      </c>
      <c r="G1253" t="s">
        <v>67</v>
      </c>
      <c r="H1253" t="s">
        <v>68</v>
      </c>
      <c r="I1253" t="s">
        <v>69</v>
      </c>
      <c r="J1253" t="s">
        <v>70</v>
      </c>
      <c r="K1253" t="s">
        <v>71</v>
      </c>
      <c r="M1253" t="s">
        <v>72</v>
      </c>
      <c r="N1253" t="s">
        <v>73</v>
      </c>
      <c r="O1253" t="s">
        <v>71</v>
      </c>
      <c r="P1253" t="s">
        <v>74</v>
      </c>
      <c r="Q1253" t="s">
        <v>75</v>
      </c>
      <c r="R1253" t="s">
        <v>4501</v>
      </c>
      <c r="S1253" t="s">
        <v>4895</v>
      </c>
      <c r="T1253" t="s">
        <v>78</v>
      </c>
      <c r="U1253" t="s">
        <v>3817</v>
      </c>
      <c r="V1253" t="s">
        <v>80</v>
      </c>
      <c r="W1253" s="1">
        <v>44535</v>
      </c>
      <c r="X1253" t="s">
        <v>4502</v>
      </c>
      <c r="Y1253" t="s">
        <v>4896</v>
      </c>
      <c r="Z1253" t="s">
        <v>83</v>
      </c>
      <c r="AA1253">
        <v>1</v>
      </c>
      <c r="AB1253" t="s">
        <v>4517</v>
      </c>
      <c r="AD1253" t="s">
        <v>116</v>
      </c>
      <c r="AE1253" t="s">
        <v>86</v>
      </c>
      <c r="AF1253" t="s">
        <v>146</v>
      </c>
      <c r="AG1253" t="s">
        <v>4898</v>
      </c>
      <c r="AI1253" t="s">
        <v>90</v>
      </c>
      <c r="AJ1253">
        <v>32.33663</v>
      </c>
      <c r="AK1253">
        <v>-110.721034</v>
      </c>
      <c r="AL1253">
        <v>3</v>
      </c>
      <c r="AN1253">
        <v>1480</v>
      </c>
      <c r="AP1253">
        <v>1480</v>
      </c>
      <c r="AQ1253">
        <v>1475.9009579999999</v>
      </c>
      <c r="AT1253">
        <v>5</v>
      </c>
      <c r="AU1253">
        <v>12</v>
      </c>
      <c r="AV1253">
        <v>2021</v>
      </c>
      <c r="AW1253">
        <v>2439581</v>
      </c>
      <c r="AX1253">
        <v>2439581</v>
      </c>
      <c r="AY1253" t="s">
        <v>106</v>
      </c>
      <c r="AZ1253" t="s">
        <v>92</v>
      </c>
      <c r="BA1253" t="s">
        <v>107</v>
      </c>
      <c r="BB1253" t="s">
        <v>4902</v>
      </c>
      <c r="BC1253" t="s">
        <v>1186</v>
      </c>
      <c r="BE1253" t="s">
        <v>96</v>
      </c>
      <c r="BG1253" t="s">
        <v>4507</v>
      </c>
      <c r="BI1253" t="s">
        <v>98</v>
      </c>
      <c r="BJ1253" t="s">
        <v>4903</v>
      </c>
      <c r="BL1253" t="s">
        <v>110</v>
      </c>
    </row>
    <row r="1254" spans="1:64" hidden="1" x14ac:dyDescent="0.2">
      <c r="A1254">
        <v>1180</v>
      </c>
      <c r="B1254">
        <v>4022923533</v>
      </c>
      <c r="C1254" t="s">
        <v>101</v>
      </c>
      <c r="D1254" t="s">
        <v>4904</v>
      </c>
      <c r="E1254" t="s">
        <v>65</v>
      </c>
      <c r="F1254" t="s">
        <v>66</v>
      </c>
      <c r="G1254" t="s">
        <v>67</v>
      </c>
      <c r="H1254" t="s">
        <v>68</v>
      </c>
      <c r="I1254" t="s">
        <v>69</v>
      </c>
      <c r="J1254" t="s">
        <v>70</v>
      </c>
      <c r="K1254" t="s">
        <v>71</v>
      </c>
      <c r="M1254" t="s">
        <v>72</v>
      </c>
      <c r="N1254" t="s">
        <v>73</v>
      </c>
      <c r="O1254" t="s">
        <v>71</v>
      </c>
      <c r="P1254" t="s">
        <v>74</v>
      </c>
      <c r="Q1254" t="s">
        <v>75</v>
      </c>
      <c r="R1254" t="s">
        <v>4501</v>
      </c>
      <c r="S1254" t="s">
        <v>4895</v>
      </c>
      <c r="T1254" t="s">
        <v>78</v>
      </c>
      <c r="U1254" t="s">
        <v>3817</v>
      </c>
      <c r="V1254" t="s">
        <v>80</v>
      </c>
      <c r="W1254" s="1">
        <v>44535</v>
      </c>
      <c r="X1254" t="s">
        <v>4502</v>
      </c>
      <c r="Y1254" t="s">
        <v>4896</v>
      </c>
      <c r="Z1254" t="s">
        <v>83</v>
      </c>
      <c r="AA1254">
        <v>1</v>
      </c>
      <c r="AB1254" t="s">
        <v>4517</v>
      </c>
      <c r="AD1254" t="s">
        <v>112</v>
      </c>
      <c r="AE1254" t="s">
        <v>86</v>
      </c>
      <c r="AF1254" t="s">
        <v>146</v>
      </c>
      <c r="AG1254" t="s">
        <v>4898</v>
      </c>
      <c r="AI1254" t="s">
        <v>90</v>
      </c>
      <c r="AJ1254">
        <v>32.33663</v>
      </c>
      <c r="AK1254">
        <v>-110.721034</v>
      </c>
      <c r="AL1254">
        <v>3</v>
      </c>
      <c r="AN1254">
        <v>1480</v>
      </c>
      <c r="AP1254">
        <v>1480</v>
      </c>
      <c r="AQ1254">
        <v>1475.9009579999999</v>
      </c>
      <c r="AT1254">
        <v>5</v>
      </c>
      <c r="AU1254">
        <v>12</v>
      </c>
      <c r="AV1254">
        <v>2021</v>
      </c>
      <c r="AW1254">
        <v>2439581</v>
      </c>
      <c r="AX1254">
        <v>2439581</v>
      </c>
      <c r="AY1254" t="s">
        <v>106</v>
      </c>
      <c r="AZ1254" t="s">
        <v>92</v>
      </c>
      <c r="BA1254" t="s">
        <v>107</v>
      </c>
      <c r="BB1254" t="s">
        <v>4905</v>
      </c>
      <c r="BC1254" t="s">
        <v>1186</v>
      </c>
      <c r="BE1254" t="s">
        <v>96</v>
      </c>
      <c r="BG1254" t="s">
        <v>4507</v>
      </c>
      <c r="BI1254" t="s">
        <v>98</v>
      </c>
      <c r="BJ1254" t="s">
        <v>4903</v>
      </c>
      <c r="BL1254" t="s">
        <v>110</v>
      </c>
    </row>
    <row r="1255" spans="1:64" hidden="1" x14ac:dyDescent="0.2">
      <c r="A1255">
        <v>1181</v>
      </c>
      <c r="B1255">
        <v>4022923532</v>
      </c>
      <c r="C1255" t="s">
        <v>101</v>
      </c>
      <c r="D1255" t="s">
        <v>4906</v>
      </c>
      <c r="E1255" t="s">
        <v>65</v>
      </c>
      <c r="F1255" t="s">
        <v>66</v>
      </c>
      <c r="G1255" t="s">
        <v>67</v>
      </c>
      <c r="H1255" t="s">
        <v>68</v>
      </c>
      <c r="I1255" t="s">
        <v>69</v>
      </c>
      <c r="J1255" t="s">
        <v>70</v>
      </c>
      <c r="K1255" t="s">
        <v>71</v>
      </c>
      <c r="M1255" t="s">
        <v>72</v>
      </c>
      <c r="N1255" t="s">
        <v>73</v>
      </c>
      <c r="O1255" t="s">
        <v>71</v>
      </c>
      <c r="P1255" t="s">
        <v>74</v>
      </c>
      <c r="Q1255" t="s">
        <v>75</v>
      </c>
      <c r="R1255" t="s">
        <v>4501</v>
      </c>
      <c r="S1255" t="s">
        <v>4895</v>
      </c>
      <c r="T1255" t="s">
        <v>78</v>
      </c>
      <c r="U1255" t="s">
        <v>3817</v>
      </c>
      <c r="V1255" t="s">
        <v>80</v>
      </c>
      <c r="W1255" s="1">
        <v>44535</v>
      </c>
      <c r="X1255" t="s">
        <v>4502</v>
      </c>
      <c r="Y1255" t="s">
        <v>4896</v>
      </c>
      <c r="Z1255" t="s">
        <v>83</v>
      </c>
      <c r="AA1255">
        <v>1</v>
      </c>
      <c r="AB1255" t="s">
        <v>4517</v>
      </c>
      <c r="AD1255" t="s">
        <v>123</v>
      </c>
      <c r="AE1255" t="s">
        <v>86</v>
      </c>
      <c r="AF1255" t="s">
        <v>146</v>
      </c>
      <c r="AG1255" t="s">
        <v>4898</v>
      </c>
      <c r="AI1255" t="s">
        <v>90</v>
      </c>
      <c r="AJ1255">
        <v>32.33663</v>
      </c>
      <c r="AK1255">
        <v>-110.721034</v>
      </c>
      <c r="AL1255">
        <v>3</v>
      </c>
      <c r="AN1255">
        <v>1480</v>
      </c>
      <c r="AP1255">
        <v>1480</v>
      </c>
      <c r="AQ1255">
        <v>1475.9009579999999</v>
      </c>
      <c r="AT1255">
        <v>5</v>
      </c>
      <c r="AU1255">
        <v>12</v>
      </c>
      <c r="AV1255">
        <v>2021</v>
      </c>
      <c r="AW1255">
        <v>2439581</v>
      </c>
      <c r="AX1255">
        <v>2439581</v>
      </c>
      <c r="AY1255" t="s">
        <v>106</v>
      </c>
      <c r="AZ1255" t="s">
        <v>92</v>
      </c>
      <c r="BA1255" t="s">
        <v>107</v>
      </c>
      <c r="BB1255" t="s">
        <v>4907</v>
      </c>
      <c r="BC1255" t="s">
        <v>1186</v>
      </c>
      <c r="BE1255" t="s">
        <v>96</v>
      </c>
      <c r="BG1255" t="s">
        <v>4507</v>
      </c>
      <c r="BI1255" t="s">
        <v>98</v>
      </c>
      <c r="BJ1255" t="s">
        <v>4908</v>
      </c>
      <c r="BL1255" t="s">
        <v>110</v>
      </c>
    </row>
    <row r="1256" spans="1:64" hidden="1" x14ac:dyDescent="0.2">
      <c r="A1256">
        <v>1182</v>
      </c>
      <c r="B1256">
        <v>4022923531</v>
      </c>
      <c r="C1256" t="s">
        <v>101</v>
      </c>
      <c r="D1256" t="s">
        <v>4909</v>
      </c>
      <c r="E1256" t="s">
        <v>65</v>
      </c>
      <c r="F1256" t="s">
        <v>66</v>
      </c>
      <c r="G1256" t="s">
        <v>67</v>
      </c>
      <c r="H1256" t="s">
        <v>68</v>
      </c>
      <c r="I1256" t="s">
        <v>69</v>
      </c>
      <c r="J1256" t="s">
        <v>70</v>
      </c>
      <c r="K1256" t="s">
        <v>71</v>
      </c>
      <c r="M1256" t="s">
        <v>72</v>
      </c>
      <c r="N1256" t="s">
        <v>73</v>
      </c>
      <c r="O1256" t="s">
        <v>71</v>
      </c>
      <c r="P1256" t="s">
        <v>74</v>
      </c>
      <c r="Q1256" t="s">
        <v>75</v>
      </c>
      <c r="R1256" t="s">
        <v>4501</v>
      </c>
      <c r="S1256" t="s">
        <v>4895</v>
      </c>
      <c r="T1256" t="s">
        <v>78</v>
      </c>
      <c r="U1256" t="s">
        <v>3817</v>
      </c>
      <c r="V1256" t="s">
        <v>80</v>
      </c>
      <c r="W1256" s="1">
        <v>44535</v>
      </c>
      <c r="X1256" t="s">
        <v>4502</v>
      </c>
      <c r="Y1256" t="s">
        <v>4896</v>
      </c>
      <c r="Z1256" t="s">
        <v>83</v>
      </c>
      <c r="AA1256">
        <v>1</v>
      </c>
      <c r="AB1256" t="s">
        <v>4517</v>
      </c>
      <c r="AD1256" t="s">
        <v>139</v>
      </c>
      <c r="AE1256" t="s">
        <v>86</v>
      </c>
      <c r="AF1256" t="s">
        <v>146</v>
      </c>
      <c r="AG1256" t="s">
        <v>4898</v>
      </c>
      <c r="AI1256" t="s">
        <v>90</v>
      </c>
      <c r="AJ1256">
        <v>32.33663</v>
      </c>
      <c r="AK1256">
        <v>-110.721034</v>
      </c>
      <c r="AL1256">
        <v>3</v>
      </c>
      <c r="AN1256">
        <v>1480</v>
      </c>
      <c r="AP1256">
        <v>1480</v>
      </c>
      <c r="AQ1256">
        <v>1475.9009579999999</v>
      </c>
      <c r="AT1256">
        <v>5</v>
      </c>
      <c r="AU1256">
        <v>12</v>
      </c>
      <c r="AV1256">
        <v>2021</v>
      </c>
      <c r="AW1256">
        <v>2439581</v>
      </c>
      <c r="AX1256">
        <v>2439581</v>
      </c>
      <c r="AY1256" t="s">
        <v>106</v>
      </c>
      <c r="AZ1256" t="s">
        <v>92</v>
      </c>
      <c r="BA1256" t="s">
        <v>107</v>
      </c>
      <c r="BB1256" t="s">
        <v>4910</v>
      </c>
      <c r="BC1256" t="s">
        <v>1186</v>
      </c>
      <c r="BE1256" t="s">
        <v>96</v>
      </c>
      <c r="BG1256" t="s">
        <v>4507</v>
      </c>
      <c r="BI1256" t="s">
        <v>98</v>
      </c>
      <c r="BJ1256" t="s">
        <v>4908</v>
      </c>
      <c r="BL1256" t="s">
        <v>110</v>
      </c>
    </row>
    <row r="1257" spans="1:64" x14ac:dyDescent="0.2">
      <c r="A1257">
        <v>1643</v>
      </c>
      <c r="B1257">
        <v>3744741490</v>
      </c>
      <c r="C1257" t="s">
        <v>101</v>
      </c>
      <c r="D1257" t="s">
        <v>3944</v>
      </c>
      <c r="E1257" t="s">
        <v>65</v>
      </c>
      <c r="F1257" t="s">
        <v>66</v>
      </c>
      <c r="G1257" t="s">
        <v>67</v>
      </c>
      <c r="H1257" t="s">
        <v>68</v>
      </c>
      <c r="I1257" t="s">
        <v>176</v>
      </c>
      <c r="J1257" t="s">
        <v>177</v>
      </c>
      <c r="K1257" t="s">
        <v>3925</v>
      </c>
      <c r="M1257" t="s">
        <v>72</v>
      </c>
      <c r="N1257" t="s">
        <v>3926</v>
      </c>
      <c r="O1257" t="s">
        <v>3925</v>
      </c>
      <c r="P1257" t="s">
        <v>1176</v>
      </c>
      <c r="Q1257" t="s">
        <v>75</v>
      </c>
      <c r="R1257" t="s">
        <v>3816</v>
      </c>
      <c r="S1257" t="s">
        <v>3804</v>
      </c>
      <c r="T1257" t="s">
        <v>78</v>
      </c>
      <c r="U1257" t="s">
        <v>3817</v>
      </c>
      <c r="V1257" t="s">
        <v>80</v>
      </c>
      <c r="W1257" s="1">
        <v>44519</v>
      </c>
      <c r="X1257" t="s">
        <v>3818</v>
      </c>
      <c r="Y1257" t="s">
        <v>3927</v>
      </c>
      <c r="Z1257" t="s">
        <v>83</v>
      </c>
      <c r="AA1257">
        <v>1</v>
      </c>
      <c r="AB1257" t="s">
        <v>103</v>
      </c>
      <c r="AC1257">
        <v>1</v>
      </c>
      <c r="AD1257" t="s">
        <v>119</v>
      </c>
      <c r="AE1257" t="s">
        <v>86</v>
      </c>
      <c r="AF1257" t="s">
        <v>146</v>
      </c>
      <c r="AG1257" t="s">
        <v>3929</v>
      </c>
      <c r="AH1257" t="s">
        <v>3945</v>
      </c>
      <c r="AI1257" t="s">
        <v>90</v>
      </c>
      <c r="AJ1257">
        <v>32.516367000000002</v>
      </c>
      <c r="AK1257">
        <v>-110.68760399999999</v>
      </c>
      <c r="AL1257">
        <v>3</v>
      </c>
      <c r="AN1257">
        <v>1343</v>
      </c>
      <c r="AP1257">
        <v>1343</v>
      </c>
      <c r="AQ1257">
        <v>1364.783201</v>
      </c>
      <c r="AT1257">
        <v>19</v>
      </c>
      <c r="AU1257">
        <v>11</v>
      </c>
      <c r="AV1257">
        <v>2021</v>
      </c>
      <c r="AW1257">
        <v>2437981</v>
      </c>
      <c r="AX1257">
        <v>2437981</v>
      </c>
      <c r="AY1257" t="s">
        <v>106</v>
      </c>
      <c r="AZ1257" t="s">
        <v>92</v>
      </c>
      <c r="BA1257" t="s">
        <v>107</v>
      </c>
      <c r="BB1257" t="s">
        <v>3946</v>
      </c>
      <c r="BC1257" t="s">
        <v>95</v>
      </c>
      <c r="BD1257" s="1">
        <v>44722</v>
      </c>
      <c r="BE1257" t="s">
        <v>96</v>
      </c>
      <c r="BG1257" t="s">
        <v>97</v>
      </c>
      <c r="BI1257" t="s">
        <v>98</v>
      </c>
      <c r="BJ1257" t="s">
        <v>3943</v>
      </c>
      <c r="BL1257" t="s">
        <v>110</v>
      </c>
    </row>
    <row r="1258" spans="1:64" x14ac:dyDescent="0.2">
      <c r="A1258">
        <v>1664</v>
      </c>
      <c r="B1258">
        <v>3744741469</v>
      </c>
      <c r="C1258" t="s">
        <v>101</v>
      </c>
      <c r="D1258" t="s">
        <v>3972</v>
      </c>
      <c r="E1258" t="s">
        <v>65</v>
      </c>
      <c r="F1258" t="s">
        <v>66</v>
      </c>
      <c r="G1258" t="s">
        <v>67</v>
      </c>
      <c r="H1258" t="s">
        <v>68</v>
      </c>
      <c r="I1258" t="s">
        <v>176</v>
      </c>
      <c r="J1258" t="s">
        <v>773</v>
      </c>
      <c r="K1258" t="s">
        <v>1347</v>
      </c>
      <c r="M1258" t="s">
        <v>72</v>
      </c>
      <c r="N1258" t="s">
        <v>1348</v>
      </c>
      <c r="O1258" t="s">
        <v>1347</v>
      </c>
      <c r="P1258" t="s">
        <v>1349</v>
      </c>
      <c r="Q1258" t="s">
        <v>75</v>
      </c>
      <c r="R1258" t="s">
        <v>3955</v>
      </c>
      <c r="S1258" t="s">
        <v>3956</v>
      </c>
      <c r="T1258" t="s">
        <v>78</v>
      </c>
      <c r="U1258" t="s">
        <v>3817</v>
      </c>
      <c r="V1258" t="s">
        <v>80</v>
      </c>
      <c r="W1258" s="1">
        <v>44519</v>
      </c>
      <c r="X1258" t="s">
        <v>3818</v>
      </c>
      <c r="Y1258" t="s">
        <v>3957</v>
      </c>
      <c r="Z1258" t="s">
        <v>83</v>
      </c>
      <c r="AA1258">
        <v>1</v>
      </c>
      <c r="AB1258" t="s">
        <v>103</v>
      </c>
      <c r="AC1258">
        <v>1</v>
      </c>
      <c r="AD1258" t="s">
        <v>119</v>
      </c>
      <c r="AE1258" t="s">
        <v>86</v>
      </c>
      <c r="AF1258" t="s">
        <v>146</v>
      </c>
      <c r="AG1258" t="s">
        <v>3959</v>
      </c>
      <c r="AH1258" t="s">
        <v>3973</v>
      </c>
      <c r="AI1258" t="s">
        <v>90</v>
      </c>
      <c r="AJ1258">
        <v>32.516480000000001</v>
      </c>
      <c r="AK1258">
        <v>-110.685751</v>
      </c>
      <c r="AL1258">
        <v>3</v>
      </c>
      <c r="AN1258">
        <v>1358</v>
      </c>
      <c r="AP1258">
        <v>1358</v>
      </c>
      <c r="AQ1258">
        <v>1349.1764189999999</v>
      </c>
      <c r="AT1258">
        <v>19</v>
      </c>
      <c r="AU1258">
        <v>11</v>
      </c>
      <c r="AV1258">
        <v>2021</v>
      </c>
      <c r="AW1258">
        <v>2438454</v>
      </c>
      <c r="AX1258">
        <v>2438454</v>
      </c>
      <c r="AY1258" t="s">
        <v>106</v>
      </c>
      <c r="AZ1258" t="s">
        <v>92</v>
      </c>
      <c r="BA1258" t="s">
        <v>107</v>
      </c>
      <c r="BB1258" t="s">
        <v>3974</v>
      </c>
      <c r="BC1258" t="s">
        <v>97</v>
      </c>
      <c r="BE1258" t="s">
        <v>96</v>
      </c>
      <c r="BG1258" t="s">
        <v>97</v>
      </c>
      <c r="BI1258" t="s">
        <v>98</v>
      </c>
      <c r="BJ1258" t="s">
        <v>3975</v>
      </c>
      <c r="BL1258" t="s">
        <v>110</v>
      </c>
    </row>
    <row r="1259" spans="1:64" hidden="1" x14ac:dyDescent="0.2">
      <c r="A1259">
        <v>1187</v>
      </c>
      <c r="B1259">
        <v>4022923526</v>
      </c>
      <c r="C1259" t="s">
        <v>101</v>
      </c>
      <c r="D1259" t="s">
        <v>4916</v>
      </c>
      <c r="E1259" t="s">
        <v>65</v>
      </c>
      <c r="F1259" t="s">
        <v>66</v>
      </c>
      <c r="G1259" t="s">
        <v>67</v>
      </c>
      <c r="H1259" t="s">
        <v>68</v>
      </c>
      <c r="I1259" t="s">
        <v>69</v>
      </c>
      <c r="J1259" t="s">
        <v>70</v>
      </c>
      <c r="K1259" t="s">
        <v>71</v>
      </c>
      <c r="M1259" t="s">
        <v>72</v>
      </c>
      <c r="N1259" t="s">
        <v>73</v>
      </c>
      <c r="O1259" t="s">
        <v>71</v>
      </c>
      <c r="P1259" t="s">
        <v>74</v>
      </c>
      <c r="Q1259" t="s">
        <v>75</v>
      </c>
      <c r="R1259" t="s">
        <v>4501</v>
      </c>
      <c r="S1259" t="s">
        <v>4895</v>
      </c>
      <c r="T1259" t="s">
        <v>78</v>
      </c>
      <c r="U1259" t="s">
        <v>3817</v>
      </c>
      <c r="V1259" t="s">
        <v>80</v>
      </c>
      <c r="W1259" s="1">
        <v>44535</v>
      </c>
      <c r="X1259" t="s">
        <v>4502</v>
      </c>
      <c r="Y1259" t="s">
        <v>4896</v>
      </c>
      <c r="Z1259" t="s">
        <v>83</v>
      </c>
      <c r="AA1259">
        <v>1</v>
      </c>
      <c r="AB1259" t="s">
        <v>672</v>
      </c>
      <c r="AD1259" t="s">
        <v>134</v>
      </c>
      <c r="AE1259" t="s">
        <v>86</v>
      </c>
      <c r="AF1259" t="s">
        <v>146</v>
      </c>
      <c r="AG1259" t="s">
        <v>4898</v>
      </c>
      <c r="AI1259" t="s">
        <v>90</v>
      </c>
      <c r="AJ1259">
        <v>32.33663</v>
      </c>
      <c r="AK1259">
        <v>-110.721034</v>
      </c>
      <c r="AL1259">
        <v>3</v>
      </c>
      <c r="AN1259">
        <v>1480</v>
      </c>
      <c r="AP1259">
        <v>1480</v>
      </c>
      <c r="AQ1259">
        <v>1475.9009579999999</v>
      </c>
      <c r="AT1259">
        <v>5</v>
      </c>
      <c r="AU1259">
        <v>12</v>
      </c>
      <c r="AV1259">
        <v>2021</v>
      </c>
      <c r="AW1259">
        <v>2439581</v>
      </c>
      <c r="AX1259">
        <v>2439581</v>
      </c>
      <c r="AY1259" t="s">
        <v>106</v>
      </c>
      <c r="AZ1259" t="s">
        <v>92</v>
      </c>
      <c r="BA1259" t="s">
        <v>107</v>
      </c>
      <c r="BB1259" t="s">
        <v>4917</v>
      </c>
      <c r="BC1259" t="s">
        <v>1186</v>
      </c>
      <c r="BE1259" t="s">
        <v>96</v>
      </c>
      <c r="BG1259" t="s">
        <v>4507</v>
      </c>
      <c r="BI1259" t="s">
        <v>98</v>
      </c>
      <c r="BJ1259" t="s">
        <v>4915</v>
      </c>
      <c r="BL1259" t="s">
        <v>110</v>
      </c>
    </row>
    <row r="1260" spans="1:64" hidden="1" x14ac:dyDescent="0.2">
      <c r="A1260">
        <v>1153</v>
      </c>
      <c r="B1260">
        <v>4022923560</v>
      </c>
      <c r="C1260" t="s">
        <v>101</v>
      </c>
      <c r="D1260" t="s">
        <v>4918</v>
      </c>
      <c r="E1260" t="s">
        <v>65</v>
      </c>
      <c r="F1260" t="s">
        <v>66</v>
      </c>
      <c r="G1260" t="s">
        <v>67</v>
      </c>
      <c r="H1260" t="s">
        <v>68</v>
      </c>
      <c r="I1260" t="s">
        <v>69</v>
      </c>
      <c r="J1260" t="s">
        <v>70</v>
      </c>
      <c r="K1260" t="s">
        <v>71</v>
      </c>
      <c r="M1260" t="s">
        <v>72</v>
      </c>
      <c r="N1260" t="s">
        <v>73</v>
      </c>
      <c r="O1260" t="s">
        <v>71</v>
      </c>
      <c r="P1260" t="s">
        <v>74</v>
      </c>
      <c r="Q1260" t="s">
        <v>75</v>
      </c>
      <c r="R1260" t="s">
        <v>4501</v>
      </c>
      <c r="S1260" t="s">
        <v>4895</v>
      </c>
      <c r="T1260" t="s">
        <v>78</v>
      </c>
      <c r="U1260" t="s">
        <v>3817</v>
      </c>
      <c r="V1260" t="s">
        <v>80</v>
      </c>
      <c r="W1260" s="1">
        <v>44535</v>
      </c>
      <c r="X1260" t="s">
        <v>4502</v>
      </c>
      <c r="Y1260" t="s">
        <v>4896</v>
      </c>
      <c r="Z1260" t="s">
        <v>83</v>
      </c>
      <c r="AA1260">
        <v>1</v>
      </c>
      <c r="AB1260" t="s">
        <v>4517</v>
      </c>
      <c r="AD1260" t="s">
        <v>104</v>
      </c>
      <c r="AE1260" t="s">
        <v>86</v>
      </c>
      <c r="AF1260" t="s">
        <v>146</v>
      </c>
      <c r="AG1260" t="s">
        <v>4898</v>
      </c>
      <c r="AI1260" t="s">
        <v>90</v>
      </c>
      <c r="AJ1260">
        <v>32.33663</v>
      </c>
      <c r="AK1260">
        <v>-110.721034</v>
      </c>
      <c r="AL1260">
        <v>3</v>
      </c>
      <c r="AN1260">
        <v>1480</v>
      </c>
      <c r="AP1260">
        <v>1480</v>
      </c>
      <c r="AQ1260">
        <v>1475.9009579999999</v>
      </c>
      <c r="AT1260">
        <v>5</v>
      </c>
      <c r="AU1260">
        <v>12</v>
      </c>
      <c r="AV1260">
        <v>2021</v>
      </c>
      <c r="AW1260">
        <v>2439581</v>
      </c>
      <c r="AX1260">
        <v>2439581</v>
      </c>
      <c r="AY1260" t="s">
        <v>106</v>
      </c>
      <c r="AZ1260" t="s">
        <v>92</v>
      </c>
      <c r="BA1260" t="s">
        <v>107</v>
      </c>
      <c r="BB1260" t="s">
        <v>4919</v>
      </c>
      <c r="BC1260" t="s">
        <v>1186</v>
      </c>
      <c r="BE1260" t="s">
        <v>96</v>
      </c>
      <c r="BG1260" t="s">
        <v>4507</v>
      </c>
      <c r="BI1260" t="s">
        <v>98</v>
      </c>
      <c r="BJ1260" t="s">
        <v>703</v>
      </c>
      <c r="BL1260" t="s">
        <v>110</v>
      </c>
    </row>
    <row r="1261" spans="1:64" hidden="1" x14ac:dyDescent="0.2">
      <c r="A1261">
        <v>1170</v>
      </c>
      <c r="B1261">
        <v>4022923543</v>
      </c>
      <c r="C1261" t="s">
        <v>101</v>
      </c>
      <c r="D1261" t="s">
        <v>4920</v>
      </c>
      <c r="E1261" t="s">
        <v>65</v>
      </c>
      <c r="F1261" t="s">
        <v>66</v>
      </c>
      <c r="G1261" t="s">
        <v>67</v>
      </c>
      <c r="H1261" t="s">
        <v>68</v>
      </c>
      <c r="I1261" t="s">
        <v>69</v>
      </c>
      <c r="J1261" t="s">
        <v>70</v>
      </c>
      <c r="K1261" t="s">
        <v>4130</v>
      </c>
      <c r="M1261" t="s">
        <v>72</v>
      </c>
      <c r="N1261" t="s">
        <v>4131</v>
      </c>
      <c r="O1261" t="s">
        <v>4130</v>
      </c>
      <c r="P1261" t="s">
        <v>4132</v>
      </c>
      <c r="Q1261" t="s">
        <v>75</v>
      </c>
      <c r="R1261" t="s">
        <v>4501</v>
      </c>
      <c r="S1261" t="s">
        <v>142</v>
      </c>
      <c r="T1261" t="s">
        <v>78</v>
      </c>
      <c r="U1261" t="s">
        <v>3817</v>
      </c>
      <c r="V1261" t="s">
        <v>80</v>
      </c>
      <c r="W1261" s="1">
        <v>44535</v>
      </c>
      <c r="X1261" t="s">
        <v>4502</v>
      </c>
      <c r="Y1261" t="s">
        <v>4921</v>
      </c>
      <c r="Z1261" t="s">
        <v>83</v>
      </c>
      <c r="AA1261">
        <v>1</v>
      </c>
      <c r="AB1261" t="s">
        <v>4659</v>
      </c>
      <c r="AD1261" t="s">
        <v>343</v>
      </c>
      <c r="AE1261" t="s">
        <v>86</v>
      </c>
      <c r="AF1261" t="s">
        <v>146</v>
      </c>
      <c r="AG1261" t="s">
        <v>1091</v>
      </c>
      <c r="AI1261" t="s">
        <v>90</v>
      </c>
      <c r="AJ1261">
        <v>32.336717</v>
      </c>
      <c r="AK1261">
        <v>-110.72070100000001</v>
      </c>
      <c r="AL1261">
        <v>3</v>
      </c>
      <c r="AN1261">
        <v>1477</v>
      </c>
      <c r="AP1261">
        <v>1477</v>
      </c>
      <c r="AQ1261">
        <v>1476.3143250000001</v>
      </c>
      <c r="AT1261">
        <v>5</v>
      </c>
      <c r="AU1261">
        <v>12</v>
      </c>
      <c r="AV1261">
        <v>2021</v>
      </c>
      <c r="AW1261">
        <v>2439591</v>
      </c>
      <c r="AX1261">
        <v>2439591</v>
      </c>
      <c r="AY1261" t="s">
        <v>106</v>
      </c>
      <c r="AZ1261" t="s">
        <v>92</v>
      </c>
      <c r="BA1261" t="s">
        <v>107</v>
      </c>
      <c r="BB1261" t="s">
        <v>4922</v>
      </c>
      <c r="BC1261" t="s">
        <v>1186</v>
      </c>
      <c r="BE1261" t="s">
        <v>96</v>
      </c>
      <c r="BG1261" t="s">
        <v>4507</v>
      </c>
      <c r="BI1261" t="s">
        <v>98</v>
      </c>
      <c r="BJ1261" t="s">
        <v>4769</v>
      </c>
      <c r="BL1261" t="s">
        <v>110</v>
      </c>
    </row>
    <row r="1262" spans="1:64" x14ac:dyDescent="0.2">
      <c r="A1262">
        <v>1711</v>
      </c>
      <c r="B1262">
        <v>3744741422</v>
      </c>
      <c r="C1262" t="s">
        <v>101</v>
      </c>
      <c r="D1262" t="s">
        <v>4035</v>
      </c>
      <c r="E1262" t="s">
        <v>65</v>
      </c>
      <c r="F1262" t="s">
        <v>66</v>
      </c>
      <c r="G1262" t="s">
        <v>67</v>
      </c>
      <c r="H1262" t="s">
        <v>68</v>
      </c>
      <c r="I1262" t="s">
        <v>176</v>
      </c>
      <c r="J1262" t="s">
        <v>773</v>
      </c>
      <c r="K1262" t="s">
        <v>1347</v>
      </c>
      <c r="M1262" t="s">
        <v>72</v>
      </c>
      <c r="N1262" t="s">
        <v>1348</v>
      </c>
      <c r="O1262" t="s">
        <v>1347</v>
      </c>
      <c r="P1262" t="s">
        <v>1349</v>
      </c>
      <c r="Q1262" t="s">
        <v>75</v>
      </c>
      <c r="R1262" t="s">
        <v>3955</v>
      </c>
      <c r="S1262" t="s">
        <v>4016</v>
      </c>
      <c r="T1262" t="s">
        <v>78</v>
      </c>
      <c r="U1262" t="s">
        <v>3817</v>
      </c>
      <c r="V1262" t="s">
        <v>80</v>
      </c>
      <c r="W1262" s="1">
        <v>44519</v>
      </c>
      <c r="X1262" t="s">
        <v>3818</v>
      </c>
      <c r="Y1262" t="s">
        <v>4017</v>
      </c>
      <c r="Z1262" t="s">
        <v>83</v>
      </c>
      <c r="AA1262">
        <v>1</v>
      </c>
      <c r="AB1262" t="s">
        <v>103</v>
      </c>
      <c r="AC1262">
        <v>1</v>
      </c>
      <c r="AD1262" t="s">
        <v>119</v>
      </c>
      <c r="AE1262" t="s">
        <v>86</v>
      </c>
      <c r="AF1262" t="s">
        <v>146</v>
      </c>
      <c r="AG1262" t="s">
        <v>4019</v>
      </c>
      <c r="AH1262" t="s">
        <v>4036</v>
      </c>
      <c r="AI1262" t="s">
        <v>90</v>
      </c>
      <c r="AJ1262">
        <v>32.516331000000001</v>
      </c>
      <c r="AK1262">
        <v>-110.686217</v>
      </c>
      <c r="AL1262">
        <v>3</v>
      </c>
      <c r="AN1262">
        <v>1348</v>
      </c>
      <c r="AP1262">
        <v>1348</v>
      </c>
      <c r="AQ1262">
        <v>1353.5896</v>
      </c>
      <c r="AT1262">
        <v>19</v>
      </c>
      <c r="AU1262">
        <v>11</v>
      </c>
      <c r="AV1262">
        <v>2021</v>
      </c>
      <c r="AW1262">
        <v>2438454</v>
      </c>
      <c r="AX1262">
        <v>2438454</v>
      </c>
      <c r="AY1262" t="s">
        <v>106</v>
      </c>
      <c r="AZ1262" t="s">
        <v>92</v>
      </c>
      <c r="BA1262" t="s">
        <v>107</v>
      </c>
      <c r="BB1262" t="s">
        <v>4037</v>
      </c>
      <c r="BC1262" t="s">
        <v>97</v>
      </c>
      <c r="BE1262" t="s">
        <v>96</v>
      </c>
      <c r="BG1262" t="s">
        <v>97</v>
      </c>
      <c r="BI1262" t="s">
        <v>98</v>
      </c>
      <c r="BJ1262" t="s">
        <v>2860</v>
      </c>
      <c r="BL1262" t="s">
        <v>110</v>
      </c>
    </row>
    <row r="1263" spans="1:64" hidden="1" x14ac:dyDescent="0.2">
      <c r="A1263">
        <v>1174</v>
      </c>
      <c r="B1263">
        <v>4022923539</v>
      </c>
      <c r="C1263" t="s">
        <v>101</v>
      </c>
      <c r="D1263" t="s">
        <v>4925</v>
      </c>
      <c r="E1263" t="s">
        <v>65</v>
      </c>
      <c r="F1263" t="s">
        <v>66</v>
      </c>
      <c r="G1263" t="s">
        <v>67</v>
      </c>
      <c r="H1263" t="s">
        <v>68</v>
      </c>
      <c r="I1263" t="s">
        <v>69</v>
      </c>
      <c r="J1263" t="s">
        <v>70</v>
      </c>
      <c r="K1263" t="s">
        <v>71</v>
      </c>
      <c r="M1263" t="s">
        <v>72</v>
      </c>
      <c r="N1263" t="s">
        <v>73</v>
      </c>
      <c r="O1263" t="s">
        <v>71</v>
      </c>
      <c r="P1263" t="s">
        <v>74</v>
      </c>
      <c r="Q1263" t="s">
        <v>75</v>
      </c>
      <c r="R1263" t="s">
        <v>4501</v>
      </c>
      <c r="S1263" t="s">
        <v>4926</v>
      </c>
      <c r="T1263" t="s">
        <v>78</v>
      </c>
      <c r="U1263" t="s">
        <v>3817</v>
      </c>
      <c r="V1263" t="s">
        <v>80</v>
      </c>
      <c r="W1263" s="1">
        <v>44535</v>
      </c>
      <c r="X1263" t="s">
        <v>4502</v>
      </c>
      <c r="Y1263" t="s">
        <v>4927</v>
      </c>
      <c r="Z1263" t="s">
        <v>83</v>
      </c>
      <c r="AA1263">
        <v>1</v>
      </c>
      <c r="AB1263" t="s">
        <v>4659</v>
      </c>
      <c r="AD1263" t="s">
        <v>343</v>
      </c>
      <c r="AE1263" t="s">
        <v>86</v>
      </c>
      <c r="AF1263" t="s">
        <v>146</v>
      </c>
      <c r="AG1263" t="s">
        <v>4928</v>
      </c>
      <c r="AI1263" t="s">
        <v>90</v>
      </c>
      <c r="AJ1263">
        <v>32.33652</v>
      </c>
      <c r="AK1263">
        <v>-110.721163</v>
      </c>
      <c r="AL1263">
        <v>3</v>
      </c>
      <c r="AN1263">
        <v>1477</v>
      </c>
      <c r="AP1263">
        <v>1477</v>
      </c>
      <c r="AQ1263">
        <v>1477.650461</v>
      </c>
      <c r="AT1263">
        <v>5</v>
      </c>
      <c r="AU1263">
        <v>12</v>
      </c>
      <c r="AV1263">
        <v>2021</v>
      </c>
      <c r="AW1263">
        <v>2439581</v>
      </c>
      <c r="AX1263">
        <v>2439581</v>
      </c>
      <c r="AY1263" t="s">
        <v>106</v>
      </c>
      <c r="AZ1263" t="s">
        <v>92</v>
      </c>
      <c r="BA1263" t="s">
        <v>107</v>
      </c>
      <c r="BB1263" t="s">
        <v>4929</v>
      </c>
      <c r="BC1263" t="s">
        <v>1186</v>
      </c>
      <c r="BE1263" t="s">
        <v>96</v>
      </c>
      <c r="BG1263" t="s">
        <v>4507</v>
      </c>
      <c r="BI1263" t="s">
        <v>98</v>
      </c>
      <c r="BJ1263" t="s">
        <v>4769</v>
      </c>
      <c r="BL1263" t="s">
        <v>110</v>
      </c>
    </row>
    <row r="1264" spans="1:64" x14ac:dyDescent="0.2">
      <c r="A1264">
        <v>1735</v>
      </c>
      <c r="B1264">
        <v>3744741398</v>
      </c>
      <c r="C1264" t="s">
        <v>101</v>
      </c>
      <c r="D1264" t="s">
        <v>4070</v>
      </c>
      <c r="E1264" t="s">
        <v>65</v>
      </c>
      <c r="F1264" t="s">
        <v>66</v>
      </c>
      <c r="G1264" t="s">
        <v>67</v>
      </c>
      <c r="H1264" t="s">
        <v>68</v>
      </c>
      <c r="I1264" t="s">
        <v>350</v>
      </c>
      <c r="J1264" t="s">
        <v>4050</v>
      </c>
      <c r="K1264" t="s">
        <v>4051</v>
      </c>
      <c r="M1264" t="s">
        <v>72</v>
      </c>
      <c r="N1264" t="s">
        <v>4052</v>
      </c>
      <c r="O1264" t="s">
        <v>4051</v>
      </c>
      <c r="P1264" t="s">
        <v>4053</v>
      </c>
      <c r="Q1264" t="s">
        <v>75</v>
      </c>
      <c r="R1264" t="s">
        <v>3816</v>
      </c>
      <c r="S1264" t="s">
        <v>3788</v>
      </c>
      <c r="T1264" t="s">
        <v>78</v>
      </c>
      <c r="U1264" t="s">
        <v>3817</v>
      </c>
      <c r="V1264" t="s">
        <v>80</v>
      </c>
      <c r="W1264" s="1">
        <v>44519</v>
      </c>
      <c r="X1264" t="s">
        <v>3818</v>
      </c>
      <c r="Y1264" t="s">
        <v>4054</v>
      </c>
      <c r="Z1264" t="s">
        <v>83</v>
      </c>
      <c r="AA1264">
        <v>1</v>
      </c>
      <c r="AB1264" t="s">
        <v>103</v>
      </c>
      <c r="AC1264">
        <v>1</v>
      </c>
      <c r="AD1264" t="s">
        <v>119</v>
      </c>
      <c r="AE1264" t="s">
        <v>86</v>
      </c>
      <c r="AF1264" t="s">
        <v>146</v>
      </c>
      <c r="AG1264" t="s">
        <v>4056</v>
      </c>
      <c r="AH1264" t="s">
        <v>4071</v>
      </c>
      <c r="AI1264" t="s">
        <v>90</v>
      </c>
      <c r="AJ1264">
        <v>32.516258999999998</v>
      </c>
      <c r="AK1264">
        <v>-110.68764400000001</v>
      </c>
      <c r="AL1264">
        <v>3</v>
      </c>
      <c r="AN1264">
        <v>1347</v>
      </c>
      <c r="AP1264">
        <v>1347</v>
      </c>
      <c r="AQ1264">
        <v>1365.4168010000001</v>
      </c>
      <c r="AT1264">
        <v>19</v>
      </c>
      <c r="AU1264">
        <v>11</v>
      </c>
      <c r="AV1264">
        <v>2021</v>
      </c>
      <c r="AW1264">
        <v>2437568</v>
      </c>
      <c r="AX1264">
        <v>2437568</v>
      </c>
      <c r="AY1264" t="s">
        <v>106</v>
      </c>
      <c r="AZ1264" t="s">
        <v>92</v>
      </c>
      <c r="BA1264" t="s">
        <v>107</v>
      </c>
      <c r="BB1264" t="s">
        <v>4072</v>
      </c>
      <c r="BC1264" t="s">
        <v>97</v>
      </c>
      <c r="BE1264" t="s">
        <v>96</v>
      </c>
      <c r="BG1264" t="s">
        <v>97</v>
      </c>
      <c r="BI1264" t="s">
        <v>98</v>
      </c>
      <c r="BJ1264" t="s">
        <v>4065</v>
      </c>
      <c r="BL1264" t="s">
        <v>110</v>
      </c>
    </row>
    <row r="1265" spans="1:64" hidden="1" x14ac:dyDescent="0.2">
      <c r="A1265">
        <v>1386</v>
      </c>
      <c r="B1265">
        <v>4022923327</v>
      </c>
      <c r="C1265" t="s">
        <v>101</v>
      </c>
      <c r="D1265" t="s">
        <v>4932</v>
      </c>
      <c r="E1265" t="s">
        <v>65</v>
      </c>
      <c r="F1265" t="s">
        <v>66</v>
      </c>
      <c r="G1265" t="s">
        <v>67</v>
      </c>
      <c r="H1265" t="s">
        <v>68</v>
      </c>
      <c r="I1265" t="s">
        <v>69</v>
      </c>
      <c r="J1265" t="s">
        <v>70</v>
      </c>
      <c r="K1265" t="s">
        <v>4130</v>
      </c>
      <c r="M1265" t="s">
        <v>72</v>
      </c>
      <c r="N1265" t="s">
        <v>4131</v>
      </c>
      <c r="O1265" t="s">
        <v>4130</v>
      </c>
      <c r="P1265" t="s">
        <v>4132</v>
      </c>
      <c r="Q1265" t="s">
        <v>75</v>
      </c>
      <c r="R1265" t="s">
        <v>4501</v>
      </c>
      <c r="S1265" t="s">
        <v>4933</v>
      </c>
      <c r="T1265" t="s">
        <v>78</v>
      </c>
      <c r="U1265" t="s">
        <v>3817</v>
      </c>
      <c r="V1265" t="s">
        <v>80</v>
      </c>
      <c r="W1265" s="1">
        <v>44535</v>
      </c>
      <c r="X1265" t="s">
        <v>4502</v>
      </c>
      <c r="Y1265" t="s">
        <v>4934</v>
      </c>
      <c r="Z1265" t="s">
        <v>83</v>
      </c>
      <c r="AA1265">
        <v>1</v>
      </c>
      <c r="AB1265" t="s">
        <v>4659</v>
      </c>
      <c r="AD1265" t="s">
        <v>343</v>
      </c>
      <c r="AE1265" t="s">
        <v>86</v>
      </c>
      <c r="AF1265" t="s">
        <v>146</v>
      </c>
      <c r="AG1265" t="s">
        <v>4935</v>
      </c>
      <c r="AI1265" t="s">
        <v>90</v>
      </c>
      <c r="AJ1265">
        <v>32.336530000000003</v>
      </c>
      <c r="AK1265">
        <v>-110.721495</v>
      </c>
      <c r="AL1265">
        <v>3</v>
      </c>
      <c r="AN1265">
        <v>1472</v>
      </c>
      <c r="AP1265">
        <v>1472</v>
      </c>
      <c r="AQ1265">
        <v>1476.880169</v>
      </c>
      <c r="AT1265">
        <v>5</v>
      </c>
      <c r="AU1265">
        <v>12</v>
      </c>
      <c r="AV1265">
        <v>2021</v>
      </c>
      <c r="AW1265">
        <v>2439591</v>
      </c>
      <c r="AX1265">
        <v>2439591</v>
      </c>
      <c r="AY1265" t="s">
        <v>106</v>
      </c>
      <c r="AZ1265" t="s">
        <v>92</v>
      </c>
      <c r="BA1265" t="s">
        <v>107</v>
      </c>
      <c r="BB1265" t="s">
        <v>4936</v>
      </c>
      <c r="BC1265" t="s">
        <v>1186</v>
      </c>
      <c r="BE1265" t="s">
        <v>96</v>
      </c>
      <c r="BG1265" t="s">
        <v>4507</v>
      </c>
      <c r="BI1265" t="s">
        <v>98</v>
      </c>
      <c r="BJ1265" t="s">
        <v>2456</v>
      </c>
      <c r="BL1265" t="s">
        <v>412</v>
      </c>
    </row>
    <row r="1266" spans="1:64" x14ac:dyDescent="0.2">
      <c r="A1266">
        <v>1756</v>
      </c>
      <c r="B1266">
        <v>3744741377</v>
      </c>
      <c r="C1266" t="s">
        <v>101</v>
      </c>
      <c r="D1266" t="s">
        <v>4095</v>
      </c>
      <c r="E1266" t="s">
        <v>65</v>
      </c>
      <c r="F1266" t="s">
        <v>66</v>
      </c>
      <c r="G1266" t="s">
        <v>67</v>
      </c>
      <c r="H1266" t="s">
        <v>68</v>
      </c>
      <c r="I1266" t="s">
        <v>350</v>
      </c>
      <c r="J1266" t="s">
        <v>4050</v>
      </c>
      <c r="K1266" t="s">
        <v>4051</v>
      </c>
      <c r="M1266" t="s">
        <v>72</v>
      </c>
      <c r="N1266" t="s">
        <v>4052</v>
      </c>
      <c r="O1266" t="s">
        <v>4051</v>
      </c>
      <c r="P1266" t="s">
        <v>4053</v>
      </c>
      <c r="Q1266" t="s">
        <v>75</v>
      </c>
      <c r="R1266" t="s">
        <v>3816</v>
      </c>
      <c r="S1266" t="s">
        <v>3812</v>
      </c>
      <c r="T1266" t="s">
        <v>78</v>
      </c>
      <c r="U1266" t="s">
        <v>3817</v>
      </c>
      <c r="V1266" t="s">
        <v>80</v>
      </c>
      <c r="W1266" s="1">
        <v>44519</v>
      </c>
      <c r="X1266" t="s">
        <v>3818</v>
      </c>
      <c r="Y1266" t="s">
        <v>4079</v>
      </c>
      <c r="Z1266" t="s">
        <v>83</v>
      </c>
      <c r="AA1266">
        <v>1</v>
      </c>
      <c r="AB1266" t="s">
        <v>103</v>
      </c>
      <c r="AC1266">
        <v>1</v>
      </c>
      <c r="AD1266" t="s">
        <v>119</v>
      </c>
      <c r="AE1266" t="s">
        <v>86</v>
      </c>
      <c r="AF1266" t="s">
        <v>146</v>
      </c>
      <c r="AG1266" t="s">
        <v>4081</v>
      </c>
      <c r="AH1266" t="s">
        <v>4096</v>
      </c>
      <c r="AI1266" t="s">
        <v>90</v>
      </c>
      <c r="AJ1266">
        <v>32.516331999999998</v>
      </c>
      <c r="AK1266">
        <v>-110.68724</v>
      </c>
      <c r="AL1266">
        <v>3</v>
      </c>
      <c r="AN1266">
        <v>1346</v>
      </c>
      <c r="AP1266">
        <v>1346</v>
      </c>
      <c r="AQ1266">
        <v>1364.834521</v>
      </c>
      <c r="AT1266">
        <v>19</v>
      </c>
      <c r="AU1266">
        <v>11</v>
      </c>
      <c r="AV1266">
        <v>2021</v>
      </c>
      <c r="AW1266">
        <v>2437568</v>
      </c>
      <c r="AX1266">
        <v>2437568</v>
      </c>
      <c r="AY1266" t="s">
        <v>106</v>
      </c>
      <c r="AZ1266" t="s">
        <v>92</v>
      </c>
      <c r="BA1266" t="s">
        <v>107</v>
      </c>
      <c r="BB1266" t="s">
        <v>4097</v>
      </c>
      <c r="BC1266" t="s">
        <v>97</v>
      </c>
      <c r="BE1266" t="s">
        <v>96</v>
      </c>
      <c r="BG1266" t="s">
        <v>97</v>
      </c>
      <c r="BI1266" t="s">
        <v>98</v>
      </c>
      <c r="BJ1266" t="s">
        <v>1641</v>
      </c>
      <c r="BL1266" t="s">
        <v>110</v>
      </c>
    </row>
    <row r="1267" spans="1:64" hidden="1" x14ac:dyDescent="0.2">
      <c r="A1267">
        <v>1388</v>
      </c>
      <c r="B1267">
        <v>4022923325</v>
      </c>
      <c r="C1267" t="s">
        <v>101</v>
      </c>
      <c r="D1267" t="s">
        <v>4940</v>
      </c>
      <c r="E1267" t="s">
        <v>65</v>
      </c>
      <c r="F1267" t="s">
        <v>66</v>
      </c>
      <c r="G1267" t="s">
        <v>67</v>
      </c>
      <c r="H1267" t="s">
        <v>68</v>
      </c>
      <c r="I1267" t="s">
        <v>69</v>
      </c>
      <c r="J1267" t="s">
        <v>70</v>
      </c>
      <c r="K1267" t="s">
        <v>4195</v>
      </c>
      <c r="M1267" t="s">
        <v>72</v>
      </c>
      <c r="N1267" t="s">
        <v>4196</v>
      </c>
      <c r="O1267" t="s">
        <v>4195</v>
      </c>
      <c r="P1267" t="s">
        <v>4197</v>
      </c>
      <c r="Q1267" t="s">
        <v>75</v>
      </c>
      <c r="R1267" t="s">
        <v>4501</v>
      </c>
      <c r="S1267" t="s">
        <v>3796</v>
      </c>
      <c r="T1267" t="s">
        <v>78</v>
      </c>
      <c r="U1267" t="s">
        <v>3817</v>
      </c>
      <c r="V1267" t="s">
        <v>80</v>
      </c>
      <c r="W1267" s="1">
        <v>44535</v>
      </c>
      <c r="X1267" t="s">
        <v>4502</v>
      </c>
      <c r="Y1267" t="s">
        <v>4941</v>
      </c>
      <c r="Z1267" t="s">
        <v>83</v>
      </c>
      <c r="AA1267">
        <v>1</v>
      </c>
      <c r="AB1267" t="s">
        <v>4659</v>
      </c>
      <c r="AD1267" t="s">
        <v>343</v>
      </c>
      <c r="AE1267" t="s">
        <v>86</v>
      </c>
      <c r="AF1267" t="s">
        <v>146</v>
      </c>
      <c r="AG1267" t="s">
        <v>1091</v>
      </c>
      <c r="AI1267" t="s">
        <v>90</v>
      </c>
      <c r="AJ1267">
        <v>32.337257000000001</v>
      </c>
      <c r="AK1267">
        <v>-110.720844</v>
      </c>
      <c r="AL1267">
        <v>3</v>
      </c>
      <c r="AN1267">
        <v>1434</v>
      </c>
      <c r="AP1267">
        <v>1434</v>
      </c>
      <c r="AQ1267">
        <v>1471.8815930000001</v>
      </c>
      <c r="AT1267">
        <v>5</v>
      </c>
      <c r="AU1267">
        <v>12</v>
      </c>
      <c r="AV1267">
        <v>2021</v>
      </c>
      <c r="AW1267">
        <v>2439589</v>
      </c>
      <c r="AX1267">
        <v>2439589</v>
      </c>
      <c r="AY1267" t="s">
        <v>106</v>
      </c>
      <c r="AZ1267" t="s">
        <v>92</v>
      </c>
      <c r="BA1267" t="s">
        <v>107</v>
      </c>
      <c r="BB1267" t="s">
        <v>4942</v>
      </c>
      <c r="BC1267" t="s">
        <v>1186</v>
      </c>
      <c r="BE1267" t="s">
        <v>96</v>
      </c>
      <c r="BG1267" t="s">
        <v>4507</v>
      </c>
      <c r="BI1267" t="s">
        <v>98</v>
      </c>
      <c r="BJ1267" t="s">
        <v>4943</v>
      </c>
      <c r="BL1267" t="s">
        <v>412</v>
      </c>
    </row>
    <row r="1268" spans="1:64" x14ac:dyDescent="0.2">
      <c r="A1268">
        <v>1491</v>
      </c>
      <c r="B1268">
        <v>3744741642</v>
      </c>
      <c r="C1268" t="s">
        <v>101</v>
      </c>
      <c r="D1268" t="s">
        <v>4155</v>
      </c>
      <c r="E1268" t="s">
        <v>65</v>
      </c>
      <c r="F1268" t="s">
        <v>66</v>
      </c>
      <c r="G1268" t="s">
        <v>67</v>
      </c>
      <c r="H1268" t="s">
        <v>68</v>
      </c>
      <c r="I1268" t="s">
        <v>69</v>
      </c>
      <c r="J1268" t="s">
        <v>70</v>
      </c>
      <c r="K1268" t="s">
        <v>71</v>
      </c>
      <c r="M1268" t="s">
        <v>72</v>
      </c>
      <c r="N1268" t="s">
        <v>73</v>
      </c>
      <c r="O1268" t="s">
        <v>71</v>
      </c>
      <c r="P1268" t="s">
        <v>74</v>
      </c>
      <c r="Q1268" t="s">
        <v>75</v>
      </c>
      <c r="R1268" t="s">
        <v>3816</v>
      </c>
      <c r="S1268" t="s">
        <v>4137</v>
      </c>
      <c r="T1268" t="s">
        <v>78</v>
      </c>
      <c r="U1268" t="s">
        <v>3817</v>
      </c>
      <c r="V1268" t="s">
        <v>80</v>
      </c>
      <c r="W1268" s="1">
        <v>44520</v>
      </c>
      <c r="X1268" t="s">
        <v>3818</v>
      </c>
      <c r="Y1268" t="s">
        <v>4138</v>
      </c>
      <c r="Z1268" t="s">
        <v>83</v>
      </c>
      <c r="AA1268">
        <v>1</v>
      </c>
      <c r="AB1268" t="s">
        <v>103</v>
      </c>
      <c r="AC1268">
        <v>1</v>
      </c>
      <c r="AD1268" t="s">
        <v>119</v>
      </c>
      <c r="AE1268" t="s">
        <v>86</v>
      </c>
      <c r="AF1268" t="s">
        <v>146</v>
      </c>
      <c r="AG1268" t="s">
        <v>4140</v>
      </c>
      <c r="AH1268" t="s">
        <v>4156</v>
      </c>
      <c r="AI1268" t="s">
        <v>90</v>
      </c>
      <c r="AJ1268">
        <v>32.516061999999998</v>
      </c>
      <c r="AK1268">
        <v>-110.688182</v>
      </c>
      <c r="AL1268">
        <v>3</v>
      </c>
      <c r="AN1268">
        <v>1357</v>
      </c>
      <c r="AP1268">
        <v>1357</v>
      </c>
      <c r="AQ1268">
        <v>1364.453763</v>
      </c>
      <c r="AT1268">
        <v>20</v>
      </c>
      <c r="AU1268">
        <v>11</v>
      </c>
      <c r="AV1268">
        <v>2021</v>
      </c>
      <c r="AW1268">
        <v>2439581</v>
      </c>
      <c r="AX1268">
        <v>2439581</v>
      </c>
      <c r="AY1268" t="s">
        <v>106</v>
      </c>
      <c r="AZ1268" t="s">
        <v>92</v>
      </c>
      <c r="BA1268" t="s">
        <v>107</v>
      </c>
      <c r="BB1268" t="s">
        <v>4157</v>
      </c>
      <c r="BC1268" t="s">
        <v>97</v>
      </c>
      <c r="BE1268" t="s">
        <v>96</v>
      </c>
      <c r="BG1268" t="s">
        <v>97</v>
      </c>
      <c r="BI1268" t="s">
        <v>98</v>
      </c>
      <c r="BJ1268" t="s">
        <v>2342</v>
      </c>
      <c r="BL1268" t="s">
        <v>110</v>
      </c>
    </row>
    <row r="1269" spans="1:64" hidden="1" x14ac:dyDescent="0.2">
      <c r="A1269">
        <v>1390</v>
      </c>
      <c r="B1269">
        <v>4022923323</v>
      </c>
      <c r="C1269" t="s">
        <v>101</v>
      </c>
      <c r="D1269" t="s">
        <v>4946</v>
      </c>
      <c r="E1269" t="s">
        <v>65</v>
      </c>
      <c r="F1269" t="s">
        <v>66</v>
      </c>
      <c r="G1269" t="s">
        <v>67</v>
      </c>
      <c r="H1269" t="s">
        <v>68</v>
      </c>
      <c r="I1269" t="s">
        <v>69</v>
      </c>
      <c r="J1269" t="s">
        <v>70</v>
      </c>
      <c r="K1269" t="s">
        <v>4195</v>
      </c>
      <c r="M1269" t="s">
        <v>72</v>
      </c>
      <c r="N1269" t="s">
        <v>4196</v>
      </c>
      <c r="O1269" t="s">
        <v>4195</v>
      </c>
      <c r="P1269" t="s">
        <v>4197</v>
      </c>
      <c r="Q1269" t="s">
        <v>75</v>
      </c>
      <c r="R1269" t="s">
        <v>4501</v>
      </c>
      <c r="S1269" t="s">
        <v>3808</v>
      </c>
      <c r="T1269" t="s">
        <v>78</v>
      </c>
      <c r="U1269" t="s">
        <v>3817</v>
      </c>
      <c r="V1269" t="s">
        <v>80</v>
      </c>
      <c r="W1269" s="1">
        <v>44535</v>
      </c>
      <c r="X1269" t="s">
        <v>4502</v>
      </c>
      <c r="Y1269" t="s">
        <v>4947</v>
      </c>
      <c r="Z1269" t="s">
        <v>83</v>
      </c>
      <c r="AA1269">
        <v>1</v>
      </c>
      <c r="AB1269" t="s">
        <v>4659</v>
      </c>
      <c r="AD1269" t="s">
        <v>343</v>
      </c>
      <c r="AE1269" t="s">
        <v>145</v>
      </c>
      <c r="AF1269" t="s">
        <v>146</v>
      </c>
      <c r="AG1269" t="s">
        <v>765</v>
      </c>
      <c r="AI1269" t="s">
        <v>90</v>
      </c>
      <c r="AJ1269">
        <v>32.337246</v>
      </c>
      <c r="AK1269">
        <v>-110.720879</v>
      </c>
      <c r="AL1269">
        <v>3</v>
      </c>
      <c r="AN1269">
        <v>1433</v>
      </c>
      <c r="AP1269">
        <v>1433</v>
      </c>
      <c r="AQ1269">
        <v>1471.1775279999999</v>
      </c>
      <c r="AT1269">
        <v>5</v>
      </c>
      <c r="AU1269">
        <v>12</v>
      </c>
      <c r="AV1269">
        <v>2021</v>
      </c>
      <c r="AW1269">
        <v>2439589</v>
      </c>
      <c r="AX1269">
        <v>2439589</v>
      </c>
      <c r="AY1269" t="s">
        <v>106</v>
      </c>
      <c r="AZ1269" t="s">
        <v>92</v>
      </c>
      <c r="BA1269" t="s">
        <v>107</v>
      </c>
      <c r="BB1269" t="s">
        <v>4948</v>
      </c>
      <c r="BC1269" t="s">
        <v>1186</v>
      </c>
      <c r="BE1269" t="s">
        <v>96</v>
      </c>
      <c r="BG1269" t="s">
        <v>4507</v>
      </c>
      <c r="BI1269" t="s">
        <v>98</v>
      </c>
      <c r="BJ1269" t="s">
        <v>2456</v>
      </c>
      <c r="BL1269" t="s">
        <v>412</v>
      </c>
    </row>
    <row r="1270" spans="1:64" x14ac:dyDescent="0.2">
      <c r="A1270">
        <v>1524</v>
      </c>
      <c r="B1270">
        <v>3744741609</v>
      </c>
      <c r="C1270" t="s">
        <v>101</v>
      </c>
      <c r="D1270" t="s">
        <v>4179</v>
      </c>
      <c r="E1270" t="s">
        <v>65</v>
      </c>
      <c r="F1270" t="s">
        <v>66</v>
      </c>
      <c r="G1270" t="s">
        <v>67</v>
      </c>
      <c r="H1270" t="s">
        <v>68</v>
      </c>
      <c r="I1270" t="s">
        <v>69</v>
      </c>
      <c r="J1270" t="s">
        <v>70</v>
      </c>
      <c r="M1270" t="s">
        <v>1072</v>
      </c>
      <c r="N1270" t="s">
        <v>4171</v>
      </c>
      <c r="O1270" t="s">
        <v>70</v>
      </c>
      <c r="P1270" t="s">
        <v>4172</v>
      </c>
      <c r="Q1270" t="s">
        <v>75</v>
      </c>
      <c r="R1270" t="s">
        <v>3955</v>
      </c>
      <c r="S1270" t="s">
        <v>4164</v>
      </c>
      <c r="T1270" t="s">
        <v>78</v>
      </c>
      <c r="U1270" t="s">
        <v>3817</v>
      </c>
      <c r="V1270" t="s">
        <v>80</v>
      </c>
      <c r="W1270" s="1">
        <v>44520</v>
      </c>
      <c r="X1270" t="s">
        <v>3818</v>
      </c>
      <c r="Y1270" t="s">
        <v>4165</v>
      </c>
      <c r="Z1270" t="s">
        <v>83</v>
      </c>
      <c r="AA1270">
        <v>1</v>
      </c>
      <c r="AB1270" t="s">
        <v>103</v>
      </c>
      <c r="AC1270">
        <v>1</v>
      </c>
      <c r="AD1270" t="s">
        <v>119</v>
      </c>
      <c r="AE1270" t="s">
        <v>145</v>
      </c>
      <c r="AF1270" t="s">
        <v>146</v>
      </c>
      <c r="AG1270" t="s">
        <v>4173</v>
      </c>
      <c r="AH1270" t="s">
        <v>4180</v>
      </c>
      <c r="AI1270" t="s">
        <v>90</v>
      </c>
      <c r="AJ1270">
        <v>32.516522999999999</v>
      </c>
      <c r="AK1270">
        <v>-110.685723</v>
      </c>
      <c r="AL1270">
        <v>3</v>
      </c>
      <c r="AN1270">
        <v>1353</v>
      </c>
      <c r="AP1270">
        <v>1353</v>
      </c>
      <c r="AQ1270">
        <v>1348.9145679999999</v>
      </c>
      <c r="AT1270">
        <v>20</v>
      </c>
      <c r="AU1270">
        <v>11</v>
      </c>
      <c r="AV1270">
        <v>2021</v>
      </c>
      <c r="AW1270">
        <v>2439576</v>
      </c>
      <c r="AY1270" t="s">
        <v>106</v>
      </c>
      <c r="AZ1270" t="s">
        <v>92</v>
      </c>
      <c r="BA1270" t="s">
        <v>107</v>
      </c>
      <c r="BB1270" t="s">
        <v>4181</v>
      </c>
      <c r="BC1270" t="s">
        <v>97</v>
      </c>
      <c r="BE1270" t="s">
        <v>96</v>
      </c>
      <c r="BG1270" t="s">
        <v>97</v>
      </c>
      <c r="BI1270" t="s">
        <v>98</v>
      </c>
      <c r="BJ1270" t="s">
        <v>4176</v>
      </c>
      <c r="BL1270" t="s">
        <v>110</v>
      </c>
    </row>
    <row r="1271" spans="1:64" x14ac:dyDescent="0.2">
      <c r="A1271">
        <v>1544</v>
      </c>
      <c r="B1271">
        <v>3744741589</v>
      </c>
      <c r="C1271" t="s">
        <v>101</v>
      </c>
      <c r="D1271" t="s">
        <v>4214</v>
      </c>
      <c r="E1271" t="s">
        <v>65</v>
      </c>
      <c r="F1271" t="s">
        <v>66</v>
      </c>
      <c r="G1271" t="s">
        <v>67</v>
      </c>
      <c r="H1271" t="s">
        <v>68</v>
      </c>
      <c r="I1271" t="s">
        <v>69</v>
      </c>
      <c r="J1271" t="s">
        <v>70</v>
      </c>
      <c r="K1271" t="s">
        <v>4195</v>
      </c>
      <c r="M1271" t="s">
        <v>72</v>
      </c>
      <c r="N1271" t="s">
        <v>4196</v>
      </c>
      <c r="O1271" t="s">
        <v>4195</v>
      </c>
      <c r="P1271" t="s">
        <v>4197</v>
      </c>
      <c r="Q1271" t="s">
        <v>75</v>
      </c>
      <c r="R1271" t="s">
        <v>3955</v>
      </c>
      <c r="S1271" t="s">
        <v>4198</v>
      </c>
      <c r="T1271" t="s">
        <v>78</v>
      </c>
      <c r="U1271" t="s">
        <v>3817</v>
      </c>
      <c r="V1271" t="s">
        <v>80</v>
      </c>
      <c r="W1271" s="1">
        <v>44520</v>
      </c>
      <c r="X1271" t="s">
        <v>3818</v>
      </c>
      <c r="Y1271" t="s">
        <v>4199</v>
      </c>
      <c r="Z1271" t="s">
        <v>83</v>
      </c>
      <c r="AA1271">
        <v>1</v>
      </c>
      <c r="AB1271" t="s">
        <v>103</v>
      </c>
      <c r="AC1271">
        <v>1</v>
      </c>
      <c r="AD1271" t="s">
        <v>119</v>
      </c>
      <c r="AE1271" t="s">
        <v>145</v>
      </c>
      <c r="AF1271" t="s">
        <v>87</v>
      </c>
      <c r="AG1271" t="s">
        <v>4205</v>
      </c>
      <c r="AH1271" t="s">
        <v>4206</v>
      </c>
      <c r="AI1271" t="s">
        <v>90</v>
      </c>
      <c r="AJ1271">
        <v>32.516452000000001</v>
      </c>
      <c r="AK1271">
        <v>-110.68590500000001</v>
      </c>
      <c r="AL1271">
        <v>3</v>
      </c>
      <c r="AN1271">
        <v>1352</v>
      </c>
      <c r="AP1271">
        <v>1352</v>
      </c>
      <c r="AQ1271">
        <v>1350.546799</v>
      </c>
      <c r="AT1271">
        <v>20</v>
      </c>
      <c r="AU1271">
        <v>11</v>
      </c>
      <c r="AV1271">
        <v>2021</v>
      </c>
      <c r="AW1271">
        <v>2439589</v>
      </c>
      <c r="AX1271">
        <v>2439589</v>
      </c>
      <c r="AY1271" t="s">
        <v>106</v>
      </c>
      <c r="AZ1271" t="s">
        <v>92</v>
      </c>
      <c r="BA1271" t="s">
        <v>107</v>
      </c>
      <c r="BB1271" t="s">
        <v>4215</v>
      </c>
      <c r="BC1271" t="s">
        <v>97</v>
      </c>
      <c r="BE1271" t="s">
        <v>96</v>
      </c>
      <c r="BG1271" t="s">
        <v>97</v>
      </c>
      <c r="BI1271" t="s">
        <v>98</v>
      </c>
      <c r="BJ1271" t="s">
        <v>3047</v>
      </c>
      <c r="BL1271" t="s">
        <v>110</v>
      </c>
    </row>
    <row r="1272" spans="1:64" hidden="1" x14ac:dyDescent="0.2">
      <c r="A1272">
        <v>1383</v>
      </c>
      <c r="B1272">
        <v>4022923330</v>
      </c>
      <c r="C1272" t="s">
        <v>101</v>
      </c>
      <c r="D1272" t="s">
        <v>4954</v>
      </c>
      <c r="E1272" t="s">
        <v>65</v>
      </c>
      <c r="F1272" t="s">
        <v>66</v>
      </c>
      <c r="G1272" t="s">
        <v>67</v>
      </c>
      <c r="H1272" t="s">
        <v>68</v>
      </c>
      <c r="I1272" t="s">
        <v>176</v>
      </c>
      <c r="J1272" t="s">
        <v>177</v>
      </c>
      <c r="K1272" t="s">
        <v>178</v>
      </c>
      <c r="M1272" t="s">
        <v>72</v>
      </c>
      <c r="N1272" t="s">
        <v>179</v>
      </c>
      <c r="O1272" t="s">
        <v>178</v>
      </c>
      <c r="P1272" t="s">
        <v>180</v>
      </c>
      <c r="Q1272" t="s">
        <v>75</v>
      </c>
      <c r="R1272" t="s">
        <v>4501</v>
      </c>
      <c r="S1272" t="s">
        <v>4137</v>
      </c>
      <c r="T1272" t="s">
        <v>78</v>
      </c>
      <c r="U1272" t="s">
        <v>3817</v>
      </c>
      <c r="V1272" t="s">
        <v>80</v>
      </c>
      <c r="W1272" s="1">
        <v>44535</v>
      </c>
      <c r="X1272" t="s">
        <v>4502</v>
      </c>
      <c r="Y1272" t="s">
        <v>4952</v>
      </c>
      <c r="Z1272" t="s">
        <v>83</v>
      </c>
      <c r="AA1272">
        <v>1</v>
      </c>
      <c r="AB1272" t="s">
        <v>4659</v>
      </c>
      <c r="AD1272" t="s">
        <v>343</v>
      </c>
      <c r="AE1272" t="s">
        <v>145</v>
      </c>
      <c r="AF1272" t="s">
        <v>146</v>
      </c>
      <c r="AG1272" t="s">
        <v>980</v>
      </c>
      <c r="AI1272" t="s">
        <v>90</v>
      </c>
      <c r="AJ1272">
        <v>32.337330000000001</v>
      </c>
      <c r="AK1272">
        <v>-110.721232</v>
      </c>
      <c r="AL1272">
        <v>3</v>
      </c>
      <c r="AN1272">
        <v>1461</v>
      </c>
      <c r="AP1272">
        <v>1461</v>
      </c>
      <c r="AQ1272">
        <v>1469.676743</v>
      </c>
      <c r="AT1272">
        <v>5</v>
      </c>
      <c r="AU1272">
        <v>12</v>
      </c>
      <c r="AV1272">
        <v>2021</v>
      </c>
      <c r="AW1272">
        <v>2438038</v>
      </c>
      <c r="AX1272">
        <v>2438038</v>
      </c>
      <c r="AY1272" t="s">
        <v>106</v>
      </c>
      <c r="AZ1272" t="s">
        <v>92</v>
      </c>
      <c r="BA1272" t="s">
        <v>107</v>
      </c>
      <c r="BB1272" t="s">
        <v>4955</v>
      </c>
      <c r="BC1272" t="s">
        <v>1186</v>
      </c>
      <c r="BE1272" t="s">
        <v>96</v>
      </c>
      <c r="BG1272" t="s">
        <v>4507</v>
      </c>
      <c r="BI1272" t="s">
        <v>98</v>
      </c>
      <c r="BJ1272" t="s">
        <v>2456</v>
      </c>
      <c r="BL1272" t="s">
        <v>412</v>
      </c>
    </row>
    <row r="1273" spans="1:64" hidden="1" x14ac:dyDescent="0.2">
      <c r="A1273">
        <v>1609</v>
      </c>
      <c r="B1273">
        <v>3744741524</v>
      </c>
      <c r="C1273" t="s">
        <v>101</v>
      </c>
      <c r="D1273" t="s">
        <v>4963</v>
      </c>
      <c r="E1273" t="s">
        <v>65</v>
      </c>
      <c r="F1273" t="s">
        <v>66</v>
      </c>
      <c r="G1273" t="s">
        <v>67</v>
      </c>
      <c r="H1273" t="s">
        <v>68</v>
      </c>
      <c r="I1273" t="s">
        <v>176</v>
      </c>
      <c r="J1273" t="s">
        <v>1251</v>
      </c>
      <c r="K1273" t="s">
        <v>1252</v>
      </c>
      <c r="M1273" t="s">
        <v>72</v>
      </c>
      <c r="N1273" t="s">
        <v>1253</v>
      </c>
      <c r="O1273" t="s">
        <v>1252</v>
      </c>
      <c r="P1273" t="s">
        <v>1254</v>
      </c>
      <c r="Q1273" t="s">
        <v>75</v>
      </c>
      <c r="R1273" t="s">
        <v>4964</v>
      </c>
      <c r="T1273" t="s">
        <v>78</v>
      </c>
      <c r="U1273" t="s">
        <v>3817</v>
      </c>
      <c r="V1273" t="s">
        <v>80</v>
      </c>
      <c r="W1273" s="1">
        <v>44535</v>
      </c>
      <c r="X1273" t="s">
        <v>4502</v>
      </c>
      <c r="Y1273" t="s">
        <v>4958</v>
      </c>
      <c r="Z1273" t="s">
        <v>83</v>
      </c>
      <c r="AA1273">
        <v>1</v>
      </c>
      <c r="AB1273" t="s">
        <v>4965</v>
      </c>
      <c r="AD1273" t="s">
        <v>378</v>
      </c>
      <c r="AE1273" t="s">
        <v>145</v>
      </c>
      <c r="AF1273" t="s">
        <v>87</v>
      </c>
      <c r="AG1273" t="s">
        <v>1428</v>
      </c>
      <c r="AH1273" t="s">
        <v>4966</v>
      </c>
      <c r="AI1273" t="s">
        <v>90</v>
      </c>
      <c r="AJ1273">
        <v>32.336694999999999</v>
      </c>
      <c r="AK1273">
        <v>-110.720771</v>
      </c>
      <c r="AL1273">
        <v>3</v>
      </c>
      <c r="AN1273">
        <v>1476</v>
      </c>
      <c r="AP1273">
        <v>1476</v>
      </c>
      <c r="AQ1273">
        <v>1476.06369</v>
      </c>
      <c r="AT1273">
        <v>5</v>
      </c>
      <c r="AU1273">
        <v>12</v>
      </c>
      <c r="AV1273">
        <v>2021</v>
      </c>
      <c r="AW1273">
        <v>2438156</v>
      </c>
      <c r="AX1273">
        <v>2438156</v>
      </c>
      <c r="AY1273" t="s">
        <v>106</v>
      </c>
      <c r="AZ1273" t="s">
        <v>92</v>
      </c>
      <c r="BA1273" t="s">
        <v>107</v>
      </c>
      <c r="BB1273" t="s">
        <v>4967</v>
      </c>
      <c r="BC1273" t="s">
        <v>1186</v>
      </c>
      <c r="BE1273" t="s">
        <v>96</v>
      </c>
      <c r="BG1273" t="s">
        <v>4507</v>
      </c>
      <c r="BI1273" t="s">
        <v>98</v>
      </c>
      <c r="BJ1273" t="s">
        <v>467</v>
      </c>
      <c r="BL1273" t="s">
        <v>110</v>
      </c>
    </row>
    <row r="1274" spans="1:64" hidden="1" x14ac:dyDescent="0.2">
      <c r="A1274">
        <v>1384</v>
      </c>
      <c r="B1274">
        <v>4022923329</v>
      </c>
      <c r="C1274" t="s">
        <v>101</v>
      </c>
      <c r="D1274" t="s">
        <v>4968</v>
      </c>
      <c r="E1274" t="s">
        <v>65</v>
      </c>
      <c r="F1274" t="s">
        <v>66</v>
      </c>
      <c r="G1274" t="s">
        <v>67</v>
      </c>
      <c r="H1274" t="s">
        <v>68</v>
      </c>
      <c r="I1274" t="s">
        <v>176</v>
      </c>
      <c r="J1274" t="s">
        <v>1251</v>
      </c>
      <c r="K1274" t="s">
        <v>1252</v>
      </c>
      <c r="M1274" t="s">
        <v>72</v>
      </c>
      <c r="N1274" t="s">
        <v>1253</v>
      </c>
      <c r="O1274" t="s">
        <v>1252</v>
      </c>
      <c r="P1274" t="s">
        <v>1254</v>
      </c>
      <c r="Q1274" t="s">
        <v>75</v>
      </c>
      <c r="R1274" t="s">
        <v>4501</v>
      </c>
      <c r="S1274" t="s">
        <v>4957</v>
      </c>
      <c r="T1274" t="s">
        <v>78</v>
      </c>
      <c r="U1274" t="s">
        <v>3817</v>
      </c>
      <c r="V1274" t="s">
        <v>80</v>
      </c>
      <c r="W1274" s="1">
        <v>44535</v>
      </c>
      <c r="X1274" t="s">
        <v>4502</v>
      </c>
      <c r="Y1274" t="s">
        <v>4958</v>
      </c>
      <c r="Z1274" t="s">
        <v>83</v>
      </c>
      <c r="AA1274">
        <v>1</v>
      </c>
      <c r="AB1274" t="s">
        <v>4517</v>
      </c>
      <c r="AD1274" t="s">
        <v>112</v>
      </c>
      <c r="AE1274" t="s">
        <v>145</v>
      </c>
      <c r="AF1274" t="s">
        <v>146</v>
      </c>
      <c r="AG1274" t="s">
        <v>1428</v>
      </c>
      <c r="AI1274" t="s">
        <v>90</v>
      </c>
      <c r="AJ1274">
        <v>32.336694999999999</v>
      </c>
      <c r="AK1274">
        <v>-110.720771</v>
      </c>
      <c r="AL1274">
        <v>3</v>
      </c>
      <c r="AN1274">
        <v>1476</v>
      </c>
      <c r="AP1274">
        <v>1476</v>
      </c>
      <c r="AQ1274">
        <v>1476.06369</v>
      </c>
      <c r="AT1274">
        <v>5</v>
      </c>
      <c r="AU1274">
        <v>12</v>
      </c>
      <c r="AV1274">
        <v>2021</v>
      </c>
      <c r="AW1274">
        <v>2438156</v>
      </c>
      <c r="AX1274">
        <v>2438156</v>
      </c>
      <c r="AY1274" t="s">
        <v>106</v>
      </c>
      <c r="AZ1274" t="s">
        <v>92</v>
      </c>
      <c r="BA1274" t="s">
        <v>107</v>
      </c>
      <c r="BB1274" t="s">
        <v>4969</v>
      </c>
      <c r="BC1274" t="s">
        <v>1186</v>
      </c>
      <c r="BE1274" t="s">
        <v>96</v>
      </c>
      <c r="BG1274" t="s">
        <v>4507</v>
      </c>
      <c r="BI1274" t="s">
        <v>98</v>
      </c>
      <c r="BJ1274" t="s">
        <v>2419</v>
      </c>
      <c r="BL1274" t="s">
        <v>110</v>
      </c>
    </row>
    <row r="1275" spans="1:64" x14ac:dyDescent="0.2">
      <c r="A1275">
        <v>1556</v>
      </c>
      <c r="B1275">
        <v>3744741577</v>
      </c>
      <c r="C1275" t="s">
        <v>101</v>
      </c>
      <c r="D1275" t="s">
        <v>4237</v>
      </c>
      <c r="E1275" t="s">
        <v>65</v>
      </c>
      <c r="F1275" t="s">
        <v>66</v>
      </c>
      <c r="G1275" t="s">
        <v>67</v>
      </c>
      <c r="H1275" t="s">
        <v>68</v>
      </c>
      <c r="I1275" t="s">
        <v>69</v>
      </c>
      <c r="J1275" t="s">
        <v>70</v>
      </c>
      <c r="K1275" t="s">
        <v>4130</v>
      </c>
      <c r="M1275" t="s">
        <v>72</v>
      </c>
      <c r="N1275" t="s">
        <v>4131</v>
      </c>
      <c r="O1275" t="s">
        <v>4130</v>
      </c>
      <c r="P1275" t="s">
        <v>4132</v>
      </c>
      <c r="Q1275" t="s">
        <v>75</v>
      </c>
      <c r="R1275" t="s">
        <v>3955</v>
      </c>
      <c r="S1275" t="s">
        <v>4221</v>
      </c>
      <c r="T1275" t="s">
        <v>78</v>
      </c>
      <c r="U1275" t="s">
        <v>3817</v>
      </c>
      <c r="V1275" t="s">
        <v>80</v>
      </c>
      <c r="W1275" s="1">
        <v>44520</v>
      </c>
      <c r="X1275" t="s">
        <v>3818</v>
      </c>
      <c r="Y1275" t="s">
        <v>4222</v>
      </c>
      <c r="Z1275" t="s">
        <v>83</v>
      </c>
      <c r="AA1275">
        <v>1</v>
      </c>
      <c r="AB1275" t="s">
        <v>103</v>
      </c>
      <c r="AC1275">
        <v>1</v>
      </c>
      <c r="AD1275" t="s">
        <v>119</v>
      </c>
      <c r="AE1275" t="s">
        <v>86</v>
      </c>
      <c r="AF1275" t="s">
        <v>146</v>
      </c>
      <c r="AG1275" t="s">
        <v>4224</v>
      </c>
      <c r="AH1275" t="s">
        <v>4228</v>
      </c>
      <c r="AI1275" t="s">
        <v>90</v>
      </c>
      <c r="AJ1275">
        <v>32.516320999999998</v>
      </c>
      <c r="AK1275">
        <v>-110.686105</v>
      </c>
      <c r="AL1275">
        <v>3</v>
      </c>
      <c r="AN1275">
        <v>1351</v>
      </c>
      <c r="AP1275">
        <v>1351</v>
      </c>
      <c r="AQ1275">
        <v>1353.19453</v>
      </c>
      <c r="AT1275">
        <v>20</v>
      </c>
      <c r="AU1275">
        <v>11</v>
      </c>
      <c r="AV1275">
        <v>2021</v>
      </c>
      <c r="AW1275">
        <v>2439591</v>
      </c>
      <c r="AX1275">
        <v>2439591</v>
      </c>
      <c r="AY1275" t="s">
        <v>106</v>
      </c>
      <c r="AZ1275" t="s">
        <v>92</v>
      </c>
      <c r="BA1275" t="s">
        <v>107</v>
      </c>
      <c r="BB1275" t="s">
        <v>4238</v>
      </c>
      <c r="BC1275" t="s">
        <v>97</v>
      </c>
      <c r="BE1275" t="s">
        <v>96</v>
      </c>
      <c r="BG1275" t="s">
        <v>97</v>
      </c>
      <c r="BI1275" t="s">
        <v>98</v>
      </c>
      <c r="BJ1275" t="s">
        <v>3058</v>
      </c>
      <c r="BL1275" t="s">
        <v>110</v>
      </c>
    </row>
    <row r="1276" spans="1:64" hidden="1" x14ac:dyDescent="0.2">
      <c r="A1276">
        <v>1398</v>
      </c>
      <c r="B1276">
        <v>4022923315</v>
      </c>
      <c r="C1276" t="s">
        <v>101</v>
      </c>
      <c r="D1276" t="s">
        <v>4972</v>
      </c>
      <c r="E1276" t="s">
        <v>65</v>
      </c>
      <c r="F1276" t="s">
        <v>66</v>
      </c>
      <c r="G1276" t="s">
        <v>67</v>
      </c>
      <c r="H1276" t="s">
        <v>68</v>
      </c>
      <c r="I1276" t="s">
        <v>176</v>
      </c>
      <c r="J1276" t="s">
        <v>1251</v>
      </c>
      <c r="K1276" t="s">
        <v>1252</v>
      </c>
      <c r="M1276" t="s">
        <v>72</v>
      </c>
      <c r="N1276" t="s">
        <v>1253</v>
      </c>
      <c r="O1276" t="s">
        <v>1252</v>
      </c>
      <c r="P1276" t="s">
        <v>1254</v>
      </c>
      <c r="Q1276" t="s">
        <v>75</v>
      </c>
      <c r="R1276" t="s">
        <v>4501</v>
      </c>
      <c r="S1276" t="s">
        <v>4957</v>
      </c>
      <c r="T1276" t="s">
        <v>78</v>
      </c>
      <c r="U1276" t="s">
        <v>3817</v>
      </c>
      <c r="V1276" t="s">
        <v>80</v>
      </c>
      <c r="W1276" s="1">
        <v>44535</v>
      </c>
      <c r="X1276" t="s">
        <v>4502</v>
      </c>
      <c r="Y1276" t="s">
        <v>4958</v>
      </c>
      <c r="Z1276" t="s">
        <v>83</v>
      </c>
      <c r="AA1276">
        <v>1</v>
      </c>
      <c r="AB1276" t="s">
        <v>4517</v>
      </c>
      <c r="AD1276" t="s">
        <v>123</v>
      </c>
      <c r="AE1276" t="s">
        <v>145</v>
      </c>
      <c r="AF1276" t="s">
        <v>146</v>
      </c>
      <c r="AG1276" t="s">
        <v>1428</v>
      </c>
      <c r="AI1276" t="s">
        <v>90</v>
      </c>
      <c r="AJ1276">
        <v>32.336694999999999</v>
      </c>
      <c r="AK1276">
        <v>-110.720771</v>
      </c>
      <c r="AL1276">
        <v>3</v>
      </c>
      <c r="AN1276">
        <v>1476</v>
      </c>
      <c r="AP1276">
        <v>1476</v>
      </c>
      <c r="AQ1276">
        <v>1476.06369</v>
      </c>
      <c r="AT1276">
        <v>5</v>
      </c>
      <c r="AU1276">
        <v>12</v>
      </c>
      <c r="AV1276">
        <v>2021</v>
      </c>
      <c r="AW1276">
        <v>2438156</v>
      </c>
      <c r="AX1276">
        <v>2438156</v>
      </c>
      <c r="AY1276" t="s">
        <v>106</v>
      </c>
      <c r="AZ1276" t="s">
        <v>92</v>
      </c>
      <c r="BA1276" t="s">
        <v>107</v>
      </c>
      <c r="BB1276" t="s">
        <v>4973</v>
      </c>
      <c r="BC1276" t="s">
        <v>1186</v>
      </c>
      <c r="BE1276" t="s">
        <v>96</v>
      </c>
      <c r="BG1276" t="s">
        <v>4507</v>
      </c>
      <c r="BI1276" t="s">
        <v>98</v>
      </c>
      <c r="BJ1276" t="s">
        <v>4939</v>
      </c>
      <c r="BL1276" t="s">
        <v>110</v>
      </c>
    </row>
    <row r="1277" spans="1:64" hidden="1" x14ac:dyDescent="0.2">
      <c r="A1277">
        <v>1399</v>
      </c>
      <c r="B1277">
        <v>4022923314</v>
      </c>
      <c r="C1277" t="s">
        <v>101</v>
      </c>
      <c r="D1277" t="s">
        <v>4974</v>
      </c>
      <c r="E1277" t="s">
        <v>65</v>
      </c>
      <c r="F1277" t="s">
        <v>66</v>
      </c>
      <c r="G1277" t="s">
        <v>67</v>
      </c>
      <c r="H1277" t="s">
        <v>68</v>
      </c>
      <c r="I1277" t="s">
        <v>176</v>
      </c>
      <c r="J1277" t="s">
        <v>1251</v>
      </c>
      <c r="K1277" t="s">
        <v>1252</v>
      </c>
      <c r="M1277" t="s">
        <v>72</v>
      </c>
      <c r="N1277" t="s">
        <v>1253</v>
      </c>
      <c r="O1277" t="s">
        <v>1252</v>
      </c>
      <c r="P1277" t="s">
        <v>1254</v>
      </c>
      <c r="Q1277" t="s">
        <v>75</v>
      </c>
      <c r="R1277" t="s">
        <v>4501</v>
      </c>
      <c r="S1277" t="s">
        <v>4957</v>
      </c>
      <c r="T1277" t="s">
        <v>78</v>
      </c>
      <c r="U1277" t="s">
        <v>3817</v>
      </c>
      <c r="V1277" t="s">
        <v>80</v>
      </c>
      <c r="W1277" s="1">
        <v>44535</v>
      </c>
      <c r="X1277" t="s">
        <v>4502</v>
      </c>
      <c r="Y1277" t="s">
        <v>4958</v>
      </c>
      <c r="Z1277" t="s">
        <v>83</v>
      </c>
      <c r="AA1277">
        <v>1</v>
      </c>
      <c r="AB1277" t="s">
        <v>4517</v>
      </c>
      <c r="AD1277" t="s">
        <v>139</v>
      </c>
      <c r="AE1277" t="s">
        <v>145</v>
      </c>
      <c r="AF1277" t="s">
        <v>146</v>
      </c>
      <c r="AG1277" t="s">
        <v>1428</v>
      </c>
      <c r="AI1277" t="s">
        <v>90</v>
      </c>
      <c r="AJ1277">
        <v>32.336694999999999</v>
      </c>
      <c r="AK1277">
        <v>-110.720771</v>
      </c>
      <c r="AL1277">
        <v>3</v>
      </c>
      <c r="AN1277">
        <v>1476</v>
      </c>
      <c r="AP1277">
        <v>1476</v>
      </c>
      <c r="AQ1277">
        <v>1476.06369</v>
      </c>
      <c r="AT1277">
        <v>5</v>
      </c>
      <c r="AU1277">
        <v>12</v>
      </c>
      <c r="AV1277">
        <v>2021</v>
      </c>
      <c r="AW1277">
        <v>2438156</v>
      </c>
      <c r="AX1277">
        <v>2438156</v>
      </c>
      <c r="AY1277" t="s">
        <v>106</v>
      </c>
      <c r="AZ1277" t="s">
        <v>92</v>
      </c>
      <c r="BA1277" t="s">
        <v>107</v>
      </c>
      <c r="BB1277" t="s">
        <v>4975</v>
      </c>
      <c r="BC1277" t="s">
        <v>1186</v>
      </c>
      <c r="BE1277" t="s">
        <v>96</v>
      </c>
      <c r="BG1277" t="s">
        <v>4507</v>
      </c>
      <c r="BI1277" t="s">
        <v>98</v>
      </c>
      <c r="BJ1277" t="s">
        <v>3556</v>
      </c>
      <c r="BL1277" t="s">
        <v>110</v>
      </c>
    </row>
    <row r="1278" spans="1:64" hidden="1" x14ac:dyDescent="0.2">
      <c r="A1278">
        <v>1200</v>
      </c>
      <c r="B1278">
        <v>4022923513</v>
      </c>
      <c r="C1278" t="s">
        <v>101</v>
      </c>
      <c r="D1278" t="s">
        <v>4976</v>
      </c>
      <c r="E1278" t="s">
        <v>65</v>
      </c>
      <c r="F1278" t="s">
        <v>66</v>
      </c>
      <c r="G1278" t="s">
        <v>67</v>
      </c>
      <c r="H1278" t="s">
        <v>68</v>
      </c>
      <c r="I1278" t="s">
        <v>176</v>
      </c>
      <c r="J1278" t="s">
        <v>1251</v>
      </c>
      <c r="K1278" t="s">
        <v>1252</v>
      </c>
      <c r="M1278" t="s">
        <v>72</v>
      </c>
      <c r="N1278" t="s">
        <v>1253</v>
      </c>
      <c r="O1278" t="s">
        <v>1252</v>
      </c>
      <c r="P1278" t="s">
        <v>1254</v>
      </c>
      <c r="Q1278" t="s">
        <v>75</v>
      </c>
      <c r="R1278" t="s">
        <v>4501</v>
      </c>
      <c r="S1278" t="s">
        <v>4957</v>
      </c>
      <c r="T1278" t="s">
        <v>78</v>
      </c>
      <c r="U1278" t="s">
        <v>3817</v>
      </c>
      <c r="V1278" t="s">
        <v>80</v>
      </c>
      <c r="W1278" s="1">
        <v>44535</v>
      </c>
      <c r="X1278" t="s">
        <v>4502</v>
      </c>
      <c r="Y1278" t="s">
        <v>4958</v>
      </c>
      <c r="Z1278" t="s">
        <v>83</v>
      </c>
      <c r="AA1278">
        <v>1</v>
      </c>
      <c r="AB1278" t="s">
        <v>4517</v>
      </c>
      <c r="AD1278" t="s">
        <v>104</v>
      </c>
      <c r="AE1278" t="s">
        <v>145</v>
      </c>
      <c r="AF1278" t="s">
        <v>146</v>
      </c>
      <c r="AG1278" t="s">
        <v>1428</v>
      </c>
      <c r="AI1278" t="s">
        <v>90</v>
      </c>
      <c r="AJ1278">
        <v>32.336694999999999</v>
      </c>
      <c r="AK1278">
        <v>-110.720771</v>
      </c>
      <c r="AL1278">
        <v>3</v>
      </c>
      <c r="AN1278">
        <v>1476</v>
      </c>
      <c r="AP1278">
        <v>1476</v>
      </c>
      <c r="AQ1278">
        <v>1476.06369</v>
      </c>
      <c r="AT1278">
        <v>5</v>
      </c>
      <c r="AU1278">
        <v>12</v>
      </c>
      <c r="AV1278">
        <v>2021</v>
      </c>
      <c r="AW1278">
        <v>2438156</v>
      </c>
      <c r="AX1278">
        <v>2438156</v>
      </c>
      <c r="AY1278" t="s">
        <v>106</v>
      </c>
      <c r="AZ1278" t="s">
        <v>92</v>
      </c>
      <c r="BA1278" t="s">
        <v>107</v>
      </c>
      <c r="BB1278" t="s">
        <v>4977</v>
      </c>
      <c r="BC1278" t="s">
        <v>1186</v>
      </c>
      <c r="BE1278" t="s">
        <v>96</v>
      </c>
      <c r="BG1278" t="s">
        <v>4507</v>
      </c>
      <c r="BI1278" t="s">
        <v>98</v>
      </c>
      <c r="BJ1278" t="s">
        <v>1929</v>
      </c>
      <c r="BL1278" t="s">
        <v>110</v>
      </c>
    </row>
    <row r="1279" spans="1:64" hidden="1" x14ac:dyDescent="0.2">
      <c r="A1279">
        <v>1217</v>
      </c>
      <c r="B1279">
        <v>4022923496</v>
      </c>
      <c r="C1279" t="s">
        <v>101</v>
      </c>
      <c r="D1279" t="s">
        <v>4978</v>
      </c>
      <c r="E1279" t="s">
        <v>65</v>
      </c>
      <c r="F1279" t="s">
        <v>66</v>
      </c>
      <c r="G1279" t="s">
        <v>67</v>
      </c>
      <c r="H1279" t="s">
        <v>68</v>
      </c>
      <c r="I1279" t="s">
        <v>176</v>
      </c>
      <c r="J1279" t="s">
        <v>1251</v>
      </c>
      <c r="K1279" t="s">
        <v>1252</v>
      </c>
      <c r="M1279" t="s">
        <v>72</v>
      </c>
      <c r="N1279" t="s">
        <v>1253</v>
      </c>
      <c r="O1279" t="s">
        <v>1252</v>
      </c>
      <c r="P1279" t="s">
        <v>1254</v>
      </c>
      <c r="Q1279" t="s">
        <v>75</v>
      </c>
      <c r="R1279" t="s">
        <v>4501</v>
      </c>
      <c r="S1279" t="s">
        <v>4957</v>
      </c>
      <c r="T1279" t="s">
        <v>78</v>
      </c>
      <c r="U1279" t="s">
        <v>3817</v>
      </c>
      <c r="V1279" t="s">
        <v>80</v>
      </c>
      <c r="W1279" s="1">
        <v>44535</v>
      </c>
      <c r="X1279" t="s">
        <v>4502</v>
      </c>
      <c r="Y1279" t="s">
        <v>4958</v>
      </c>
      <c r="Z1279" t="s">
        <v>83</v>
      </c>
      <c r="AA1279">
        <v>1</v>
      </c>
      <c r="AB1279" t="s">
        <v>4517</v>
      </c>
      <c r="AD1279" t="s">
        <v>116</v>
      </c>
      <c r="AE1279" t="s">
        <v>145</v>
      </c>
      <c r="AF1279" t="s">
        <v>146</v>
      </c>
      <c r="AG1279" t="s">
        <v>1428</v>
      </c>
      <c r="AI1279" t="s">
        <v>90</v>
      </c>
      <c r="AJ1279">
        <v>32.336694999999999</v>
      </c>
      <c r="AK1279">
        <v>-110.720771</v>
      </c>
      <c r="AL1279">
        <v>3</v>
      </c>
      <c r="AN1279">
        <v>1476</v>
      </c>
      <c r="AP1279">
        <v>1476</v>
      </c>
      <c r="AQ1279">
        <v>1476.06369</v>
      </c>
      <c r="AT1279">
        <v>5</v>
      </c>
      <c r="AU1279">
        <v>12</v>
      </c>
      <c r="AV1279">
        <v>2021</v>
      </c>
      <c r="AW1279">
        <v>2438156</v>
      </c>
      <c r="AX1279">
        <v>2438156</v>
      </c>
      <c r="AY1279" t="s">
        <v>106</v>
      </c>
      <c r="AZ1279" t="s">
        <v>92</v>
      </c>
      <c r="BA1279" t="s">
        <v>107</v>
      </c>
      <c r="BB1279" t="s">
        <v>4979</v>
      </c>
      <c r="BC1279" t="s">
        <v>1186</v>
      </c>
      <c r="BE1279" t="s">
        <v>96</v>
      </c>
      <c r="BG1279" t="s">
        <v>4507</v>
      </c>
      <c r="BI1279" t="s">
        <v>98</v>
      </c>
      <c r="BJ1279" t="s">
        <v>692</v>
      </c>
      <c r="BL1279" t="s">
        <v>110</v>
      </c>
    </row>
    <row r="1280" spans="1:64" hidden="1" x14ac:dyDescent="0.2">
      <c r="A1280">
        <v>916</v>
      </c>
      <c r="B1280">
        <v>4070420304</v>
      </c>
      <c r="C1280" t="s">
        <v>101</v>
      </c>
      <c r="D1280" t="s">
        <v>4980</v>
      </c>
      <c r="E1280" t="s">
        <v>65</v>
      </c>
      <c r="F1280" t="s">
        <v>66</v>
      </c>
      <c r="G1280" t="s">
        <v>67</v>
      </c>
      <c r="H1280" t="s">
        <v>68</v>
      </c>
      <c r="I1280" t="s">
        <v>176</v>
      </c>
      <c r="J1280" t="s">
        <v>1251</v>
      </c>
      <c r="K1280" t="s">
        <v>1252</v>
      </c>
      <c r="M1280" t="s">
        <v>72</v>
      </c>
      <c r="N1280" t="s">
        <v>1253</v>
      </c>
      <c r="O1280" t="s">
        <v>1252</v>
      </c>
      <c r="P1280" t="s">
        <v>1254</v>
      </c>
      <c r="Q1280" t="s">
        <v>75</v>
      </c>
      <c r="R1280" t="s">
        <v>4501</v>
      </c>
      <c r="S1280" t="s">
        <v>4957</v>
      </c>
      <c r="T1280" t="s">
        <v>78</v>
      </c>
      <c r="U1280" t="s">
        <v>3817</v>
      </c>
      <c r="V1280" t="s">
        <v>80</v>
      </c>
      <c r="W1280" s="1">
        <v>44535</v>
      </c>
      <c r="X1280" t="s">
        <v>4502</v>
      </c>
      <c r="Y1280" t="s">
        <v>4958</v>
      </c>
      <c r="Z1280" t="s">
        <v>83</v>
      </c>
      <c r="AA1280">
        <v>1</v>
      </c>
      <c r="AB1280" t="s">
        <v>133</v>
      </c>
      <c r="AD1280" t="s">
        <v>134</v>
      </c>
      <c r="AE1280" t="s">
        <v>145</v>
      </c>
      <c r="AF1280" t="s">
        <v>146</v>
      </c>
      <c r="AG1280" t="s">
        <v>1428</v>
      </c>
      <c r="AI1280" t="s">
        <v>90</v>
      </c>
      <c r="AJ1280">
        <v>32.336694999999999</v>
      </c>
      <c r="AK1280">
        <v>-110.720771</v>
      </c>
      <c r="AL1280">
        <v>3</v>
      </c>
      <c r="AN1280">
        <v>1476</v>
      </c>
      <c r="AP1280">
        <v>1476</v>
      </c>
      <c r="AQ1280">
        <v>1476.06369</v>
      </c>
      <c r="AT1280">
        <v>5</v>
      </c>
      <c r="AU1280">
        <v>12</v>
      </c>
      <c r="AV1280">
        <v>2021</v>
      </c>
      <c r="AW1280">
        <v>2438156</v>
      </c>
      <c r="AX1280">
        <v>2438156</v>
      </c>
      <c r="AY1280" t="s">
        <v>106</v>
      </c>
      <c r="AZ1280" t="s">
        <v>92</v>
      </c>
      <c r="BA1280" t="s">
        <v>107</v>
      </c>
      <c r="BB1280" t="s">
        <v>4981</v>
      </c>
      <c r="BC1280" t="s">
        <v>1186</v>
      </c>
      <c r="BE1280" t="s">
        <v>96</v>
      </c>
      <c r="BG1280" t="s">
        <v>4507</v>
      </c>
      <c r="BI1280" t="s">
        <v>98</v>
      </c>
      <c r="BJ1280" t="s">
        <v>1477</v>
      </c>
      <c r="BL1280" t="s">
        <v>110</v>
      </c>
    </row>
    <row r="1281" spans="1:64" hidden="1" x14ac:dyDescent="0.2">
      <c r="A1281">
        <v>1401</v>
      </c>
      <c r="B1281">
        <v>4022923312</v>
      </c>
      <c r="C1281" t="s">
        <v>101</v>
      </c>
      <c r="D1281" t="s">
        <v>4989</v>
      </c>
      <c r="E1281" t="s">
        <v>65</v>
      </c>
      <c r="F1281" t="s">
        <v>66</v>
      </c>
      <c r="G1281" t="s">
        <v>67</v>
      </c>
      <c r="H1281" t="s">
        <v>68</v>
      </c>
      <c r="I1281" t="s">
        <v>69</v>
      </c>
      <c r="J1281" t="s">
        <v>70</v>
      </c>
      <c r="K1281" t="s">
        <v>4195</v>
      </c>
      <c r="M1281" t="s">
        <v>72</v>
      </c>
      <c r="N1281" t="s">
        <v>4196</v>
      </c>
      <c r="O1281" t="s">
        <v>4195</v>
      </c>
      <c r="P1281" t="s">
        <v>4197</v>
      </c>
      <c r="Q1281" t="s">
        <v>75</v>
      </c>
      <c r="R1281" t="s">
        <v>4501</v>
      </c>
      <c r="S1281" t="s">
        <v>4983</v>
      </c>
      <c r="T1281" t="s">
        <v>78</v>
      </c>
      <c r="U1281" t="s">
        <v>3817</v>
      </c>
      <c r="V1281" t="s">
        <v>80</v>
      </c>
      <c r="W1281" s="1">
        <v>44535</v>
      </c>
      <c r="X1281" t="s">
        <v>4502</v>
      </c>
      <c r="Y1281" t="s">
        <v>4984</v>
      </c>
      <c r="Z1281" t="s">
        <v>83</v>
      </c>
      <c r="AA1281">
        <v>1</v>
      </c>
      <c r="AB1281" t="s">
        <v>4517</v>
      </c>
      <c r="AD1281" t="s">
        <v>139</v>
      </c>
      <c r="AE1281" t="s">
        <v>145</v>
      </c>
      <c r="AF1281" t="s">
        <v>281</v>
      </c>
      <c r="AG1281" t="s">
        <v>4990</v>
      </c>
      <c r="AI1281" t="s">
        <v>90</v>
      </c>
      <c r="AJ1281">
        <v>32.337409999999998</v>
      </c>
      <c r="AK1281">
        <v>-110.71979399999999</v>
      </c>
      <c r="AL1281">
        <v>3</v>
      </c>
      <c r="AN1281">
        <v>1468</v>
      </c>
      <c r="AP1281">
        <v>1468</v>
      </c>
      <c r="AQ1281">
        <v>1479.931756</v>
      </c>
      <c r="AT1281">
        <v>5</v>
      </c>
      <c r="AU1281">
        <v>12</v>
      </c>
      <c r="AV1281">
        <v>2021</v>
      </c>
      <c r="AW1281">
        <v>2439589</v>
      </c>
      <c r="AX1281">
        <v>2439589</v>
      </c>
      <c r="AY1281" t="s">
        <v>106</v>
      </c>
      <c r="AZ1281" t="s">
        <v>92</v>
      </c>
      <c r="BA1281" t="s">
        <v>107</v>
      </c>
      <c r="BB1281" t="s">
        <v>4991</v>
      </c>
      <c r="BC1281" t="s">
        <v>1186</v>
      </c>
      <c r="BE1281" t="s">
        <v>96</v>
      </c>
      <c r="BG1281" t="s">
        <v>4507</v>
      </c>
      <c r="BI1281" t="s">
        <v>98</v>
      </c>
      <c r="BJ1281" t="s">
        <v>4943</v>
      </c>
      <c r="BL1281" t="s">
        <v>412</v>
      </c>
    </row>
    <row r="1282" spans="1:64" hidden="1" x14ac:dyDescent="0.2">
      <c r="A1282">
        <v>1403</v>
      </c>
      <c r="B1282">
        <v>4022923310</v>
      </c>
      <c r="C1282" t="s">
        <v>101</v>
      </c>
      <c r="D1282" t="s">
        <v>4992</v>
      </c>
      <c r="E1282" t="s">
        <v>65</v>
      </c>
      <c r="F1282" t="s">
        <v>66</v>
      </c>
      <c r="G1282" t="s">
        <v>67</v>
      </c>
      <c r="H1282" t="s">
        <v>68</v>
      </c>
      <c r="I1282" t="s">
        <v>69</v>
      </c>
      <c r="J1282" t="s">
        <v>70</v>
      </c>
      <c r="K1282" t="s">
        <v>4195</v>
      </c>
      <c r="M1282" t="s">
        <v>72</v>
      </c>
      <c r="N1282" t="s">
        <v>4196</v>
      </c>
      <c r="O1282" t="s">
        <v>4195</v>
      </c>
      <c r="P1282" t="s">
        <v>4197</v>
      </c>
      <c r="Q1282" t="s">
        <v>75</v>
      </c>
      <c r="R1282" t="s">
        <v>4501</v>
      </c>
      <c r="S1282" t="s">
        <v>4983</v>
      </c>
      <c r="T1282" t="s">
        <v>78</v>
      </c>
      <c r="U1282" t="s">
        <v>3817</v>
      </c>
      <c r="V1282" t="s">
        <v>80</v>
      </c>
      <c r="W1282" s="1">
        <v>44535</v>
      </c>
      <c r="X1282" t="s">
        <v>4502</v>
      </c>
      <c r="Y1282" t="s">
        <v>4984</v>
      </c>
      <c r="Z1282" t="s">
        <v>83</v>
      </c>
      <c r="AA1282">
        <v>1</v>
      </c>
      <c r="AB1282" t="s">
        <v>672</v>
      </c>
      <c r="AD1282" t="s">
        <v>134</v>
      </c>
      <c r="AE1282" t="s">
        <v>145</v>
      </c>
      <c r="AF1282" t="s">
        <v>281</v>
      </c>
      <c r="AG1282" t="s">
        <v>4990</v>
      </c>
      <c r="AI1282" t="s">
        <v>90</v>
      </c>
      <c r="AJ1282">
        <v>32.337409999999998</v>
      </c>
      <c r="AK1282">
        <v>-110.71979399999999</v>
      </c>
      <c r="AL1282">
        <v>3</v>
      </c>
      <c r="AN1282">
        <v>1468</v>
      </c>
      <c r="AP1282">
        <v>1468</v>
      </c>
      <c r="AQ1282">
        <v>1479.931756</v>
      </c>
      <c r="AT1282">
        <v>5</v>
      </c>
      <c r="AU1282">
        <v>12</v>
      </c>
      <c r="AV1282">
        <v>2021</v>
      </c>
      <c r="AW1282">
        <v>2439589</v>
      </c>
      <c r="AX1282">
        <v>2439589</v>
      </c>
      <c r="AY1282" t="s">
        <v>106</v>
      </c>
      <c r="AZ1282" t="s">
        <v>92</v>
      </c>
      <c r="BA1282" t="s">
        <v>107</v>
      </c>
      <c r="BB1282" t="s">
        <v>4993</v>
      </c>
      <c r="BC1282" t="s">
        <v>1186</v>
      </c>
      <c r="BE1282" t="s">
        <v>96</v>
      </c>
      <c r="BG1282" t="s">
        <v>4507</v>
      </c>
      <c r="BI1282" t="s">
        <v>98</v>
      </c>
      <c r="BJ1282" t="s">
        <v>3891</v>
      </c>
      <c r="BL1282" t="s">
        <v>412</v>
      </c>
    </row>
    <row r="1283" spans="1:64" hidden="1" x14ac:dyDescent="0.2">
      <c r="A1283">
        <v>1269</v>
      </c>
      <c r="B1283">
        <v>4022923444</v>
      </c>
      <c r="C1283" t="s">
        <v>101</v>
      </c>
      <c r="D1283" t="s">
        <v>4994</v>
      </c>
      <c r="E1283" t="s">
        <v>65</v>
      </c>
      <c r="F1283" t="s">
        <v>66</v>
      </c>
      <c r="G1283" t="s">
        <v>67</v>
      </c>
      <c r="H1283" t="s">
        <v>68</v>
      </c>
      <c r="I1283" t="s">
        <v>69</v>
      </c>
      <c r="J1283" t="s">
        <v>70</v>
      </c>
      <c r="K1283" t="s">
        <v>4195</v>
      </c>
      <c r="M1283" t="s">
        <v>72</v>
      </c>
      <c r="N1283" t="s">
        <v>4196</v>
      </c>
      <c r="O1283" t="s">
        <v>4195</v>
      </c>
      <c r="P1283" t="s">
        <v>4197</v>
      </c>
      <c r="Q1283" t="s">
        <v>75</v>
      </c>
      <c r="R1283" t="s">
        <v>4501</v>
      </c>
      <c r="S1283" t="s">
        <v>4983</v>
      </c>
      <c r="T1283" t="s">
        <v>78</v>
      </c>
      <c r="U1283" t="s">
        <v>3817</v>
      </c>
      <c r="V1283" t="s">
        <v>80</v>
      </c>
      <c r="W1283" s="1">
        <v>44535</v>
      </c>
      <c r="X1283" t="s">
        <v>4502</v>
      </c>
      <c r="Y1283" t="s">
        <v>4984</v>
      </c>
      <c r="Z1283" t="s">
        <v>83</v>
      </c>
      <c r="AA1283">
        <v>1</v>
      </c>
      <c r="AB1283" t="s">
        <v>4517</v>
      </c>
      <c r="AD1283" t="s">
        <v>123</v>
      </c>
      <c r="AE1283" t="s">
        <v>145</v>
      </c>
      <c r="AF1283" t="s">
        <v>281</v>
      </c>
      <c r="AG1283" t="s">
        <v>4990</v>
      </c>
      <c r="AI1283" t="s">
        <v>90</v>
      </c>
      <c r="AJ1283">
        <v>32.337409999999998</v>
      </c>
      <c r="AK1283">
        <v>-110.71979399999999</v>
      </c>
      <c r="AL1283">
        <v>3</v>
      </c>
      <c r="AN1283">
        <v>1468</v>
      </c>
      <c r="AP1283">
        <v>1468</v>
      </c>
      <c r="AQ1283">
        <v>1479.931756</v>
      </c>
      <c r="AT1283">
        <v>5</v>
      </c>
      <c r="AU1283">
        <v>12</v>
      </c>
      <c r="AV1283">
        <v>2021</v>
      </c>
      <c r="AW1283">
        <v>2439589</v>
      </c>
      <c r="AX1283">
        <v>2439589</v>
      </c>
      <c r="AY1283" t="s">
        <v>106</v>
      </c>
      <c r="AZ1283" t="s">
        <v>92</v>
      </c>
      <c r="BA1283" t="s">
        <v>107</v>
      </c>
      <c r="BB1283" t="s">
        <v>4995</v>
      </c>
      <c r="BC1283" t="s">
        <v>1186</v>
      </c>
      <c r="BE1283" t="s">
        <v>96</v>
      </c>
      <c r="BG1283" t="s">
        <v>4507</v>
      </c>
      <c r="BI1283" t="s">
        <v>98</v>
      </c>
      <c r="BJ1283" t="s">
        <v>1986</v>
      </c>
      <c r="BL1283" t="s">
        <v>412</v>
      </c>
    </row>
    <row r="1284" spans="1:64" hidden="1" x14ac:dyDescent="0.2">
      <c r="A1284">
        <v>1268</v>
      </c>
      <c r="B1284">
        <v>4022923445</v>
      </c>
      <c r="C1284" t="s">
        <v>101</v>
      </c>
      <c r="D1284" t="s">
        <v>4996</v>
      </c>
      <c r="E1284" t="s">
        <v>65</v>
      </c>
      <c r="F1284" t="s">
        <v>66</v>
      </c>
      <c r="G1284" t="s">
        <v>67</v>
      </c>
      <c r="H1284" t="s">
        <v>68</v>
      </c>
      <c r="I1284" t="s">
        <v>69</v>
      </c>
      <c r="J1284" t="s">
        <v>70</v>
      </c>
      <c r="K1284" t="s">
        <v>4195</v>
      </c>
      <c r="M1284" t="s">
        <v>72</v>
      </c>
      <c r="N1284" t="s">
        <v>4196</v>
      </c>
      <c r="O1284" t="s">
        <v>4195</v>
      </c>
      <c r="P1284" t="s">
        <v>4197</v>
      </c>
      <c r="Q1284" t="s">
        <v>75</v>
      </c>
      <c r="R1284" t="s">
        <v>4501</v>
      </c>
      <c r="S1284" t="s">
        <v>4983</v>
      </c>
      <c r="T1284" t="s">
        <v>78</v>
      </c>
      <c r="U1284" t="s">
        <v>3817</v>
      </c>
      <c r="V1284" t="s">
        <v>80</v>
      </c>
      <c r="W1284" s="1">
        <v>44535</v>
      </c>
      <c r="X1284" t="s">
        <v>4502</v>
      </c>
      <c r="Y1284" t="s">
        <v>4984</v>
      </c>
      <c r="Z1284" t="s">
        <v>83</v>
      </c>
      <c r="AA1284">
        <v>1</v>
      </c>
      <c r="AB1284" t="s">
        <v>4517</v>
      </c>
      <c r="AD1284" t="s">
        <v>112</v>
      </c>
      <c r="AE1284" t="s">
        <v>145</v>
      </c>
      <c r="AF1284" t="s">
        <v>281</v>
      </c>
      <c r="AG1284" t="s">
        <v>4990</v>
      </c>
      <c r="AI1284" t="s">
        <v>90</v>
      </c>
      <c r="AJ1284">
        <v>32.337409999999998</v>
      </c>
      <c r="AK1284">
        <v>-110.71979399999999</v>
      </c>
      <c r="AL1284">
        <v>3</v>
      </c>
      <c r="AN1284">
        <v>1468</v>
      </c>
      <c r="AP1284">
        <v>1468</v>
      </c>
      <c r="AQ1284">
        <v>1479.931756</v>
      </c>
      <c r="AT1284">
        <v>5</v>
      </c>
      <c r="AU1284">
        <v>12</v>
      </c>
      <c r="AV1284">
        <v>2021</v>
      </c>
      <c r="AW1284">
        <v>2439589</v>
      </c>
      <c r="AX1284">
        <v>2439589</v>
      </c>
      <c r="AY1284" t="s">
        <v>106</v>
      </c>
      <c r="AZ1284" t="s">
        <v>92</v>
      </c>
      <c r="BA1284" t="s">
        <v>107</v>
      </c>
      <c r="BB1284" t="s">
        <v>4997</v>
      </c>
      <c r="BC1284" t="s">
        <v>1186</v>
      </c>
      <c r="BE1284" t="s">
        <v>96</v>
      </c>
      <c r="BG1284" t="s">
        <v>4507</v>
      </c>
      <c r="BI1284" t="s">
        <v>98</v>
      </c>
      <c r="BJ1284" t="s">
        <v>1895</v>
      </c>
      <c r="BL1284" t="s">
        <v>412</v>
      </c>
    </row>
    <row r="1285" spans="1:64" hidden="1" x14ac:dyDescent="0.2">
      <c r="A1285">
        <v>1267</v>
      </c>
      <c r="B1285">
        <v>4022923446</v>
      </c>
      <c r="C1285" t="s">
        <v>101</v>
      </c>
      <c r="D1285" t="s">
        <v>4998</v>
      </c>
      <c r="E1285" t="s">
        <v>65</v>
      </c>
      <c r="F1285" t="s">
        <v>66</v>
      </c>
      <c r="G1285" t="s">
        <v>67</v>
      </c>
      <c r="H1285" t="s">
        <v>68</v>
      </c>
      <c r="I1285" t="s">
        <v>69</v>
      </c>
      <c r="J1285" t="s">
        <v>70</v>
      </c>
      <c r="K1285" t="s">
        <v>4195</v>
      </c>
      <c r="M1285" t="s">
        <v>72</v>
      </c>
      <c r="N1285" t="s">
        <v>4196</v>
      </c>
      <c r="O1285" t="s">
        <v>4195</v>
      </c>
      <c r="P1285" t="s">
        <v>4197</v>
      </c>
      <c r="Q1285" t="s">
        <v>75</v>
      </c>
      <c r="R1285" t="s">
        <v>4501</v>
      </c>
      <c r="S1285" t="s">
        <v>4983</v>
      </c>
      <c r="T1285" t="s">
        <v>78</v>
      </c>
      <c r="U1285" t="s">
        <v>3817</v>
      </c>
      <c r="V1285" t="s">
        <v>80</v>
      </c>
      <c r="W1285" s="1">
        <v>44535</v>
      </c>
      <c r="X1285" t="s">
        <v>4502</v>
      </c>
      <c r="Y1285" t="s">
        <v>4984</v>
      </c>
      <c r="Z1285" t="s">
        <v>83</v>
      </c>
      <c r="AA1285">
        <v>1</v>
      </c>
      <c r="AB1285" t="s">
        <v>4517</v>
      </c>
      <c r="AD1285" t="s">
        <v>116</v>
      </c>
      <c r="AE1285" t="s">
        <v>145</v>
      </c>
      <c r="AF1285" t="s">
        <v>281</v>
      </c>
      <c r="AG1285" t="s">
        <v>4990</v>
      </c>
      <c r="AI1285" t="s">
        <v>90</v>
      </c>
      <c r="AJ1285">
        <v>32.337409999999998</v>
      </c>
      <c r="AK1285">
        <v>-110.71979399999999</v>
      </c>
      <c r="AL1285">
        <v>3</v>
      </c>
      <c r="AN1285">
        <v>1468</v>
      </c>
      <c r="AP1285">
        <v>1468</v>
      </c>
      <c r="AQ1285">
        <v>1479.931756</v>
      </c>
      <c r="AT1285">
        <v>5</v>
      </c>
      <c r="AU1285">
        <v>12</v>
      </c>
      <c r="AV1285">
        <v>2021</v>
      </c>
      <c r="AW1285">
        <v>2439589</v>
      </c>
      <c r="AX1285">
        <v>2439589</v>
      </c>
      <c r="AY1285" t="s">
        <v>106</v>
      </c>
      <c r="AZ1285" t="s">
        <v>92</v>
      </c>
      <c r="BA1285" t="s">
        <v>107</v>
      </c>
      <c r="BB1285" t="s">
        <v>4999</v>
      </c>
      <c r="BC1285" t="s">
        <v>1186</v>
      </c>
      <c r="BE1285" t="s">
        <v>96</v>
      </c>
      <c r="BG1285" t="s">
        <v>4507</v>
      </c>
      <c r="BI1285" t="s">
        <v>98</v>
      </c>
      <c r="BJ1285" t="s">
        <v>5000</v>
      </c>
      <c r="BL1285" t="s">
        <v>412</v>
      </c>
    </row>
    <row r="1286" spans="1:64" hidden="1" x14ac:dyDescent="0.2">
      <c r="A1286">
        <v>1266</v>
      </c>
      <c r="B1286">
        <v>4022923447</v>
      </c>
      <c r="C1286" t="s">
        <v>101</v>
      </c>
      <c r="D1286" t="s">
        <v>5001</v>
      </c>
      <c r="E1286" t="s">
        <v>65</v>
      </c>
      <c r="F1286" t="s">
        <v>66</v>
      </c>
      <c r="G1286" t="s">
        <v>67</v>
      </c>
      <c r="H1286" t="s">
        <v>68</v>
      </c>
      <c r="I1286" t="s">
        <v>69</v>
      </c>
      <c r="J1286" t="s">
        <v>70</v>
      </c>
      <c r="K1286" t="s">
        <v>4195</v>
      </c>
      <c r="M1286" t="s">
        <v>72</v>
      </c>
      <c r="N1286" t="s">
        <v>4196</v>
      </c>
      <c r="O1286" t="s">
        <v>4195</v>
      </c>
      <c r="P1286" t="s">
        <v>4197</v>
      </c>
      <c r="Q1286" t="s">
        <v>75</v>
      </c>
      <c r="R1286" t="s">
        <v>4501</v>
      </c>
      <c r="S1286" t="s">
        <v>4983</v>
      </c>
      <c r="T1286" t="s">
        <v>78</v>
      </c>
      <c r="U1286" t="s">
        <v>3817</v>
      </c>
      <c r="V1286" t="s">
        <v>80</v>
      </c>
      <c r="W1286" s="1">
        <v>44535</v>
      </c>
      <c r="X1286" t="s">
        <v>4502</v>
      </c>
      <c r="Y1286" t="s">
        <v>4984</v>
      </c>
      <c r="Z1286" t="s">
        <v>83</v>
      </c>
      <c r="AA1286">
        <v>1</v>
      </c>
      <c r="AB1286" t="s">
        <v>4517</v>
      </c>
      <c r="AD1286" t="s">
        <v>104</v>
      </c>
      <c r="AE1286" t="s">
        <v>145</v>
      </c>
      <c r="AF1286" t="s">
        <v>281</v>
      </c>
      <c r="AG1286" t="s">
        <v>4990</v>
      </c>
      <c r="AI1286" t="s">
        <v>90</v>
      </c>
      <c r="AJ1286">
        <v>32.337409999999998</v>
      </c>
      <c r="AK1286">
        <v>-110.71979399999999</v>
      </c>
      <c r="AL1286">
        <v>3</v>
      </c>
      <c r="AN1286">
        <v>1468</v>
      </c>
      <c r="AP1286">
        <v>1468</v>
      </c>
      <c r="AQ1286">
        <v>1479.931756</v>
      </c>
      <c r="AT1286">
        <v>5</v>
      </c>
      <c r="AU1286">
        <v>12</v>
      </c>
      <c r="AV1286">
        <v>2021</v>
      </c>
      <c r="AW1286">
        <v>2439589</v>
      </c>
      <c r="AX1286">
        <v>2439589</v>
      </c>
      <c r="AY1286" t="s">
        <v>106</v>
      </c>
      <c r="AZ1286" t="s">
        <v>92</v>
      </c>
      <c r="BA1286" t="s">
        <v>107</v>
      </c>
      <c r="BB1286" t="s">
        <v>5002</v>
      </c>
      <c r="BC1286" t="s">
        <v>1186</v>
      </c>
      <c r="BE1286" t="s">
        <v>96</v>
      </c>
      <c r="BG1286" t="s">
        <v>4507</v>
      </c>
      <c r="BI1286" t="s">
        <v>98</v>
      </c>
      <c r="BJ1286" t="s">
        <v>1895</v>
      </c>
      <c r="BL1286" t="s">
        <v>412</v>
      </c>
    </row>
    <row r="1287" spans="1:64" x14ac:dyDescent="0.2">
      <c r="A1287">
        <v>1615</v>
      </c>
      <c r="B1287">
        <v>3744741518</v>
      </c>
      <c r="C1287" t="s">
        <v>101</v>
      </c>
      <c r="D1287" t="s">
        <v>118</v>
      </c>
      <c r="E1287" t="s">
        <v>65</v>
      </c>
      <c r="F1287" t="s">
        <v>66</v>
      </c>
      <c r="G1287" t="s">
        <v>67</v>
      </c>
      <c r="H1287" t="s">
        <v>68</v>
      </c>
      <c r="I1287" t="s">
        <v>69</v>
      </c>
      <c r="J1287" t="s">
        <v>70</v>
      </c>
      <c r="K1287" t="s">
        <v>71</v>
      </c>
      <c r="M1287" t="s">
        <v>72</v>
      </c>
      <c r="N1287" t="s">
        <v>73</v>
      </c>
      <c r="O1287" t="s">
        <v>71</v>
      </c>
      <c r="P1287" t="s">
        <v>74</v>
      </c>
      <c r="Q1287" t="s">
        <v>75</v>
      </c>
      <c r="R1287" t="s">
        <v>76</v>
      </c>
      <c r="S1287" t="s">
        <v>77</v>
      </c>
      <c r="T1287" t="s">
        <v>78</v>
      </c>
      <c r="U1287" t="s">
        <v>79</v>
      </c>
      <c r="V1287" t="s">
        <v>80</v>
      </c>
      <c r="W1287" s="1">
        <v>44520</v>
      </c>
      <c r="X1287" t="s">
        <v>81</v>
      </c>
      <c r="Y1287" t="s">
        <v>82</v>
      </c>
      <c r="Z1287" t="s">
        <v>83</v>
      </c>
      <c r="AA1287">
        <v>1</v>
      </c>
      <c r="AB1287" t="s">
        <v>103</v>
      </c>
      <c r="AC1287">
        <v>1</v>
      </c>
      <c r="AD1287" t="s">
        <v>119</v>
      </c>
      <c r="AE1287" t="s">
        <v>86</v>
      </c>
      <c r="AF1287" t="s">
        <v>87</v>
      </c>
      <c r="AG1287" t="s">
        <v>88</v>
      </c>
      <c r="AH1287" t="s">
        <v>105</v>
      </c>
      <c r="AI1287" t="s">
        <v>90</v>
      </c>
      <c r="AJ1287">
        <v>32.500143999999999</v>
      </c>
      <c r="AK1287">
        <v>-110.68186300000001</v>
      </c>
      <c r="AL1287">
        <v>3</v>
      </c>
      <c r="AN1287">
        <v>1322</v>
      </c>
      <c r="AP1287">
        <v>1322</v>
      </c>
      <c r="AQ1287">
        <v>1322.4087910000001</v>
      </c>
      <c r="AT1287">
        <v>20</v>
      </c>
      <c r="AU1287">
        <v>11</v>
      </c>
      <c r="AV1287">
        <v>2021</v>
      </c>
      <c r="AW1287">
        <v>2439581</v>
      </c>
      <c r="AX1287">
        <v>2439581</v>
      </c>
      <c r="AY1287" t="s">
        <v>106</v>
      </c>
      <c r="AZ1287" t="s">
        <v>92</v>
      </c>
      <c r="BA1287" t="s">
        <v>107</v>
      </c>
      <c r="BB1287" t="s">
        <v>120</v>
      </c>
      <c r="BC1287" t="s">
        <v>95</v>
      </c>
      <c r="BD1287" s="1">
        <v>45126</v>
      </c>
      <c r="BE1287" t="s">
        <v>96</v>
      </c>
      <c r="BG1287" t="s">
        <v>97</v>
      </c>
      <c r="BI1287" t="s">
        <v>98</v>
      </c>
      <c r="BJ1287" t="s">
        <v>121</v>
      </c>
      <c r="BL1287" t="s">
        <v>110</v>
      </c>
    </row>
    <row r="1288" spans="1:64" x14ac:dyDescent="0.2">
      <c r="A1288">
        <v>1623</v>
      </c>
      <c r="B1288">
        <v>3744741510</v>
      </c>
      <c r="C1288" t="s">
        <v>101</v>
      </c>
      <c r="D1288" t="s">
        <v>159</v>
      </c>
      <c r="E1288" t="s">
        <v>65</v>
      </c>
      <c r="F1288" t="s">
        <v>66</v>
      </c>
      <c r="G1288" t="s">
        <v>67</v>
      </c>
      <c r="H1288" t="s">
        <v>68</v>
      </c>
      <c r="I1288" t="s">
        <v>69</v>
      </c>
      <c r="J1288" t="s">
        <v>70</v>
      </c>
      <c r="K1288" t="s">
        <v>71</v>
      </c>
      <c r="M1288" t="s">
        <v>72</v>
      </c>
      <c r="N1288" t="s">
        <v>73</v>
      </c>
      <c r="O1288" t="s">
        <v>71</v>
      </c>
      <c r="P1288" t="s">
        <v>74</v>
      </c>
      <c r="Q1288" t="s">
        <v>75</v>
      </c>
      <c r="R1288" t="s">
        <v>76</v>
      </c>
      <c r="S1288" t="s">
        <v>142</v>
      </c>
      <c r="T1288" t="s">
        <v>78</v>
      </c>
      <c r="U1288" t="s">
        <v>79</v>
      </c>
      <c r="V1288" t="s">
        <v>80</v>
      </c>
      <c r="W1288" s="1">
        <v>44520</v>
      </c>
      <c r="X1288" t="s">
        <v>81</v>
      </c>
      <c r="Y1288" t="s">
        <v>143</v>
      </c>
      <c r="Z1288" t="s">
        <v>83</v>
      </c>
      <c r="AA1288">
        <v>1</v>
      </c>
      <c r="AB1288" t="s">
        <v>103</v>
      </c>
      <c r="AC1288">
        <v>1</v>
      </c>
      <c r="AD1288" t="s">
        <v>119</v>
      </c>
      <c r="AE1288" t="s">
        <v>145</v>
      </c>
      <c r="AF1288" t="s">
        <v>146</v>
      </c>
      <c r="AG1288" t="s">
        <v>152</v>
      </c>
      <c r="AH1288" t="s">
        <v>153</v>
      </c>
      <c r="AI1288" t="s">
        <v>90</v>
      </c>
      <c r="AJ1288">
        <v>32.499198</v>
      </c>
      <c r="AK1288">
        <v>-110.681755</v>
      </c>
      <c r="AL1288">
        <v>3</v>
      </c>
      <c r="AN1288">
        <v>1318</v>
      </c>
      <c r="AP1288">
        <v>1318</v>
      </c>
      <c r="AQ1288">
        <v>1314.712929</v>
      </c>
      <c r="AT1288">
        <v>20</v>
      </c>
      <c r="AU1288">
        <v>11</v>
      </c>
      <c r="AV1288">
        <v>2021</v>
      </c>
      <c r="AW1288">
        <v>2439581</v>
      </c>
      <c r="AX1288">
        <v>2439581</v>
      </c>
      <c r="AY1288" t="s">
        <v>106</v>
      </c>
      <c r="AZ1288" t="s">
        <v>92</v>
      </c>
      <c r="BA1288" t="s">
        <v>107</v>
      </c>
      <c r="BB1288" t="s">
        <v>160</v>
      </c>
      <c r="BC1288" t="s">
        <v>97</v>
      </c>
      <c r="BE1288" t="s">
        <v>96</v>
      </c>
      <c r="BG1288" t="s">
        <v>97</v>
      </c>
      <c r="BI1288" t="s">
        <v>98</v>
      </c>
      <c r="BJ1288" t="s">
        <v>161</v>
      </c>
      <c r="BL1288" t="s">
        <v>110</v>
      </c>
    </row>
    <row r="1289" spans="1:64" x14ac:dyDescent="0.2">
      <c r="A1289">
        <v>1635</v>
      </c>
      <c r="B1289">
        <v>3744741498</v>
      </c>
      <c r="C1289" t="s">
        <v>101</v>
      </c>
      <c r="D1289" t="s">
        <v>199</v>
      </c>
      <c r="E1289" t="s">
        <v>65</v>
      </c>
      <c r="F1289" t="s">
        <v>66</v>
      </c>
      <c r="G1289" t="s">
        <v>67</v>
      </c>
      <c r="H1289" t="s">
        <v>68</v>
      </c>
      <c r="I1289" t="s">
        <v>176</v>
      </c>
      <c r="J1289" t="s">
        <v>177</v>
      </c>
      <c r="K1289" t="s">
        <v>178</v>
      </c>
      <c r="M1289" t="s">
        <v>72</v>
      </c>
      <c r="N1289" t="s">
        <v>179</v>
      </c>
      <c r="O1289" t="s">
        <v>178</v>
      </c>
      <c r="P1289" t="s">
        <v>180</v>
      </c>
      <c r="Q1289" t="s">
        <v>75</v>
      </c>
      <c r="R1289" t="s">
        <v>76</v>
      </c>
      <c r="S1289" t="s">
        <v>181</v>
      </c>
      <c r="T1289" t="s">
        <v>78</v>
      </c>
      <c r="U1289" t="s">
        <v>79</v>
      </c>
      <c r="V1289" t="s">
        <v>80</v>
      </c>
      <c r="W1289" s="1">
        <v>44520</v>
      </c>
      <c r="X1289" t="s">
        <v>81</v>
      </c>
      <c r="Y1289" t="s">
        <v>182</v>
      </c>
      <c r="Z1289" t="s">
        <v>83</v>
      </c>
      <c r="AA1289">
        <v>1</v>
      </c>
      <c r="AB1289" t="s">
        <v>103</v>
      </c>
      <c r="AC1289">
        <v>1</v>
      </c>
      <c r="AD1289" t="s">
        <v>119</v>
      </c>
      <c r="AE1289" t="s">
        <v>86</v>
      </c>
      <c r="AF1289" t="s">
        <v>146</v>
      </c>
      <c r="AG1289" t="s">
        <v>184</v>
      </c>
      <c r="AH1289" t="s">
        <v>189</v>
      </c>
      <c r="AI1289" t="s">
        <v>90</v>
      </c>
      <c r="AJ1289">
        <v>32.500329000000001</v>
      </c>
      <c r="AK1289">
        <v>-110.68177799999999</v>
      </c>
      <c r="AL1289">
        <v>3</v>
      </c>
      <c r="AN1289">
        <v>1318</v>
      </c>
      <c r="AP1289">
        <v>1318</v>
      </c>
      <c r="AQ1289">
        <v>1325.0239079999999</v>
      </c>
      <c r="AT1289">
        <v>20</v>
      </c>
      <c r="AU1289">
        <v>11</v>
      </c>
      <c r="AV1289">
        <v>2021</v>
      </c>
      <c r="AW1289">
        <v>2438038</v>
      </c>
      <c r="AX1289">
        <v>2438038</v>
      </c>
      <c r="AY1289" t="s">
        <v>106</v>
      </c>
      <c r="AZ1289" t="s">
        <v>92</v>
      </c>
      <c r="BA1289" t="s">
        <v>107</v>
      </c>
      <c r="BB1289" t="s">
        <v>200</v>
      </c>
      <c r="BC1289" t="s">
        <v>97</v>
      </c>
      <c r="BE1289" t="s">
        <v>96</v>
      </c>
      <c r="BG1289" t="s">
        <v>97</v>
      </c>
      <c r="BI1289" t="s">
        <v>98</v>
      </c>
      <c r="BJ1289" t="s">
        <v>171</v>
      </c>
      <c r="BL1289" t="s">
        <v>110</v>
      </c>
    </row>
    <row r="1290" spans="1:64" x14ac:dyDescent="0.2">
      <c r="A1290">
        <v>1651</v>
      </c>
      <c r="B1290">
        <v>3744741482</v>
      </c>
      <c r="C1290" t="s">
        <v>101</v>
      </c>
      <c r="D1290" t="s">
        <v>225</v>
      </c>
      <c r="E1290" t="s">
        <v>65</v>
      </c>
      <c r="F1290" t="s">
        <v>66</v>
      </c>
      <c r="G1290" t="s">
        <v>67</v>
      </c>
      <c r="H1290" t="s">
        <v>68</v>
      </c>
      <c r="I1290" t="s">
        <v>176</v>
      </c>
      <c r="J1290" t="s">
        <v>177</v>
      </c>
      <c r="K1290" t="s">
        <v>178</v>
      </c>
      <c r="M1290" t="s">
        <v>72</v>
      </c>
      <c r="N1290" t="s">
        <v>179</v>
      </c>
      <c r="O1290" t="s">
        <v>178</v>
      </c>
      <c r="P1290" t="s">
        <v>180</v>
      </c>
      <c r="Q1290" t="s">
        <v>75</v>
      </c>
      <c r="R1290" t="s">
        <v>76</v>
      </c>
      <c r="S1290" t="s">
        <v>211</v>
      </c>
      <c r="T1290" t="s">
        <v>78</v>
      </c>
      <c r="U1290" t="s">
        <v>79</v>
      </c>
      <c r="V1290" t="s">
        <v>80</v>
      </c>
      <c r="W1290" s="1">
        <v>44520</v>
      </c>
      <c r="X1290" t="s">
        <v>81</v>
      </c>
      <c r="Y1290" t="s">
        <v>212</v>
      </c>
      <c r="Z1290" t="s">
        <v>83</v>
      </c>
      <c r="AA1290">
        <v>1</v>
      </c>
      <c r="AB1290" t="s">
        <v>103</v>
      </c>
      <c r="AC1290">
        <v>1</v>
      </c>
      <c r="AD1290" t="s">
        <v>119</v>
      </c>
      <c r="AE1290" t="s">
        <v>145</v>
      </c>
      <c r="AF1290" t="s">
        <v>146</v>
      </c>
      <c r="AG1290" t="s">
        <v>218</v>
      </c>
      <c r="AH1290" t="s">
        <v>219</v>
      </c>
      <c r="AI1290" t="s">
        <v>90</v>
      </c>
      <c r="AJ1290">
        <v>32.500371999999999</v>
      </c>
      <c r="AK1290">
        <v>-110.681731</v>
      </c>
      <c r="AL1290">
        <v>3</v>
      </c>
      <c r="AN1290">
        <v>1311</v>
      </c>
      <c r="AP1290">
        <v>1311</v>
      </c>
      <c r="AQ1290">
        <v>1326.16976</v>
      </c>
      <c r="AT1290">
        <v>20</v>
      </c>
      <c r="AU1290">
        <v>11</v>
      </c>
      <c r="AV1290">
        <v>2021</v>
      </c>
      <c r="AW1290">
        <v>2438038</v>
      </c>
      <c r="AX1290">
        <v>2438038</v>
      </c>
      <c r="AY1290" t="s">
        <v>106</v>
      </c>
      <c r="AZ1290" t="s">
        <v>92</v>
      </c>
      <c r="BA1290" t="s">
        <v>107</v>
      </c>
      <c r="BB1290" t="s">
        <v>226</v>
      </c>
      <c r="BC1290" t="s">
        <v>97</v>
      </c>
      <c r="BE1290" t="s">
        <v>96</v>
      </c>
      <c r="BG1290" t="s">
        <v>97</v>
      </c>
      <c r="BI1290" t="s">
        <v>98</v>
      </c>
      <c r="BJ1290" t="s">
        <v>227</v>
      </c>
      <c r="BL1290" t="s">
        <v>110</v>
      </c>
    </row>
    <row r="1291" spans="1:64" hidden="1" x14ac:dyDescent="0.2">
      <c r="A1291">
        <v>1203</v>
      </c>
      <c r="B1291">
        <v>4022923510</v>
      </c>
      <c r="C1291" t="s">
        <v>101</v>
      </c>
      <c r="D1291" t="s">
        <v>5020</v>
      </c>
      <c r="E1291" t="s">
        <v>65</v>
      </c>
      <c r="F1291" t="s">
        <v>66</v>
      </c>
      <c r="G1291" t="s">
        <v>67</v>
      </c>
      <c r="H1291" t="s">
        <v>68</v>
      </c>
      <c r="I1291" t="s">
        <v>176</v>
      </c>
      <c r="J1291" t="s">
        <v>177</v>
      </c>
      <c r="K1291" t="s">
        <v>3925</v>
      </c>
      <c r="M1291" t="s">
        <v>72</v>
      </c>
      <c r="N1291" t="s">
        <v>3926</v>
      </c>
      <c r="O1291" t="s">
        <v>3925</v>
      </c>
      <c r="P1291" t="s">
        <v>1176</v>
      </c>
      <c r="Q1291" t="s">
        <v>75</v>
      </c>
      <c r="R1291" t="s">
        <v>5008</v>
      </c>
      <c r="S1291" t="s">
        <v>211</v>
      </c>
      <c r="T1291" t="s">
        <v>78</v>
      </c>
      <c r="U1291" t="s">
        <v>5009</v>
      </c>
      <c r="V1291" t="s">
        <v>80</v>
      </c>
      <c r="W1291" s="1">
        <v>44534</v>
      </c>
      <c r="X1291" t="s">
        <v>5010</v>
      </c>
      <c r="Y1291" t="s">
        <v>5011</v>
      </c>
      <c r="Z1291" t="s">
        <v>83</v>
      </c>
      <c r="AA1291">
        <v>1</v>
      </c>
      <c r="AB1291" t="s">
        <v>4517</v>
      </c>
      <c r="AD1291" t="s">
        <v>112</v>
      </c>
      <c r="AE1291" t="s">
        <v>86</v>
      </c>
      <c r="AF1291" t="s">
        <v>146</v>
      </c>
      <c r="AG1291" t="s">
        <v>5013</v>
      </c>
      <c r="AI1291" t="s">
        <v>90</v>
      </c>
      <c r="AJ1291">
        <v>32.313032</v>
      </c>
      <c r="AK1291">
        <v>-110.711788</v>
      </c>
      <c r="AL1291">
        <v>3</v>
      </c>
      <c r="AN1291">
        <v>1148</v>
      </c>
      <c r="AP1291">
        <v>1148</v>
      </c>
      <c r="AQ1291">
        <v>1146.7076790000001</v>
      </c>
      <c r="AT1291">
        <v>4</v>
      </c>
      <c r="AU1291">
        <v>12</v>
      </c>
      <c r="AV1291">
        <v>2021</v>
      </c>
      <c r="AW1291">
        <v>2437981</v>
      </c>
      <c r="AX1291">
        <v>2437981</v>
      </c>
      <c r="AY1291" t="s">
        <v>106</v>
      </c>
      <c r="AZ1291" t="s">
        <v>92</v>
      </c>
      <c r="BA1291" t="s">
        <v>107</v>
      </c>
      <c r="BB1291" t="s">
        <v>5021</v>
      </c>
      <c r="BC1291" t="s">
        <v>1186</v>
      </c>
      <c r="BE1291" t="s">
        <v>96</v>
      </c>
      <c r="BG1291" t="s">
        <v>4507</v>
      </c>
      <c r="BI1291" t="s">
        <v>98</v>
      </c>
      <c r="BJ1291" t="s">
        <v>4812</v>
      </c>
      <c r="BL1291" t="s">
        <v>110</v>
      </c>
    </row>
    <row r="1292" spans="1:64" hidden="1" x14ac:dyDescent="0.2">
      <c r="A1292">
        <v>1206</v>
      </c>
      <c r="B1292">
        <v>4022923507</v>
      </c>
      <c r="C1292" t="s">
        <v>101</v>
      </c>
      <c r="D1292" t="s">
        <v>5022</v>
      </c>
      <c r="E1292" t="s">
        <v>65</v>
      </c>
      <c r="F1292" t="s">
        <v>66</v>
      </c>
      <c r="G1292" t="s">
        <v>67</v>
      </c>
      <c r="H1292" t="s">
        <v>68</v>
      </c>
      <c r="I1292" t="s">
        <v>176</v>
      </c>
      <c r="J1292" t="s">
        <v>177</v>
      </c>
      <c r="K1292" t="s">
        <v>3925</v>
      </c>
      <c r="M1292" t="s">
        <v>72</v>
      </c>
      <c r="N1292" t="s">
        <v>3926</v>
      </c>
      <c r="O1292" t="s">
        <v>3925</v>
      </c>
      <c r="P1292" t="s">
        <v>1176</v>
      </c>
      <c r="Q1292" t="s">
        <v>75</v>
      </c>
      <c r="R1292" t="s">
        <v>5008</v>
      </c>
      <c r="S1292" t="s">
        <v>211</v>
      </c>
      <c r="T1292" t="s">
        <v>78</v>
      </c>
      <c r="U1292" t="s">
        <v>5009</v>
      </c>
      <c r="V1292" t="s">
        <v>80</v>
      </c>
      <c r="W1292" s="1">
        <v>44534</v>
      </c>
      <c r="X1292" t="s">
        <v>5010</v>
      </c>
      <c r="Y1292" t="s">
        <v>5011</v>
      </c>
      <c r="Z1292" t="s">
        <v>83</v>
      </c>
      <c r="AA1292">
        <v>1</v>
      </c>
      <c r="AB1292" t="s">
        <v>4517</v>
      </c>
      <c r="AD1292" t="s">
        <v>123</v>
      </c>
      <c r="AE1292" t="s">
        <v>86</v>
      </c>
      <c r="AF1292" t="s">
        <v>146</v>
      </c>
      <c r="AG1292" t="s">
        <v>5013</v>
      </c>
      <c r="AI1292" t="s">
        <v>90</v>
      </c>
      <c r="AJ1292">
        <v>32.313032</v>
      </c>
      <c r="AK1292">
        <v>-110.711788</v>
      </c>
      <c r="AL1292">
        <v>3</v>
      </c>
      <c r="AN1292">
        <v>1148</v>
      </c>
      <c r="AP1292">
        <v>1148</v>
      </c>
      <c r="AQ1292">
        <v>1146.7076790000001</v>
      </c>
      <c r="AT1292">
        <v>4</v>
      </c>
      <c r="AU1292">
        <v>12</v>
      </c>
      <c r="AV1292">
        <v>2021</v>
      </c>
      <c r="AW1292">
        <v>2437981</v>
      </c>
      <c r="AX1292">
        <v>2437981</v>
      </c>
      <c r="AY1292" t="s">
        <v>106</v>
      </c>
      <c r="AZ1292" t="s">
        <v>92</v>
      </c>
      <c r="BA1292" t="s">
        <v>107</v>
      </c>
      <c r="BB1292" t="s">
        <v>5023</v>
      </c>
      <c r="BC1292" t="s">
        <v>1186</v>
      </c>
      <c r="BE1292" t="s">
        <v>96</v>
      </c>
      <c r="BG1292" t="s">
        <v>4507</v>
      </c>
      <c r="BI1292" t="s">
        <v>98</v>
      </c>
      <c r="BJ1292" t="s">
        <v>5024</v>
      </c>
      <c r="BL1292" t="s">
        <v>110</v>
      </c>
    </row>
    <row r="1293" spans="1:64" hidden="1" x14ac:dyDescent="0.2">
      <c r="A1293">
        <v>1207</v>
      </c>
      <c r="B1293">
        <v>4022923506</v>
      </c>
      <c r="C1293" t="s">
        <v>101</v>
      </c>
      <c r="D1293" t="s">
        <v>5025</v>
      </c>
      <c r="E1293" t="s">
        <v>65</v>
      </c>
      <c r="F1293" t="s">
        <v>66</v>
      </c>
      <c r="G1293" t="s">
        <v>67</v>
      </c>
      <c r="H1293" t="s">
        <v>68</v>
      </c>
      <c r="I1293" t="s">
        <v>176</v>
      </c>
      <c r="J1293" t="s">
        <v>177</v>
      </c>
      <c r="K1293" t="s">
        <v>3925</v>
      </c>
      <c r="M1293" t="s">
        <v>72</v>
      </c>
      <c r="N1293" t="s">
        <v>3926</v>
      </c>
      <c r="O1293" t="s">
        <v>3925</v>
      </c>
      <c r="P1293" t="s">
        <v>1176</v>
      </c>
      <c r="Q1293" t="s">
        <v>75</v>
      </c>
      <c r="R1293" t="s">
        <v>5008</v>
      </c>
      <c r="S1293" t="s">
        <v>211</v>
      </c>
      <c r="T1293" t="s">
        <v>78</v>
      </c>
      <c r="U1293" t="s">
        <v>5009</v>
      </c>
      <c r="V1293" t="s">
        <v>80</v>
      </c>
      <c r="W1293" s="1">
        <v>44534</v>
      </c>
      <c r="X1293" t="s">
        <v>5010</v>
      </c>
      <c r="Y1293" t="s">
        <v>5011</v>
      </c>
      <c r="Z1293" t="s">
        <v>83</v>
      </c>
      <c r="AA1293">
        <v>1</v>
      </c>
      <c r="AB1293" t="s">
        <v>4517</v>
      </c>
      <c r="AD1293" t="s">
        <v>139</v>
      </c>
      <c r="AE1293" t="s">
        <v>86</v>
      </c>
      <c r="AF1293" t="s">
        <v>146</v>
      </c>
      <c r="AG1293" t="s">
        <v>5013</v>
      </c>
      <c r="AI1293" t="s">
        <v>90</v>
      </c>
      <c r="AJ1293">
        <v>32.313032</v>
      </c>
      <c r="AK1293">
        <v>-110.711788</v>
      </c>
      <c r="AL1293">
        <v>3</v>
      </c>
      <c r="AN1293">
        <v>1148</v>
      </c>
      <c r="AP1293">
        <v>1148</v>
      </c>
      <c r="AQ1293">
        <v>1146.7076790000001</v>
      </c>
      <c r="AT1293">
        <v>4</v>
      </c>
      <c r="AU1293">
        <v>12</v>
      </c>
      <c r="AV1293">
        <v>2021</v>
      </c>
      <c r="AW1293">
        <v>2437981</v>
      </c>
      <c r="AX1293">
        <v>2437981</v>
      </c>
      <c r="AY1293" t="s">
        <v>106</v>
      </c>
      <c r="AZ1293" t="s">
        <v>92</v>
      </c>
      <c r="BA1293" t="s">
        <v>107</v>
      </c>
      <c r="BB1293" t="s">
        <v>5026</v>
      </c>
      <c r="BC1293" t="s">
        <v>1186</v>
      </c>
      <c r="BE1293" t="s">
        <v>96</v>
      </c>
      <c r="BG1293" t="s">
        <v>4507</v>
      </c>
      <c r="BI1293" t="s">
        <v>98</v>
      </c>
      <c r="BJ1293" t="s">
        <v>5024</v>
      </c>
      <c r="BL1293" t="s">
        <v>110</v>
      </c>
    </row>
    <row r="1294" spans="1:64" hidden="1" x14ac:dyDescent="0.2">
      <c r="A1294">
        <v>1190</v>
      </c>
      <c r="B1294">
        <v>4022923523</v>
      </c>
      <c r="C1294" t="s">
        <v>101</v>
      </c>
      <c r="D1294" t="s">
        <v>5027</v>
      </c>
      <c r="E1294" t="s">
        <v>65</v>
      </c>
      <c r="F1294" t="s">
        <v>66</v>
      </c>
      <c r="G1294" t="s">
        <v>67</v>
      </c>
      <c r="H1294" t="s">
        <v>68</v>
      </c>
      <c r="I1294" t="s">
        <v>176</v>
      </c>
      <c r="J1294" t="s">
        <v>177</v>
      </c>
      <c r="K1294" t="s">
        <v>3925</v>
      </c>
      <c r="M1294" t="s">
        <v>72</v>
      </c>
      <c r="N1294" t="s">
        <v>3926</v>
      </c>
      <c r="O1294" t="s">
        <v>3925</v>
      </c>
      <c r="P1294" t="s">
        <v>1176</v>
      </c>
      <c r="Q1294" t="s">
        <v>75</v>
      </c>
      <c r="R1294" t="s">
        <v>5008</v>
      </c>
      <c r="S1294" t="s">
        <v>211</v>
      </c>
      <c r="T1294" t="s">
        <v>78</v>
      </c>
      <c r="U1294" t="s">
        <v>5009</v>
      </c>
      <c r="V1294" t="s">
        <v>80</v>
      </c>
      <c r="W1294" s="1">
        <v>44534</v>
      </c>
      <c r="X1294" t="s">
        <v>5010</v>
      </c>
      <c r="Y1294" t="s">
        <v>5011</v>
      </c>
      <c r="Z1294" t="s">
        <v>83</v>
      </c>
      <c r="AA1294">
        <v>1</v>
      </c>
      <c r="AB1294" t="s">
        <v>4517</v>
      </c>
      <c r="AD1294" t="s">
        <v>104</v>
      </c>
      <c r="AE1294" t="s">
        <v>86</v>
      </c>
      <c r="AF1294" t="s">
        <v>146</v>
      </c>
      <c r="AG1294" t="s">
        <v>5013</v>
      </c>
      <c r="AI1294" t="s">
        <v>90</v>
      </c>
      <c r="AJ1294">
        <v>32.313032</v>
      </c>
      <c r="AK1294">
        <v>-110.711788</v>
      </c>
      <c r="AL1294">
        <v>3</v>
      </c>
      <c r="AN1294">
        <v>1148</v>
      </c>
      <c r="AP1294">
        <v>1148</v>
      </c>
      <c r="AQ1294">
        <v>1146.7076790000001</v>
      </c>
      <c r="AT1294">
        <v>4</v>
      </c>
      <c r="AU1294">
        <v>12</v>
      </c>
      <c r="AV1294">
        <v>2021</v>
      </c>
      <c r="AW1294">
        <v>2437981</v>
      </c>
      <c r="AX1294">
        <v>2437981</v>
      </c>
      <c r="AY1294" t="s">
        <v>106</v>
      </c>
      <c r="AZ1294" t="s">
        <v>92</v>
      </c>
      <c r="BA1294" t="s">
        <v>107</v>
      </c>
      <c r="BB1294" t="s">
        <v>5028</v>
      </c>
      <c r="BC1294" t="s">
        <v>1186</v>
      </c>
      <c r="BE1294" t="s">
        <v>96</v>
      </c>
      <c r="BG1294" t="s">
        <v>4507</v>
      </c>
      <c r="BI1294" t="s">
        <v>98</v>
      </c>
      <c r="BJ1294" t="s">
        <v>4915</v>
      </c>
      <c r="BL1294" t="s">
        <v>110</v>
      </c>
    </row>
    <row r="1295" spans="1:64" hidden="1" x14ac:dyDescent="0.2">
      <c r="A1295">
        <v>1191</v>
      </c>
      <c r="B1295">
        <v>4022923522</v>
      </c>
      <c r="C1295" t="s">
        <v>101</v>
      </c>
      <c r="D1295" t="s">
        <v>5029</v>
      </c>
      <c r="E1295" t="s">
        <v>65</v>
      </c>
      <c r="F1295" t="s">
        <v>66</v>
      </c>
      <c r="G1295" t="s">
        <v>67</v>
      </c>
      <c r="H1295" t="s">
        <v>68</v>
      </c>
      <c r="I1295" t="s">
        <v>176</v>
      </c>
      <c r="J1295" t="s">
        <v>177</v>
      </c>
      <c r="K1295" t="s">
        <v>3925</v>
      </c>
      <c r="M1295" t="s">
        <v>72</v>
      </c>
      <c r="N1295" t="s">
        <v>3926</v>
      </c>
      <c r="O1295" t="s">
        <v>3925</v>
      </c>
      <c r="P1295" t="s">
        <v>1176</v>
      </c>
      <c r="Q1295" t="s">
        <v>75</v>
      </c>
      <c r="R1295" t="s">
        <v>5008</v>
      </c>
      <c r="S1295" t="s">
        <v>211</v>
      </c>
      <c r="T1295" t="s">
        <v>78</v>
      </c>
      <c r="U1295" t="s">
        <v>5009</v>
      </c>
      <c r="V1295" t="s">
        <v>80</v>
      </c>
      <c r="W1295" s="1">
        <v>44534</v>
      </c>
      <c r="X1295" t="s">
        <v>5010</v>
      </c>
      <c r="Y1295" t="s">
        <v>5011</v>
      </c>
      <c r="Z1295" t="s">
        <v>83</v>
      </c>
      <c r="AA1295">
        <v>1</v>
      </c>
      <c r="AB1295" t="s">
        <v>4517</v>
      </c>
      <c r="AD1295" t="s">
        <v>116</v>
      </c>
      <c r="AE1295" t="s">
        <v>86</v>
      </c>
      <c r="AF1295" t="s">
        <v>146</v>
      </c>
      <c r="AG1295" t="s">
        <v>5013</v>
      </c>
      <c r="AI1295" t="s">
        <v>90</v>
      </c>
      <c r="AJ1295">
        <v>32.313032</v>
      </c>
      <c r="AK1295">
        <v>-110.711788</v>
      </c>
      <c r="AL1295">
        <v>3</v>
      </c>
      <c r="AN1295">
        <v>1148</v>
      </c>
      <c r="AP1295">
        <v>1148</v>
      </c>
      <c r="AQ1295">
        <v>1146.7076790000001</v>
      </c>
      <c r="AT1295">
        <v>4</v>
      </c>
      <c r="AU1295">
        <v>12</v>
      </c>
      <c r="AV1295">
        <v>2021</v>
      </c>
      <c r="AW1295">
        <v>2437981</v>
      </c>
      <c r="AX1295">
        <v>2437981</v>
      </c>
      <c r="AY1295" t="s">
        <v>106</v>
      </c>
      <c r="AZ1295" t="s">
        <v>92</v>
      </c>
      <c r="BA1295" t="s">
        <v>107</v>
      </c>
      <c r="BB1295" t="s">
        <v>5030</v>
      </c>
      <c r="BC1295" t="s">
        <v>1186</v>
      </c>
      <c r="BE1295" t="s">
        <v>96</v>
      </c>
      <c r="BG1295" t="s">
        <v>4507</v>
      </c>
      <c r="BI1295" t="s">
        <v>98</v>
      </c>
      <c r="BJ1295" t="s">
        <v>4915</v>
      </c>
      <c r="BL1295" t="s">
        <v>110</v>
      </c>
    </row>
    <row r="1296" spans="1:64" hidden="1" x14ac:dyDescent="0.2">
      <c r="A1296">
        <v>1362</v>
      </c>
      <c r="B1296">
        <v>4022923351</v>
      </c>
      <c r="C1296" t="s">
        <v>101</v>
      </c>
      <c r="D1296" t="s">
        <v>5031</v>
      </c>
      <c r="E1296" t="s">
        <v>65</v>
      </c>
      <c r="F1296" t="s">
        <v>66</v>
      </c>
      <c r="G1296" t="s">
        <v>67</v>
      </c>
      <c r="H1296" t="s">
        <v>68</v>
      </c>
      <c r="I1296" t="s">
        <v>176</v>
      </c>
      <c r="J1296" t="s">
        <v>177</v>
      </c>
      <c r="K1296" t="s">
        <v>3925</v>
      </c>
      <c r="M1296" t="s">
        <v>72</v>
      </c>
      <c r="N1296" t="s">
        <v>3926</v>
      </c>
      <c r="O1296" t="s">
        <v>3925</v>
      </c>
      <c r="P1296" t="s">
        <v>1176</v>
      </c>
      <c r="Q1296" t="s">
        <v>75</v>
      </c>
      <c r="R1296" t="s">
        <v>5008</v>
      </c>
      <c r="S1296" t="s">
        <v>211</v>
      </c>
      <c r="T1296" t="s">
        <v>78</v>
      </c>
      <c r="U1296" t="s">
        <v>5009</v>
      </c>
      <c r="V1296" t="s">
        <v>80</v>
      </c>
      <c r="W1296" s="1">
        <v>44534</v>
      </c>
      <c r="X1296" t="s">
        <v>5010</v>
      </c>
      <c r="Y1296" t="s">
        <v>5011</v>
      </c>
      <c r="Z1296" t="s">
        <v>83</v>
      </c>
      <c r="AA1296">
        <v>1</v>
      </c>
      <c r="AB1296" t="s">
        <v>672</v>
      </c>
      <c r="AD1296" t="s">
        <v>134</v>
      </c>
      <c r="AE1296" t="s">
        <v>86</v>
      </c>
      <c r="AF1296" t="s">
        <v>146</v>
      </c>
      <c r="AG1296" t="s">
        <v>5013</v>
      </c>
      <c r="AI1296" t="s">
        <v>90</v>
      </c>
      <c r="AJ1296">
        <v>32.313032</v>
      </c>
      <c r="AK1296">
        <v>-110.711788</v>
      </c>
      <c r="AL1296">
        <v>3</v>
      </c>
      <c r="AN1296">
        <v>1148</v>
      </c>
      <c r="AP1296">
        <v>1148</v>
      </c>
      <c r="AQ1296">
        <v>1146.7076790000001</v>
      </c>
      <c r="AT1296">
        <v>4</v>
      </c>
      <c r="AU1296">
        <v>12</v>
      </c>
      <c r="AV1296">
        <v>2021</v>
      </c>
      <c r="AW1296">
        <v>2437981</v>
      </c>
      <c r="AX1296">
        <v>2437981</v>
      </c>
      <c r="AY1296" t="s">
        <v>106</v>
      </c>
      <c r="AZ1296" t="s">
        <v>92</v>
      </c>
      <c r="BA1296" t="s">
        <v>107</v>
      </c>
      <c r="BB1296" t="s">
        <v>5032</v>
      </c>
      <c r="BC1296" t="s">
        <v>1186</v>
      </c>
      <c r="BE1296" t="s">
        <v>96</v>
      </c>
      <c r="BG1296" t="s">
        <v>4507</v>
      </c>
      <c r="BI1296" t="s">
        <v>98</v>
      </c>
      <c r="BJ1296" t="s">
        <v>5033</v>
      </c>
      <c r="BL1296" t="s">
        <v>110</v>
      </c>
    </row>
    <row r="1297" spans="1:64" hidden="1" x14ac:dyDescent="0.2">
      <c r="A1297">
        <v>1194</v>
      </c>
      <c r="B1297">
        <v>4022923519</v>
      </c>
      <c r="C1297" t="s">
        <v>101</v>
      </c>
      <c r="D1297" t="s">
        <v>5040</v>
      </c>
      <c r="E1297" t="s">
        <v>65</v>
      </c>
      <c r="F1297" t="s">
        <v>66</v>
      </c>
      <c r="G1297" t="s">
        <v>67</v>
      </c>
      <c r="H1297" t="s">
        <v>68</v>
      </c>
      <c r="I1297" t="s">
        <v>176</v>
      </c>
      <c r="J1297" t="s">
        <v>177</v>
      </c>
      <c r="K1297" t="s">
        <v>3925</v>
      </c>
      <c r="M1297" t="s">
        <v>72</v>
      </c>
      <c r="N1297" t="s">
        <v>3926</v>
      </c>
      <c r="O1297" t="s">
        <v>3925</v>
      </c>
      <c r="P1297" t="s">
        <v>1176</v>
      </c>
      <c r="Q1297" t="s">
        <v>75</v>
      </c>
      <c r="R1297" t="s">
        <v>5008</v>
      </c>
      <c r="S1297" t="s">
        <v>245</v>
      </c>
      <c r="T1297" t="s">
        <v>78</v>
      </c>
      <c r="U1297" t="s">
        <v>5009</v>
      </c>
      <c r="V1297" t="s">
        <v>80</v>
      </c>
      <c r="W1297" s="1">
        <v>44534</v>
      </c>
      <c r="X1297" t="s">
        <v>5010</v>
      </c>
      <c r="Y1297" t="s">
        <v>5035</v>
      </c>
      <c r="Z1297" t="s">
        <v>83</v>
      </c>
      <c r="AA1297">
        <v>1</v>
      </c>
      <c r="AB1297" t="s">
        <v>672</v>
      </c>
      <c r="AD1297" t="s">
        <v>134</v>
      </c>
      <c r="AE1297" t="s">
        <v>145</v>
      </c>
      <c r="AF1297" t="s">
        <v>402</v>
      </c>
      <c r="AG1297" t="s">
        <v>5041</v>
      </c>
      <c r="AI1297" t="s">
        <v>90</v>
      </c>
      <c r="AJ1297">
        <v>32.313015999999998</v>
      </c>
      <c r="AK1297">
        <v>-110.711777</v>
      </c>
      <c r="AL1297">
        <v>3</v>
      </c>
      <c r="AN1297">
        <v>1148</v>
      </c>
      <c r="AP1297">
        <v>1148</v>
      </c>
      <c r="AQ1297">
        <v>1146.1815200000001</v>
      </c>
      <c r="AT1297">
        <v>4</v>
      </c>
      <c r="AU1297">
        <v>12</v>
      </c>
      <c r="AV1297">
        <v>2021</v>
      </c>
      <c r="AW1297">
        <v>2437981</v>
      </c>
      <c r="AX1297">
        <v>2437981</v>
      </c>
      <c r="AY1297" t="s">
        <v>106</v>
      </c>
      <c r="AZ1297" t="s">
        <v>92</v>
      </c>
      <c r="BA1297" t="s">
        <v>107</v>
      </c>
      <c r="BB1297" t="s">
        <v>5042</v>
      </c>
      <c r="BC1297" t="s">
        <v>1186</v>
      </c>
      <c r="BE1297" t="s">
        <v>96</v>
      </c>
      <c r="BG1297" t="s">
        <v>4507</v>
      </c>
      <c r="BI1297" t="s">
        <v>98</v>
      </c>
      <c r="BJ1297" t="s">
        <v>4915</v>
      </c>
      <c r="BL1297" t="s">
        <v>110</v>
      </c>
    </row>
    <row r="1298" spans="1:64" hidden="1" x14ac:dyDescent="0.2">
      <c r="A1298">
        <v>1339</v>
      </c>
      <c r="B1298">
        <v>4022923374</v>
      </c>
      <c r="C1298" t="s">
        <v>101</v>
      </c>
      <c r="D1298" t="s">
        <v>5043</v>
      </c>
      <c r="E1298" t="s">
        <v>65</v>
      </c>
      <c r="F1298" t="s">
        <v>66</v>
      </c>
      <c r="G1298" t="s">
        <v>67</v>
      </c>
      <c r="H1298" t="s">
        <v>68</v>
      </c>
      <c r="I1298" t="s">
        <v>176</v>
      </c>
      <c r="J1298" t="s">
        <v>177</v>
      </c>
      <c r="K1298" t="s">
        <v>3925</v>
      </c>
      <c r="M1298" t="s">
        <v>72</v>
      </c>
      <c r="N1298" t="s">
        <v>3926</v>
      </c>
      <c r="O1298" t="s">
        <v>3925</v>
      </c>
      <c r="P1298" t="s">
        <v>1176</v>
      </c>
      <c r="Q1298" t="s">
        <v>75</v>
      </c>
      <c r="R1298" t="s">
        <v>5008</v>
      </c>
      <c r="S1298" t="s">
        <v>245</v>
      </c>
      <c r="T1298" t="s">
        <v>78</v>
      </c>
      <c r="U1298" t="s">
        <v>5009</v>
      </c>
      <c r="V1298" t="s">
        <v>80</v>
      </c>
      <c r="W1298" s="1">
        <v>44534</v>
      </c>
      <c r="X1298" t="s">
        <v>5010</v>
      </c>
      <c r="Y1298" t="s">
        <v>5035</v>
      </c>
      <c r="Z1298" t="s">
        <v>83</v>
      </c>
      <c r="AA1298">
        <v>1</v>
      </c>
      <c r="AB1298" t="s">
        <v>4517</v>
      </c>
      <c r="AD1298" t="s">
        <v>123</v>
      </c>
      <c r="AE1298" t="s">
        <v>145</v>
      </c>
      <c r="AF1298" t="s">
        <v>402</v>
      </c>
      <c r="AG1298" t="s">
        <v>5041</v>
      </c>
      <c r="AI1298" t="s">
        <v>90</v>
      </c>
      <c r="AJ1298">
        <v>32.313015999999998</v>
      </c>
      <c r="AK1298">
        <v>-110.711777</v>
      </c>
      <c r="AL1298">
        <v>3</v>
      </c>
      <c r="AN1298">
        <v>1148</v>
      </c>
      <c r="AP1298">
        <v>1148</v>
      </c>
      <c r="AQ1298">
        <v>1146.1815200000001</v>
      </c>
      <c r="AT1298">
        <v>4</v>
      </c>
      <c r="AU1298">
        <v>12</v>
      </c>
      <c r="AV1298">
        <v>2021</v>
      </c>
      <c r="AW1298">
        <v>2437981</v>
      </c>
      <c r="AX1298">
        <v>2437981</v>
      </c>
      <c r="AY1298" t="s">
        <v>106</v>
      </c>
      <c r="AZ1298" t="s">
        <v>92</v>
      </c>
      <c r="BA1298" t="s">
        <v>107</v>
      </c>
      <c r="BB1298" t="s">
        <v>5044</v>
      </c>
      <c r="BC1298" t="s">
        <v>1186</v>
      </c>
      <c r="BE1298" t="s">
        <v>96</v>
      </c>
      <c r="BG1298" t="s">
        <v>4507</v>
      </c>
      <c r="BI1298" t="s">
        <v>98</v>
      </c>
      <c r="BJ1298" t="s">
        <v>4135</v>
      </c>
      <c r="BL1298" t="s">
        <v>110</v>
      </c>
    </row>
    <row r="1299" spans="1:64" hidden="1" x14ac:dyDescent="0.2">
      <c r="A1299">
        <v>1337</v>
      </c>
      <c r="B1299">
        <v>4022923376</v>
      </c>
      <c r="C1299" t="s">
        <v>101</v>
      </c>
      <c r="D1299" t="s">
        <v>5045</v>
      </c>
      <c r="E1299" t="s">
        <v>65</v>
      </c>
      <c r="F1299" t="s">
        <v>66</v>
      </c>
      <c r="G1299" t="s">
        <v>67</v>
      </c>
      <c r="H1299" t="s">
        <v>68</v>
      </c>
      <c r="I1299" t="s">
        <v>176</v>
      </c>
      <c r="J1299" t="s">
        <v>177</v>
      </c>
      <c r="K1299" t="s">
        <v>3925</v>
      </c>
      <c r="M1299" t="s">
        <v>72</v>
      </c>
      <c r="N1299" t="s">
        <v>3926</v>
      </c>
      <c r="O1299" t="s">
        <v>3925</v>
      </c>
      <c r="P1299" t="s">
        <v>1176</v>
      </c>
      <c r="Q1299" t="s">
        <v>75</v>
      </c>
      <c r="R1299" t="s">
        <v>5008</v>
      </c>
      <c r="S1299" t="s">
        <v>245</v>
      </c>
      <c r="T1299" t="s">
        <v>78</v>
      </c>
      <c r="U1299" t="s">
        <v>5009</v>
      </c>
      <c r="V1299" t="s">
        <v>80</v>
      </c>
      <c r="W1299" s="1">
        <v>44534</v>
      </c>
      <c r="X1299" t="s">
        <v>5010</v>
      </c>
      <c r="Y1299" t="s">
        <v>5035</v>
      </c>
      <c r="Z1299" t="s">
        <v>83</v>
      </c>
      <c r="AA1299">
        <v>1</v>
      </c>
      <c r="AB1299" t="s">
        <v>4517</v>
      </c>
      <c r="AD1299" t="s">
        <v>112</v>
      </c>
      <c r="AE1299" t="s">
        <v>145</v>
      </c>
      <c r="AF1299" t="s">
        <v>402</v>
      </c>
      <c r="AG1299" t="s">
        <v>5041</v>
      </c>
      <c r="AI1299" t="s">
        <v>90</v>
      </c>
      <c r="AJ1299">
        <v>32.313015999999998</v>
      </c>
      <c r="AK1299">
        <v>-110.711777</v>
      </c>
      <c r="AL1299">
        <v>3</v>
      </c>
      <c r="AN1299">
        <v>1148</v>
      </c>
      <c r="AP1299">
        <v>1148</v>
      </c>
      <c r="AQ1299">
        <v>1146.1815200000001</v>
      </c>
      <c r="AT1299">
        <v>4</v>
      </c>
      <c r="AU1299">
        <v>12</v>
      </c>
      <c r="AV1299">
        <v>2021</v>
      </c>
      <c r="AW1299">
        <v>2437981</v>
      </c>
      <c r="AX1299">
        <v>2437981</v>
      </c>
      <c r="AY1299" t="s">
        <v>106</v>
      </c>
      <c r="AZ1299" t="s">
        <v>92</v>
      </c>
      <c r="BA1299" t="s">
        <v>107</v>
      </c>
      <c r="BB1299" t="s">
        <v>5046</v>
      </c>
      <c r="BC1299" t="s">
        <v>1186</v>
      </c>
      <c r="BE1299" t="s">
        <v>96</v>
      </c>
      <c r="BG1299" t="s">
        <v>4507</v>
      </c>
      <c r="BI1299" t="s">
        <v>98</v>
      </c>
      <c r="BJ1299" t="s">
        <v>2393</v>
      </c>
      <c r="BL1299" t="s">
        <v>110</v>
      </c>
    </row>
    <row r="1300" spans="1:64" hidden="1" x14ac:dyDescent="0.2">
      <c r="A1300">
        <v>1336</v>
      </c>
      <c r="B1300">
        <v>4022923377</v>
      </c>
      <c r="C1300" t="s">
        <v>101</v>
      </c>
      <c r="D1300" t="s">
        <v>5047</v>
      </c>
      <c r="E1300" t="s">
        <v>65</v>
      </c>
      <c r="F1300" t="s">
        <v>66</v>
      </c>
      <c r="G1300" t="s">
        <v>67</v>
      </c>
      <c r="H1300" t="s">
        <v>68</v>
      </c>
      <c r="I1300" t="s">
        <v>176</v>
      </c>
      <c r="J1300" t="s">
        <v>177</v>
      </c>
      <c r="K1300" t="s">
        <v>3925</v>
      </c>
      <c r="M1300" t="s">
        <v>72</v>
      </c>
      <c r="N1300" t="s">
        <v>3926</v>
      </c>
      <c r="O1300" t="s">
        <v>3925</v>
      </c>
      <c r="P1300" t="s">
        <v>1176</v>
      </c>
      <c r="Q1300" t="s">
        <v>75</v>
      </c>
      <c r="R1300" t="s">
        <v>5008</v>
      </c>
      <c r="S1300" t="s">
        <v>245</v>
      </c>
      <c r="T1300" t="s">
        <v>78</v>
      </c>
      <c r="U1300" t="s">
        <v>5009</v>
      </c>
      <c r="V1300" t="s">
        <v>80</v>
      </c>
      <c r="W1300" s="1">
        <v>44534</v>
      </c>
      <c r="X1300" t="s">
        <v>5010</v>
      </c>
      <c r="Y1300" t="s">
        <v>5035</v>
      </c>
      <c r="Z1300" t="s">
        <v>83</v>
      </c>
      <c r="AA1300">
        <v>1</v>
      </c>
      <c r="AB1300" t="s">
        <v>4517</v>
      </c>
      <c r="AD1300" t="s">
        <v>116</v>
      </c>
      <c r="AE1300" t="s">
        <v>145</v>
      </c>
      <c r="AF1300" t="s">
        <v>402</v>
      </c>
      <c r="AG1300" t="s">
        <v>5041</v>
      </c>
      <c r="AI1300" t="s">
        <v>90</v>
      </c>
      <c r="AJ1300">
        <v>32.313015999999998</v>
      </c>
      <c r="AK1300">
        <v>-110.711777</v>
      </c>
      <c r="AL1300">
        <v>3</v>
      </c>
      <c r="AN1300">
        <v>1148</v>
      </c>
      <c r="AP1300">
        <v>1148</v>
      </c>
      <c r="AQ1300">
        <v>1146.1815200000001</v>
      </c>
      <c r="AT1300">
        <v>4</v>
      </c>
      <c r="AU1300">
        <v>12</v>
      </c>
      <c r="AV1300">
        <v>2021</v>
      </c>
      <c r="AW1300">
        <v>2437981</v>
      </c>
      <c r="AX1300">
        <v>2437981</v>
      </c>
      <c r="AY1300" t="s">
        <v>106</v>
      </c>
      <c r="AZ1300" t="s">
        <v>92</v>
      </c>
      <c r="BA1300" t="s">
        <v>107</v>
      </c>
      <c r="BB1300" t="s">
        <v>5048</v>
      </c>
      <c r="BC1300" t="s">
        <v>1186</v>
      </c>
      <c r="BE1300" t="s">
        <v>96</v>
      </c>
      <c r="BG1300" t="s">
        <v>4507</v>
      </c>
      <c r="BI1300" t="s">
        <v>98</v>
      </c>
      <c r="BJ1300" t="s">
        <v>2111</v>
      </c>
      <c r="BL1300" t="s">
        <v>110</v>
      </c>
    </row>
    <row r="1301" spans="1:64" hidden="1" x14ac:dyDescent="0.2">
      <c r="A1301">
        <v>1335</v>
      </c>
      <c r="B1301">
        <v>4022923378</v>
      </c>
      <c r="C1301" t="s">
        <v>101</v>
      </c>
      <c r="D1301" t="s">
        <v>5049</v>
      </c>
      <c r="E1301" t="s">
        <v>65</v>
      </c>
      <c r="F1301" t="s">
        <v>66</v>
      </c>
      <c r="G1301" t="s">
        <v>67</v>
      </c>
      <c r="H1301" t="s">
        <v>68</v>
      </c>
      <c r="I1301" t="s">
        <v>176</v>
      </c>
      <c r="J1301" t="s">
        <v>177</v>
      </c>
      <c r="K1301" t="s">
        <v>3925</v>
      </c>
      <c r="M1301" t="s">
        <v>72</v>
      </c>
      <c r="N1301" t="s">
        <v>3926</v>
      </c>
      <c r="O1301" t="s">
        <v>3925</v>
      </c>
      <c r="P1301" t="s">
        <v>1176</v>
      </c>
      <c r="Q1301" t="s">
        <v>75</v>
      </c>
      <c r="R1301" t="s">
        <v>5008</v>
      </c>
      <c r="S1301" t="s">
        <v>245</v>
      </c>
      <c r="T1301" t="s">
        <v>78</v>
      </c>
      <c r="U1301" t="s">
        <v>5009</v>
      </c>
      <c r="V1301" t="s">
        <v>80</v>
      </c>
      <c r="W1301" s="1">
        <v>44534</v>
      </c>
      <c r="X1301" t="s">
        <v>5010</v>
      </c>
      <c r="Y1301" t="s">
        <v>5035</v>
      </c>
      <c r="Z1301" t="s">
        <v>83</v>
      </c>
      <c r="AA1301">
        <v>1</v>
      </c>
      <c r="AB1301" t="s">
        <v>4517</v>
      </c>
      <c r="AD1301" t="s">
        <v>104</v>
      </c>
      <c r="AE1301" t="s">
        <v>145</v>
      </c>
      <c r="AF1301" t="s">
        <v>402</v>
      </c>
      <c r="AG1301" t="s">
        <v>5041</v>
      </c>
      <c r="AI1301" t="s">
        <v>90</v>
      </c>
      <c r="AJ1301">
        <v>32.313015999999998</v>
      </c>
      <c r="AK1301">
        <v>-110.711777</v>
      </c>
      <c r="AL1301">
        <v>3</v>
      </c>
      <c r="AN1301">
        <v>1148</v>
      </c>
      <c r="AP1301">
        <v>1148</v>
      </c>
      <c r="AQ1301">
        <v>1146.1815200000001</v>
      </c>
      <c r="AT1301">
        <v>4</v>
      </c>
      <c r="AU1301">
        <v>12</v>
      </c>
      <c r="AV1301">
        <v>2021</v>
      </c>
      <c r="AW1301">
        <v>2437981</v>
      </c>
      <c r="AX1301">
        <v>2437981</v>
      </c>
      <c r="AY1301" t="s">
        <v>106</v>
      </c>
      <c r="AZ1301" t="s">
        <v>92</v>
      </c>
      <c r="BA1301" t="s">
        <v>107</v>
      </c>
      <c r="BB1301" t="s">
        <v>5050</v>
      </c>
      <c r="BC1301" t="s">
        <v>1186</v>
      </c>
      <c r="BE1301" t="s">
        <v>96</v>
      </c>
      <c r="BG1301" t="s">
        <v>4507</v>
      </c>
      <c r="BI1301" t="s">
        <v>98</v>
      </c>
      <c r="BJ1301" t="s">
        <v>2111</v>
      </c>
      <c r="BL1301" t="s">
        <v>110</v>
      </c>
    </row>
    <row r="1302" spans="1:64" x14ac:dyDescent="0.2">
      <c r="A1302">
        <v>1667</v>
      </c>
      <c r="B1302">
        <v>3744741466</v>
      </c>
      <c r="C1302" t="s">
        <v>101</v>
      </c>
      <c r="D1302" t="s">
        <v>264</v>
      </c>
      <c r="E1302" t="s">
        <v>65</v>
      </c>
      <c r="F1302" t="s">
        <v>66</v>
      </c>
      <c r="G1302" t="s">
        <v>67</v>
      </c>
      <c r="H1302" t="s">
        <v>68</v>
      </c>
      <c r="I1302" t="s">
        <v>69</v>
      </c>
      <c r="J1302" t="s">
        <v>70</v>
      </c>
      <c r="K1302" t="s">
        <v>71</v>
      </c>
      <c r="M1302" t="s">
        <v>72</v>
      </c>
      <c r="N1302" t="s">
        <v>73</v>
      </c>
      <c r="O1302" t="s">
        <v>71</v>
      </c>
      <c r="P1302" t="s">
        <v>74</v>
      </c>
      <c r="Q1302" t="s">
        <v>75</v>
      </c>
      <c r="R1302" t="s">
        <v>76</v>
      </c>
      <c r="S1302" t="s">
        <v>245</v>
      </c>
      <c r="T1302" t="s">
        <v>78</v>
      </c>
      <c r="U1302" t="s">
        <v>79</v>
      </c>
      <c r="V1302" t="s">
        <v>80</v>
      </c>
      <c r="W1302" s="1">
        <v>44521</v>
      </c>
      <c r="X1302" t="s">
        <v>81</v>
      </c>
      <c r="Y1302" t="s">
        <v>246</v>
      </c>
      <c r="Z1302" t="s">
        <v>83</v>
      </c>
      <c r="AA1302">
        <v>1</v>
      </c>
      <c r="AB1302" t="s">
        <v>103</v>
      </c>
      <c r="AC1302">
        <v>1</v>
      </c>
      <c r="AD1302" t="s">
        <v>119</v>
      </c>
      <c r="AE1302" t="s">
        <v>145</v>
      </c>
      <c r="AF1302" t="s">
        <v>87</v>
      </c>
      <c r="AG1302" t="s">
        <v>253</v>
      </c>
      <c r="AH1302" t="s">
        <v>254</v>
      </c>
      <c r="AI1302" t="s">
        <v>90</v>
      </c>
      <c r="AJ1302">
        <v>32.500216999999999</v>
      </c>
      <c r="AK1302">
        <v>-110.68151</v>
      </c>
      <c r="AL1302">
        <v>3</v>
      </c>
      <c r="AN1302">
        <v>1281</v>
      </c>
      <c r="AP1302">
        <v>1281</v>
      </c>
      <c r="AQ1302">
        <v>1326.348197</v>
      </c>
      <c r="AT1302">
        <v>21</v>
      </c>
      <c r="AU1302">
        <v>11</v>
      </c>
      <c r="AV1302">
        <v>2021</v>
      </c>
      <c r="AW1302">
        <v>2439581</v>
      </c>
      <c r="AX1302">
        <v>2439581</v>
      </c>
      <c r="AY1302" t="s">
        <v>106</v>
      </c>
      <c r="AZ1302" t="s">
        <v>92</v>
      </c>
      <c r="BA1302" t="s">
        <v>107</v>
      </c>
      <c r="BB1302" t="s">
        <v>265</v>
      </c>
      <c r="BC1302" t="s">
        <v>97</v>
      </c>
      <c r="BE1302" t="s">
        <v>96</v>
      </c>
      <c r="BG1302" t="s">
        <v>97</v>
      </c>
      <c r="BI1302" t="s">
        <v>98</v>
      </c>
      <c r="BJ1302" t="s">
        <v>266</v>
      </c>
      <c r="BL1302" t="s">
        <v>110</v>
      </c>
    </row>
    <row r="1303" spans="1:64" hidden="1" x14ac:dyDescent="0.2">
      <c r="A1303">
        <v>1168</v>
      </c>
      <c r="B1303">
        <v>4022923545</v>
      </c>
      <c r="C1303" t="s">
        <v>101</v>
      </c>
      <c r="D1303" t="s">
        <v>5053</v>
      </c>
      <c r="E1303" t="s">
        <v>65</v>
      </c>
      <c r="F1303" t="s">
        <v>66</v>
      </c>
      <c r="G1303" t="s">
        <v>67</v>
      </c>
      <c r="H1303" t="s">
        <v>68</v>
      </c>
      <c r="I1303" t="s">
        <v>176</v>
      </c>
      <c r="J1303" t="s">
        <v>177</v>
      </c>
      <c r="K1303" t="s">
        <v>3925</v>
      </c>
      <c r="M1303" t="s">
        <v>72</v>
      </c>
      <c r="N1303" t="s">
        <v>3926</v>
      </c>
      <c r="O1303" t="s">
        <v>3925</v>
      </c>
      <c r="P1303" t="s">
        <v>1176</v>
      </c>
      <c r="Q1303" t="s">
        <v>75</v>
      </c>
      <c r="R1303" t="s">
        <v>5008</v>
      </c>
      <c r="S1303" t="s">
        <v>245</v>
      </c>
      <c r="T1303" t="s">
        <v>78</v>
      </c>
      <c r="U1303" t="s">
        <v>5009</v>
      </c>
      <c r="V1303" t="s">
        <v>80</v>
      </c>
      <c r="W1303" s="1">
        <v>44534</v>
      </c>
      <c r="X1303" t="s">
        <v>5010</v>
      </c>
      <c r="Y1303" t="s">
        <v>5035</v>
      </c>
      <c r="Z1303" t="s">
        <v>83</v>
      </c>
      <c r="AA1303">
        <v>1</v>
      </c>
      <c r="AB1303" t="s">
        <v>4517</v>
      </c>
      <c r="AD1303" t="s">
        <v>139</v>
      </c>
      <c r="AE1303" t="s">
        <v>145</v>
      </c>
      <c r="AF1303" t="s">
        <v>402</v>
      </c>
      <c r="AG1303" t="s">
        <v>5041</v>
      </c>
      <c r="AI1303" t="s">
        <v>90</v>
      </c>
      <c r="AJ1303">
        <v>32.313015999999998</v>
      </c>
      <c r="AK1303">
        <v>-110.711777</v>
      </c>
      <c r="AL1303">
        <v>3</v>
      </c>
      <c r="AN1303">
        <v>1148</v>
      </c>
      <c r="AP1303">
        <v>1148</v>
      </c>
      <c r="AQ1303">
        <v>1146.1815200000001</v>
      </c>
      <c r="AT1303">
        <v>4</v>
      </c>
      <c r="AU1303">
        <v>12</v>
      </c>
      <c r="AV1303">
        <v>2021</v>
      </c>
      <c r="AW1303">
        <v>2437981</v>
      </c>
      <c r="AX1303">
        <v>2437981</v>
      </c>
      <c r="AY1303" t="s">
        <v>106</v>
      </c>
      <c r="AZ1303" t="s">
        <v>92</v>
      </c>
      <c r="BA1303" t="s">
        <v>107</v>
      </c>
      <c r="BB1303" t="s">
        <v>5054</v>
      </c>
      <c r="BC1303" t="s">
        <v>1186</v>
      </c>
      <c r="BE1303" t="s">
        <v>96</v>
      </c>
      <c r="BG1303" t="s">
        <v>4507</v>
      </c>
      <c r="BI1303" t="s">
        <v>98</v>
      </c>
      <c r="BJ1303" t="s">
        <v>5055</v>
      </c>
      <c r="BL1303" t="s">
        <v>110</v>
      </c>
    </row>
    <row r="1304" spans="1:64" x14ac:dyDescent="0.2">
      <c r="A1304">
        <v>1688</v>
      </c>
      <c r="B1304">
        <v>3744741445</v>
      </c>
      <c r="C1304" t="s">
        <v>101</v>
      </c>
      <c r="D1304" t="s">
        <v>296</v>
      </c>
      <c r="E1304" t="s">
        <v>65</v>
      </c>
      <c r="F1304" t="s">
        <v>66</v>
      </c>
      <c r="G1304" t="s">
        <v>67</v>
      </c>
      <c r="H1304" t="s">
        <v>68</v>
      </c>
      <c r="I1304" t="s">
        <v>176</v>
      </c>
      <c r="J1304" t="s">
        <v>177</v>
      </c>
      <c r="K1304" t="s">
        <v>178</v>
      </c>
      <c r="M1304" t="s">
        <v>72</v>
      </c>
      <c r="N1304" t="s">
        <v>179</v>
      </c>
      <c r="O1304" t="s">
        <v>178</v>
      </c>
      <c r="P1304" t="s">
        <v>180</v>
      </c>
      <c r="Q1304" t="s">
        <v>75</v>
      </c>
      <c r="R1304" t="s">
        <v>287</v>
      </c>
      <c r="S1304" t="s">
        <v>278</v>
      </c>
      <c r="T1304" t="s">
        <v>78</v>
      </c>
      <c r="U1304" t="s">
        <v>79</v>
      </c>
      <c r="V1304" t="s">
        <v>80</v>
      </c>
      <c r="W1304" s="1">
        <v>44521</v>
      </c>
      <c r="X1304" t="s">
        <v>81</v>
      </c>
      <c r="Y1304" t="s">
        <v>279</v>
      </c>
      <c r="Z1304" t="s">
        <v>83</v>
      </c>
      <c r="AA1304">
        <v>1</v>
      </c>
      <c r="AB1304" t="s">
        <v>103</v>
      </c>
      <c r="AC1304">
        <v>1</v>
      </c>
      <c r="AD1304" t="s">
        <v>119</v>
      </c>
      <c r="AE1304" t="s">
        <v>86</v>
      </c>
      <c r="AF1304" t="s">
        <v>281</v>
      </c>
      <c r="AG1304" t="s">
        <v>282</v>
      </c>
      <c r="AH1304" t="s">
        <v>288</v>
      </c>
      <c r="AI1304" t="s">
        <v>90</v>
      </c>
      <c r="AJ1304">
        <v>32.501477999999999</v>
      </c>
      <c r="AK1304">
        <v>-110.682596</v>
      </c>
      <c r="AL1304">
        <v>3</v>
      </c>
      <c r="AN1304">
        <v>1318</v>
      </c>
      <c r="AP1304">
        <v>1318</v>
      </c>
      <c r="AQ1304">
        <v>1332.8139309999999</v>
      </c>
      <c r="AT1304">
        <v>21</v>
      </c>
      <c r="AU1304">
        <v>11</v>
      </c>
      <c r="AV1304">
        <v>2021</v>
      </c>
      <c r="AW1304">
        <v>2438038</v>
      </c>
      <c r="AX1304">
        <v>2438038</v>
      </c>
      <c r="AY1304" t="s">
        <v>106</v>
      </c>
      <c r="AZ1304" t="s">
        <v>92</v>
      </c>
      <c r="BA1304" t="s">
        <v>107</v>
      </c>
      <c r="BB1304" t="s">
        <v>297</v>
      </c>
      <c r="BC1304" t="s">
        <v>95</v>
      </c>
      <c r="BD1304" s="1">
        <v>45126</v>
      </c>
      <c r="BE1304" t="s">
        <v>96</v>
      </c>
      <c r="BG1304" t="s">
        <v>97</v>
      </c>
      <c r="BI1304" t="s">
        <v>98</v>
      </c>
      <c r="BJ1304" t="s">
        <v>298</v>
      </c>
      <c r="BL1304" t="s">
        <v>110</v>
      </c>
    </row>
    <row r="1305" spans="1:64" x14ac:dyDescent="0.2">
      <c r="A1305">
        <v>1731</v>
      </c>
      <c r="B1305">
        <v>3744741402</v>
      </c>
      <c r="C1305" t="s">
        <v>101</v>
      </c>
      <c r="D1305" t="s">
        <v>4344</v>
      </c>
      <c r="E1305" t="s">
        <v>65</v>
      </c>
      <c r="F1305" t="s">
        <v>66</v>
      </c>
      <c r="G1305" t="s">
        <v>67</v>
      </c>
      <c r="H1305" t="s">
        <v>68</v>
      </c>
      <c r="I1305" t="s">
        <v>176</v>
      </c>
      <c r="J1305" t="s">
        <v>3844</v>
      </c>
      <c r="K1305" t="s">
        <v>3845</v>
      </c>
      <c r="M1305" t="s">
        <v>72</v>
      </c>
      <c r="N1305" t="s">
        <v>3846</v>
      </c>
      <c r="O1305" t="s">
        <v>3845</v>
      </c>
      <c r="P1305" t="s">
        <v>3847</v>
      </c>
      <c r="Q1305" t="s">
        <v>75</v>
      </c>
      <c r="R1305" t="s">
        <v>4297</v>
      </c>
      <c r="S1305" t="s">
        <v>4330</v>
      </c>
      <c r="T1305" t="s">
        <v>78</v>
      </c>
      <c r="U1305" t="s">
        <v>79</v>
      </c>
      <c r="V1305" t="s">
        <v>80</v>
      </c>
      <c r="W1305" s="1">
        <v>44521</v>
      </c>
      <c r="X1305" t="s">
        <v>81</v>
      </c>
      <c r="Y1305" t="s">
        <v>4331</v>
      </c>
      <c r="Z1305" t="s">
        <v>83</v>
      </c>
      <c r="AA1305">
        <v>1</v>
      </c>
      <c r="AB1305" t="s">
        <v>103</v>
      </c>
      <c r="AC1305">
        <v>1</v>
      </c>
      <c r="AD1305" t="s">
        <v>119</v>
      </c>
      <c r="AE1305" t="s">
        <v>86</v>
      </c>
      <c r="AF1305" t="s">
        <v>146</v>
      </c>
      <c r="AG1305" t="s">
        <v>4333</v>
      </c>
      <c r="AH1305" t="s">
        <v>4338</v>
      </c>
      <c r="AI1305" t="s">
        <v>90</v>
      </c>
      <c r="AJ1305">
        <v>32.499566000000002</v>
      </c>
      <c r="AK1305">
        <v>-110.684054</v>
      </c>
      <c r="AL1305">
        <v>3</v>
      </c>
      <c r="AN1305">
        <v>1343</v>
      </c>
      <c r="AP1305">
        <v>1343</v>
      </c>
      <c r="AQ1305">
        <v>1339.2074190000001</v>
      </c>
      <c r="AT1305">
        <v>21</v>
      </c>
      <c r="AU1305">
        <v>11</v>
      </c>
      <c r="AV1305">
        <v>2021</v>
      </c>
      <c r="AW1305">
        <v>2438516</v>
      </c>
      <c r="AX1305">
        <v>2438516</v>
      </c>
      <c r="AY1305" t="s">
        <v>106</v>
      </c>
      <c r="AZ1305" t="s">
        <v>92</v>
      </c>
      <c r="BA1305" t="s">
        <v>107</v>
      </c>
      <c r="BB1305" t="s">
        <v>4345</v>
      </c>
      <c r="BC1305" t="s">
        <v>97</v>
      </c>
      <c r="BE1305" t="s">
        <v>96</v>
      </c>
      <c r="BG1305" t="s">
        <v>97</v>
      </c>
      <c r="BI1305" t="s">
        <v>98</v>
      </c>
      <c r="BJ1305" t="s">
        <v>4346</v>
      </c>
      <c r="BL1305" t="s">
        <v>110</v>
      </c>
    </row>
    <row r="1306" spans="1:64" x14ac:dyDescent="0.2">
      <c r="A1306">
        <v>1755</v>
      </c>
      <c r="B1306">
        <v>3744741378</v>
      </c>
      <c r="C1306" t="s">
        <v>101</v>
      </c>
      <c r="D1306" t="s">
        <v>4381</v>
      </c>
      <c r="E1306" t="s">
        <v>65</v>
      </c>
      <c r="F1306" t="s">
        <v>66</v>
      </c>
      <c r="G1306" t="s">
        <v>67</v>
      </c>
      <c r="H1306" t="s">
        <v>68</v>
      </c>
      <c r="I1306" t="s">
        <v>176</v>
      </c>
      <c r="J1306" t="s">
        <v>3844</v>
      </c>
      <c r="K1306" t="s">
        <v>3845</v>
      </c>
      <c r="M1306" t="s">
        <v>72</v>
      </c>
      <c r="N1306" t="s">
        <v>3846</v>
      </c>
      <c r="O1306" t="s">
        <v>3845</v>
      </c>
      <c r="P1306" t="s">
        <v>3847</v>
      </c>
      <c r="Q1306" t="s">
        <v>75</v>
      </c>
      <c r="R1306" t="s">
        <v>4297</v>
      </c>
      <c r="S1306" t="s">
        <v>4362</v>
      </c>
      <c r="T1306" t="s">
        <v>78</v>
      </c>
      <c r="U1306" t="s">
        <v>79</v>
      </c>
      <c r="V1306" t="s">
        <v>80</v>
      </c>
      <c r="W1306" s="1">
        <v>44521</v>
      </c>
      <c r="X1306" t="s">
        <v>81</v>
      </c>
      <c r="Y1306" t="s">
        <v>4363</v>
      </c>
      <c r="Z1306" t="s">
        <v>83</v>
      </c>
      <c r="AA1306">
        <v>1</v>
      </c>
      <c r="AB1306" t="s">
        <v>103</v>
      </c>
      <c r="AC1306">
        <v>1</v>
      </c>
      <c r="AD1306" t="s">
        <v>119</v>
      </c>
      <c r="AE1306" t="s">
        <v>145</v>
      </c>
      <c r="AF1306" t="s">
        <v>146</v>
      </c>
      <c r="AG1306" t="s">
        <v>4369</v>
      </c>
      <c r="AH1306" t="s">
        <v>4370</v>
      </c>
      <c r="AI1306" t="s">
        <v>90</v>
      </c>
      <c r="AJ1306">
        <v>32.499609999999997</v>
      </c>
      <c r="AK1306">
        <v>-110.684066</v>
      </c>
      <c r="AL1306">
        <v>3</v>
      </c>
      <c r="AN1306">
        <v>1337</v>
      </c>
      <c r="AP1306">
        <v>1337</v>
      </c>
      <c r="AQ1306">
        <v>1338.972019</v>
      </c>
      <c r="AT1306">
        <v>21</v>
      </c>
      <c r="AU1306">
        <v>11</v>
      </c>
      <c r="AV1306">
        <v>2021</v>
      </c>
      <c r="AW1306">
        <v>2438516</v>
      </c>
      <c r="AX1306">
        <v>2438516</v>
      </c>
      <c r="AY1306" t="s">
        <v>106</v>
      </c>
      <c r="AZ1306" t="s">
        <v>92</v>
      </c>
      <c r="BA1306" t="s">
        <v>107</v>
      </c>
      <c r="BB1306" t="s">
        <v>4382</v>
      </c>
      <c r="BC1306" t="s">
        <v>97</v>
      </c>
      <c r="BE1306" t="s">
        <v>96</v>
      </c>
      <c r="BG1306" t="s">
        <v>97</v>
      </c>
      <c r="BI1306" t="s">
        <v>98</v>
      </c>
      <c r="BJ1306" t="s">
        <v>4377</v>
      </c>
      <c r="BL1306" t="s">
        <v>110</v>
      </c>
    </row>
    <row r="1307" spans="1:64" hidden="1" x14ac:dyDescent="0.2">
      <c r="A1307">
        <v>1199</v>
      </c>
      <c r="B1307">
        <v>4022923514</v>
      </c>
      <c r="C1307" t="s">
        <v>101</v>
      </c>
      <c r="D1307" t="s">
        <v>5076</v>
      </c>
      <c r="E1307" t="s">
        <v>65</v>
      </c>
      <c r="F1307" t="s">
        <v>66</v>
      </c>
      <c r="G1307" t="s">
        <v>67</v>
      </c>
      <c r="H1307" t="s">
        <v>68</v>
      </c>
      <c r="I1307" t="s">
        <v>69</v>
      </c>
      <c r="J1307" t="s">
        <v>70</v>
      </c>
      <c r="K1307" t="s">
        <v>4195</v>
      </c>
      <c r="M1307" t="s">
        <v>72</v>
      </c>
      <c r="N1307" t="s">
        <v>4196</v>
      </c>
      <c r="O1307" t="s">
        <v>4195</v>
      </c>
      <c r="P1307" t="s">
        <v>4197</v>
      </c>
      <c r="Q1307" t="s">
        <v>75</v>
      </c>
      <c r="R1307" t="s">
        <v>5008</v>
      </c>
      <c r="S1307" t="s">
        <v>5068</v>
      </c>
      <c r="T1307" t="s">
        <v>78</v>
      </c>
      <c r="U1307" t="s">
        <v>5009</v>
      </c>
      <c r="V1307" t="s">
        <v>80</v>
      </c>
      <c r="W1307" s="1">
        <v>44534</v>
      </c>
      <c r="X1307" t="s">
        <v>5010</v>
      </c>
      <c r="Y1307" t="s">
        <v>5069</v>
      </c>
      <c r="Z1307" t="s">
        <v>83</v>
      </c>
      <c r="AA1307">
        <v>1</v>
      </c>
      <c r="AB1307" t="s">
        <v>4517</v>
      </c>
      <c r="AD1307" t="s">
        <v>104</v>
      </c>
      <c r="AE1307" t="s">
        <v>86</v>
      </c>
      <c r="AF1307" t="s">
        <v>146</v>
      </c>
      <c r="AG1307" t="s">
        <v>5071</v>
      </c>
      <c r="AI1307" t="s">
        <v>90</v>
      </c>
      <c r="AJ1307">
        <v>32.312947999999999</v>
      </c>
      <c r="AK1307">
        <v>-110.71189699999999</v>
      </c>
      <c r="AL1307">
        <v>3</v>
      </c>
      <c r="AN1307">
        <v>1151</v>
      </c>
      <c r="AP1307">
        <v>1151</v>
      </c>
      <c r="AQ1307">
        <v>1148.51053</v>
      </c>
      <c r="AT1307">
        <v>4</v>
      </c>
      <c r="AU1307">
        <v>12</v>
      </c>
      <c r="AV1307">
        <v>2021</v>
      </c>
      <c r="AW1307">
        <v>2439589</v>
      </c>
      <c r="AX1307">
        <v>2439589</v>
      </c>
      <c r="AY1307" t="s">
        <v>106</v>
      </c>
      <c r="AZ1307" t="s">
        <v>92</v>
      </c>
      <c r="BA1307" t="s">
        <v>107</v>
      </c>
      <c r="BB1307" t="s">
        <v>5077</v>
      </c>
      <c r="BC1307" t="s">
        <v>1186</v>
      </c>
      <c r="BE1307" t="s">
        <v>96</v>
      </c>
      <c r="BG1307" t="s">
        <v>4507</v>
      </c>
      <c r="BI1307" t="s">
        <v>98</v>
      </c>
      <c r="BJ1307" t="s">
        <v>5024</v>
      </c>
      <c r="BL1307" t="s">
        <v>110</v>
      </c>
    </row>
    <row r="1308" spans="1:64" hidden="1" x14ac:dyDescent="0.2">
      <c r="A1308">
        <v>1290</v>
      </c>
      <c r="B1308">
        <v>4022923423</v>
      </c>
      <c r="C1308" t="s">
        <v>101</v>
      </c>
      <c r="D1308" t="s">
        <v>5078</v>
      </c>
      <c r="E1308" t="s">
        <v>65</v>
      </c>
      <c r="F1308" t="s">
        <v>66</v>
      </c>
      <c r="G1308" t="s">
        <v>67</v>
      </c>
      <c r="H1308" t="s">
        <v>68</v>
      </c>
      <c r="I1308" t="s">
        <v>69</v>
      </c>
      <c r="J1308" t="s">
        <v>70</v>
      </c>
      <c r="K1308" t="s">
        <v>4195</v>
      </c>
      <c r="M1308" t="s">
        <v>72</v>
      </c>
      <c r="N1308" t="s">
        <v>4196</v>
      </c>
      <c r="O1308" t="s">
        <v>4195</v>
      </c>
      <c r="P1308" t="s">
        <v>4197</v>
      </c>
      <c r="Q1308" t="s">
        <v>75</v>
      </c>
      <c r="R1308" t="s">
        <v>5008</v>
      </c>
      <c r="S1308" t="s">
        <v>5068</v>
      </c>
      <c r="T1308" t="s">
        <v>78</v>
      </c>
      <c r="U1308" t="s">
        <v>5009</v>
      </c>
      <c r="V1308" t="s">
        <v>80</v>
      </c>
      <c r="W1308" s="1">
        <v>44534</v>
      </c>
      <c r="X1308" t="s">
        <v>5010</v>
      </c>
      <c r="Y1308" t="s">
        <v>5069</v>
      </c>
      <c r="Z1308" t="s">
        <v>83</v>
      </c>
      <c r="AA1308">
        <v>1</v>
      </c>
      <c r="AB1308" t="s">
        <v>4517</v>
      </c>
      <c r="AD1308" t="s">
        <v>112</v>
      </c>
      <c r="AE1308" t="s">
        <v>86</v>
      </c>
      <c r="AF1308" t="s">
        <v>146</v>
      </c>
      <c r="AG1308" t="s">
        <v>5071</v>
      </c>
      <c r="AI1308" t="s">
        <v>90</v>
      </c>
      <c r="AJ1308">
        <v>32.312947999999999</v>
      </c>
      <c r="AK1308">
        <v>-110.71189699999999</v>
      </c>
      <c r="AL1308">
        <v>3</v>
      </c>
      <c r="AN1308">
        <v>1151</v>
      </c>
      <c r="AP1308">
        <v>1151</v>
      </c>
      <c r="AQ1308">
        <v>1148.51053</v>
      </c>
      <c r="AT1308">
        <v>4</v>
      </c>
      <c r="AU1308">
        <v>12</v>
      </c>
      <c r="AV1308">
        <v>2021</v>
      </c>
      <c r="AW1308">
        <v>2439589</v>
      </c>
      <c r="AX1308">
        <v>2439589</v>
      </c>
      <c r="AY1308" t="s">
        <v>106</v>
      </c>
      <c r="AZ1308" t="s">
        <v>92</v>
      </c>
      <c r="BA1308" t="s">
        <v>107</v>
      </c>
      <c r="BB1308" t="s">
        <v>5079</v>
      </c>
      <c r="BC1308" t="s">
        <v>1186</v>
      </c>
      <c r="BE1308" t="s">
        <v>96</v>
      </c>
      <c r="BG1308" t="s">
        <v>4507</v>
      </c>
      <c r="BI1308" t="s">
        <v>98</v>
      </c>
      <c r="BJ1308" t="s">
        <v>5000</v>
      </c>
      <c r="BL1308" t="s">
        <v>110</v>
      </c>
    </row>
    <row r="1309" spans="1:64" hidden="1" x14ac:dyDescent="0.2">
      <c r="A1309">
        <v>1289</v>
      </c>
      <c r="B1309">
        <v>4022923424</v>
      </c>
      <c r="C1309" t="s">
        <v>101</v>
      </c>
      <c r="D1309" t="s">
        <v>5080</v>
      </c>
      <c r="E1309" t="s">
        <v>65</v>
      </c>
      <c r="F1309" t="s">
        <v>66</v>
      </c>
      <c r="G1309" t="s">
        <v>67</v>
      </c>
      <c r="H1309" t="s">
        <v>68</v>
      </c>
      <c r="I1309" t="s">
        <v>69</v>
      </c>
      <c r="J1309" t="s">
        <v>70</v>
      </c>
      <c r="K1309" t="s">
        <v>4195</v>
      </c>
      <c r="M1309" t="s">
        <v>72</v>
      </c>
      <c r="N1309" t="s">
        <v>4196</v>
      </c>
      <c r="O1309" t="s">
        <v>4195</v>
      </c>
      <c r="P1309" t="s">
        <v>4197</v>
      </c>
      <c r="Q1309" t="s">
        <v>75</v>
      </c>
      <c r="R1309" t="s">
        <v>5008</v>
      </c>
      <c r="S1309" t="s">
        <v>5068</v>
      </c>
      <c r="T1309" t="s">
        <v>78</v>
      </c>
      <c r="U1309" t="s">
        <v>5009</v>
      </c>
      <c r="V1309" t="s">
        <v>80</v>
      </c>
      <c r="W1309" s="1">
        <v>44534</v>
      </c>
      <c r="X1309" t="s">
        <v>5010</v>
      </c>
      <c r="Y1309" t="s">
        <v>5069</v>
      </c>
      <c r="Z1309" t="s">
        <v>83</v>
      </c>
      <c r="AA1309">
        <v>1</v>
      </c>
      <c r="AB1309" t="s">
        <v>4517</v>
      </c>
      <c r="AD1309" t="s">
        <v>116</v>
      </c>
      <c r="AE1309" t="s">
        <v>86</v>
      </c>
      <c r="AF1309" t="s">
        <v>146</v>
      </c>
      <c r="AG1309" t="s">
        <v>5071</v>
      </c>
      <c r="AI1309" t="s">
        <v>90</v>
      </c>
      <c r="AJ1309">
        <v>32.312947999999999</v>
      </c>
      <c r="AK1309">
        <v>-110.71189699999999</v>
      </c>
      <c r="AL1309">
        <v>3</v>
      </c>
      <c r="AN1309">
        <v>1151</v>
      </c>
      <c r="AP1309">
        <v>1151</v>
      </c>
      <c r="AQ1309">
        <v>1148.51053</v>
      </c>
      <c r="AT1309">
        <v>4</v>
      </c>
      <c r="AU1309">
        <v>12</v>
      </c>
      <c r="AV1309">
        <v>2021</v>
      </c>
      <c r="AW1309">
        <v>2439589</v>
      </c>
      <c r="AX1309">
        <v>2439589</v>
      </c>
      <c r="AY1309" t="s">
        <v>106</v>
      </c>
      <c r="AZ1309" t="s">
        <v>92</v>
      </c>
      <c r="BA1309" t="s">
        <v>107</v>
      </c>
      <c r="BB1309" t="s">
        <v>5081</v>
      </c>
      <c r="BC1309" t="s">
        <v>1186</v>
      </c>
      <c r="BE1309" t="s">
        <v>96</v>
      </c>
      <c r="BG1309" t="s">
        <v>4507</v>
      </c>
      <c r="BI1309" t="s">
        <v>98</v>
      </c>
      <c r="BJ1309" t="s">
        <v>1986</v>
      </c>
      <c r="BL1309" t="s">
        <v>110</v>
      </c>
    </row>
    <row r="1310" spans="1:64" hidden="1" x14ac:dyDescent="0.2">
      <c r="A1310">
        <v>1329</v>
      </c>
      <c r="B1310">
        <v>4022923384</v>
      </c>
      <c r="C1310" t="s">
        <v>101</v>
      </c>
      <c r="D1310" t="s">
        <v>5082</v>
      </c>
      <c r="E1310" t="s">
        <v>65</v>
      </c>
      <c r="F1310" t="s">
        <v>66</v>
      </c>
      <c r="G1310" t="s">
        <v>67</v>
      </c>
      <c r="H1310" t="s">
        <v>68</v>
      </c>
      <c r="I1310" t="s">
        <v>69</v>
      </c>
      <c r="J1310" t="s">
        <v>70</v>
      </c>
      <c r="K1310" t="s">
        <v>4195</v>
      </c>
      <c r="M1310" t="s">
        <v>72</v>
      </c>
      <c r="N1310" t="s">
        <v>4196</v>
      </c>
      <c r="O1310" t="s">
        <v>4195</v>
      </c>
      <c r="P1310" t="s">
        <v>4197</v>
      </c>
      <c r="Q1310" t="s">
        <v>75</v>
      </c>
      <c r="R1310" t="s">
        <v>5008</v>
      </c>
      <c r="S1310" t="s">
        <v>5068</v>
      </c>
      <c r="T1310" t="s">
        <v>78</v>
      </c>
      <c r="U1310" t="s">
        <v>5009</v>
      </c>
      <c r="V1310" t="s">
        <v>80</v>
      </c>
      <c r="W1310" s="1">
        <v>44534</v>
      </c>
      <c r="X1310" t="s">
        <v>5010</v>
      </c>
      <c r="Y1310" t="s">
        <v>5069</v>
      </c>
      <c r="Z1310" t="s">
        <v>83</v>
      </c>
      <c r="AA1310">
        <v>1</v>
      </c>
      <c r="AB1310" t="s">
        <v>672</v>
      </c>
      <c r="AD1310" t="s">
        <v>134</v>
      </c>
      <c r="AE1310" t="s">
        <v>86</v>
      </c>
      <c r="AF1310" t="s">
        <v>146</v>
      </c>
      <c r="AG1310" t="s">
        <v>5071</v>
      </c>
      <c r="AI1310" t="s">
        <v>90</v>
      </c>
      <c r="AJ1310">
        <v>32.312947999999999</v>
      </c>
      <c r="AK1310">
        <v>-110.71189699999999</v>
      </c>
      <c r="AL1310">
        <v>3</v>
      </c>
      <c r="AN1310">
        <v>1151</v>
      </c>
      <c r="AP1310">
        <v>1151</v>
      </c>
      <c r="AQ1310">
        <v>1148.51053</v>
      </c>
      <c r="AT1310">
        <v>4</v>
      </c>
      <c r="AU1310">
        <v>12</v>
      </c>
      <c r="AV1310">
        <v>2021</v>
      </c>
      <c r="AW1310">
        <v>2439589</v>
      </c>
      <c r="AX1310">
        <v>2439589</v>
      </c>
      <c r="AY1310" t="s">
        <v>106</v>
      </c>
      <c r="AZ1310" t="s">
        <v>92</v>
      </c>
      <c r="BA1310" t="s">
        <v>107</v>
      </c>
      <c r="BB1310" t="s">
        <v>5083</v>
      </c>
      <c r="BC1310" t="s">
        <v>1186</v>
      </c>
      <c r="BE1310" t="s">
        <v>96</v>
      </c>
      <c r="BG1310" t="s">
        <v>4507</v>
      </c>
      <c r="BI1310" t="s">
        <v>98</v>
      </c>
      <c r="BJ1310" t="s">
        <v>3122</v>
      </c>
      <c r="BL1310" t="s">
        <v>110</v>
      </c>
    </row>
    <row r="1311" spans="1:64" hidden="1" x14ac:dyDescent="0.2">
      <c r="A1311">
        <v>1328</v>
      </c>
      <c r="B1311">
        <v>4022923385</v>
      </c>
      <c r="C1311" t="s">
        <v>101</v>
      </c>
      <c r="D1311" t="s">
        <v>5084</v>
      </c>
      <c r="E1311" t="s">
        <v>65</v>
      </c>
      <c r="F1311" t="s">
        <v>66</v>
      </c>
      <c r="G1311" t="s">
        <v>67</v>
      </c>
      <c r="H1311" t="s">
        <v>68</v>
      </c>
      <c r="I1311" t="s">
        <v>69</v>
      </c>
      <c r="J1311" t="s">
        <v>70</v>
      </c>
      <c r="K1311" t="s">
        <v>4195</v>
      </c>
      <c r="M1311" t="s">
        <v>72</v>
      </c>
      <c r="N1311" t="s">
        <v>4196</v>
      </c>
      <c r="O1311" t="s">
        <v>4195</v>
      </c>
      <c r="P1311" t="s">
        <v>4197</v>
      </c>
      <c r="Q1311" t="s">
        <v>75</v>
      </c>
      <c r="R1311" t="s">
        <v>5008</v>
      </c>
      <c r="S1311" t="s">
        <v>5068</v>
      </c>
      <c r="T1311" t="s">
        <v>78</v>
      </c>
      <c r="U1311" t="s">
        <v>5009</v>
      </c>
      <c r="V1311" t="s">
        <v>80</v>
      </c>
      <c r="W1311" s="1">
        <v>44534</v>
      </c>
      <c r="X1311" t="s">
        <v>5010</v>
      </c>
      <c r="Y1311" t="s">
        <v>5069</v>
      </c>
      <c r="Z1311" t="s">
        <v>83</v>
      </c>
      <c r="AA1311">
        <v>1</v>
      </c>
      <c r="AB1311" t="s">
        <v>4517</v>
      </c>
      <c r="AD1311" t="s">
        <v>139</v>
      </c>
      <c r="AE1311" t="s">
        <v>86</v>
      </c>
      <c r="AF1311" t="s">
        <v>146</v>
      </c>
      <c r="AG1311" t="s">
        <v>5071</v>
      </c>
      <c r="AI1311" t="s">
        <v>90</v>
      </c>
      <c r="AJ1311">
        <v>32.312947999999999</v>
      </c>
      <c r="AK1311">
        <v>-110.71189699999999</v>
      </c>
      <c r="AL1311">
        <v>3</v>
      </c>
      <c r="AN1311">
        <v>1151</v>
      </c>
      <c r="AP1311">
        <v>1151</v>
      </c>
      <c r="AQ1311">
        <v>1148.51053</v>
      </c>
      <c r="AT1311">
        <v>4</v>
      </c>
      <c r="AU1311">
        <v>12</v>
      </c>
      <c r="AV1311">
        <v>2021</v>
      </c>
      <c r="AW1311">
        <v>2439589</v>
      </c>
      <c r="AX1311">
        <v>2439589</v>
      </c>
      <c r="AY1311" t="s">
        <v>106</v>
      </c>
      <c r="AZ1311" t="s">
        <v>92</v>
      </c>
      <c r="BA1311" t="s">
        <v>107</v>
      </c>
      <c r="BB1311" t="s">
        <v>5085</v>
      </c>
      <c r="BC1311" t="s">
        <v>1186</v>
      </c>
      <c r="BE1311" t="s">
        <v>96</v>
      </c>
      <c r="BG1311" t="s">
        <v>4507</v>
      </c>
      <c r="BI1311" t="s">
        <v>98</v>
      </c>
      <c r="BJ1311" t="s">
        <v>3122</v>
      </c>
      <c r="BL1311" t="s">
        <v>110</v>
      </c>
    </row>
    <row r="1312" spans="1:64" hidden="1" x14ac:dyDescent="0.2">
      <c r="A1312">
        <v>1303</v>
      </c>
      <c r="B1312">
        <v>4022923410</v>
      </c>
      <c r="C1312" t="s">
        <v>101</v>
      </c>
      <c r="D1312" t="s">
        <v>5086</v>
      </c>
      <c r="E1312" t="s">
        <v>65</v>
      </c>
      <c r="F1312" t="s">
        <v>66</v>
      </c>
      <c r="G1312" t="s">
        <v>67</v>
      </c>
      <c r="H1312" t="s">
        <v>68</v>
      </c>
      <c r="I1312" t="s">
        <v>69</v>
      </c>
      <c r="J1312" t="s">
        <v>70</v>
      </c>
      <c r="K1312" t="s">
        <v>4195</v>
      </c>
      <c r="M1312" t="s">
        <v>72</v>
      </c>
      <c r="N1312" t="s">
        <v>4196</v>
      </c>
      <c r="O1312" t="s">
        <v>4195</v>
      </c>
      <c r="P1312" t="s">
        <v>4197</v>
      </c>
      <c r="Q1312" t="s">
        <v>75</v>
      </c>
      <c r="R1312" t="s">
        <v>5008</v>
      </c>
      <c r="S1312" t="s">
        <v>5068</v>
      </c>
      <c r="T1312" t="s">
        <v>78</v>
      </c>
      <c r="U1312" t="s">
        <v>5009</v>
      </c>
      <c r="V1312" t="s">
        <v>80</v>
      </c>
      <c r="W1312" s="1">
        <v>44534</v>
      </c>
      <c r="X1312" t="s">
        <v>5010</v>
      </c>
      <c r="Y1312" t="s">
        <v>5069</v>
      </c>
      <c r="Z1312" t="s">
        <v>83</v>
      </c>
      <c r="AA1312">
        <v>1</v>
      </c>
      <c r="AB1312" t="s">
        <v>4517</v>
      </c>
      <c r="AD1312" t="s">
        <v>123</v>
      </c>
      <c r="AE1312" t="s">
        <v>86</v>
      </c>
      <c r="AF1312" t="s">
        <v>146</v>
      </c>
      <c r="AG1312" t="s">
        <v>5071</v>
      </c>
      <c r="AI1312" t="s">
        <v>90</v>
      </c>
      <c r="AJ1312">
        <v>32.312947999999999</v>
      </c>
      <c r="AK1312">
        <v>-110.71189699999999</v>
      </c>
      <c r="AL1312">
        <v>3</v>
      </c>
      <c r="AN1312">
        <v>1151</v>
      </c>
      <c r="AP1312">
        <v>1151</v>
      </c>
      <c r="AQ1312">
        <v>1148.51053</v>
      </c>
      <c r="AT1312">
        <v>4</v>
      </c>
      <c r="AU1312">
        <v>12</v>
      </c>
      <c r="AV1312">
        <v>2021</v>
      </c>
      <c r="AW1312">
        <v>2439589</v>
      </c>
      <c r="AX1312">
        <v>2439589</v>
      </c>
      <c r="AY1312" t="s">
        <v>106</v>
      </c>
      <c r="AZ1312" t="s">
        <v>92</v>
      </c>
      <c r="BA1312" t="s">
        <v>107</v>
      </c>
      <c r="BB1312" t="s">
        <v>5087</v>
      </c>
      <c r="BC1312" t="s">
        <v>1186</v>
      </c>
      <c r="BE1312" t="s">
        <v>96</v>
      </c>
      <c r="BG1312" t="s">
        <v>4507</v>
      </c>
      <c r="BI1312" t="s">
        <v>98</v>
      </c>
      <c r="BJ1312" t="s">
        <v>4627</v>
      </c>
      <c r="BL1312" t="s">
        <v>110</v>
      </c>
    </row>
    <row r="1313" spans="1:64" x14ac:dyDescent="0.2">
      <c r="A1313">
        <v>1487</v>
      </c>
      <c r="B1313">
        <v>3744741646</v>
      </c>
      <c r="C1313" t="s">
        <v>101</v>
      </c>
      <c r="D1313" t="s">
        <v>4419</v>
      </c>
      <c r="E1313" t="s">
        <v>65</v>
      </c>
      <c r="F1313" t="s">
        <v>66</v>
      </c>
      <c r="G1313" t="s">
        <v>67</v>
      </c>
      <c r="H1313" t="s">
        <v>68</v>
      </c>
      <c r="I1313" t="s">
        <v>69</v>
      </c>
      <c r="J1313" t="s">
        <v>70</v>
      </c>
      <c r="K1313" t="s">
        <v>71</v>
      </c>
      <c r="M1313" t="s">
        <v>72</v>
      </c>
      <c r="N1313" t="s">
        <v>73</v>
      </c>
      <c r="O1313" t="s">
        <v>71</v>
      </c>
      <c r="P1313" t="s">
        <v>74</v>
      </c>
      <c r="Q1313" t="s">
        <v>75</v>
      </c>
      <c r="R1313" t="s">
        <v>4297</v>
      </c>
      <c r="S1313" t="s">
        <v>4391</v>
      </c>
      <c r="T1313" t="s">
        <v>78</v>
      </c>
      <c r="U1313" t="s">
        <v>79</v>
      </c>
      <c r="V1313" t="s">
        <v>80</v>
      </c>
      <c r="W1313" s="1">
        <v>44521</v>
      </c>
      <c r="X1313" t="s">
        <v>81</v>
      </c>
      <c r="Y1313" t="s">
        <v>4392</v>
      </c>
      <c r="Z1313" t="s">
        <v>83</v>
      </c>
      <c r="AA1313">
        <v>1</v>
      </c>
      <c r="AB1313" t="s">
        <v>103</v>
      </c>
      <c r="AC1313">
        <v>1</v>
      </c>
      <c r="AD1313" t="s">
        <v>119</v>
      </c>
      <c r="AE1313" t="s">
        <v>86</v>
      </c>
      <c r="AF1313" t="s">
        <v>146</v>
      </c>
      <c r="AG1313" t="s">
        <v>4394</v>
      </c>
      <c r="AH1313" t="s">
        <v>4398</v>
      </c>
      <c r="AI1313" t="s">
        <v>90</v>
      </c>
      <c r="AJ1313">
        <v>32.499460999999997</v>
      </c>
      <c r="AK1313">
        <v>-110.68250999999999</v>
      </c>
      <c r="AL1313">
        <v>3</v>
      </c>
      <c r="AN1313">
        <v>1318</v>
      </c>
      <c r="AP1313">
        <v>1318</v>
      </c>
      <c r="AQ1313">
        <v>1318.1478159999999</v>
      </c>
      <c r="AT1313">
        <v>21</v>
      </c>
      <c r="AU1313">
        <v>11</v>
      </c>
      <c r="AV1313">
        <v>2021</v>
      </c>
      <c r="AW1313">
        <v>2439581</v>
      </c>
      <c r="AX1313">
        <v>2439581</v>
      </c>
      <c r="AY1313" t="s">
        <v>106</v>
      </c>
      <c r="AZ1313" t="s">
        <v>92</v>
      </c>
      <c r="BA1313" t="s">
        <v>107</v>
      </c>
      <c r="BB1313" t="s">
        <v>4420</v>
      </c>
      <c r="BC1313" t="s">
        <v>97</v>
      </c>
      <c r="BE1313" t="s">
        <v>96</v>
      </c>
      <c r="BG1313" t="s">
        <v>97</v>
      </c>
      <c r="BI1313" t="s">
        <v>98</v>
      </c>
      <c r="BJ1313" t="s">
        <v>4421</v>
      </c>
      <c r="BL1313" t="s">
        <v>110</v>
      </c>
    </row>
    <row r="1314" spans="1:64" hidden="1" x14ac:dyDescent="0.2">
      <c r="A1314">
        <v>1222</v>
      </c>
      <c r="B1314">
        <v>4022923491</v>
      </c>
      <c r="C1314" t="s">
        <v>101</v>
      </c>
      <c r="D1314" t="s">
        <v>5098</v>
      </c>
      <c r="E1314" t="s">
        <v>65</v>
      </c>
      <c r="F1314" t="s">
        <v>66</v>
      </c>
      <c r="G1314" t="s">
        <v>67</v>
      </c>
      <c r="H1314" t="s">
        <v>68</v>
      </c>
      <c r="I1314" t="s">
        <v>176</v>
      </c>
      <c r="J1314" t="s">
        <v>177</v>
      </c>
      <c r="K1314" t="s">
        <v>3925</v>
      </c>
      <c r="M1314" t="s">
        <v>72</v>
      </c>
      <c r="N1314" t="s">
        <v>3926</v>
      </c>
      <c r="O1314" t="s">
        <v>3925</v>
      </c>
      <c r="P1314" t="s">
        <v>1176</v>
      </c>
      <c r="Q1314" t="s">
        <v>75</v>
      </c>
      <c r="R1314" t="s">
        <v>5008</v>
      </c>
      <c r="S1314" t="s">
        <v>5092</v>
      </c>
      <c r="T1314" t="s">
        <v>78</v>
      </c>
      <c r="U1314" t="s">
        <v>5009</v>
      </c>
      <c r="V1314" t="s">
        <v>80</v>
      </c>
      <c r="W1314" s="1">
        <v>44534</v>
      </c>
      <c r="X1314" t="s">
        <v>5010</v>
      </c>
      <c r="Y1314" t="s">
        <v>5093</v>
      </c>
      <c r="Z1314" t="s">
        <v>83</v>
      </c>
      <c r="AA1314">
        <v>1</v>
      </c>
      <c r="AB1314" t="s">
        <v>4517</v>
      </c>
      <c r="AD1314" t="s">
        <v>104</v>
      </c>
      <c r="AE1314" t="s">
        <v>145</v>
      </c>
      <c r="AF1314" t="s">
        <v>146</v>
      </c>
      <c r="AG1314" t="s">
        <v>5099</v>
      </c>
      <c r="AI1314" t="s">
        <v>90</v>
      </c>
      <c r="AJ1314">
        <v>32.312980000000003</v>
      </c>
      <c r="AK1314">
        <v>-110.71189800000001</v>
      </c>
      <c r="AL1314">
        <v>3</v>
      </c>
      <c r="AN1314">
        <v>1149</v>
      </c>
      <c r="AP1314">
        <v>1149</v>
      </c>
      <c r="AQ1314">
        <v>1148.92264</v>
      </c>
      <c r="AT1314">
        <v>4</v>
      </c>
      <c r="AU1314">
        <v>12</v>
      </c>
      <c r="AV1314">
        <v>2021</v>
      </c>
      <c r="AW1314">
        <v>2437981</v>
      </c>
      <c r="AX1314">
        <v>2437981</v>
      </c>
      <c r="AY1314" t="s">
        <v>106</v>
      </c>
      <c r="AZ1314" t="s">
        <v>92</v>
      </c>
      <c r="BA1314" t="s">
        <v>107</v>
      </c>
      <c r="BB1314" t="s">
        <v>5100</v>
      </c>
      <c r="BC1314" t="s">
        <v>1186</v>
      </c>
      <c r="BE1314" t="s">
        <v>96</v>
      </c>
      <c r="BG1314" t="s">
        <v>4507</v>
      </c>
      <c r="BI1314" t="s">
        <v>98</v>
      </c>
      <c r="BJ1314" t="s">
        <v>933</v>
      </c>
      <c r="BL1314" t="s">
        <v>110</v>
      </c>
    </row>
    <row r="1315" spans="1:64" hidden="1" x14ac:dyDescent="0.2">
      <c r="A1315">
        <v>1299</v>
      </c>
      <c r="B1315">
        <v>4022923414</v>
      </c>
      <c r="C1315" t="s">
        <v>101</v>
      </c>
      <c r="D1315" t="s">
        <v>5101</v>
      </c>
      <c r="E1315" t="s">
        <v>65</v>
      </c>
      <c r="F1315" t="s">
        <v>66</v>
      </c>
      <c r="G1315" t="s">
        <v>67</v>
      </c>
      <c r="H1315" t="s">
        <v>68</v>
      </c>
      <c r="I1315" t="s">
        <v>176</v>
      </c>
      <c r="J1315" t="s">
        <v>177</v>
      </c>
      <c r="K1315" t="s">
        <v>3925</v>
      </c>
      <c r="M1315" t="s">
        <v>72</v>
      </c>
      <c r="N1315" t="s">
        <v>3926</v>
      </c>
      <c r="O1315" t="s">
        <v>3925</v>
      </c>
      <c r="P1315" t="s">
        <v>1176</v>
      </c>
      <c r="Q1315" t="s">
        <v>75</v>
      </c>
      <c r="R1315" t="s">
        <v>5008</v>
      </c>
      <c r="S1315" t="s">
        <v>5092</v>
      </c>
      <c r="T1315" t="s">
        <v>78</v>
      </c>
      <c r="U1315" t="s">
        <v>5009</v>
      </c>
      <c r="V1315" t="s">
        <v>80</v>
      </c>
      <c r="W1315" s="1">
        <v>44534</v>
      </c>
      <c r="X1315" t="s">
        <v>5010</v>
      </c>
      <c r="Y1315" t="s">
        <v>5093</v>
      </c>
      <c r="Z1315" t="s">
        <v>83</v>
      </c>
      <c r="AA1315">
        <v>1</v>
      </c>
      <c r="AB1315" t="s">
        <v>672</v>
      </c>
      <c r="AD1315" t="s">
        <v>134</v>
      </c>
      <c r="AE1315" t="s">
        <v>145</v>
      </c>
      <c r="AF1315" t="s">
        <v>146</v>
      </c>
      <c r="AG1315" t="s">
        <v>5099</v>
      </c>
      <c r="AI1315" t="s">
        <v>90</v>
      </c>
      <c r="AJ1315">
        <v>32.312980000000003</v>
      </c>
      <c r="AK1315">
        <v>-110.71189800000001</v>
      </c>
      <c r="AL1315">
        <v>3</v>
      </c>
      <c r="AN1315">
        <v>1149</v>
      </c>
      <c r="AP1315">
        <v>1149</v>
      </c>
      <c r="AQ1315">
        <v>1148.92264</v>
      </c>
      <c r="AT1315">
        <v>4</v>
      </c>
      <c r="AU1315">
        <v>12</v>
      </c>
      <c r="AV1315">
        <v>2021</v>
      </c>
      <c r="AW1315">
        <v>2437981</v>
      </c>
      <c r="AX1315">
        <v>2437981</v>
      </c>
      <c r="AY1315" t="s">
        <v>106</v>
      </c>
      <c r="AZ1315" t="s">
        <v>92</v>
      </c>
      <c r="BA1315" t="s">
        <v>107</v>
      </c>
      <c r="BB1315" t="s">
        <v>5102</v>
      </c>
      <c r="BC1315" t="s">
        <v>1186</v>
      </c>
      <c r="BE1315" t="s">
        <v>96</v>
      </c>
      <c r="BG1315" t="s">
        <v>4507</v>
      </c>
      <c r="BI1315" t="s">
        <v>98</v>
      </c>
      <c r="BJ1315" t="s">
        <v>4557</v>
      </c>
      <c r="BL1315" t="s">
        <v>110</v>
      </c>
    </row>
    <row r="1316" spans="1:64" hidden="1" x14ac:dyDescent="0.2">
      <c r="A1316">
        <v>1298</v>
      </c>
      <c r="B1316">
        <v>4022923415</v>
      </c>
      <c r="C1316" t="s">
        <v>101</v>
      </c>
      <c r="D1316" t="s">
        <v>5103</v>
      </c>
      <c r="E1316" t="s">
        <v>65</v>
      </c>
      <c r="F1316" t="s">
        <v>66</v>
      </c>
      <c r="G1316" t="s">
        <v>67</v>
      </c>
      <c r="H1316" t="s">
        <v>68</v>
      </c>
      <c r="I1316" t="s">
        <v>176</v>
      </c>
      <c r="J1316" t="s">
        <v>177</v>
      </c>
      <c r="K1316" t="s">
        <v>3925</v>
      </c>
      <c r="M1316" t="s">
        <v>72</v>
      </c>
      <c r="N1316" t="s">
        <v>3926</v>
      </c>
      <c r="O1316" t="s">
        <v>3925</v>
      </c>
      <c r="P1316" t="s">
        <v>1176</v>
      </c>
      <c r="Q1316" t="s">
        <v>75</v>
      </c>
      <c r="R1316" t="s">
        <v>5008</v>
      </c>
      <c r="S1316" t="s">
        <v>5092</v>
      </c>
      <c r="T1316" t="s">
        <v>78</v>
      </c>
      <c r="U1316" t="s">
        <v>5009</v>
      </c>
      <c r="V1316" t="s">
        <v>80</v>
      </c>
      <c r="W1316" s="1">
        <v>44534</v>
      </c>
      <c r="X1316" t="s">
        <v>5010</v>
      </c>
      <c r="Y1316" t="s">
        <v>5093</v>
      </c>
      <c r="Z1316" t="s">
        <v>83</v>
      </c>
      <c r="AA1316">
        <v>1</v>
      </c>
      <c r="AB1316" t="s">
        <v>4517</v>
      </c>
      <c r="AD1316" t="s">
        <v>139</v>
      </c>
      <c r="AE1316" t="s">
        <v>145</v>
      </c>
      <c r="AF1316" t="s">
        <v>146</v>
      </c>
      <c r="AG1316" t="s">
        <v>5099</v>
      </c>
      <c r="AI1316" t="s">
        <v>90</v>
      </c>
      <c r="AJ1316">
        <v>32.312980000000003</v>
      </c>
      <c r="AK1316">
        <v>-110.71189800000001</v>
      </c>
      <c r="AL1316">
        <v>3</v>
      </c>
      <c r="AN1316">
        <v>1149</v>
      </c>
      <c r="AP1316">
        <v>1149</v>
      </c>
      <c r="AQ1316">
        <v>1148.92264</v>
      </c>
      <c r="AT1316">
        <v>4</v>
      </c>
      <c r="AU1316">
        <v>12</v>
      </c>
      <c r="AV1316">
        <v>2021</v>
      </c>
      <c r="AW1316">
        <v>2437981</v>
      </c>
      <c r="AX1316">
        <v>2437981</v>
      </c>
      <c r="AY1316" t="s">
        <v>106</v>
      </c>
      <c r="AZ1316" t="s">
        <v>92</v>
      </c>
      <c r="BA1316" t="s">
        <v>107</v>
      </c>
      <c r="BB1316" t="s">
        <v>5104</v>
      </c>
      <c r="BC1316" t="s">
        <v>1186</v>
      </c>
      <c r="BE1316" t="s">
        <v>96</v>
      </c>
      <c r="BG1316" t="s">
        <v>4507</v>
      </c>
      <c r="BI1316" t="s">
        <v>98</v>
      </c>
      <c r="BJ1316" t="s">
        <v>4557</v>
      </c>
      <c r="BL1316" t="s">
        <v>110</v>
      </c>
    </row>
    <row r="1317" spans="1:64" hidden="1" x14ac:dyDescent="0.2">
      <c r="A1317">
        <v>1296</v>
      </c>
      <c r="B1317">
        <v>4022923417</v>
      </c>
      <c r="C1317" t="s">
        <v>101</v>
      </c>
      <c r="D1317" t="s">
        <v>5105</v>
      </c>
      <c r="E1317" t="s">
        <v>65</v>
      </c>
      <c r="F1317" t="s">
        <v>66</v>
      </c>
      <c r="G1317" t="s">
        <v>67</v>
      </c>
      <c r="H1317" t="s">
        <v>68</v>
      </c>
      <c r="I1317" t="s">
        <v>176</v>
      </c>
      <c r="J1317" t="s">
        <v>177</v>
      </c>
      <c r="K1317" t="s">
        <v>3925</v>
      </c>
      <c r="M1317" t="s">
        <v>72</v>
      </c>
      <c r="N1317" t="s">
        <v>3926</v>
      </c>
      <c r="O1317" t="s">
        <v>3925</v>
      </c>
      <c r="P1317" t="s">
        <v>1176</v>
      </c>
      <c r="Q1317" t="s">
        <v>75</v>
      </c>
      <c r="R1317" t="s">
        <v>5008</v>
      </c>
      <c r="S1317" t="s">
        <v>5092</v>
      </c>
      <c r="T1317" t="s">
        <v>78</v>
      </c>
      <c r="U1317" t="s">
        <v>5009</v>
      </c>
      <c r="V1317" t="s">
        <v>80</v>
      </c>
      <c r="W1317" s="1">
        <v>44534</v>
      </c>
      <c r="X1317" t="s">
        <v>5010</v>
      </c>
      <c r="Y1317" t="s">
        <v>5093</v>
      </c>
      <c r="Z1317" t="s">
        <v>83</v>
      </c>
      <c r="AA1317">
        <v>1</v>
      </c>
      <c r="AB1317" t="s">
        <v>4517</v>
      </c>
      <c r="AD1317" t="s">
        <v>123</v>
      </c>
      <c r="AE1317" t="s">
        <v>145</v>
      </c>
      <c r="AF1317" t="s">
        <v>146</v>
      </c>
      <c r="AG1317" t="s">
        <v>5099</v>
      </c>
      <c r="AI1317" t="s">
        <v>90</v>
      </c>
      <c r="AJ1317">
        <v>32.312980000000003</v>
      </c>
      <c r="AK1317">
        <v>-110.71189800000001</v>
      </c>
      <c r="AL1317">
        <v>3</v>
      </c>
      <c r="AN1317">
        <v>1149</v>
      </c>
      <c r="AP1317">
        <v>1149</v>
      </c>
      <c r="AQ1317">
        <v>1148.92264</v>
      </c>
      <c r="AT1317">
        <v>4</v>
      </c>
      <c r="AU1317">
        <v>12</v>
      </c>
      <c r="AV1317">
        <v>2021</v>
      </c>
      <c r="AW1317">
        <v>2437981</v>
      </c>
      <c r="AX1317">
        <v>2437981</v>
      </c>
      <c r="AY1317" t="s">
        <v>106</v>
      </c>
      <c r="AZ1317" t="s">
        <v>92</v>
      </c>
      <c r="BA1317" t="s">
        <v>107</v>
      </c>
      <c r="BB1317" t="s">
        <v>5106</v>
      </c>
      <c r="BC1317" t="s">
        <v>1186</v>
      </c>
      <c r="BE1317" t="s">
        <v>96</v>
      </c>
      <c r="BG1317" t="s">
        <v>4507</v>
      </c>
      <c r="BI1317" t="s">
        <v>98</v>
      </c>
      <c r="BJ1317" t="s">
        <v>5000</v>
      </c>
      <c r="BL1317" t="s">
        <v>110</v>
      </c>
    </row>
    <row r="1318" spans="1:64" hidden="1" x14ac:dyDescent="0.2">
      <c r="A1318">
        <v>1294</v>
      </c>
      <c r="B1318">
        <v>4022923419</v>
      </c>
      <c r="C1318" t="s">
        <v>101</v>
      </c>
      <c r="D1318" t="s">
        <v>5107</v>
      </c>
      <c r="E1318" t="s">
        <v>65</v>
      </c>
      <c r="F1318" t="s">
        <v>66</v>
      </c>
      <c r="G1318" t="s">
        <v>67</v>
      </c>
      <c r="H1318" t="s">
        <v>68</v>
      </c>
      <c r="I1318" t="s">
        <v>176</v>
      </c>
      <c r="J1318" t="s">
        <v>177</v>
      </c>
      <c r="K1318" t="s">
        <v>3925</v>
      </c>
      <c r="M1318" t="s">
        <v>72</v>
      </c>
      <c r="N1318" t="s">
        <v>3926</v>
      </c>
      <c r="O1318" t="s">
        <v>3925</v>
      </c>
      <c r="P1318" t="s">
        <v>1176</v>
      </c>
      <c r="Q1318" t="s">
        <v>75</v>
      </c>
      <c r="R1318" t="s">
        <v>5008</v>
      </c>
      <c r="S1318" t="s">
        <v>5092</v>
      </c>
      <c r="T1318" t="s">
        <v>78</v>
      </c>
      <c r="U1318" t="s">
        <v>5009</v>
      </c>
      <c r="V1318" t="s">
        <v>80</v>
      </c>
      <c r="W1318" s="1">
        <v>44534</v>
      </c>
      <c r="X1318" t="s">
        <v>5010</v>
      </c>
      <c r="Y1318" t="s">
        <v>5093</v>
      </c>
      <c r="Z1318" t="s">
        <v>83</v>
      </c>
      <c r="AA1318">
        <v>1</v>
      </c>
      <c r="AB1318" t="s">
        <v>4517</v>
      </c>
      <c r="AD1318" t="s">
        <v>112</v>
      </c>
      <c r="AE1318" t="s">
        <v>145</v>
      </c>
      <c r="AF1318" t="s">
        <v>146</v>
      </c>
      <c r="AG1318" t="s">
        <v>5099</v>
      </c>
      <c r="AI1318" t="s">
        <v>90</v>
      </c>
      <c r="AJ1318">
        <v>32.312980000000003</v>
      </c>
      <c r="AK1318">
        <v>-110.71189800000001</v>
      </c>
      <c r="AL1318">
        <v>3</v>
      </c>
      <c r="AN1318">
        <v>1149</v>
      </c>
      <c r="AP1318">
        <v>1149</v>
      </c>
      <c r="AQ1318">
        <v>1148.92264</v>
      </c>
      <c r="AT1318">
        <v>4</v>
      </c>
      <c r="AU1318">
        <v>12</v>
      </c>
      <c r="AV1318">
        <v>2021</v>
      </c>
      <c r="AW1318">
        <v>2437981</v>
      </c>
      <c r="AX1318">
        <v>2437981</v>
      </c>
      <c r="AY1318" t="s">
        <v>106</v>
      </c>
      <c r="AZ1318" t="s">
        <v>92</v>
      </c>
      <c r="BA1318" t="s">
        <v>107</v>
      </c>
      <c r="BB1318" t="s">
        <v>5108</v>
      </c>
      <c r="BC1318" t="s">
        <v>1186</v>
      </c>
      <c r="BE1318" t="s">
        <v>96</v>
      </c>
      <c r="BG1318" t="s">
        <v>4507</v>
      </c>
      <c r="BI1318" t="s">
        <v>98</v>
      </c>
      <c r="BJ1318" t="s">
        <v>5109</v>
      </c>
      <c r="BL1318" t="s">
        <v>110</v>
      </c>
    </row>
    <row r="1319" spans="1:64" hidden="1" x14ac:dyDescent="0.2">
      <c r="A1319">
        <v>1293</v>
      </c>
      <c r="B1319">
        <v>4022923420</v>
      </c>
      <c r="C1319" t="s">
        <v>101</v>
      </c>
      <c r="D1319" t="s">
        <v>5110</v>
      </c>
      <c r="E1319" t="s">
        <v>65</v>
      </c>
      <c r="F1319" t="s">
        <v>66</v>
      </c>
      <c r="G1319" t="s">
        <v>67</v>
      </c>
      <c r="H1319" t="s">
        <v>68</v>
      </c>
      <c r="I1319" t="s">
        <v>176</v>
      </c>
      <c r="J1319" t="s">
        <v>177</v>
      </c>
      <c r="K1319" t="s">
        <v>3925</v>
      </c>
      <c r="M1319" t="s">
        <v>72</v>
      </c>
      <c r="N1319" t="s">
        <v>3926</v>
      </c>
      <c r="O1319" t="s">
        <v>3925</v>
      </c>
      <c r="P1319" t="s">
        <v>1176</v>
      </c>
      <c r="Q1319" t="s">
        <v>75</v>
      </c>
      <c r="R1319" t="s">
        <v>5008</v>
      </c>
      <c r="S1319" t="s">
        <v>5092</v>
      </c>
      <c r="T1319" t="s">
        <v>78</v>
      </c>
      <c r="U1319" t="s">
        <v>5009</v>
      </c>
      <c r="V1319" t="s">
        <v>80</v>
      </c>
      <c r="W1319" s="1">
        <v>44534</v>
      </c>
      <c r="X1319" t="s">
        <v>5010</v>
      </c>
      <c r="Y1319" t="s">
        <v>5093</v>
      </c>
      <c r="Z1319" t="s">
        <v>83</v>
      </c>
      <c r="AA1319">
        <v>1</v>
      </c>
      <c r="AB1319" t="s">
        <v>4517</v>
      </c>
      <c r="AD1319" t="s">
        <v>116</v>
      </c>
      <c r="AE1319" t="s">
        <v>145</v>
      </c>
      <c r="AF1319" t="s">
        <v>146</v>
      </c>
      <c r="AG1319" t="s">
        <v>5099</v>
      </c>
      <c r="AI1319" t="s">
        <v>90</v>
      </c>
      <c r="AJ1319">
        <v>32.312980000000003</v>
      </c>
      <c r="AK1319">
        <v>-110.71189800000001</v>
      </c>
      <c r="AL1319">
        <v>3</v>
      </c>
      <c r="AN1319">
        <v>1149</v>
      </c>
      <c r="AP1319">
        <v>1149</v>
      </c>
      <c r="AQ1319">
        <v>1148.92264</v>
      </c>
      <c r="AT1319">
        <v>4</v>
      </c>
      <c r="AU1319">
        <v>12</v>
      </c>
      <c r="AV1319">
        <v>2021</v>
      </c>
      <c r="AW1319">
        <v>2437981</v>
      </c>
      <c r="AX1319">
        <v>2437981</v>
      </c>
      <c r="AY1319" t="s">
        <v>106</v>
      </c>
      <c r="AZ1319" t="s">
        <v>92</v>
      </c>
      <c r="BA1319" t="s">
        <v>107</v>
      </c>
      <c r="BB1319" t="s">
        <v>5111</v>
      </c>
      <c r="BC1319" t="s">
        <v>1186</v>
      </c>
      <c r="BE1319" t="s">
        <v>96</v>
      </c>
      <c r="BG1319" t="s">
        <v>4507</v>
      </c>
      <c r="BI1319" t="s">
        <v>98</v>
      </c>
      <c r="BJ1319" t="s">
        <v>4856</v>
      </c>
      <c r="BL1319" t="s">
        <v>110</v>
      </c>
    </row>
    <row r="1320" spans="1:64" x14ac:dyDescent="0.2">
      <c r="A1320">
        <v>1511</v>
      </c>
      <c r="B1320">
        <v>3744741622</v>
      </c>
      <c r="C1320" t="s">
        <v>101</v>
      </c>
      <c r="D1320" t="s">
        <v>4451</v>
      </c>
      <c r="E1320" t="s">
        <v>65</v>
      </c>
      <c r="F1320" t="s">
        <v>66</v>
      </c>
      <c r="G1320" t="s">
        <v>67</v>
      </c>
      <c r="H1320" t="s">
        <v>68</v>
      </c>
      <c r="I1320" t="s">
        <v>176</v>
      </c>
      <c r="J1320" t="s">
        <v>3844</v>
      </c>
      <c r="K1320" t="s">
        <v>3845</v>
      </c>
      <c r="M1320" t="s">
        <v>72</v>
      </c>
      <c r="N1320" t="s">
        <v>3846</v>
      </c>
      <c r="O1320" t="s">
        <v>3845</v>
      </c>
      <c r="P1320" t="s">
        <v>3847</v>
      </c>
      <c r="Q1320" t="s">
        <v>75</v>
      </c>
      <c r="R1320" t="s">
        <v>4297</v>
      </c>
      <c r="S1320" t="s">
        <v>4432</v>
      </c>
      <c r="T1320" t="s">
        <v>78</v>
      </c>
      <c r="U1320" t="s">
        <v>79</v>
      </c>
      <c r="V1320" t="s">
        <v>80</v>
      </c>
      <c r="W1320" s="1">
        <v>44521</v>
      </c>
      <c r="X1320" t="s">
        <v>81</v>
      </c>
      <c r="Y1320" t="s">
        <v>4433</v>
      </c>
      <c r="Z1320" t="s">
        <v>83</v>
      </c>
      <c r="AA1320">
        <v>1</v>
      </c>
      <c r="AB1320" t="s">
        <v>103</v>
      </c>
      <c r="AC1320">
        <v>1</v>
      </c>
      <c r="AD1320" t="s">
        <v>119</v>
      </c>
      <c r="AE1320" t="s">
        <v>145</v>
      </c>
      <c r="AF1320" t="s">
        <v>281</v>
      </c>
      <c r="AG1320" t="s">
        <v>4440</v>
      </c>
      <c r="AH1320" t="s">
        <v>4441</v>
      </c>
      <c r="AI1320" t="s">
        <v>90</v>
      </c>
      <c r="AJ1320">
        <v>32.499175999999999</v>
      </c>
      <c r="AK1320">
        <v>-110.682423</v>
      </c>
      <c r="AL1320">
        <v>3</v>
      </c>
      <c r="AN1320">
        <v>1315</v>
      </c>
      <c r="AP1320">
        <v>1315</v>
      </c>
      <c r="AQ1320">
        <v>1320.239654</v>
      </c>
      <c r="AT1320">
        <v>21</v>
      </c>
      <c r="AU1320">
        <v>11</v>
      </c>
      <c r="AV1320">
        <v>2021</v>
      </c>
      <c r="AW1320">
        <v>2438516</v>
      </c>
      <c r="AX1320">
        <v>2438516</v>
      </c>
      <c r="AY1320" t="s">
        <v>106</v>
      </c>
      <c r="AZ1320" t="s">
        <v>92</v>
      </c>
      <c r="BA1320" t="s">
        <v>107</v>
      </c>
      <c r="BB1320" t="s">
        <v>4452</v>
      </c>
      <c r="BC1320" t="s">
        <v>97</v>
      </c>
      <c r="BE1320" t="s">
        <v>96</v>
      </c>
      <c r="BG1320" t="s">
        <v>97</v>
      </c>
      <c r="BI1320" t="s">
        <v>98</v>
      </c>
      <c r="BJ1320" t="s">
        <v>1547</v>
      </c>
      <c r="BL1320" t="s">
        <v>412</v>
      </c>
    </row>
    <row r="1321" spans="1:64" x14ac:dyDescent="0.2">
      <c r="A1321">
        <v>1532</v>
      </c>
      <c r="B1321">
        <v>3744741601</v>
      </c>
      <c r="C1321" t="s">
        <v>101</v>
      </c>
      <c r="D1321" t="s">
        <v>4481</v>
      </c>
      <c r="E1321" t="s">
        <v>65</v>
      </c>
      <c r="F1321" t="s">
        <v>66</v>
      </c>
      <c r="G1321" t="s">
        <v>67</v>
      </c>
      <c r="H1321" t="s">
        <v>68</v>
      </c>
      <c r="I1321" t="s">
        <v>69</v>
      </c>
      <c r="J1321" t="s">
        <v>70</v>
      </c>
      <c r="K1321" t="s">
        <v>71</v>
      </c>
      <c r="M1321" t="s">
        <v>72</v>
      </c>
      <c r="N1321" t="s">
        <v>73</v>
      </c>
      <c r="O1321" t="s">
        <v>71</v>
      </c>
      <c r="P1321" t="s">
        <v>74</v>
      </c>
      <c r="Q1321" t="s">
        <v>75</v>
      </c>
      <c r="R1321" t="s">
        <v>4297</v>
      </c>
      <c r="S1321" t="s">
        <v>4463</v>
      </c>
      <c r="T1321" t="s">
        <v>78</v>
      </c>
      <c r="U1321" t="s">
        <v>79</v>
      </c>
      <c r="V1321" t="s">
        <v>80</v>
      </c>
      <c r="W1321" s="1">
        <v>44521</v>
      </c>
      <c r="X1321" t="s">
        <v>81</v>
      </c>
      <c r="Y1321" t="s">
        <v>4464</v>
      </c>
      <c r="Z1321" t="s">
        <v>83</v>
      </c>
      <c r="AA1321">
        <v>1</v>
      </c>
      <c r="AB1321" t="s">
        <v>103</v>
      </c>
      <c r="AC1321">
        <v>1</v>
      </c>
      <c r="AD1321" t="s">
        <v>119</v>
      </c>
      <c r="AE1321" t="s">
        <v>145</v>
      </c>
      <c r="AF1321" t="s">
        <v>146</v>
      </c>
      <c r="AG1321" t="s">
        <v>4471</v>
      </c>
      <c r="AH1321" t="s">
        <v>4472</v>
      </c>
      <c r="AI1321" t="s">
        <v>90</v>
      </c>
      <c r="AJ1321">
        <v>32.499155999999999</v>
      </c>
      <c r="AK1321">
        <v>-110.682446</v>
      </c>
      <c r="AL1321">
        <v>3</v>
      </c>
      <c r="AN1321">
        <v>1318</v>
      </c>
      <c r="AP1321">
        <v>1318</v>
      </c>
      <c r="AQ1321">
        <v>1320.826133</v>
      </c>
      <c r="AT1321">
        <v>21</v>
      </c>
      <c r="AU1321">
        <v>11</v>
      </c>
      <c r="AV1321">
        <v>2021</v>
      </c>
      <c r="AW1321">
        <v>2439581</v>
      </c>
      <c r="AX1321">
        <v>2439581</v>
      </c>
      <c r="AY1321" t="s">
        <v>106</v>
      </c>
      <c r="AZ1321" t="s">
        <v>92</v>
      </c>
      <c r="BA1321" t="s">
        <v>107</v>
      </c>
      <c r="BB1321" t="s">
        <v>4482</v>
      </c>
      <c r="BC1321" t="s">
        <v>97</v>
      </c>
      <c r="BE1321" t="s">
        <v>96</v>
      </c>
      <c r="BG1321" t="s">
        <v>97</v>
      </c>
      <c r="BI1321" t="s">
        <v>98</v>
      </c>
      <c r="BJ1321" t="s">
        <v>4483</v>
      </c>
      <c r="BL1321" t="s">
        <v>110</v>
      </c>
    </row>
    <row r="1322" spans="1:64" hidden="1" x14ac:dyDescent="0.2">
      <c r="A1322">
        <v>1226</v>
      </c>
      <c r="B1322">
        <v>4022923487</v>
      </c>
      <c r="C1322" t="s">
        <v>101</v>
      </c>
      <c r="D1322" t="s">
        <v>5122</v>
      </c>
      <c r="E1322" t="s">
        <v>65</v>
      </c>
      <c r="F1322" t="s">
        <v>66</v>
      </c>
      <c r="G1322" t="s">
        <v>67</v>
      </c>
      <c r="H1322" t="s">
        <v>68</v>
      </c>
      <c r="I1322" t="s">
        <v>69</v>
      </c>
      <c r="J1322" t="s">
        <v>70</v>
      </c>
      <c r="K1322" t="s">
        <v>4195</v>
      </c>
      <c r="M1322" t="s">
        <v>72</v>
      </c>
      <c r="N1322" t="s">
        <v>4196</v>
      </c>
      <c r="O1322" t="s">
        <v>4195</v>
      </c>
      <c r="P1322" t="s">
        <v>4197</v>
      </c>
      <c r="Q1322" t="s">
        <v>75</v>
      </c>
      <c r="R1322" t="s">
        <v>5008</v>
      </c>
      <c r="S1322" t="s">
        <v>5115</v>
      </c>
      <c r="T1322" t="s">
        <v>78</v>
      </c>
      <c r="U1322" t="s">
        <v>5009</v>
      </c>
      <c r="V1322" t="s">
        <v>80</v>
      </c>
      <c r="W1322" s="1">
        <v>44534</v>
      </c>
      <c r="X1322" t="s">
        <v>5010</v>
      </c>
      <c r="Y1322" t="s">
        <v>5116</v>
      </c>
      <c r="Z1322" t="s">
        <v>83</v>
      </c>
      <c r="AA1322">
        <v>1</v>
      </c>
      <c r="AB1322" t="s">
        <v>4517</v>
      </c>
      <c r="AD1322" t="s">
        <v>104</v>
      </c>
      <c r="AE1322" t="s">
        <v>145</v>
      </c>
      <c r="AF1322" t="s">
        <v>146</v>
      </c>
      <c r="AG1322" t="s">
        <v>3082</v>
      </c>
      <c r="AI1322" t="s">
        <v>90</v>
      </c>
      <c r="AJ1322">
        <v>32.313161000000001</v>
      </c>
      <c r="AK1322">
        <v>-110.71195899999999</v>
      </c>
      <c r="AL1322">
        <v>3</v>
      </c>
      <c r="AN1322">
        <v>1153</v>
      </c>
      <c r="AP1322">
        <v>1153</v>
      </c>
      <c r="AQ1322">
        <v>1153.9245430000001</v>
      </c>
      <c r="AT1322">
        <v>4</v>
      </c>
      <c r="AU1322">
        <v>12</v>
      </c>
      <c r="AV1322">
        <v>2021</v>
      </c>
      <c r="AW1322">
        <v>2439589</v>
      </c>
      <c r="AX1322">
        <v>2439589</v>
      </c>
      <c r="AY1322" t="s">
        <v>106</v>
      </c>
      <c r="AZ1322" t="s">
        <v>92</v>
      </c>
      <c r="BA1322" t="s">
        <v>107</v>
      </c>
      <c r="BB1322" t="s">
        <v>5123</v>
      </c>
      <c r="BC1322" t="s">
        <v>1186</v>
      </c>
      <c r="BE1322" t="s">
        <v>96</v>
      </c>
      <c r="BG1322" t="s">
        <v>4507</v>
      </c>
      <c r="BI1322" t="s">
        <v>98</v>
      </c>
      <c r="BJ1322" t="s">
        <v>5024</v>
      </c>
      <c r="BL1322" t="s">
        <v>110</v>
      </c>
    </row>
    <row r="1323" spans="1:64" hidden="1" x14ac:dyDescent="0.2">
      <c r="A1323">
        <v>1319</v>
      </c>
      <c r="B1323">
        <v>4022923394</v>
      </c>
      <c r="C1323" t="s">
        <v>101</v>
      </c>
      <c r="D1323" t="s">
        <v>5124</v>
      </c>
      <c r="E1323" t="s">
        <v>65</v>
      </c>
      <c r="F1323" t="s">
        <v>66</v>
      </c>
      <c r="G1323" t="s">
        <v>67</v>
      </c>
      <c r="H1323" t="s">
        <v>68</v>
      </c>
      <c r="I1323" t="s">
        <v>69</v>
      </c>
      <c r="J1323" t="s">
        <v>70</v>
      </c>
      <c r="K1323" t="s">
        <v>4195</v>
      </c>
      <c r="M1323" t="s">
        <v>72</v>
      </c>
      <c r="N1323" t="s">
        <v>4196</v>
      </c>
      <c r="O1323" t="s">
        <v>4195</v>
      </c>
      <c r="P1323" t="s">
        <v>4197</v>
      </c>
      <c r="Q1323" t="s">
        <v>75</v>
      </c>
      <c r="R1323" t="s">
        <v>5008</v>
      </c>
      <c r="S1323" t="s">
        <v>5115</v>
      </c>
      <c r="T1323" t="s">
        <v>78</v>
      </c>
      <c r="U1323" t="s">
        <v>5009</v>
      </c>
      <c r="V1323" t="s">
        <v>80</v>
      </c>
      <c r="W1323" s="1">
        <v>44534</v>
      </c>
      <c r="X1323" t="s">
        <v>5010</v>
      </c>
      <c r="Y1323" t="s">
        <v>5116</v>
      </c>
      <c r="Z1323" t="s">
        <v>83</v>
      </c>
      <c r="AA1323">
        <v>1</v>
      </c>
      <c r="AB1323" t="s">
        <v>672</v>
      </c>
      <c r="AD1323" t="s">
        <v>134</v>
      </c>
      <c r="AE1323" t="s">
        <v>145</v>
      </c>
      <c r="AF1323" t="s">
        <v>146</v>
      </c>
      <c r="AG1323" t="s">
        <v>3082</v>
      </c>
      <c r="AI1323" t="s">
        <v>90</v>
      </c>
      <c r="AJ1323">
        <v>32.313161000000001</v>
      </c>
      <c r="AK1323">
        <v>-110.71195899999999</v>
      </c>
      <c r="AL1323">
        <v>3</v>
      </c>
      <c r="AN1323">
        <v>1153</v>
      </c>
      <c r="AP1323">
        <v>1153</v>
      </c>
      <c r="AQ1323">
        <v>1153.9245430000001</v>
      </c>
      <c r="AT1323">
        <v>4</v>
      </c>
      <c r="AU1323">
        <v>12</v>
      </c>
      <c r="AV1323">
        <v>2021</v>
      </c>
      <c r="AW1323">
        <v>2439589</v>
      </c>
      <c r="AX1323">
        <v>2439589</v>
      </c>
      <c r="AY1323" t="s">
        <v>106</v>
      </c>
      <c r="AZ1323" t="s">
        <v>92</v>
      </c>
      <c r="BA1323" t="s">
        <v>107</v>
      </c>
      <c r="BB1323" t="s">
        <v>5125</v>
      </c>
      <c r="BC1323" t="s">
        <v>1186</v>
      </c>
      <c r="BE1323" t="s">
        <v>96</v>
      </c>
      <c r="BG1323" t="s">
        <v>4507</v>
      </c>
      <c r="BI1323" t="s">
        <v>98</v>
      </c>
      <c r="BJ1323" t="s">
        <v>4557</v>
      </c>
      <c r="BL1323" t="s">
        <v>110</v>
      </c>
    </row>
    <row r="1324" spans="1:64" hidden="1" x14ac:dyDescent="0.2">
      <c r="A1324">
        <v>1248</v>
      </c>
      <c r="B1324">
        <v>4022923465</v>
      </c>
      <c r="C1324" t="s">
        <v>101</v>
      </c>
      <c r="D1324" t="s">
        <v>5126</v>
      </c>
      <c r="E1324" t="s">
        <v>65</v>
      </c>
      <c r="F1324" t="s">
        <v>66</v>
      </c>
      <c r="G1324" t="s">
        <v>67</v>
      </c>
      <c r="H1324" t="s">
        <v>68</v>
      </c>
      <c r="I1324" t="s">
        <v>69</v>
      </c>
      <c r="J1324" t="s">
        <v>70</v>
      </c>
      <c r="K1324" t="s">
        <v>4195</v>
      </c>
      <c r="M1324" t="s">
        <v>72</v>
      </c>
      <c r="N1324" t="s">
        <v>4196</v>
      </c>
      <c r="O1324" t="s">
        <v>4195</v>
      </c>
      <c r="P1324" t="s">
        <v>4197</v>
      </c>
      <c r="Q1324" t="s">
        <v>75</v>
      </c>
      <c r="R1324" t="s">
        <v>5008</v>
      </c>
      <c r="S1324" t="s">
        <v>5115</v>
      </c>
      <c r="T1324" t="s">
        <v>78</v>
      </c>
      <c r="U1324" t="s">
        <v>5009</v>
      </c>
      <c r="V1324" t="s">
        <v>80</v>
      </c>
      <c r="W1324" s="1">
        <v>44534</v>
      </c>
      <c r="X1324" t="s">
        <v>5010</v>
      </c>
      <c r="Y1324" t="s">
        <v>5116</v>
      </c>
      <c r="Z1324" t="s">
        <v>83</v>
      </c>
      <c r="AA1324">
        <v>1</v>
      </c>
      <c r="AB1324" t="s">
        <v>4517</v>
      </c>
      <c r="AD1324" t="s">
        <v>139</v>
      </c>
      <c r="AE1324" t="s">
        <v>145</v>
      </c>
      <c r="AF1324" t="s">
        <v>146</v>
      </c>
      <c r="AG1324" t="s">
        <v>3082</v>
      </c>
      <c r="AI1324" t="s">
        <v>90</v>
      </c>
      <c r="AJ1324">
        <v>32.313161000000001</v>
      </c>
      <c r="AK1324">
        <v>-110.71195899999999</v>
      </c>
      <c r="AL1324">
        <v>3</v>
      </c>
      <c r="AN1324">
        <v>1153</v>
      </c>
      <c r="AP1324">
        <v>1153</v>
      </c>
      <c r="AQ1324">
        <v>1153.9245430000001</v>
      </c>
      <c r="AT1324">
        <v>4</v>
      </c>
      <c r="AU1324">
        <v>12</v>
      </c>
      <c r="AV1324">
        <v>2021</v>
      </c>
      <c r="AW1324">
        <v>2439589</v>
      </c>
      <c r="AX1324">
        <v>2439589</v>
      </c>
      <c r="AY1324" t="s">
        <v>106</v>
      </c>
      <c r="AZ1324" t="s">
        <v>92</v>
      </c>
      <c r="BA1324" t="s">
        <v>107</v>
      </c>
      <c r="BB1324" t="s">
        <v>5127</v>
      </c>
      <c r="BC1324" t="s">
        <v>1186</v>
      </c>
      <c r="BE1324" t="s">
        <v>96</v>
      </c>
      <c r="BG1324" t="s">
        <v>4507</v>
      </c>
      <c r="BI1324" t="s">
        <v>98</v>
      </c>
      <c r="BJ1324" t="s">
        <v>5109</v>
      </c>
      <c r="BL1324" t="s">
        <v>110</v>
      </c>
    </row>
    <row r="1325" spans="1:64" hidden="1" x14ac:dyDescent="0.2">
      <c r="A1325">
        <v>1232</v>
      </c>
      <c r="B1325">
        <v>4022923481</v>
      </c>
      <c r="C1325" t="s">
        <v>101</v>
      </c>
      <c r="D1325" t="s">
        <v>5128</v>
      </c>
      <c r="E1325" t="s">
        <v>65</v>
      </c>
      <c r="F1325" t="s">
        <v>66</v>
      </c>
      <c r="G1325" t="s">
        <v>67</v>
      </c>
      <c r="H1325" t="s">
        <v>68</v>
      </c>
      <c r="I1325" t="s">
        <v>69</v>
      </c>
      <c r="J1325" t="s">
        <v>70</v>
      </c>
      <c r="K1325" t="s">
        <v>4195</v>
      </c>
      <c r="M1325" t="s">
        <v>72</v>
      </c>
      <c r="N1325" t="s">
        <v>4196</v>
      </c>
      <c r="O1325" t="s">
        <v>4195</v>
      </c>
      <c r="P1325" t="s">
        <v>4197</v>
      </c>
      <c r="Q1325" t="s">
        <v>75</v>
      </c>
      <c r="R1325" t="s">
        <v>5008</v>
      </c>
      <c r="S1325" t="s">
        <v>5115</v>
      </c>
      <c r="T1325" t="s">
        <v>78</v>
      </c>
      <c r="U1325" t="s">
        <v>5009</v>
      </c>
      <c r="V1325" t="s">
        <v>80</v>
      </c>
      <c r="W1325" s="1">
        <v>44534</v>
      </c>
      <c r="X1325" t="s">
        <v>5010</v>
      </c>
      <c r="Y1325" t="s">
        <v>5116</v>
      </c>
      <c r="Z1325" t="s">
        <v>83</v>
      </c>
      <c r="AA1325">
        <v>1</v>
      </c>
      <c r="AB1325" t="s">
        <v>4517</v>
      </c>
      <c r="AD1325" t="s">
        <v>112</v>
      </c>
      <c r="AE1325" t="s">
        <v>145</v>
      </c>
      <c r="AF1325" t="s">
        <v>146</v>
      </c>
      <c r="AG1325" t="s">
        <v>3082</v>
      </c>
      <c r="AI1325" t="s">
        <v>90</v>
      </c>
      <c r="AJ1325">
        <v>32.313161000000001</v>
      </c>
      <c r="AK1325">
        <v>-110.71195899999999</v>
      </c>
      <c r="AL1325">
        <v>3</v>
      </c>
      <c r="AN1325">
        <v>1153</v>
      </c>
      <c r="AP1325">
        <v>1153</v>
      </c>
      <c r="AQ1325">
        <v>1153.9245430000001</v>
      </c>
      <c r="AT1325">
        <v>4</v>
      </c>
      <c r="AU1325">
        <v>12</v>
      </c>
      <c r="AV1325">
        <v>2021</v>
      </c>
      <c r="AW1325">
        <v>2439589</v>
      </c>
      <c r="AX1325">
        <v>2439589</v>
      </c>
      <c r="AY1325" t="s">
        <v>106</v>
      </c>
      <c r="AZ1325" t="s">
        <v>92</v>
      </c>
      <c r="BA1325" t="s">
        <v>107</v>
      </c>
      <c r="BB1325" t="s">
        <v>5129</v>
      </c>
      <c r="BC1325" t="s">
        <v>1186</v>
      </c>
      <c r="BE1325" t="s">
        <v>96</v>
      </c>
      <c r="BG1325" t="s">
        <v>4507</v>
      </c>
      <c r="BI1325" t="s">
        <v>98</v>
      </c>
      <c r="BJ1325" t="s">
        <v>5130</v>
      </c>
      <c r="BL1325" t="s">
        <v>110</v>
      </c>
    </row>
    <row r="1326" spans="1:64" hidden="1" x14ac:dyDescent="0.2">
      <c r="A1326">
        <v>1229</v>
      </c>
      <c r="B1326">
        <v>4022923484</v>
      </c>
      <c r="C1326" t="s">
        <v>101</v>
      </c>
      <c r="D1326" t="s">
        <v>5131</v>
      </c>
      <c r="E1326" t="s">
        <v>65</v>
      </c>
      <c r="F1326" t="s">
        <v>66</v>
      </c>
      <c r="G1326" t="s">
        <v>67</v>
      </c>
      <c r="H1326" t="s">
        <v>68</v>
      </c>
      <c r="I1326" t="s">
        <v>69</v>
      </c>
      <c r="J1326" t="s">
        <v>70</v>
      </c>
      <c r="K1326" t="s">
        <v>4195</v>
      </c>
      <c r="M1326" t="s">
        <v>72</v>
      </c>
      <c r="N1326" t="s">
        <v>4196</v>
      </c>
      <c r="O1326" t="s">
        <v>4195</v>
      </c>
      <c r="P1326" t="s">
        <v>4197</v>
      </c>
      <c r="Q1326" t="s">
        <v>75</v>
      </c>
      <c r="R1326" t="s">
        <v>5008</v>
      </c>
      <c r="S1326" t="s">
        <v>5115</v>
      </c>
      <c r="T1326" t="s">
        <v>78</v>
      </c>
      <c r="U1326" t="s">
        <v>5009</v>
      </c>
      <c r="V1326" t="s">
        <v>80</v>
      </c>
      <c r="W1326" s="1">
        <v>44534</v>
      </c>
      <c r="X1326" t="s">
        <v>5010</v>
      </c>
      <c r="Y1326" t="s">
        <v>5116</v>
      </c>
      <c r="Z1326" t="s">
        <v>83</v>
      </c>
      <c r="AA1326">
        <v>1</v>
      </c>
      <c r="AB1326" t="s">
        <v>4517</v>
      </c>
      <c r="AD1326" t="s">
        <v>116</v>
      </c>
      <c r="AE1326" t="s">
        <v>145</v>
      </c>
      <c r="AF1326" t="s">
        <v>146</v>
      </c>
      <c r="AG1326" t="s">
        <v>3082</v>
      </c>
      <c r="AI1326" t="s">
        <v>90</v>
      </c>
      <c r="AJ1326">
        <v>32.313161000000001</v>
      </c>
      <c r="AK1326">
        <v>-110.71195899999999</v>
      </c>
      <c r="AL1326">
        <v>3</v>
      </c>
      <c r="AN1326">
        <v>1153</v>
      </c>
      <c r="AP1326">
        <v>1153</v>
      </c>
      <c r="AQ1326">
        <v>1153.9245430000001</v>
      </c>
      <c r="AT1326">
        <v>4</v>
      </c>
      <c r="AU1326">
        <v>12</v>
      </c>
      <c r="AV1326">
        <v>2021</v>
      </c>
      <c r="AW1326">
        <v>2439589</v>
      </c>
      <c r="AX1326">
        <v>2439589</v>
      </c>
      <c r="AY1326" t="s">
        <v>106</v>
      </c>
      <c r="AZ1326" t="s">
        <v>92</v>
      </c>
      <c r="BA1326" t="s">
        <v>107</v>
      </c>
      <c r="BB1326" t="s">
        <v>5132</v>
      </c>
      <c r="BC1326" t="s">
        <v>1186</v>
      </c>
      <c r="BE1326" t="s">
        <v>96</v>
      </c>
      <c r="BG1326" t="s">
        <v>4507</v>
      </c>
      <c r="BI1326" t="s">
        <v>98</v>
      </c>
      <c r="BJ1326" t="s">
        <v>4730</v>
      </c>
      <c r="BL1326" t="s">
        <v>110</v>
      </c>
    </row>
    <row r="1327" spans="1:64" hidden="1" x14ac:dyDescent="0.2">
      <c r="A1327">
        <v>1247</v>
      </c>
      <c r="B1327">
        <v>4022923466</v>
      </c>
      <c r="C1327" t="s">
        <v>101</v>
      </c>
      <c r="D1327" t="s">
        <v>5133</v>
      </c>
      <c r="E1327" t="s">
        <v>65</v>
      </c>
      <c r="F1327" t="s">
        <v>66</v>
      </c>
      <c r="G1327" t="s">
        <v>67</v>
      </c>
      <c r="H1327" t="s">
        <v>68</v>
      </c>
      <c r="I1327" t="s">
        <v>69</v>
      </c>
      <c r="J1327" t="s">
        <v>70</v>
      </c>
      <c r="K1327" t="s">
        <v>4195</v>
      </c>
      <c r="M1327" t="s">
        <v>72</v>
      </c>
      <c r="N1327" t="s">
        <v>4196</v>
      </c>
      <c r="O1327" t="s">
        <v>4195</v>
      </c>
      <c r="P1327" t="s">
        <v>4197</v>
      </c>
      <c r="Q1327" t="s">
        <v>75</v>
      </c>
      <c r="R1327" t="s">
        <v>5008</v>
      </c>
      <c r="S1327" t="s">
        <v>5115</v>
      </c>
      <c r="T1327" t="s">
        <v>78</v>
      </c>
      <c r="U1327" t="s">
        <v>5009</v>
      </c>
      <c r="V1327" t="s">
        <v>80</v>
      </c>
      <c r="W1327" s="1">
        <v>44534</v>
      </c>
      <c r="X1327" t="s">
        <v>5010</v>
      </c>
      <c r="Y1327" t="s">
        <v>5116</v>
      </c>
      <c r="Z1327" t="s">
        <v>83</v>
      </c>
      <c r="AA1327">
        <v>1</v>
      </c>
      <c r="AB1327" t="s">
        <v>4517</v>
      </c>
      <c r="AD1327" t="s">
        <v>123</v>
      </c>
      <c r="AE1327" t="s">
        <v>145</v>
      </c>
      <c r="AF1327" t="s">
        <v>146</v>
      </c>
      <c r="AG1327" t="s">
        <v>3082</v>
      </c>
      <c r="AI1327" t="s">
        <v>90</v>
      </c>
      <c r="AJ1327">
        <v>32.313161000000001</v>
      </c>
      <c r="AK1327">
        <v>-110.71195899999999</v>
      </c>
      <c r="AL1327">
        <v>3</v>
      </c>
      <c r="AN1327">
        <v>1153</v>
      </c>
      <c r="AP1327">
        <v>1153</v>
      </c>
      <c r="AQ1327">
        <v>1153.9245430000001</v>
      </c>
      <c r="AT1327">
        <v>4</v>
      </c>
      <c r="AU1327">
        <v>12</v>
      </c>
      <c r="AV1327">
        <v>2021</v>
      </c>
      <c r="AW1327">
        <v>2439589</v>
      </c>
      <c r="AX1327">
        <v>2439589</v>
      </c>
      <c r="AY1327" t="s">
        <v>106</v>
      </c>
      <c r="AZ1327" t="s">
        <v>92</v>
      </c>
      <c r="BA1327" t="s">
        <v>107</v>
      </c>
      <c r="BB1327" t="s">
        <v>5134</v>
      </c>
      <c r="BC1327" t="s">
        <v>1186</v>
      </c>
      <c r="BE1327" t="s">
        <v>96</v>
      </c>
      <c r="BG1327" t="s">
        <v>4507</v>
      </c>
      <c r="BI1327" t="s">
        <v>98</v>
      </c>
      <c r="BJ1327" t="s">
        <v>5109</v>
      </c>
      <c r="BL1327" t="s">
        <v>110</v>
      </c>
    </row>
    <row r="1328" spans="1:64" x14ac:dyDescent="0.2">
      <c r="A1328">
        <v>1791</v>
      </c>
      <c r="B1328">
        <v>3744741311</v>
      </c>
      <c r="C1328" t="s">
        <v>101</v>
      </c>
      <c r="D1328" t="s">
        <v>325</v>
      </c>
      <c r="E1328" t="s">
        <v>65</v>
      </c>
      <c r="F1328" t="s">
        <v>66</v>
      </c>
      <c r="G1328" t="s">
        <v>67</v>
      </c>
      <c r="H1328" t="s">
        <v>68</v>
      </c>
      <c r="I1328" t="s">
        <v>176</v>
      </c>
      <c r="J1328" t="s">
        <v>177</v>
      </c>
      <c r="K1328" t="s">
        <v>178</v>
      </c>
      <c r="M1328" t="s">
        <v>72</v>
      </c>
      <c r="N1328" t="s">
        <v>179</v>
      </c>
      <c r="O1328" t="s">
        <v>178</v>
      </c>
      <c r="P1328" t="s">
        <v>180</v>
      </c>
      <c r="Q1328" t="s">
        <v>75</v>
      </c>
      <c r="R1328" t="s">
        <v>311</v>
      </c>
      <c r="S1328" t="s">
        <v>312</v>
      </c>
      <c r="T1328" t="s">
        <v>78</v>
      </c>
      <c r="U1328" t="s">
        <v>79</v>
      </c>
      <c r="V1328" t="s">
        <v>80</v>
      </c>
      <c r="W1328" s="1">
        <v>44521</v>
      </c>
      <c r="X1328" t="s">
        <v>81</v>
      </c>
      <c r="Y1328" t="s">
        <v>313</v>
      </c>
      <c r="Z1328" t="s">
        <v>83</v>
      </c>
      <c r="AA1328">
        <v>1</v>
      </c>
      <c r="AB1328" t="s">
        <v>103</v>
      </c>
      <c r="AC1328">
        <v>1</v>
      </c>
      <c r="AD1328" t="s">
        <v>119</v>
      </c>
      <c r="AE1328" t="s">
        <v>86</v>
      </c>
      <c r="AF1328" t="s">
        <v>146</v>
      </c>
      <c r="AG1328" t="s">
        <v>315</v>
      </c>
      <c r="AH1328" t="s">
        <v>319</v>
      </c>
      <c r="AI1328" t="s">
        <v>90</v>
      </c>
      <c r="AJ1328">
        <v>32.501846999999998</v>
      </c>
      <c r="AK1328">
        <v>-110.68313999999999</v>
      </c>
      <c r="AL1328">
        <v>3</v>
      </c>
      <c r="AN1328">
        <v>1326</v>
      </c>
      <c r="AP1328">
        <v>1326</v>
      </c>
      <c r="AQ1328">
        <v>1337.383513</v>
      </c>
      <c r="AT1328">
        <v>21</v>
      </c>
      <c r="AU1328">
        <v>11</v>
      </c>
      <c r="AV1328">
        <v>2021</v>
      </c>
      <c r="AW1328">
        <v>2438038</v>
      </c>
      <c r="AX1328">
        <v>2438038</v>
      </c>
      <c r="AY1328" t="s">
        <v>106</v>
      </c>
      <c r="AZ1328" t="s">
        <v>92</v>
      </c>
      <c r="BA1328" t="s">
        <v>107</v>
      </c>
      <c r="BB1328" t="s">
        <v>326</v>
      </c>
      <c r="BC1328" t="s">
        <v>97</v>
      </c>
      <c r="BE1328" t="s">
        <v>96</v>
      </c>
      <c r="BG1328" t="s">
        <v>97</v>
      </c>
      <c r="BI1328" t="s">
        <v>98</v>
      </c>
      <c r="BJ1328" t="s">
        <v>327</v>
      </c>
      <c r="BL1328" t="s">
        <v>110</v>
      </c>
    </row>
    <row r="1329" spans="1:64" hidden="1" x14ac:dyDescent="0.2">
      <c r="A1329">
        <v>1227</v>
      </c>
      <c r="B1329">
        <v>4022923486</v>
      </c>
      <c r="C1329" t="s">
        <v>101</v>
      </c>
      <c r="D1329" t="s">
        <v>5144</v>
      </c>
      <c r="E1329" t="s">
        <v>65</v>
      </c>
      <c r="F1329" t="s">
        <v>66</v>
      </c>
      <c r="G1329" t="s">
        <v>67</v>
      </c>
      <c r="H1329" t="s">
        <v>68</v>
      </c>
      <c r="I1329" t="s">
        <v>350</v>
      </c>
      <c r="J1329" t="s">
        <v>4050</v>
      </c>
      <c r="K1329" t="s">
        <v>4051</v>
      </c>
      <c r="M1329" t="s">
        <v>72</v>
      </c>
      <c r="N1329" t="s">
        <v>4052</v>
      </c>
      <c r="O1329" t="s">
        <v>4051</v>
      </c>
      <c r="P1329" t="s">
        <v>4053</v>
      </c>
      <c r="Q1329" t="s">
        <v>75</v>
      </c>
      <c r="R1329" t="s">
        <v>5008</v>
      </c>
      <c r="S1329" t="s">
        <v>5139</v>
      </c>
      <c r="T1329" t="s">
        <v>78</v>
      </c>
      <c r="U1329" t="s">
        <v>5009</v>
      </c>
      <c r="V1329" t="s">
        <v>80</v>
      </c>
      <c r="W1329" s="1">
        <v>44534</v>
      </c>
      <c r="X1329" t="s">
        <v>5010</v>
      </c>
      <c r="Y1329" t="s">
        <v>5140</v>
      </c>
      <c r="Z1329" t="s">
        <v>83</v>
      </c>
      <c r="AA1329">
        <v>1</v>
      </c>
      <c r="AB1329" t="s">
        <v>672</v>
      </c>
      <c r="AD1329" t="s">
        <v>134</v>
      </c>
      <c r="AE1329" t="s">
        <v>86</v>
      </c>
      <c r="AF1329" t="s">
        <v>146</v>
      </c>
      <c r="AG1329" t="s">
        <v>1393</v>
      </c>
      <c r="AI1329" t="s">
        <v>90</v>
      </c>
      <c r="AJ1329">
        <v>32.31324</v>
      </c>
      <c r="AK1329">
        <v>-110.71200899999999</v>
      </c>
      <c r="AL1329">
        <v>3</v>
      </c>
      <c r="AN1329">
        <v>1153</v>
      </c>
      <c r="AP1329">
        <v>1153</v>
      </c>
      <c r="AQ1329">
        <v>1156.50323</v>
      </c>
      <c r="AT1329">
        <v>4</v>
      </c>
      <c r="AU1329">
        <v>12</v>
      </c>
      <c r="AV1329">
        <v>2021</v>
      </c>
      <c r="AW1329">
        <v>2437568</v>
      </c>
      <c r="AX1329">
        <v>2437568</v>
      </c>
      <c r="AY1329" t="s">
        <v>106</v>
      </c>
      <c r="AZ1329" t="s">
        <v>92</v>
      </c>
      <c r="BA1329" t="s">
        <v>107</v>
      </c>
      <c r="BB1329" t="s">
        <v>5145</v>
      </c>
      <c r="BC1329" t="s">
        <v>1186</v>
      </c>
      <c r="BE1329" t="s">
        <v>96</v>
      </c>
      <c r="BG1329" t="s">
        <v>4507</v>
      </c>
      <c r="BI1329" t="s">
        <v>98</v>
      </c>
      <c r="BJ1329" t="s">
        <v>4908</v>
      </c>
      <c r="BL1329" t="s">
        <v>110</v>
      </c>
    </row>
    <row r="1330" spans="1:64" hidden="1" x14ac:dyDescent="0.2">
      <c r="A1330">
        <v>1210</v>
      </c>
      <c r="B1330">
        <v>4022923503</v>
      </c>
      <c r="C1330" t="s">
        <v>101</v>
      </c>
      <c r="D1330" t="s">
        <v>5146</v>
      </c>
      <c r="E1330" t="s">
        <v>65</v>
      </c>
      <c r="F1330" t="s">
        <v>66</v>
      </c>
      <c r="G1330" t="s">
        <v>67</v>
      </c>
      <c r="H1330" t="s">
        <v>68</v>
      </c>
      <c r="I1330" t="s">
        <v>350</v>
      </c>
      <c r="J1330" t="s">
        <v>4050</v>
      </c>
      <c r="K1330" t="s">
        <v>4051</v>
      </c>
      <c r="M1330" t="s">
        <v>72</v>
      </c>
      <c r="N1330" t="s">
        <v>4052</v>
      </c>
      <c r="O1330" t="s">
        <v>4051</v>
      </c>
      <c r="P1330" t="s">
        <v>4053</v>
      </c>
      <c r="Q1330" t="s">
        <v>75</v>
      </c>
      <c r="R1330" t="s">
        <v>5008</v>
      </c>
      <c r="S1330" t="s">
        <v>5139</v>
      </c>
      <c r="T1330" t="s">
        <v>78</v>
      </c>
      <c r="U1330" t="s">
        <v>5009</v>
      </c>
      <c r="V1330" t="s">
        <v>80</v>
      </c>
      <c r="W1330" s="1">
        <v>44534</v>
      </c>
      <c r="X1330" t="s">
        <v>5010</v>
      </c>
      <c r="Y1330" t="s">
        <v>5140</v>
      </c>
      <c r="Z1330" t="s">
        <v>83</v>
      </c>
      <c r="AA1330">
        <v>1</v>
      </c>
      <c r="AB1330" t="s">
        <v>4517</v>
      </c>
      <c r="AD1330" t="s">
        <v>116</v>
      </c>
      <c r="AE1330" t="s">
        <v>86</v>
      </c>
      <c r="AF1330" t="s">
        <v>146</v>
      </c>
      <c r="AG1330" t="s">
        <v>1393</v>
      </c>
      <c r="AI1330" t="s">
        <v>90</v>
      </c>
      <c r="AJ1330">
        <v>32.31324</v>
      </c>
      <c r="AK1330">
        <v>-110.71200899999999</v>
      </c>
      <c r="AL1330">
        <v>3</v>
      </c>
      <c r="AN1330">
        <v>1153</v>
      </c>
      <c r="AP1330">
        <v>1153</v>
      </c>
      <c r="AQ1330">
        <v>1156.50323</v>
      </c>
      <c r="AT1330">
        <v>4</v>
      </c>
      <c r="AU1330">
        <v>12</v>
      </c>
      <c r="AV1330">
        <v>2021</v>
      </c>
      <c r="AW1330">
        <v>2437568</v>
      </c>
      <c r="AX1330">
        <v>2437568</v>
      </c>
      <c r="AY1330" t="s">
        <v>106</v>
      </c>
      <c r="AZ1330" t="s">
        <v>92</v>
      </c>
      <c r="BA1330" t="s">
        <v>107</v>
      </c>
      <c r="BB1330" t="s">
        <v>5147</v>
      </c>
      <c r="BC1330" t="s">
        <v>1186</v>
      </c>
      <c r="BE1330" t="s">
        <v>96</v>
      </c>
      <c r="BG1330" t="s">
        <v>4507</v>
      </c>
      <c r="BI1330" t="s">
        <v>98</v>
      </c>
      <c r="BJ1330" t="s">
        <v>5024</v>
      </c>
      <c r="BL1330" t="s">
        <v>110</v>
      </c>
    </row>
    <row r="1331" spans="1:64" hidden="1" x14ac:dyDescent="0.2">
      <c r="A1331">
        <v>1211</v>
      </c>
      <c r="B1331">
        <v>4022923502</v>
      </c>
      <c r="C1331" t="s">
        <v>101</v>
      </c>
      <c r="D1331" t="s">
        <v>5148</v>
      </c>
      <c r="E1331" t="s">
        <v>65</v>
      </c>
      <c r="F1331" t="s">
        <v>66</v>
      </c>
      <c r="G1331" t="s">
        <v>67</v>
      </c>
      <c r="H1331" t="s">
        <v>68</v>
      </c>
      <c r="I1331" t="s">
        <v>350</v>
      </c>
      <c r="J1331" t="s">
        <v>4050</v>
      </c>
      <c r="K1331" t="s">
        <v>4051</v>
      </c>
      <c r="M1331" t="s">
        <v>72</v>
      </c>
      <c r="N1331" t="s">
        <v>4052</v>
      </c>
      <c r="O1331" t="s">
        <v>4051</v>
      </c>
      <c r="P1331" t="s">
        <v>4053</v>
      </c>
      <c r="Q1331" t="s">
        <v>75</v>
      </c>
      <c r="R1331" t="s">
        <v>5008</v>
      </c>
      <c r="S1331" t="s">
        <v>5139</v>
      </c>
      <c r="T1331" t="s">
        <v>78</v>
      </c>
      <c r="U1331" t="s">
        <v>5009</v>
      </c>
      <c r="V1331" t="s">
        <v>80</v>
      </c>
      <c r="W1331" s="1">
        <v>44534</v>
      </c>
      <c r="X1331" t="s">
        <v>5010</v>
      </c>
      <c r="Y1331" t="s">
        <v>5140</v>
      </c>
      <c r="Z1331" t="s">
        <v>83</v>
      </c>
      <c r="AA1331">
        <v>1</v>
      </c>
      <c r="AB1331" t="s">
        <v>4517</v>
      </c>
      <c r="AD1331" t="s">
        <v>112</v>
      </c>
      <c r="AE1331" t="s">
        <v>86</v>
      </c>
      <c r="AF1331" t="s">
        <v>146</v>
      </c>
      <c r="AG1331" t="s">
        <v>1393</v>
      </c>
      <c r="AI1331" t="s">
        <v>90</v>
      </c>
      <c r="AJ1331">
        <v>32.31324</v>
      </c>
      <c r="AK1331">
        <v>-110.71200899999999</v>
      </c>
      <c r="AL1331">
        <v>3</v>
      </c>
      <c r="AN1331">
        <v>1153</v>
      </c>
      <c r="AP1331">
        <v>1153</v>
      </c>
      <c r="AQ1331">
        <v>1156.50323</v>
      </c>
      <c r="AT1331">
        <v>4</v>
      </c>
      <c r="AU1331">
        <v>12</v>
      </c>
      <c r="AV1331">
        <v>2021</v>
      </c>
      <c r="AW1331">
        <v>2437568</v>
      </c>
      <c r="AX1331">
        <v>2437568</v>
      </c>
      <c r="AY1331" t="s">
        <v>106</v>
      </c>
      <c r="AZ1331" t="s">
        <v>92</v>
      </c>
      <c r="BA1331" t="s">
        <v>107</v>
      </c>
      <c r="BB1331" t="s">
        <v>5149</v>
      </c>
      <c r="BC1331" t="s">
        <v>1186</v>
      </c>
      <c r="BE1331" t="s">
        <v>96</v>
      </c>
      <c r="BG1331" t="s">
        <v>4507</v>
      </c>
      <c r="BI1331" t="s">
        <v>98</v>
      </c>
      <c r="BJ1331" t="s">
        <v>4820</v>
      </c>
      <c r="BL1331" t="s">
        <v>110</v>
      </c>
    </row>
    <row r="1332" spans="1:64" hidden="1" x14ac:dyDescent="0.2">
      <c r="A1332">
        <v>1214</v>
      </c>
      <c r="B1332">
        <v>4022923499</v>
      </c>
      <c r="C1332" t="s">
        <v>101</v>
      </c>
      <c r="D1332" t="s">
        <v>5150</v>
      </c>
      <c r="E1332" t="s">
        <v>65</v>
      </c>
      <c r="F1332" t="s">
        <v>66</v>
      </c>
      <c r="G1332" t="s">
        <v>67</v>
      </c>
      <c r="H1332" t="s">
        <v>68</v>
      </c>
      <c r="I1332" t="s">
        <v>350</v>
      </c>
      <c r="J1332" t="s">
        <v>4050</v>
      </c>
      <c r="K1332" t="s">
        <v>4051</v>
      </c>
      <c r="M1332" t="s">
        <v>72</v>
      </c>
      <c r="N1332" t="s">
        <v>4052</v>
      </c>
      <c r="O1332" t="s">
        <v>4051</v>
      </c>
      <c r="P1332" t="s">
        <v>4053</v>
      </c>
      <c r="Q1332" t="s">
        <v>75</v>
      </c>
      <c r="R1332" t="s">
        <v>5008</v>
      </c>
      <c r="S1332" t="s">
        <v>5139</v>
      </c>
      <c r="T1332" t="s">
        <v>78</v>
      </c>
      <c r="U1332" t="s">
        <v>5009</v>
      </c>
      <c r="V1332" t="s">
        <v>80</v>
      </c>
      <c r="W1332" s="1">
        <v>44534</v>
      </c>
      <c r="X1332" t="s">
        <v>5010</v>
      </c>
      <c r="Y1332" t="s">
        <v>5140</v>
      </c>
      <c r="Z1332" t="s">
        <v>83</v>
      </c>
      <c r="AA1332">
        <v>1</v>
      </c>
      <c r="AB1332" t="s">
        <v>4517</v>
      </c>
      <c r="AD1332" t="s">
        <v>123</v>
      </c>
      <c r="AE1332" t="s">
        <v>86</v>
      </c>
      <c r="AF1332" t="s">
        <v>146</v>
      </c>
      <c r="AG1332" t="s">
        <v>1393</v>
      </c>
      <c r="AI1332" t="s">
        <v>90</v>
      </c>
      <c r="AJ1332">
        <v>32.31324</v>
      </c>
      <c r="AK1332">
        <v>-110.71200899999999</v>
      </c>
      <c r="AL1332">
        <v>3</v>
      </c>
      <c r="AN1332">
        <v>1153</v>
      </c>
      <c r="AP1332">
        <v>1153</v>
      </c>
      <c r="AQ1332">
        <v>1156.50323</v>
      </c>
      <c r="AT1332">
        <v>4</v>
      </c>
      <c r="AU1332">
        <v>12</v>
      </c>
      <c r="AV1332">
        <v>2021</v>
      </c>
      <c r="AW1332">
        <v>2437568</v>
      </c>
      <c r="AX1332">
        <v>2437568</v>
      </c>
      <c r="AY1332" t="s">
        <v>106</v>
      </c>
      <c r="AZ1332" t="s">
        <v>92</v>
      </c>
      <c r="BA1332" t="s">
        <v>107</v>
      </c>
      <c r="BB1332" t="s">
        <v>5151</v>
      </c>
      <c r="BC1332" t="s">
        <v>1186</v>
      </c>
      <c r="BE1332" t="s">
        <v>96</v>
      </c>
      <c r="BG1332" t="s">
        <v>4507</v>
      </c>
      <c r="BI1332" t="s">
        <v>98</v>
      </c>
      <c r="BJ1332" t="s">
        <v>4812</v>
      </c>
      <c r="BL1332" t="s">
        <v>110</v>
      </c>
    </row>
    <row r="1333" spans="1:64" hidden="1" x14ac:dyDescent="0.2">
      <c r="A1333">
        <v>1215</v>
      </c>
      <c r="B1333">
        <v>4022923498</v>
      </c>
      <c r="C1333" t="s">
        <v>101</v>
      </c>
      <c r="D1333" t="s">
        <v>5152</v>
      </c>
      <c r="E1333" t="s">
        <v>65</v>
      </c>
      <c r="F1333" t="s">
        <v>66</v>
      </c>
      <c r="G1333" t="s">
        <v>67</v>
      </c>
      <c r="H1333" t="s">
        <v>68</v>
      </c>
      <c r="I1333" t="s">
        <v>350</v>
      </c>
      <c r="J1333" t="s">
        <v>4050</v>
      </c>
      <c r="K1333" t="s">
        <v>4051</v>
      </c>
      <c r="M1333" t="s">
        <v>72</v>
      </c>
      <c r="N1333" t="s">
        <v>4052</v>
      </c>
      <c r="O1333" t="s">
        <v>4051</v>
      </c>
      <c r="P1333" t="s">
        <v>4053</v>
      </c>
      <c r="Q1333" t="s">
        <v>75</v>
      </c>
      <c r="R1333" t="s">
        <v>5008</v>
      </c>
      <c r="S1333" t="s">
        <v>5139</v>
      </c>
      <c r="T1333" t="s">
        <v>78</v>
      </c>
      <c r="U1333" t="s">
        <v>5009</v>
      </c>
      <c r="V1333" t="s">
        <v>80</v>
      </c>
      <c r="W1333" s="1">
        <v>44534</v>
      </c>
      <c r="X1333" t="s">
        <v>5010</v>
      </c>
      <c r="Y1333" t="s">
        <v>5140</v>
      </c>
      <c r="Z1333" t="s">
        <v>83</v>
      </c>
      <c r="AA1333">
        <v>1</v>
      </c>
      <c r="AB1333" t="s">
        <v>4517</v>
      </c>
      <c r="AD1333" t="s">
        <v>139</v>
      </c>
      <c r="AE1333" t="s">
        <v>86</v>
      </c>
      <c r="AF1333" t="s">
        <v>146</v>
      </c>
      <c r="AG1333" t="s">
        <v>1393</v>
      </c>
      <c r="AI1333" t="s">
        <v>90</v>
      </c>
      <c r="AJ1333">
        <v>32.31324</v>
      </c>
      <c r="AK1333">
        <v>-110.71200899999999</v>
      </c>
      <c r="AL1333">
        <v>3</v>
      </c>
      <c r="AN1333">
        <v>1153</v>
      </c>
      <c r="AP1333">
        <v>1153</v>
      </c>
      <c r="AQ1333">
        <v>1156.50323</v>
      </c>
      <c r="AT1333">
        <v>4</v>
      </c>
      <c r="AU1333">
        <v>12</v>
      </c>
      <c r="AV1333">
        <v>2021</v>
      </c>
      <c r="AW1333">
        <v>2437568</v>
      </c>
      <c r="AX1333">
        <v>2437568</v>
      </c>
      <c r="AY1333" t="s">
        <v>106</v>
      </c>
      <c r="AZ1333" t="s">
        <v>92</v>
      </c>
      <c r="BA1333" t="s">
        <v>107</v>
      </c>
      <c r="BB1333" t="s">
        <v>5153</v>
      </c>
      <c r="BC1333" t="s">
        <v>1186</v>
      </c>
      <c r="BE1333" t="s">
        <v>96</v>
      </c>
      <c r="BG1333" t="s">
        <v>4507</v>
      </c>
      <c r="BI1333" t="s">
        <v>98</v>
      </c>
      <c r="BJ1333" t="s">
        <v>4847</v>
      </c>
      <c r="BL1333" t="s">
        <v>110</v>
      </c>
    </row>
    <row r="1334" spans="1:64" x14ac:dyDescent="0.2">
      <c r="A1334">
        <v>1412</v>
      </c>
      <c r="B1334">
        <v>4022923301</v>
      </c>
      <c r="C1334" t="s">
        <v>101</v>
      </c>
      <c r="D1334" t="s">
        <v>4528</v>
      </c>
      <c r="E1334" t="s">
        <v>65</v>
      </c>
      <c r="F1334" t="s">
        <v>66</v>
      </c>
      <c r="G1334" t="s">
        <v>67</v>
      </c>
      <c r="H1334" t="s">
        <v>68</v>
      </c>
      <c r="I1334" t="s">
        <v>176</v>
      </c>
      <c r="J1334" t="s">
        <v>177</v>
      </c>
      <c r="K1334" t="s">
        <v>178</v>
      </c>
      <c r="M1334" t="s">
        <v>72</v>
      </c>
      <c r="N1334" t="s">
        <v>179</v>
      </c>
      <c r="O1334" t="s">
        <v>178</v>
      </c>
      <c r="P1334" t="s">
        <v>180</v>
      </c>
      <c r="Q1334" t="s">
        <v>75</v>
      </c>
      <c r="R1334" t="s">
        <v>4501</v>
      </c>
      <c r="S1334" t="s">
        <v>3734</v>
      </c>
      <c r="T1334" t="s">
        <v>78</v>
      </c>
      <c r="U1334" t="s">
        <v>3817</v>
      </c>
      <c r="V1334" t="s">
        <v>80</v>
      </c>
      <c r="W1334" s="1">
        <v>44534</v>
      </c>
      <c r="X1334" t="s">
        <v>4502</v>
      </c>
      <c r="Y1334" t="s">
        <v>4503</v>
      </c>
      <c r="Z1334" t="s">
        <v>83</v>
      </c>
      <c r="AA1334">
        <v>1</v>
      </c>
      <c r="AB1334" t="s">
        <v>4517</v>
      </c>
      <c r="AC1334">
        <v>1</v>
      </c>
      <c r="AD1334" t="s">
        <v>119</v>
      </c>
      <c r="AE1334" t="s">
        <v>86</v>
      </c>
      <c r="AF1334" t="s">
        <v>281</v>
      </c>
      <c r="AG1334" t="s">
        <v>4505</v>
      </c>
      <c r="AI1334" t="s">
        <v>90</v>
      </c>
      <c r="AJ1334">
        <v>32.337152000000003</v>
      </c>
      <c r="AK1334">
        <v>-110.72058</v>
      </c>
      <c r="AL1334">
        <v>3</v>
      </c>
      <c r="AN1334">
        <v>1467</v>
      </c>
      <c r="AP1334">
        <v>1467</v>
      </c>
      <c r="AQ1334">
        <v>1474.6702479999999</v>
      </c>
      <c r="AT1334">
        <v>4</v>
      </c>
      <c r="AU1334">
        <v>12</v>
      </c>
      <c r="AV1334">
        <v>2021</v>
      </c>
      <c r="AW1334">
        <v>2438038</v>
      </c>
      <c r="AX1334">
        <v>2438038</v>
      </c>
      <c r="AY1334" t="s">
        <v>106</v>
      </c>
      <c r="AZ1334" t="s">
        <v>92</v>
      </c>
      <c r="BA1334" t="s">
        <v>107</v>
      </c>
      <c r="BB1334" t="s">
        <v>4529</v>
      </c>
      <c r="BC1334" t="s">
        <v>1186</v>
      </c>
      <c r="BE1334" t="s">
        <v>96</v>
      </c>
      <c r="BG1334" t="s">
        <v>4507</v>
      </c>
      <c r="BI1334" t="s">
        <v>98</v>
      </c>
      <c r="BJ1334" t="s">
        <v>478</v>
      </c>
      <c r="BL1334" t="s">
        <v>412</v>
      </c>
    </row>
    <row r="1335" spans="1:64" hidden="1" x14ac:dyDescent="0.2">
      <c r="A1335">
        <v>1152</v>
      </c>
      <c r="B1335">
        <v>4022923561</v>
      </c>
      <c r="C1335" t="s">
        <v>101</v>
      </c>
      <c r="D1335" t="s">
        <v>5156</v>
      </c>
      <c r="E1335" t="s">
        <v>65</v>
      </c>
      <c r="F1335" t="s">
        <v>66</v>
      </c>
      <c r="G1335" t="s">
        <v>67</v>
      </c>
      <c r="H1335" t="s">
        <v>68</v>
      </c>
      <c r="I1335" t="s">
        <v>350</v>
      </c>
      <c r="J1335" t="s">
        <v>4050</v>
      </c>
      <c r="K1335" t="s">
        <v>4051</v>
      </c>
      <c r="M1335" t="s">
        <v>72</v>
      </c>
      <c r="N1335" t="s">
        <v>4052</v>
      </c>
      <c r="O1335" t="s">
        <v>4051</v>
      </c>
      <c r="P1335" t="s">
        <v>4053</v>
      </c>
      <c r="Q1335" t="s">
        <v>75</v>
      </c>
      <c r="R1335" t="s">
        <v>5008</v>
      </c>
      <c r="S1335" t="s">
        <v>5139</v>
      </c>
      <c r="T1335" t="s">
        <v>78</v>
      </c>
      <c r="U1335" t="s">
        <v>5009</v>
      </c>
      <c r="V1335" t="s">
        <v>80</v>
      </c>
      <c r="W1335" s="1">
        <v>44534</v>
      </c>
      <c r="X1335" t="s">
        <v>5010</v>
      </c>
      <c r="Y1335" t="s">
        <v>5140</v>
      </c>
      <c r="Z1335" t="s">
        <v>83</v>
      </c>
      <c r="AA1335">
        <v>1</v>
      </c>
      <c r="AB1335" t="s">
        <v>4517</v>
      </c>
      <c r="AD1335" t="s">
        <v>104</v>
      </c>
      <c r="AE1335" t="s">
        <v>86</v>
      </c>
      <c r="AF1335" t="s">
        <v>146</v>
      </c>
      <c r="AG1335" t="s">
        <v>1393</v>
      </c>
      <c r="AI1335" t="s">
        <v>90</v>
      </c>
      <c r="AJ1335">
        <v>32.31324</v>
      </c>
      <c r="AK1335">
        <v>-110.71200899999999</v>
      </c>
      <c r="AL1335">
        <v>3</v>
      </c>
      <c r="AN1335">
        <v>1153</v>
      </c>
      <c r="AP1335">
        <v>1153</v>
      </c>
      <c r="AQ1335">
        <v>1156.50323</v>
      </c>
      <c r="AT1335">
        <v>4</v>
      </c>
      <c r="AU1335">
        <v>12</v>
      </c>
      <c r="AV1335">
        <v>2021</v>
      </c>
      <c r="AW1335">
        <v>2437568</v>
      </c>
      <c r="AX1335">
        <v>2437568</v>
      </c>
      <c r="AY1335" t="s">
        <v>106</v>
      </c>
      <c r="AZ1335" t="s">
        <v>92</v>
      </c>
      <c r="BA1335" t="s">
        <v>107</v>
      </c>
      <c r="BB1335" t="s">
        <v>5157</v>
      </c>
      <c r="BC1335" t="s">
        <v>1186</v>
      </c>
      <c r="BE1335" t="s">
        <v>96</v>
      </c>
      <c r="BG1335" t="s">
        <v>4507</v>
      </c>
      <c r="BI1335" t="s">
        <v>98</v>
      </c>
      <c r="BJ1335" t="s">
        <v>2213</v>
      </c>
      <c r="BL1335" t="s">
        <v>110</v>
      </c>
    </row>
    <row r="1336" spans="1:64" hidden="1" x14ac:dyDescent="0.2">
      <c r="A1336">
        <v>1219</v>
      </c>
      <c r="B1336">
        <v>4022923494</v>
      </c>
      <c r="C1336" t="s">
        <v>101</v>
      </c>
      <c r="D1336" t="s">
        <v>5165</v>
      </c>
      <c r="E1336" t="s">
        <v>65</v>
      </c>
      <c r="F1336" t="s">
        <v>66</v>
      </c>
      <c r="G1336" t="s">
        <v>67</v>
      </c>
      <c r="H1336" t="s">
        <v>68</v>
      </c>
      <c r="I1336" t="s">
        <v>69</v>
      </c>
      <c r="J1336" t="s">
        <v>70</v>
      </c>
      <c r="K1336" t="s">
        <v>4195</v>
      </c>
      <c r="M1336" t="s">
        <v>72</v>
      </c>
      <c r="N1336" t="s">
        <v>4196</v>
      </c>
      <c r="O1336" t="s">
        <v>4195</v>
      </c>
      <c r="P1336" t="s">
        <v>4197</v>
      </c>
      <c r="Q1336" t="s">
        <v>75</v>
      </c>
      <c r="R1336" t="s">
        <v>5008</v>
      </c>
      <c r="S1336" t="s">
        <v>5159</v>
      </c>
      <c r="T1336" t="s">
        <v>78</v>
      </c>
      <c r="U1336" t="s">
        <v>5009</v>
      </c>
      <c r="V1336" t="s">
        <v>80</v>
      </c>
      <c r="W1336" s="1">
        <v>44534</v>
      </c>
      <c r="X1336" t="s">
        <v>5010</v>
      </c>
      <c r="Y1336" t="s">
        <v>5160</v>
      </c>
      <c r="Z1336" t="s">
        <v>83</v>
      </c>
      <c r="AA1336">
        <v>1</v>
      </c>
      <c r="AB1336" t="s">
        <v>4517</v>
      </c>
      <c r="AD1336" t="s">
        <v>104</v>
      </c>
      <c r="AE1336" t="s">
        <v>145</v>
      </c>
      <c r="AF1336" t="s">
        <v>146</v>
      </c>
      <c r="AG1336" t="s">
        <v>3217</v>
      </c>
      <c r="AI1336" t="s">
        <v>90</v>
      </c>
      <c r="AJ1336">
        <v>32.313285999999998</v>
      </c>
      <c r="AK1336">
        <v>-110.71198699999999</v>
      </c>
      <c r="AL1336">
        <v>3</v>
      </c>
      <c r="AN1336">
        <v>1159</v>
      </c>
      <c r="AP1336">
        <v>1159</v>
      </c>
      <c r="AQ1336">
        <v>1157.2441249999999</v>
      </c>
      <c r="AT1336">
        <v>4</v>
      </c>
      <c r="AU1336">
        <v>12</v>
      </c>
      <c r="AV1336">
        <v>2021</v>
      </c>
      <c r="AW1336">
        <v>2439589</v>
      </c>
      <c r="AX1336">
        <v>2439589</v>
      </c>
      <c r="AY1336" t="s">
        <v>106</v>
      </c>
      <c r="AZ1336" t="s">
        <v>92</v>
      </c>
      <c r="BA1336" t="s">
        <v>107</v>
      </c>
      <c r="BB1336" t="s">
        <v>5166</v>
      </c>
      <c r="BC1336" t="s">
        <v>1186</v>
      </c>
      <c r="BE1336" t="s">
        <v>96</v>
      </c>
      <c r="BG1336" t="s">
        <v>4507</v>
      </c>
      <c r="BI1336" t="s">
        <v>98</v>
      </c>
      <c r="BJ1336" t="s">
        <v>1014</v>
      </c>
      <c r="BL1336" t="s">
        <v>110</v>
      </c>
    </row>
    <row r="1337" spans="1:64" x14ac:dyDescent="0.2">
      <c r="A1337">
        <v>1365</v>
      </c>
      <c r="B1337">
        <v>4022923348</v>
      </c>
      <c r="C1337" t="s">
        <v>101</v>
      </c>
      <c r="D1337" t="s">
        <v>4548</v>
      </c>
      <c r="E1337" t="s">
        <v>65</v>
      </c>
      <c r="F1337" t="s">
        <v>66</v>
      </c>
      <c r="G1337" t="s">
        <v>67</v>
      </c>
      <c r="H1337" t="s">
        <v>68</v>
      </c>
      <c r="I1337" t="s">
        <v>176</v>
      </c>
      <c r="J1337" t="s">
        <v>177</v>
      </c>
      <c r="K1337" t="s">
        <v>178</v>
      </c>
      <c r="M1337" t="s">
        <v>72</v>
      </c>
      <c r="N1337" t="s">
        <v>179</v>
      </c>
      <c r="O1337" t="s">
        <v>178</v>
      </c>
      <c r="P1337" t="s">
        <v>180</v>
      </c>
      <c r="Q1337" t="s">
        <v>75</v>
      </c>
      <c r="R1337" t="s">
        <v>4501</v>
      </c>
      <c r="S1337" t="s">
        <v>3738</v>
      </c>
      <c r="T1337" t="s">
        <v>78</v>
      </c>
      <c r="U1337" t="s">
        <v>3817</v>
      </c>
      <c r="V1337" t="s">
        <v>80</v>
      </c>
      <c r="W1337" s="1">
        <v>44534</v>
      </c>
      <c r="X1337" t="s">
        <v>4502</v>
      </c>
      <c r="Y1337" t="s">
        <v>4531</v>
      </c>
      <c r="Z1337" t="s">
        <v>83</v>
      </c>
      <c r="AA1337">
        <v>1</v>
      </c>
      <c r="AB1337" t="s">
        <v>4517</v>
      </c>
      <c r="AC1337">
        <v>1</v>
      </c>
      <c r="AD1337" t="s">
        <v>119</v>
      </c>
      <c r="AE1337" t="s">
        <v>145</v>
      </c>
      <c r="AF1337" t="s">
        <v>146</v>
      </c>
      <c r="AG1337" t="s">
        <v>4539</v>
      </c>
      <c r="AI1337" t="s">
        <v>90</v>
      </c>
      <c r="AJ1337">
        <v>32.337204999999997</v>
      </c>
      <c r="AK1337">
        <v>-110.720725</v>
      </c>
      <c r="AL1337">
        <v>3</v>
      </c>
      <c r="AN1337">
        <v>1467</v>
      </c>
      <c r="AP1337">
        <v>1467</v>
      </c>
      <c r="AQ1337">
        <v>1472.5978210000001</v>
      </c>
      <c r="AT1337">
        <v>4</v>
      </c>
      <c r="AU1337">
        <v>12</v>
      </c>
      <c r="AV1337">
        <v>2021</v>
      </c>
      <c r="AW1337">
        <v>2438038</v>
      </c>
      <c r="AX1337">
        <v>2438038</v>
      </c>
      <c r="AY1337" t="s">
        <v>106</v>
      </c>
      <c r="AZ1337" t="s">
        <v>92</v>
      </c>
      <c r="BA1337" t="s">
        <v>107</v>
      </c>
      <c r="BB1337" t="s">
        <v>4549</v>
      </c>
      <c r="BC1337" t="s">
        <v>1186</v>
      </c>
      <c r="BE1337" t="s">
        <v>96</v>
      </c>
      <c r="BG1337" t="s">
        <v>4507</v>
      </c>
      <c r="BI1337" t="s">
        <v>98</v>
      </c>
      <c r="BJ1337" t="s">
        <v>605</v>
      </c>
      <c r="BL1337" t="s">
        <v>412</v>
      </c>
    </row>
    <row r="1338" spans="1:64" hidden="1" x14ac:dyDescent="0.2">
      <c r="A1338">
        <v>1245</v>
      </c>
      <c r="B1338">
        <v>4022923468</v>
      </c>
      <c r="C1338" t="s">
        <v>101</v>
      </c>
      <c r="D1338" t="s">
        <v>5169</v>
      </c>
      <c r="E1338" t="s">
        <v>65</v>
      </c>
      <c r="F1338" t="s">
        <v>66</v>
      </c>
      <c r="G1338" t="s">
        <v>67</v>
      </c>
      <c r="H1338" t="s">
        <v>68</v>
      </c>
      <c r="I1338" t="s">
        <v>69</v>
      </c>
      <c r="J1338" t="s">
        <v>70</v>
      </c>
      <c r="K1338" t="s">
        <v>4195</v>
      </c>
      <c r="M1338" t="s">
        <v>72</v>
      </c>
      <c r="N1338" t="s">
        <v>4196</v>
      </c>
      <c r="O1338" t="s">
        <v>4195</v>
      </c>
      <c r="P1338" t="s">
        <v>4197</v>
      </c>
      <c r="Q1338" t="s">
        <v>75</v>
      </c>
      <c r="R1338" t="s">
        <v>5008</v>
      </c>
      <c r="S1338" t="s">
        <v>5159</v>
      </c>
      <c r="T1338" t="s">
        <v>78</v>
      </c>
      <c r="U1338" t="s">
        <v>5009</v>
      </c>
      <c r="V1338" t="s">
        <v>80</v>
      </c>
      <c r="W1338" s="1">
        <v>44534</v>
      </c>
      <c r="X1338" t="s">
        <v>5010</v>
      </c>
      <c r="Y1338" t="s">
        <v>5160</v>
      </c>
      <c r="Z1338" t="s">
        <v>83</v>
      </c>
      <c r="AA1338">
        <v>1</v>
      </c>
      <c r="AB1338" t="s">
        <v>672</v>
      </c>
      <c r="AD1338" t="s">
        <v>134</v>
      </c>
      <c r="AE1338" t="s">
        <v>145</v>
      </c>
      <c r="AF1338" t="s">
        <v>146</v>
      </c>
      <c r="AG1338" t="s">
        <v>3217</v>
      </c>
      <c r="AI1338" t="s">
        <v>90</v>
      </c>
      <c r="AJ1338">
        <v>32.313285999999998</v>
      </c>
      <c r="AK1338">
        <v>-110.71198699999999</v>
      </c>
      <c r="AL1338">
        <v>3</v>
      </c>
      <c r="AN1338">
        <v>1159</v>
      </c>
      <c r="AP1338">
        <v>1159</v>
      </c>
      <c r="AQ1338">
        <v>1157.2441249999999</v>
      </c>
      <c r="AT1338">
        <v>4</v>
      </c>
      <c r="AU1338">
        <v>12</v>
      </c>
      <c r="AV1338">
        <v>2021</v>
      </c>
      <c r="AW1338">
        <v>2439589</v>
      </c>
      <c r="AX1338">
        <v>2439589</v>
      </c>
      <c r="AY1338" t="s">
        <v>106</v>
      </c>
      <c r="AZ1338" t="s">
        <v>92</v>
      </c>
      <c r="BA1338" t="s">
        <v>107</v>
      </c>
      <c r="BB1338" t="s">
        <v>5170</v>
      </c>
      <c r="BC1338" t="s">
        <v>1186</v>
      </c>
      <c r="BE1338" t="s">
        <v>96</v>
      </c>
      <c r="BG1338" t="s">
        <v>4507</v>
      </c>
      <c r="BI1338" t="s">
        <v>98</v>
      </c>
      <c r="BJ1338" t="s">
        <v>5109</v>
      </c>
      <c r="BL1338" t="s">
        <v>110</v>
      </c>
    </row>
    <row r="1339" spans="1:64" hidden="1" x14ac:dyDescent="0.2">
      <c r="A1339">
        <v>1244</v>
      </c>
      <c r="B1339">
        <v>4022923469</v>
      </c>
      <c r="C1339" t="s">
        <v>101</v>
      </c>
      <c r="D1339" t="s">
        <v>5171</v>
      </c>
      <c r="E1339" t="s">
        <v>65</v>
      </c>
      <c r="F1339" t="s">
        <v>66</v>
      </c>
      <c r="G1339" t="s">
        <v>67</v>
      </c>
      <c r="H1339" t="s">
        <v>68</v>
      </c>
      <c r="I1339" t="s">
        <v>69</v>
      </c>
      <c r="J1339" t="s">
        <v>70</v>
      </c>
      <c r="K1339" t="s">
        <v>4195</v>
      </c>
      <c r="M1339" t="s">
        <v>72</v>
      </c>
      <c r="N1339" t="s">
        <v>4196</v>
      </c>
      <c r="O1339" t="s">
        <v>4195</v>
      </c>
      <c r="P1339" t="s">
        <v>4197</v>
      </c>
      <c r="Q1339" t="s">
        <v>75</v>
      </c>
      <c r="R1339" t="s">
        <v>5008</v>
      </c>
      <c r="S1339" t="s">
        <v>5159</v>
      </c>
      <c r="T1339" t="s">
        <v>78</v>
      </c>
      <c r="U1339" t="s">
        <v>5009</v>
      </c>
      <c r="V1339" t="s">
        <v>80</v>
      </c>
      <c r="W1339" s="1">
        <v>44534</v>
      </c>
      <c r="X1339" t="s">
        <v>5010</v>
      </c>
      <c r="Y1339" t="s">
        <v>5160</v>
      </c>
      <c r="Z1339" t="s">
        <v>83</v>
      </c>
      <c r="AA1339">
        <v>1</v>
      </c>
      <c r="AB1339" t="s">
        <v>4517</v>
      </c>
      <c r="AD1339" t="s">
        <v>139</v>
      </c>
      <c r="AE1339" t="s">
        <v>145</v>
      </c>
      <c r="AF1339" t="s">
        <v>146</v>
      </c>
      <c r="AG1339" t="s">
        <v>3217</v>
      </c>
      <c r="AI1339" t="s">
        <v>90</v>
      </c>
      <c r="AJ1339">
        <v>32.313285999999998</v>
      </c>
      <c r="AK1339">
        <v>-110.71198699999999</v>
      </c>
      <c r="AL1339">
        <v>3</v>
      </c>
      <c r="AN1339">
        <v>1159</v>
      </c>
      <c r="AP1339">
        <v>1159</v>
      </c>
      <c r="AQ1339">
        <v>1157.2441249999999</v>
      </c>
      <c r="AT1339">
        <v>4</v>
      </c>
      <c r="AU1339">
        <v>12</v>
      </c>
      <c r="AV1339">
        <v>2021</v>
      </c>
      <c r="AW1339">
        <v>2439589</v>
      </c>
      <c r="AX1339">
        <v>2439589</v>
      </c>
      <c r="AY1339" t="s">
        <v>106</v>
      </c>
      <c r="AZ1339" t="s">
        <v>92</v>
      </c>
      <c r="BA1339" t="s">
        <v>107</v>
      </c>
      <c r="BB1339" t="s">
        <v>5172</v>
      </c>
      <c r="BC1339" t="s">
        <v>1186</v>
      </c>
      <c r="BE1339" t="s">
        <v>96</v>
      </c>
      <c r="BG1339" t="s">
        <v>4507</v>
      </c>
      <c r="BI1339" t="s">
        <v>98</v>
      </c>
      <c r="BJ1339" t="s">
        <v>5109</v>
      </c>
      <c r="BL1339" t="s">
        <v>110</v>
      </c>
    </row>
    <row r="1340" spans="1:64" hidden="1" x14ac:dyDescent="0.2">
      <c r="A1340">
        <v>1243</v>
      </c>
      <c r="B1340">
        <v>4022923470</v>
      </c>
      <c r="C1340" t="s">
        <v>101</v>
      </c>
      <c r="D1340" t="s">
        <v>5173</v>
      </c>
      <c r="E1340" t="s">
        <v>65</v>
      </c>
      <c r="F1340" t="s">
        <v>66</v>
      </c>
      <c r="G1340" t="s">
        <v>67</v>
      </c>
      <c r="H1340" t="s">
        <v>68</v>
      </c>
      <c r="I1340" t="s">
        <v>69</v>
      </c>
      <c r="J1340" t="s">
        <v>70</v>
      </c>
      <c r="K1340" t="s">
        <v>4195</v>
      </c>
      <c r="M1340" t="s">
        <v>72</v>
      </c>
      <c r="N1340" t="s">
        <v>4196</v>
      </c>
      <c r="O1340" t="s">
        <v>4195</v>
      </c>
      <c r="P1340" t="s">
        <v>4197</v>
      </c>
      <c r="Q1340" t="s">
        <v>75</v>
      </c>
      <c r="R1340" t="s">
        <v>5008</v>
      </c>
      <c r="S1340" t="s">
        <v>5159</v>
      </c>
      <c r="T1340" t="s">
        <v>78</v>
      </c>
      <c r="U1340" t="s">
        <v>5009</v>
      </c>
      <c r="V1340" t="s">
        <v>80</v>
      </c>
      <c r="W1340" s="1">
        <v>44534</v>
      </c>
      <c r="X1340" t="s">
        <v>5010</v>
      </c>
      <c r="Y1340" t="s">
        <v>5160</v>
      </c>
      <c r="Z1340" t="s">
        <v>83</v>
      </c>
      <c r="AA1340">
        <v>1</v>
      </c>
      <c r="AB1340" t="s">
        <v>4517</v>
      </c>
      <c r="AD1340" t="s">
        <v>123</v>
      </c>
      <c r="AE1340" t="s">
        <v>145</v>
      </c>
      <c r="AF1340" t="s">
        <v>146</v>
      </c>
      <c r="AG1340" t="s">
        <v>3217</v>
      </c>
      <c r="AI1340" t="s">
        <v>90</v>
      </c>
      <c r="AJ1340">
        <v>32.313285999999998</v>
      </c>
      <c r="AK1340">
        <v>-110.71198699999999</v>
      </c>
      <c r="AL1340">
        <v>3</v>
      </c>
      <c r="AN1340">
        <v>1159</v>
      </c>
      <c r="AP1340">
        <v>1159</v>
      </c>
      <c r="AQ1340">
        <v>1157.2441249999999</v>
      </c>
      <c r="AT1340">
        <v>4</v>
      </c>
      <c r="AU1340">
        <v>12</v>
      </c>
      <c r="AV1340">
        <v>2021</v>
      </c>
      <c r="AW1340">
        <v>2439589</v>
      </c>
      <c r="AX1340">
        <v>2439589</v>
      </c>
      <c r="AY1340" t="s">
        <v>106</v>
      </c>
      <c r="AZ1340" t="s">
        <v>92</v>
      </c>
      <c r="BA1340" t="s">
        <v>107</v>
      </c>
      <c r="BB1340" t="s">
        <v>5174</v>
      </c>
      <c r="BC1340" t="s">
        <v>1186</v>
      </c>
      <c r="BE1340" t="s">
        <v>96</v>
      </c>
      <c r="BG1340" t="s">
        <v>4507</v>
      </c>
      <c r="BI1340" t="s">
        <v>98</v>
      </c>
      <c r="BJ1340" t="s">
        <v>5175</v>
      </c>
      <c r="BL1340" t="s">
        <v>110</v>
      </c>
    </row>
    <row r="1341" spans="1:64" hidden="1" x14ac:dyDescent="0.2">
      <c r="A1341">
        <v>1242</v>
      </c>
      <c r="B1341">
        <v>4022923471</v>
      </c>
      <c r="C1341" t="s">
        <v>101</v>
      </c>
      <c r="D1341" t="s">
        <v>5176</v>
      </c>
      <c r="E1341" t="s">
        <v>65</v>
      </c>
      <c r="F1341" t="s">
        <v>66</v>
      </c>
      <c r="G1341" t="s">
        <v>67</v>
      </c>
      <c r="H1341" t="s">
        <v>68</v>
      </c>
      <c r="I1341" t="s">
        <v>69</v>
      </c>
      <c r="J1341" t="s">
        <v>70</v>
      </c>
      <c r="K1341" t="s">
        <v>4195</v>
      </c>
      <c r="M1341" t="s">
        <v>72</v>
      </c>
      <c r="N1341" t="s">
        <v>4196</v>
      </c>
      <c r="O1341" t="s">
        <v>4195</v>
      </c>
      <c r="P1341" t="s">
        <v>4197</v>
      </c>
      <c r="Q1341" t="s">
        <v>75</v>
      </c>
      <c r="R1341" t="s">
        <v>5008</v>
      </c>
      <c r="S1341" t="s">
        <v>5159</v>
      </c>
      <c r="T1341" t="s">
        <v>78</v>
      </c>
      <c r="U1341" t="s">
        <v>5009</v>
      </c>
      <c r="V1341" t="s">
        <v>80</v>
      </c>
      <c r="W1341" s="1">
        <v>44534</v>
      </c>
      <c r="X1341" t="s">
        <v>5010</v>
      </c>
      <c r="Y1341" t="s">
        <v>5160</v>
      </c>
      <c r="Z1341" t="s">
        <v>83</v>
      </c>
      <c r="AA1341">
        <v>1</v>
      </c>
      <c r="AB1341" t="s">
        <v>4517</v>
      </c>
      <c r="AD1341" t="s">
        <v>112</v>
      </c>
      <c r="AE1341" t="s">
        <v>145</v>
      </c>
      <c r="AF1341" t="s">
        <v>146</v>
      </c>
      <c r="AG1341" t="s">
        <v>3217</v>
      </c>
      <c r="AI1341" t="s">
        <v>90</v>
      </c>
      <c r="AJ1341">
        <v>32.313285999999998</v>
      </c>
      <c r="AK1341">
        <v>-110.71198699999999</v>
      </c>
      <c r="AL1341">
        <v>3</v>
      </c>
      <c r="AN1341">
        <v>1159</v>
      </c>
      <c r="AP1341">
        <v>1159</v>
      </c>
      <c r="AQ1341">
        <v>1157.2441249999999</v>
      </c>
      <c r="AT1341">
        <v>4</v>
      </c>
      <c r="AU1341">
        <v>12</v>
      </c>
      <c r="AV1341">
        <v>2021</v>
      </c>
      <c r="AW1341">
        <v>2439589</v>
      </c>
      <c r="AX1341">
        <v>2439589</v>
      </c>
      <c r="AY1341" t="s">
        <v>106</v>
      </c>
      <c r="AZ1341" t="s">
        <v>92</v>
      </c>
      <c r="BA1341" t="s">
        <v>107</v>
      </c>
      <c r="BB1341" t="s">
        <v>5177</v>
      </c>
      <c r="BC1341" t="s">
        <v>1186</v>
      </c>
      <c r="BE1341" t="s">
        <v>96</v>
      </c>
      <c r="BG1341" t="s">
        <v>4507</v>
      </c>
      <c r="BI1341" t="s">
        <v>98</v>
      </c>
      <c r="BJ1341" t="s">
        <v>5178</v>
      </c>
      <c r="BL1341" t="s">
        <v>110</v>
      </c>
    </row>
    <row r="1342" spans="1:64" hidden="1" x14ac:dyDescent="0.2">
      <c r="A1342">
        <v>1241</v>
      </c>
      <c r="B1342">
        <v>4022923472</v>
      </c>
      <c r="C1342" t="s">
        <v>101</v>
      </c>
      <c r="D1342" t="s">
        <v>5179</v>
      </c>
      <c r="E1342" t="s">
        <v>65</v>
      </c>
      <c r="F1342" t="s">
        <v>66</v>
      </c>
      <c r="G1342" t="s">
        <v>67</v>
      </c>
      <c r="H1342" t="s">
        <v>68</v>
      </c>
      <c r="I1342" t="s">
        <v>69</v>
      </c>
      <c r="J1342" t="s">
        <v>70</v>
      </c>
      <c r="K1342" t="s">
        <v>4195</v>
      </c>
      <c r="M1342" t="s">
        <v>72</v>
      </c>
      <c r="N1342" t="s">
        <v>4196</v>
      </c>
      <c r="O1342" t="s">
        <v>4195</v>
      </c>
      <c r="P1342" t="s">
        <v>4197</v>
      </c>
      <c r="Q1342" t="s">
        <v>75</v>
      </c>
      <c r="R1342" t="s">
        <v>5008</v>
      </c>
      <c r="S1342" t="s">
        <v>5159</v>
      </c>
      <c r="T1342" t="s">
        <v>78</v>
      </c>
      <c r="U1342" t="s">
        <v>5009</v>
      </c>
      <c r="V1342" t="s">
        <v>80</v>
      </c>
      <c r="W1342" s="1">
        <v>44534</v>
      </c>
      <c r="X1342" t="s">
        <v>5010</v>
      </c>
      <c r="Y1342" t="s">
        <v>5160</v>
      </c>
      <c r="Z1342" t="s">
        <v>83</v>
      </c>
      <c r="AA1342">
        <v>1</v>
      </c>
      <c r="AB1342" t="s">
        <v>4517</v>
      </c>
      <c r="AD1342" t="s">
        <v>116</v>
      </c>
      <c r="AE1342" t="s">
        <v>145</v>
      </c>
      <c r="AF1342" t="s">
        <v>146</v>
      </c>
      <c r="AG1342" t="s">
        <v>3217</v>
      </c>
      <c r="AI1342" t="s">
        <v>90</v>
      </c>
      <c r="AJ1342">
        <v>32.313285999999998</v>
      </c>
      <c r="AK1342">
        <v>-110.71198699999999</v>
      </c>
      <c r="AL1342">
        <v>3</v>
      </c>
      <c r="AN1342">
        <v>1159</v>
      </c>
      <c r="AP1342">
        <v>1159</v>
      </c>
      <c r="AQ1342">
        <v>1157.2441249999999</v>
      </c>
      <c r="AT1342">
        <v>4</v>
      </c>
      <c r="AU1342">
        <v>12</v>
      </c>
      <c r="AV1342">
        <v>2021</v>
      </c>
      <c r="AW1342">
        <v>2439589</v>
      </c>
      <c r="AX1342">
        <v>2439589</v>
      </c>
      <c r="AY1342" t="s">
        <v>106</v>
      </c>
      <c r="AZ1342" t="s">
        <v>92</v>
      </c>
      <c r="BA1342" t="s">
        <v>107</v>
      </c>
      <c r="BB1342" t="s">
        <v>5180</v>
      </c>
      <c r="BC1342" t="s">
        <v>1186</v>
      </c>
      <c r="BE1342" t="s">
        <v>96</v>
      </c>
      <c r="BG1342" t="s">
        <v>4507</v>
      </c>
      <c r="BI1342" t="s">
        <v>98</v>
      </c>
      <c r="BJ1342" t="s">
        <v>5175</v>
      </c>
      <c r="BL1342" t="s">
        <v>110</v>
      </c>
    </row>
    <row r="1343" spans="1:64" x14ac:dyDescent="0.2">
      <c r="A1343">
        <v>1379</v>
      </c>
      <c r="B1343">
        <v>4022923334</v>
      </c>
      <c r="C1343" t="s">
        <v>101</v>
      </c>
      <c r="D1343" t="s">
        <v>4714</v>
      </c>
      <c r="E1343" t="s">
        <v>65</v>
      </c>
      <c r="F1343" t="s">
        <v>66</v>
      </c>
      <c r="G1343" t="s">
        <v>67</v>
      </c>
      <c r="H1343" t="s">
        <v>68</v>
      </c>
      <c r="I1343" t="s">
        <v>69</v>
      </c>
      <c r="J1343" t="s">
        <v>70</v>
      </c>
      <c r="K1343" t="s">
        <v>4195</v>
      </c>
      <c r="M1343" t="s">
        <v>72</v>
      </c>
      <c r="N1343" t="s">
        <v>4196</v>
      </c>
      <c r="O1343" t="s">
        <v>4195</v>
      </c>
      <c r="P1343" t="s">
        <v>4197</v>
      </c>
      <c r="Q1343" t="s">
        <v>75</v>
      </c>
      <c r="R1343" t="s">
        <v>4501</v>
      </c>
      <c r="S1343" t="s">
        <v>3812</v>
      </c>
      <c r="T1343" t="s">
        <v>78</v>
      </c>
      <c r="U1343" t="s">
        <v>3817</v>
      </c>
      <c r="V1343" t="s">
        <v>80</v>
      </c>
      <c r="W1343" s="1">
        <v>44534</v>
      </c>
      <c r="X1343" t="s">
        <v>4502</v>
      </c>
      <c r="Y1343" t="s">
        <v>4708</v>
      </c>
      <c r="Z1343" t="s">
        <v>83</v>
      </c>
      <c r="AA1343">
        <v>1</v>
      </c>
      <c r="AB1343" t="s">
        <v>4517</v>
      </c>
      <c r="AC1343">
        <v>1</v>
      </c>
      <c r="AD1343" t="s">
        <v>119</v>
      </c>
      <c r="AE1343" t="s">
        <v>86</v>
      </c>
      <c r="AF1343" t="s">
        <v>281</v>
      </c>
      <c r="AG1343" t="s">
        <v>2650</v>
      </c>
      <c r="AI1343" t="s">
        <v>90</v>
      </c>
      <c r="AJ1343">
        <v>32.337330999999999</v>
      </c>
      <c r="AK1343">
        <v>-110.721548</v>
      </c>
      <c r="AL1343">
        <v>3</v>
      </c>
      <c r="AN1343">
        <v>1460</v>
      </c>
      <c r="AP1343">
        <v>1460</v>
      </c>
      <c r="AQ1343">
        <v>1467.900983</v>
      </c>
      <c r="AT1343">
        <v>4</v>
      </c>
      <c r="AU1343">
        <v>12</v>
      </c>
      <c r="AV1343">
        <v>2021</v>
      </c>
      <c r="AW1343">
        <v>2439589</v>
      </c>
      <c r="AX1343">
        <v>2439589</v>
      </c>
      <c r="AY1343" t="s">
        <v>106</v>
      </c>
      <c r="AZ1343" t="s">
        <v>92</v>
      </c>
      <c r="BA1343" t="s">
        <v>107</v>
      </c>
      <c r="BB1343" t="s">
        <v>4715</v>
      </c>
      <c r="BC1343" t="s">
        <v>1186</v>
      </c>
      <c r="BE1343" t="s">
        <v>96</v>
      </c>
      <c r="BG1343" t="s">
        <v>4507</v>
      </c>
      <c r="BI1343" t="s">
        <v>98</v>
      </c>
      <c r="BJ1343" t="s">
        <v>450</v>
      </c>
      <c r="BL1343" t="s">
        <v>412</v>
      </c>
    </row>
    <row r="1344" spans="1:64" x14ac:dyDescent="0.2">
      <c r="A1344">
        <v>1246</v>
      </c>
      <c r="B1344">
        <v>4022923467</v>
      </c>
      <c r="C1344" t="s">
        <v>101</v>
      </c>
      <c r="D1344" t="s">
        <v>4813</v>
      </c>
      <c r="E1344" t="s">
        <v>65</v>
      </c>
      <c r="F1344" t="s">
        <v>66</v>
      </c>
      <c r="G1344" t="s">
        <v>67</v>
      </c>
      <c r="H1344" t="s">
        <v>68</v>
      </c>
      <c r="I1344" t="s">
        <v>69</v>
      </c>
      <c r="J1344" t="s">
        <v>70</v>
      </c>
      <c r="K1344" t="s">
        <v>4195</v>
      </c>
      <c r="M1344" t="s">
        <v>72</v>
      </c>
      <c r="N1344" t="s">
        <v>4196</v>
      </c>
      <c r="O1344" t="s">
        <v>4195</v>
      </c>
      <c r="P1344" t="s">
        <v>4197</v>
      </c>
      <c r="Q1344" t="s">
        <v>75</v>
      </c>
      <c r="R1344" t="s">
        <v>4501</v>
      </c>
      <c r="S1344" t="s">
        <v>4800</v>
      </c>
      <c r="T1344" t="s">
        <v>78</v>
      </c>
      <c r="U1344" t="s">
        <v>3817</v>
      </c>
      <c r="V1344" t="s">
        <v>80</v>
      </c>
      <c r="W1344" s="1">
        <v>44534</v>
      </c>
      <c r="X1344" t="s">
        <v>4502</v>
      </c>
      <c r="Y1344" t="s">
        <v>4801</v>
      </c>
      <c r="Z1344" t="s">
        <v>83</v>
      </c>
      <c r="AA1344">
        <v>1</v>
      </c>
      <c r="AB1344" t="s">
        <v>4517</v>
      </c>
      <c r="AC1344">
        <v>1</v>
      </c>
      <c r="AD1344" t="s">
        <v>119</v>
      </c>
      <c r="AE1344" t="s">
        <v>86</v>
      </c>
      <c r="AF1344" t="s">
        <v>146</v>
      </c>
      <c r="AG1344" t="s">
        <v>1257</v>
      </c>
      <c r="AI1344" t="s">
        <v>90</v>
      </c>
      <c r="AJ1344">
        <v>32.339016999999998</v>
      </c>
      <c r="AK1344">
        <v>-110.720274</v>
      </c>
      <c r="AL1344">
        <v>3</v>
      </c>
      <c r="AN1344">
        <v>1519</v>
      </c>
      <c r="AP1344">
        <v>1519</v>
      </c>
      <c r="AQ1344">
        <v>1525.3321249999999</v>
      </c>
      <c r="AT1344">
        <v>4</v>
      </c>
      <c r="AU1344">
        <v>12</v>
      </c>
      <c r="AV1344">
        <v>2021</v>
      </c>
      <c r="AW1344">
        <v>2439589</v>
      </c>
      <c r="AX1344">
        <v>2439589</v>
      </c>
      <c r="AY1344" t="s">
        <v>106</v>
      </c>
      <c r="AZ1344" t="s">
        <v>92</v>
      </c>
      <c r="BA1344" t="s">
        <v>107</v>
      </c>
      <c r="BB1344" t="s">
        <v>4814</v>
      </c>
      <c r="BC1344" t="s">
        <v>1186</v>
      </c>
      <c r="BE1344" t="s">
        <v>96</v>
      </c>
      <c r="BG1344" t="s">
        <v>4507</v>
      </c>
      <c r="BI1344" t="s">
        <v>98</v>
      </c>
      <c r="BJ1344" t="s">
        <v>4815</v>
      </c>
      <c r="BL1344" t="s">
        <v>412</v>
      </c>
    </row>
    <row r="1345" spans="1:64" x14ac:dyDescent="0.2">
      <c r="A1345">
        <v>1236</v>
      </c>
      <c r="B1345">
        <v>4022923477</v>
      </c>
      <c r="C1345" t="s">
        <v>101</v>
      </c>
      <c r="D1345" t="s">
        <v>4850</v>
      </c>
      <c r="E1345" t="s">
        <v>65</v>
      </c>
      <c r="F1345" t="s">
        <v>66</v>
      </c>
      <c r="G1345" t="s">
        <v>67</v>
      </c>
      <c r="H1345" t="s">
        <v>68</v>
      </c>
      <c r="I1345" t="s">
        <v>176</v>
      </c>
      <c r="J1345" t="s">
        <v>773</v>
      </c>
      <c r="K1345" t="s">
        <v>1347</v>
      </c>
      <c r="M1345" t="s">
        <v>72</v>
      </c>
      <c r="N1345" t="s">
        <v>1348</v>
      </c>
      <c r="O1345" t="s">
        <v>1347</v>
      </c>
      <c r="P1345" t="s">
        <v>1349</v>
      </c>
      <c r="Q1345" t="s">
        <v>75</v>
      </c>
      <c r="R1345" t="s">
        <v>4501</v>
      </c>
      <c r="S1345" t="s">
        <v>4831</v>
      </c>
      <c r="T1345" t="s">
        <v>78</v>
      </c>
      <c r="U1345" t="s">
        <v>3817</v>
      </c>
      <c r="V1345" t="s">
        <v>80</v>
      </c>
      <c r="W1345" s="1">
        <v>44534</v>
      </c>
      <c r="X1345" t="s">
        <v>4502</v>
      </c>
      <c r="Y1345" t="s">
        <v>4832</v>
      </c>
      <c r="Z1345" t="s">
        <v>83</v>
      </c>
      <c r="AA1345">
        <v>1</v>
      </c>
      <c r="AB1345" t="s">
        <v>4517</v>
      </c>
      <c r="AC1345">
        <v>1</v>
      </c>
      <c r="AD1345" t="s">
        <v>119</v>
      </c>
      <c r="AE1345" t="s">
        <v>145</v>
      </c>
      <c r="AF1345" t="s">
        <v>146</v>
      </c>
      <c r="AG1345" t="s">
        <v>4840</v>
      </c>
      <c r="AI1345" t="s">
        <v>90</v>
      </c>
      <c r="AJ1345">
        <v>32.339241000000001</v>
      </c>
      <c r="AK1345">
        <v>-110.720311</v>
      </c>
      <c r="AL1345">
        <v>3</v>
      </c>
      <c r="AN1345">
        <v>1530</v>
      </c>
      <c r="AP1345">
        <v>1530</v>
      </c>
      <c r="AQ1345">
        <v>1535.844799</v>
      </c>
      <c r="AT1345">
        <v>4</v>
      </c>
      <c r="AU1345">
        <v>12</v>
      </c>
      <c r="AV1345">
        <v>2021</v>
      </c>
      <c r="AW1345">
        <v>2438454</v>
      </c>
      <c r="AX1345">
        <v>2438454</v>
      </c>
      <c r="AY1345" t="s">
        <v>106</v>
      </c>
      <c r="AZ1345" t="s">
        <v>92</v>
      </c>
      <c r="BA1345" t="s">
        <v>107</v>
      </c>
      <c r="BB1345" t="s">
        <v>4851</v>
      </c>
      <c r="BC1345" t="s">
        <v>1186</v>
      </c>
      <c r="BE1345" t="s">
        <v>96</v>
      </c>
      <c r="BG1345" t="s">
        <v>4507</v>
      </c>
      <c r="BI1345" t="s">
        <v>98</v>
      </c>
      <c r="BJ1345" t="s">
        <v>4815</v>
      </c>
      <c r="BL1345" t="s">
        <v>412</v>
      </c>
    </row>
    <row r="1346" spans="1:64" hidden="1" x14ac:dyDescent="0.2">
      <c r="A1346">
        <v>1361</v>
      </c>
      <c r="B1346">
        <v>4022923352</v>
      </c>
      <c r="C1346" t="s">
        <v>101</v>
      </c>
      <c r="D1346" t="s">
        <v>5195</v>
      </c>
      <c r="E1346" t="s">
        <v>65</v>
      </c>
      <c r="F1346" t="s">
        <v>66</v>
      </c>
      <c r="G1346" t="s">
        <v>67</v>
      </c>
      <c r="H1346" t="s">
        <v>68</v>
      </c>
      <c r="I1346" t="s">
        <v>176</v>
      </c>
      <c r="J1346" t="s">
        <v>773</v>
      </c>
      <c r="K1346" t="s">
        <v>1347</v>
      </c>
      <c r="M1346" t="s">
        <v>72</v>
      </c>
      <c r="N1346" t="s">
        <v>1348</v>
      </c>
      <c r="O1346" t="s">
        <v>1347</v>
      </c>
      <c r="P1346" t="s">
        <v>1349</v>
      </c>
      <c r="Q1346" t="s">
        <v>75</v>
      </c>
      <c r="R1346" t="s">
        <v>5008</v>
      </c>
      <c r="S1346" t="s">
        <v>5184</v>
      </c>
      <c r="T1346" t="s">
        <v>78</v>
      </c>
      <c r="U1346" t="s">
        <v>5009</v>
      </c>
      <c r="V1346" t="s">
        <v>80</v>
      </c>
      <c r="W1346" s="1">
        <v>44534</v>
      </c>
      <c r="X1346" t="s">
        <v>5010</v>
      </c>
      <c r="Y1346" t="s">
        <v>5185</v>
      </c>
      <c r="Z1346" t="s">
        <v>83</v>
      </c>
      <c r="AA1346">
        <v>1</v>
      </c>
      <c r="AB1346" t="s">
        <v>672</v>
      </c>
      <c r="AD1346" t="s">
        <v>134</v>
      </c>
      <c r="AE1346" t="s">
        <v>145</v>
      </c>
      <c r="AF1346" t="s">
        <v>146</v>
      </c>
      <c r="AG1346" t="s">
        <v>5191</v>
      </c>
      <c r="AI1346" t="s">
        <v>90</v>
      </c>
      <c r="AJ1346">
        <v>32.313310000000001</v>
      </c>
      <c r="AK1346">
        <v>-110.712159</v>
      </c>
      <c r="AL1346">
        <v>3</v>
      </c>
      <c r="AN1346">
        <v>1166</v>
      </c>
      <c r="AP1346">
        <v>1166</v>
      </c>
      <c r="AQ1346">
        <v>1159.281207</v>
      </c>
      <c r="AT1346">
        <v>4</v>
      </c>
      <c r="AU1346">
        <v>12</v>
      </c>
      <c r="AV1346">
        <v>2021</v>
      </c>
      <c r="AW1346">
        <v>2438454</v>
      </c>
      <c r="AX1346">
        <v>2438454</v>
      </c>
      <c r="AY1346" t="s">
        <v>106</v>
      </c>
      <c r="AZ1346" t="s">
        <v>92</v>
      </c>
      <c r="BA1346" t="s">
        <v>107</v>
      </c>
      <c r="BB1346" t="s">
        <v>5196</v>
      </c>
      <c r="BC1346" t="s">
        <v>1186</v>
      </c>
      <c r="BE1346" t="s">
        <v>96</v>
      </c>
      <c r="BG1346" t="s">
        <v>4507</v>
      </c>
      <c r="BI1346" t="s">
        <v>98</v>
      </c>
      <c r="BJ1346" t="s">
        <v>5197</v>
      </c>
      <c r="BL1346" t="s">
        <v>110</v>
      </c>
    </row>
    <row r="1347" spans="1:64" hidden="1" x14ac:dyDescent="0.2">
      <c r="A1347">
        <v>1360</v>
      </c>
      <c r="B1347">
        <v>4022923353</v>
      </c>
      <c r="C1347" t="s">
        <v>101</v>
      </c>
      <c r="D1347" t="s">
        <v>5198</v>
      </c>
      <c r="E1347" t="s">
        <v>65</v>
      </c>
      <c r="F1347" t="s">
        <v>66</v>
      </c>
      <c r="G1347" t="s">
        <v>67</v>
      </c>
      <c r="H1347" t="s">
        <v>68</v>
      </c>
      <c r="I1347" t="s">
        <v>176</v>
      </c>
      <c r="J1347" t="s">
        <v>773</v>
      </c>
      <c r="K1347" t="s">
        <v>1347</v>
      </c>
      <c r="M1347" t="s">
        <v>72</v>
      </c>
      <c r="N1347" t="s">
        <v>1348</v>
      </c>
      <c r="O1347" t="s">
        <v>1347</v>
      </c>
      <c r="P1347" t="s">
        <v>1349</v>
      </c>
      <c r="Q1347" t="s">
        <v>75</v>
      </c>
      <c r="R1347" t="s">
        <v>5008</v>
      </c>
      <c r="S1347" t="s">
        <v>5184</v>
      </c>
      <c r="T1347" t="s">
        <v>78</v>
      </c>
      <c r="U1347" t="s">
        <v>5009</v>
      </c>
      <c r="V1347" t="s">
        <v>80</v>
      </c>
      <c r="W1347" s="1">
        <v>44534</v>
      </c>
      <c r="X1347" t="s">
        <v>5010</v>
      </c>
      <c r="Y1347" t="s">
        <v>5185</v>
      </c>
      <c r="Z1347" t="s">
        <v>83</v>
      </c>
      <c r="AA1347">
        <v>1</v>
      </c>
      <c r="AB1347" t="s">
        <v>4517</v>
      </c>
      <c r="AD1347" t="s">
        <v>139</v>
      </c>
      <c r="AE1347" t="s">
        <v>145</v>
      </c>
      <c r="AF1347" t="s">
        <v>146</v>
      </c>
      <c r="AG1347" t="s">
        <v>5191</v>
      </c>
      <c r="AI1347" t="s">
        <v>90</v>
      </c>
      <c r="AJ1347">
        <v>32.313310000000001</v>
      </c>
      <c r="AK1347">
        <v>-110.712159</v>
      </c>
      <c r="AL1347">
        <v>3</v>
      </c>
      <c r="AN1347">
        <v>1166</v>
      </c>
      <c r="AP1347">
        <v>1166</v>
      </c>
      <c r="AQ1347">
        <v>1159.281207</v>
      </c>
      <c r="AT1347">
        <v>4</v>
      </c>
      <c r="AU1347">
        <v>12</v>
      </c>
      <c r="AV1347">
        <v>2021</v>
      </c>
      <c r="AW1347">
        <v>2438454</v>
      </c>
      <c r="AX1347">
        <v>2438454</v>
      </c>
      <c r="AY1347" t="s">
        <v>106</v>
      </c>
      <c r="AZ1347" t="s">
        <v>92</v>
      </c>
      <c r="BA1347" t="s">
        <v>107</v>
      </c>
      <c r="BB1347" t="s">
        <v>5199</v>
      </c>
      <c r="BC1347" t="s">
        <v>1186</v>
      </c>
      <c r="BE1347" t="s">
        <v>96</v>
      </c>
      <c r="BG1347" t="s">
        <v>4507</v>
      </c>
      <c r="BI1347" t="s">
        <v>98</v>
      </c>
      <c r="BJ1347" t="s">
        <v>2483</v>
      </c>
      <c r="BL1347" t="s">
        <v>110</v>
      </c>
    </row>
    <row r="1348" spans="1:64" hidden="1" x14ac:dyDescent="0.2">
      <c r="A1348">
        <v>1359</v>
      </c>
      <c r="B1348">
        <v>4022923354</v>
      </c>
      <c r="C1348" t="s">
        <v>101</v>
      </c>
      <c r="D1348" t="s">
        <v>5200</v>
      </c>
      <c r="E1348" t="s">
        <v>65</v>
      </c>
      <c r="F1348" t="s">
        <v>66</v>
      </c>
      <c r="G1348" t="s">
        <v>67</v>
      </c>
      <c r="H1348" t="s">
        <v>68</v>
      </c>
      <c r="I1348" t="s">
        <v>176</v>
      </c>
      <c r="J1348" t="s">
        <v>773</v>
      </c>
      <c r="K1348" t="s">
        <v>1347</v>
      </c>
      <c r="M1348" t="s">
        <v>72</v>
      </c>
      <c r="N1348" t="s">
        <v>1348</v>
      </c>
      <c r="O1348" t="s">
        <v>1347</v>
      </c>
      <c r="P1348" t="s">
        <v>1349</v>
      </c>
      <c r="Q1348" t="s">
        <v>75</v>
      </c>
      <c r="R1348" t="s">
        <v>5008</v>
      </c>
      <c r="S1348" t="s">
        <v>5184</v>
      </c>
      <c r="T1348" t="s">
        <v>78</v>
      </c>
      <c r="U1348" t="s">
        <v>5009</v>
      </c>
      <c r="V1348" t="s">
        <v>80</v>
      </c>
      <c r="W1348" s="1">
        <v>44534</v>
      </c>
      <c r="X1348" t="s">
        <v>5010</v>
      </c>
      <c r="Y1348" t="s">
        <v>5185</v>
      </c>
      <c r="Z1348" t="s">
        <v>83</v>
      </c>
      <c r="AA1348">
        <v>1</v>
      </c>
      <c r="AB1348" t="s">
        <v>4517</v>
      </c>
      <c r="AD1348" t="s">
        <v>123</v>
      </c>
      <c r="AE1348" t="s">
        <v>145</v>
      </c>
      <c r="AF1348" t="s">
        <v>146</v>
      </c>
      <c r="AG1348" t="s">
        <v>5191</v>
      </c>
      <c r="AI1348" t="s">
        <v>90</v>
      </c>
      <c r="AJ1348">
        <v>32.313310000000001</v>
      </c>
      <c r="AK1348">
        <v>-110.712159</v>
      </c>
      <c r="AL1348">
        <v>3</v>
      </c>
      <c r="AN1348">
        <v>1166</v>
      </c>
      <c r="AP1348">
        <v>1166</v>
      </c>
      <c r="AQ1348">
        <v>1159.281207</v>
      </c>
      <c r="AT1348">
        <v>4</v>
      </c>
      <c r="AU1348">
        <v>12</v>
      </c>
      <c r="AV1348">
        <v>2021</v>
      </c>
      <c r="AW1348">
        <v>2438454</v>
      </c>
      <c r="AX1348">
        <v>2438454</v>
      </c>
      <c r="AY1348" t="s">
        <v>106</v>
      </c>
      <c r="AZ1348" t="s">
        <v>92</v>
      </c>
      <c r="BA1348" t="s">
        <v>107</v>
      </c>
      <c r="BB1348" t="s">
        <v>5201</v>
      </c>
      <c r="BC1348" t="s">
        <v>1186</v>
      </c>
      <c r="BE1348" t="s">
        <v>96</v>
      </c>
      <c r="BG1348" t="s">
        <v>4507</v>
      </c>
      <c r="BI1348" t="s">
        <v>98</v>
      </c>
      <c r="BJ1348" t="s">
        <v>4135</v>
      </c>
      <c r="BL1348" t="s">
        <v>110</v>
      </c>
    </row>
    <row r="1349" spans="1:64" hidden="1" x14ac:dyDescent="0.2">
      <c r="A1349">
        <v>1358</v>
      </c>
      <c r="B1349">
        <v>4022923355</v>
      </c>
      <c r="C1349" t="s">
        <v>101</v>
      </c>
      <c r="D1349" t="s">
        <v>5202</v>
      </c>
      <c r="E1349" t="s">
        <v>65</v>
      </c>
      <c r="F1349" t="s">
        <v>66</v>
      </c>
      <c r="G1349" t="s">
        <v>67</v>
      </c>
      <c r="H1349" t="s">
        <v>68</v>
      </c>
      <c r="I1349" t="s">
        <v>176</v>
      </c>
      <c r="J1349" t="s">
        <v>773</v>
      </c>
      <c r="K1349" t="s">
        <v>1347</v>
      </c>
      <c r="M1349" t="s">
        <v>72</v>
      </c>
      <c r="N1349" t="s">
        <v>1348</v>
      </c>
      <c r="O1349" t="s">
        <v>1347</v>
      </c>
      <c r="P1349" t="s">
        <v>1349</v>
      </c>
      <c r="Q1349" t="s">
        <v>75</v>
      </c>
      <c r="R1349" t="s">
        <v>5008</v>
      </c>
      <c r="S1349" t="s">
        <v>5184</v>
      </c>
      <c r="T1349" t="s">
        <v>78</v>
      </c>
      <c r="U1349" t="s">
        <v>5009</v>
      </c>
      <c r="V1349" t="s">
        <v>80</v>
      </c>
      <c r="W1349" s="1">
        <v>44534</v>
      </c>
      <c r="X1349" t="s">
        <v>5010</v>
      </c>
      <c r="Y1349" t="s">
        <v>5185</v>
      </c>
      <c r="Z1349" t="s">
        <v>83</v>
      </c>
      <c r="AA1349">
        <v>1</v>
      </c>
      <c r="AB1349" t="s">
        <v>4517</v>
      </c>
      <c r="AD1349" t="s">
        <v>112</v>
      </c>
      <c r="AE1349" t="s">
        <v>145</v>
      </c>
      <c r="AF1349" t="s">
        <v>146</v>
      </c>
      <c r="AG1349" t="s">
        <v>5191</v>
      </c>
      <c r="AI1349" t="s">
        <v>90</v>
      </c>
      <c r="AJ1349">
        <v>32.313310000000001</v>
      </c>
      <c r="AK1349">
        <v>-110.712159</v>
      </c>
      <c r="AL1349">
        <v>3</v>
      </c>
      <c r="AN1349">
        <v>1166</v>
      </c>
      <c r="AP1349">
        <v>1166</v>
      </c>
      <c r="AQ1349">
        <v>1159.281207</v>
      </c>
      <c r="AT1349">
        <v>4</v>
      </c>
      <c r="AU1349">
        <v>12</v>
      </c>
      <c r="AV1349">
        <v>2021</v>
      </c>
      <c r="AW1349">
        <v>2438454</v>
      </c>
      <c r="AX1349">
        <v>2438454</v>
      </c>
      <c r="AY1349" t="s">
        <v>106</v>
      </c>
      <c r="AZ1349" t="s">
        <v>92</v>
      </c>
      <c r="BA1349" t="s">
        <v>107</v>
      </c>
      <c r="BB1349" t="s">
        <v>5203</v>
      </c>
      <c r="BC1349" t="s">
        <v>1186</v>
      </c>
      <c r="BE1349" t="s">
        <v>96</v>
      </c>
      <c r="BG1349" t="s">
        <v>4507</v>
      </c>
      <c r="BI1349" t="s">
        <v>98</v>
      </c>
      <c r="BJ1349" t="s">
        <v>2799</v>
      </c>
      <c r="BL1349" t="s">
        <v>110</v>
      </c>
    </row>
    <row r="1350" spans="1:64" hidden="1" x14ac:dyDescent="0.2">
      <c r="A1350">
        <v>1356</v>
      </c>
      <c r="B1350">
        <v>4022923357</v>
      </c>
      <c r="C1350" t="s">
        <v>101</v>
      </c>
      <c r="D1350" t="s">
        <v>5204</v>
      </c>
      <c r="E1350" t="s">
        <v>65</v>
      </c>
      <c r="F1350" t="s">
        <v>66</v>
      </c>
      <c r="G1350" t="s">
        <v>67</v>
      </c>
      <c r="H1350" t="s">
        <v>68</v>
      </c>
      <c r="I1350" t="s">
        <v>176</v>
      </c>
      <c r="J1350" t="s">
        <v>773</v>
      </c>
      <c r="K1350" t="s">
        <v>1347</v>
      </c>
      <c r="M1350" t="s">
        <v>72</v>
      </c>
      <c r="N1350" t="s">
        <v>1348</v>
      </c>
      <c r="O1350" t="s">
        <v>1347</v>
      </c>
      <c r="P1350" t="s">
        <v>1349</v>
      </c>
      <c r="Q1350" t="s">
        <v>75</v>
      </c>
      <c r="R1350" t="s">
        <v>5008</v>
      </c>
      <c r="S1350" t="s">
        <v>5184</v>
      </c>
      <c r="T1350" t="s">
        <v>78</v>
      </c>
      <c r="U1350" t="s">
        <v>5009</v>
      </c>
      <c r="V1350" t="s">
        <v>80</v>
      </c>
      <c r="W1350" s="1">
        <v>44534</v>
      </c>
      <c r="X1350" t="s">
        <v>5010</v>
      </c>
      <c r="Y1350" t="s">
        <v>5185</v>
      </c>
      <c r="Z1350" t="s">
        <v>83</v>
      </c>
      <c r="AA1350">
        <v>1</v>
      </c>
      <c r="AB1350" t="s">
        <v>4517</v>
      </c>
      <c r="AD1350" t="s">
        <v>116</v>
      </c>
      <c r="AE1350" t="s">
        <v>145</v>
      </c>
      <c r="AF1350" t="s">
        <v>146</v>
      </c>
      <c r="AG1350" t="s">
        <v>5191</v>
      </c>
      <c r="AI1350" t="s">
        <v>90</v>
      </c>
      <c r="AJ1350">
        <v>32.313310000000001</v>
      </c>
      <c r="AK1350">
        <v>-110.712159</v>
      </c>
      <c r="AL1350">
        <v>3</v>
      </c>
      <c r="AN1350">
        <v>1166</v>
      </c>
      <c r="AP1350">
        <v>1166</v>
      </c>
      <c r="AQ1350">
        <v>1159.281207</v>
      </c>
      <c r="AT1350">
        <v>4</v>
      </c>
      <c r="AU1350">
        <v>12</v>
      </c>
      <c r="AV1350">
        <v>2021</v>
      </c>
      <c r="AW1350">
        <v>2438454</v>
      </c>
      <c r="AX1350">
        <v>2438454</v>
      </c>
      <c r="AY1350" t="s">
        <v>106</v>
      </c>
      <c r="AZ1350" t="s">
        <v>92</v>
      </c>
      <c r="BA1350" t="s">
        <v>107</v>
      </c>
      <c r="BB1350" t="s">
        <v>5205</v>
      </c>
      <c r="BC1350" t="s">
        <v>1186</v>
      </c>
      <c r="BE1350" t="s">
        <v>96</v>
      </c>
      <c r="BG1350" t="s">
        <v>4507</v>
      </c>
      <c r="BI1350" t="s">
        <v>98</v>
      </c>
      <c r="BJ1350" t="s">
        <v>2273</v>
      </c>
      <c r="BL1350" t="s">
        <v>110</v>
      </c>
    </row>
    <row r="1351" spans="1:64" hidden="1" x14ac:dyDescent="0.2">
      <c r="A1351">
        <v>1354</v>
      </c>
      <c r="B1351">
        <v>4022923359</v>
      </c>
      <c r="C1351" t="s">
        <v>101</v>
      </c>
      <c r="D1351" t="s">
        <v>5206</v>
      </c>
      <c r="E1351" t="s">
        <v>65</v>
      </c>
      <c r="F1351" t="s">
        <v>66</v>
      </c>
      <c r="G1351" t="s">
        <v>67</v>
      </c>
      <c r="H1351" t="s">
        <v>68</v>
      </c>
      <c r="I1351" t="s">
        <v>176</v>
      </c>
      <c r="J1351" t="s">
        <v>773</v>
      </c>
      <c r="K1351" t="s">
        <v>1347</v>
      </c>
      <c r="M1351" t="s">
        <v>72</v>
      </c>
      <c r="N1351" t="s">
        <v>1348</v>
      </c>
      <c r="O1351" t="s">
        <v>1347</v>
      </c>
      <c r="P1351" t="s">
        <v>1349</v>
      </c>
      <c r="Q1351" t="s">
        <v>75</v>
      </c>
      <c r="R1351" t="s">
        <v>5008</v>
      </c>
      <c r="S1351" t="s">
        <v>5184</v>
      </c>
      <c r="T1351" t="s">
        <v>78</v>
      </c>
      <c r="U1351" t="s">
        <v>5009</v>
      </c>
      <c r="V1351" t="s">
        <v>80</v>
      </c>
      <c r="W1351" s="1">
        <v>44534</v>
      </c>
      <c r="X1351" t="s">
        <v>5010</v>
      </c>
      <c r="Y1351" t="s">
        <v>5185</v>
      </c>
      <c r="Z1351" t="s">
        <v>83</v>
      </c>
      <c r="AA1351">
        <v>1</v>
      </c>
      <c r="AB1351" t="s">
        <v>4517</v>
      </c>
      <c r="AD1351" t="s">
        <v>116</v>
      </c>
      <c r="AE1351" t="s">
        <v>145</v>
      </c>
      <c r="AF1351" t="s">
        <v>146</v>
      </c>
      <c r="AG1351" t="s">
        <v>5191</v>
      </c>
      <c r="AI1351" t="s">
        <v>90</v>
      </c>
      <c r="AJ1351">
        <v>32.313310000000001</v>
      </c>
      <c r="AK1351">
        <v>-110.712159</v>
      </c>
      <c r="AL1351">
        <v>3</v>
      </c>
      <c r="AN1351">
        <v>1166</v>
      </c>
      <c r="AP1351">
        <v>1166</v>
      </c>
      <c r="AQ1351">
        <v>1159.281207</v>
      </c>
      <c r="AT1351">
        <v>4</v>
      </c>
      <c r="AU1351">
        <v>12</v>
      </c>
      <c r="AV1351">
        <v>2021</v>
      </c>
      <c r="AW1351">
        <v>2438454</v>
      </c>
      <c r="AX1351">
        <v>2438454</v>
      </c>
      <c r="AY1351" t="s">
        <v>106</v>
      </c>
      <c r="AZ1351" t="s">
        <v>92</v>
      </c>
      <c r="BA1351" t="s">
        <v>107</v>
      </c>
      <c r="BB1351" t="s">
        <v>5207</v>
      </c>
      <c r="BC1351" t="s">
        <v>1186</v>
      </c>
      <c r="BE1351" t="s">
        <v>96</v>
      </c>
      <c r="BG1351" t="s">
        <v>4507</v>
      </c>
      <c r="BI1351" t="s">
        <v>98</v>
      </c>
      <c r="BJ1351" t="s">
        <v>4620</v>
      </c>
      <c r="BL1351" t="s">
        <v>110</v>
      </c>
    </row>
    <row r="1352" spans="1:64" hidden="1" x14ac:dyDescent="0.2">
      <c r="A1352">
        <v>1165</v>
      </c>
      <c r="B1352">
        <v>4022923548</v>
      </c>
      <c r="C1352" t="s">
        <v>101</v>
      </c>
      <c r="D1352" t="s">
        <v>5208</v>
      </c>
      <c r="E1352" t="s">
        <v>65</v>
      </c>
      <c r="F1352" t="s">
        <v>66</v>
      </c>
      <c r="G1352" t="s">
        <v>67</v>
      </c>
      <c r="H1352" t="s">
        <v>68</v>
      </c>
      <c r="I1352" t="s">
        <v>176</v>
      </c>
      <c r="J1352" t="s">
        <v>773</v>
      </c>
      <c r="K1352" t="s">
        <v>1347</v>
      </c>
      <c r="M1352" t="s">
        <v>72</v>
      </c>
      <c r="N1352" t="s">
        <v>1348</v>
      </c>
      <c r="O1352" t="s">
        <v>1347</v>
      </c>
      <c r="P1352" t="s">
        <v>1349</v>
      </c>
      <c r="Q1352" t="s">
        <v>75</v>
      </c>
      <c r="R1352" t="s">
        <v>5008</v>
      </c>
      <c r="S1352" t="s">
        <v>5184</v>
      </c>
      <c r="T1352" t="s">
        <v>78</v>
      </c>
      <c r="U1352" t="s">
        <v>5009</v>
      </c>
      <c r="V1352" t="s">
        <v>80</v>
      </c>
      <c r="W1352" s="1">
        <v>44534</v>
      </c>
      <c r="X1352" t="s">
        <v>5010</v>
      </c>
      <c r="Y1352" t="s">
        <v>5185</v>
      </c>
      <c r="Z1352" t="s">
        <v>83</v>
      </c>
      <c r="AA1352">
        <v>1</v>
      </c>
      <c r="AB1352" t="s">
        <v>4517</v>
      </c>
      <c r="AD1352" t="s">
        <v>104</v>
      </c>
      <c r="AE1352" t="s">
        <v>145</v>
      </c>
      <c r="AF1352" t="s">
        <v>146</v>
      </c>
      <c r="AG1352" t="s">
        <v>5191</v>
      </c>
      <c r="AI1352" t="s">
        <v>90</v>
      </c>
      <c r="AJ1352">
        <v>32.313310000000001</v>
      </c>
      <c r="AK1352">
        <v>-110.712159</v>
      </c>
      <c r="AL1352">
        <v>3</v>
      </c>
      <c r="AN1352">
        <v>1166</v>
      </c>
      <c r="AP1352">
        <v>1166</v>
      </c>
      <c r="AQ1352">
        <v>1159.281207</v>
      </c>
      <c r="AT1352">
        <v>4</v>
      </c>
      <c r="AU1352">
        <v>12</v>
      </c>
      <c r="AV1352">
        <v>2021</v>
      </c>
      <c r="AW1352">
        <v>2438454</v>
      </c>
      <c r="AX1352">
        <v>2438454</v>
      </c>
      <c r="AY1352" t="s">
        <v>106</v>
      </c>
      <c r="AZ1352" t="s">
        <v>92</v>
      </c>
      <c r="BA1352" t="s">
        <v>107</v>
      </c>
      <c r="BB1352" t="s">
        <v>5209</v>
      </c>
      <c r="BC1352" t="s">
        <v>1186</v>
      </c>
      <c r="BE1352" t="s">
        <v>96</v>
      </c>
      <c r="BG1352" t="s">
        <v>4507</v>
      </c>
      <c r="BI1352" t="s">
        <v>98</v>
      </c>
      <c r="BJ1352" t="s">
        <v>4632</v>
      </c>
      <c r="BL1352" t="s">
        <v>110</v>
      </c>
    </row>
    <row r="1353" spans="1:64" hidden="1" x14ac:dyDescent="0.2">
      <c r="A1353">
        <v>1166</v>
      </c>
      <c r="B1353">
        <v>4022923547</v>
      </c>
      <c r="C1353" t="s">
        <v>101</v>
      </c>
      <c r="D1353" t="s">
        <v>5216</v>
      </c>
      <c r="E1353" t="s">
        <v>65</v>
      </c>
      <c r="F1353" t="s">
        <v>66</v>
      </c>
      <c r="G1353" t="s">
        <v>67</v>
      </c>
      <c r="H1353" t="s">
        <v>68</v>
      </c>
      <c r="I1353" t="s">
        <v>176</v>
      </c>
      <c r="J1353" t="s">
        <v>773</v>
      </c>
      <c r="K1353" t="s">
        <v>1347</v>
      </c>
      <c r="M1353" t="s">
        <v>72</v>
      </c>
      <c r="N1353" t="s">
        <v>1348</v>
      </c>
      <c r="O1353" t="s">
        <v>1347</v>
      </c>
      <c r="P1353" t="s">
        <v>1349</v>
      </c>
      <c r="Q1353" t="s">
        <v>75</v>
      </c>
      <c r="R1353" t="s">
        <v>5008</v>
      </c>
      <c r="S1353" t="s">
        <v>5211</v>
      </c>
      <c r="T1353" t="s">
        <v>78</v>
      </c>
      <c r="U1353" t="s">
        <v>5009</v>
      </c>
      <c r="V1353" t="s">
        <v>80</v>
      </c>
      <c r="W1353" s="1">
        <v>44534</v>
      </c>
      <c r="X1353" t="s">
        <v>5010</v>
      </c>
      <c r="Y1353" t="s">
        <v>5212</v>
      </c>
      <c r="Z1353" t="s">
        <v>83</v>
      </c>
      <c r="AA1353">
        <v>1</v>
      </c>
      <c r="AB1353" t="s">
        <v>4517</v>
      </c>
      <c r="AD1353" t="s">
        <v>104</v>
      </c>
      <c r="AE1353" t="s">
        <v>86</v>
      </c>
      <c r="AF1353" t="s">
        <v>146</v>
      </c>
      <c r="AG1353" t="s">
        <v>5214</v>
      </c>
      <c r="AI1353" t="s">
        <v>90</v>
      </c>
      <c r="AJ1353">
        <v>32.313220999999999</v>
      </c>
      <c r="AK1353">
        <v>-110.712391</v>
      </c>
      <c r="AL1353">
        <v>3</v>
      </c>
      <c r="AN1353">
        <v>1169</v>
      </c>
      <c r="AP1353">
        <v>1169</v>
      </c>
      <c r="AQ1353">
        <v>1163.198684</v>
      </c>
      <c r="AT1353">
        <v>4</v>
      </c>
      <c r="AU1353">
        <v>12</v>
      </c>
      <c r="AV1353">
        <v>2021</v>
      </c>
      <c r="AW1353">
        <v>2438454</v>
      </c>
      <c r="AX1353">
        <v>2438454</v>
      </c>
      <c r="AY1353" t="s">
        <v>106</v>
      </c>
      <c r="AZ1353" t="s">
        <v>92</v>
      </c>
      <c r="BA1353" t="s">
        <v>107</v>
      </c>
      <c r="BB1353" t="s">
        <v>5217</v>
      </c>
      <c r="BC1353" t="s">
        <v>1186</v>
      </c>
      <c r="BE1353" t="s">
        <v>96</v>
      </c>
      <c r="BG1353" t="s">
        <v>4507</v>
      </c>
      <c r="BI1353" t="s">
        <v>98</v>
      </c>
      <c r="BJ1353" t="s">
        <v>4903</v>
      </c>
      <c r="BL1353" t="s">
        <v>110</v>
      </c>
    </row>
    <row r="1354" spans="1:64" hidden="1" x14ac:dyDescent="0.2">
      <c r="A1354">
        <v>1240</v>
      </c>
      <c r="B1354">
        <v>4022923473</v>
      </c>
      <c r="C1354" t="s">
        <v>101</v>
      </c>
      <c r="D1354" t="s">
        <v>5218</v>
      </c>
      <c r="E1354" t="s">
        <v>65</v>
      </c>
      <c r="F1354" t="s">
        <v>66</v>
      </c>
      <c r="G1354" t="s">
        <v>67</v>
      </c>
      <c r="H1354" t="s">
        <v>68</v>
      </c>
      <c r="I1354" t="s">
        <v>176</v>
      </c>
      <c r="J1354" t="s">
        <v>773</v>
      </c>
      <c r="K1354" t="s">
        <v>1347</v>
      </c>
      <c r="M1354" t="s">
        <v>72</v>
      </c>
      <c r="N1354" t="s">
        <v>1348</v>
      </c>
      <c r="O1354" t="s">
        <v>1347</v>
      </c>
      <c r="P1354" t="s">
        <v>1349</v>
      </c>
      <c r="Q1354" t="s">
        <v>75</v>
      </c>
      <c r="R1354" t="s">
        <v>5008</v>
      </c>
      <c r="S1354" t="s">
        <v>5211</v>
      </c>
      <c r="T1354" t="s">
        <v>78</v>
      </c>
      <c r="U1354" t="s">
        <v>5009</v>
      </c>
      <c r="V1354" t="s">
        <v>80</v>
      </c>
      <c r="W1354" s="1">
        <v>44534</v>
      </c>
      <c r="X1354" t="s">
        <v>5010</v>
      </c>
      <c r="Y1354" t="s">
        <v>5212</v>
      </c>
      <c r="Z1354" t="s">
        <v>83</v>
      </c>
      <c r="AA1354">
        <v>1</v>
      </c>
      <c r="AB1354" t="s">
        <v>4517</v>
      </c>
      <c r="AD1354" t="s">
        <v>112</v>
      </c>
      <c r="AE1354" t="s">
        <v>86</v>
      </c>
      <c r="AF1354" t="s">
        <v>146</v>
      </c>
      <c r="AG1354" t="s">
        <v>5214</v>
      </c>
      <c r="AI1354" t="s">
        <v>90</v>
      </c>
      <c r="AJ1354">
        <v>32.313220999999999</v>
      </c>
      <c r="AK1354">
        <v>-110.712391</v>
      </c>
      <c r="AL1354">
        <v>3</v>
      </c>
      <c r="AN1354">
        <v>1169</v>
      </c>
      <c r="AP1354">
        <v>1169</v>
      </c>
      <c r="AQ1354">
        <v>1163.198684</v>
      </c>
      <c r="AT1354">
        <v>4</v>
      </c>
      <c r="AU1354">
        <v>12</v>
      </c>
      <c r="AV1354">
        <v>2021</v>
      </c>
      <c r="AW1354">
        <v>2438454</v>
      </c>
      <c r="AX1354">
        <v>2438454</v>
      </c>
      <c r="AY1354" t="s">
        <v>106</v>
      </c>
      <c r="AZ1354" t="s">
        <v>92</v>
      </c>
      <c r="BA1354" t="s">
        <v>107</v>
      </c>
      <c r="BB1354" t="s">
        <v>5219</v>
      </c>
      <c r="BC1354" t="s">
        <v>1186</v>
      </c>
      <c r="BE1354" t="s">
        <v>96</v>
      </c>
      <c r="BG1354" t="s">
        <v>4507</v>
      </c>
      <c r="BI1354" t="s">
        <v>98</v>
      </c>
      <c r="BJ1354" t="s">
        <v>5178</v>
      </c>
      <c r="BL1354" t="s">
        <v>110</v>
      </c>
    </row>
    <row r="1355" spans="1:64" hidden="1" x14ac:dyDescent="0.2">
      <c r="A1355">
        <v>1239</v>
      </c>
      <c r="B1355">
        <v>4022923474</v>
      </c>
      <c r="C1355" t="s">
        <v>101</v>
      </c>
      <c r="D1355" t="s">
        <v>5220</v>
      </c>
      <c r="E1355" t="s">
        <v>65</v>
      </c>
      <c r="F1355" t="s">
        <v>66</v>
      </c>
      <c r="G1355" t="s">
        <v>67</v>
      </c>
      <c r="H1355" t="s">
        <v>68</v>
      </c>
      <c r="I1355" t="s">
        <v>176</v>
      </c>
      <c r="J1355" t="s">
        <v>773</v>
      </c>
      <c r="K1355" t="s">
        <v>1347</v>
      </c>
      <c r="M1355" t="s">
        <v>72</v>
      </c>
      <c r="N1355" t="s">
        <v>1348</v>
      </c>
      <c r="O1355" t="s">
        <v>1347</v>
      </c>
      <c r="P1355" t="s">
        <v>1349</v>
      </c>
      <c r="Q1355" t="s">
        <v>75</v>
      </c>
      <c r="R1355" t="s">
        <v>5008</v>
      </c>
      <c r="S1355" t="s">
        <v>5211</v>
      </c>
      <c r="T1355" t="s">
        <v>78</v>
      </c>
      <c r="U1355" t="s">
        <v>5009</v>
      </c>
      <c r="V1355" t="s">
        <v>80</v>
      </c>
      <c r="W1355" s="1">
        <v>44534</v>
      </c>
      <c r="X1355" t="s">
        <v>5010</v>
      </c>
      <c r="Y1355" t="s">
        <v>5212</v>
      </c>
      <c r="Z1355" t="s">
        <v>83</v>
      </c>
      <c r="AA1355">
        <v>1</v>
      </c>
      <c r="AB1355" t="s">
        <v>4517</v>
      </c>
      <c r="AD1355" t="s">
        <v>116</v>
      </c>
      <c r="AE1355" t="s">
        <v>86</v>
      </c>
      <c r="AF1355" t="s">
        <v>146</v>
      </c>
      <c r="AG1355" t="s">
        <v>5214</v>
      </c>
      <c r="AI1355" t="s">
        <v>90</v>
      </c>
      <c r="AJ1355">
        <v>32.313220999999999</v>
      </c>
      <c r="AK1355">
        <v>-110.712391</v>
      </c>
      <c r="AL1355">
        <v>3</v>
      </c>
      <c r="AN1355">
        <v>1169</v>
      </c>
      <c r="AP1355">
        <v>1169</v>
      </c>
      <c r="AQ1355">
        <v>1163.198684</v>
      </c>
      <c r="AT1355">
        <v>4</v>
      </c>
      <c r="AU1355">
        <v>12</v>
      </c>
      <c r="AV1355">
        <v>2021</v>
      </c>
      <c r="AW1355">
        <v>2438454</v>
      </c>
      <c r="AX1355">
        <v>2438454</v>
      </c>
      <c r="AY1355" t="s">
        <v>106</v>
      </c>
      <c r="AZ1355" t="s">
        <v>92</v>
      </c>
      <c r="BA1355" t="s">
        <v>107</v>
      </c>
      <c r="BB1355" t="s">
        <v>5221</v>
      </c>
      <c r="BC1355" t="s">
        <v>1186</v>
      </c>
      <c r="BE1355" t="s">
        <v>96</v>
      </c>
      <c r="BG1355" t="s">
        <v>4507</v>
      </c>
      <c r="BI1355" t="s">
        <v>98</v>
      </c>
      <c r="BJ1355" t="s">
        <v>5178</v>
      </c>
      <c r="BL1355" t="s">
        <v>110</v>
      </c>
    </row>
    <row r="1356" spans="1:64" hidden="1" x14ac:dyDescent="0.2">
      <c r="A1356">
        <v>1257</v>
      </c>
      <c r="B1356">
        <v>4022923456</v>
      </c>
      <c r="C1356" t="s">
        <v>101</v>
      </c>
      <c r="D1356" s="2" t="s">
        <v>5222</v>
      </c>
      <c r="E1356" t="s">
        <v>65</v>
      </c>
      <c r="F1356" t="s">
        <v>66</v>
      </c>
      <c r="G1356" t="s">
        <v>67</v>
      </c>
      <c r="H1356" t="s">
        <v>68</v>
      </c>
      <c r="I1356" t="s">
        <v>176</v>
      </c>
      <c r="J1356" t="s">
        <v>773</v>
      </c>
      <c r="K1356" t="s">
        <v>1347</v>
      </c>
      <c r="M1356" t="s">
        <v>72</v>
      </c>
      <c r="N1356" t="s">
        <v>1348</v>
      </c>
      <c r="O1356" t="s">
        <v>1347</v>
      </c>
      <c r="P1356" t="s">
        <v>1349</v>
      </c>
      <c r="Q1356" t="s">
        <v>75</v>
      </c>
      <c r="R1356" t="s">
        <v>5008</v>
      </c>
      <c r="S1356" t="s">
        <v>5211</v>
      </c>
      <c r="T1356" t="s">
        <v>78</v>
      </c>
      <c r="U1356" t="s">
        <v>5009</v>
      </c>
      <c r="V1356" t="s">
        <v>80</v>
      </c>
      <c r="W1356" s="1">
        <v>44534</v>
      </c>
      <c r="X1356" t="s">
        <v>5010</v>
      </c>
      <c r="Y1356" t="s">
        <v>5212</v>
      </c>
      <c r="Z1356" t="s">
        <v>83</v>
      </c>
      <c r="AA1356">
        <v>1</v>
      </c>
      <c r="AB1356" t="s">
        <v>672</v>
      </c>
      <c r="AD1356" t="s">
        <v>134</v>
      </c>
      <c r="AE1356" t="s">
        <v>86</v>
      </c>
      <c r="AF1356" t="s">
        <v>146</v>
      </c>
      <c r="AG1356" t="s">
        <v>5214</v>
      </c>
      <c r="AI1356" t="s">
        <v>90</v>
      </c>
      <c r="AJ1356">
        <v>32.313220999999999</v>
      </c>
      <c r="AK1356">
        <v>-110.712391</v>
      </c>
      <c r="AL1356">
        <v>3</v>
      </c>
      <c r="AN1356">
        <v>1169</v>
      </c>
      <c r="AP1356">
        <v>1169</v>
      </c>
      <c r="AQ1356">
        <v>1163.198684</v>
      </c>
      <c r="AT1356">
        <v>4</v>
      </c>
      <c r="AU1356">
        <v>12</v>
      </c>
      <c r="AV1356">
        <v>2021</v>
      </c>
      <c r="AW1356">
        <v>2438454</v>
      </c>
      <c r="AX1356">
        <v>2438454</v>
      </c>
      <c r="AY1356" t="s">
        <v>106</v>
      </c>
      <c r="AZ1356" t="s">
        <v>92</v>
      </c>
      <c r="BA1356" t="s">
        <v>107</v>
      </c>
      <c r="BB1356" t="s">
        <v>5223</v>
      </c>
      <c r="BC1356" t="s">
        <v>1186</v>
      </c>
      <c r="BE1356" t="s">
        <v>96</v>
      </c>
      <c r="BG1356" t="s">
        <v>4507</v>
      </c>
      <c r="BI1356" t="s">
        <v>98</v>
      </c>
      <c r="BJ1356" t="s">
        <v>5175</v>
      </c>
      <c r="BL1356" t="s">
        <v>110</v>
      </c>
    </row>
    <row r="1357" spans="1:64" hidden="1" x14ac:dyDescent="0.2">
      <c r="A1357">
        <v>1256</v>
      </c>
      <c r="B1357">
        <v>4022923457</v>
      </c>
      <c r="C1357" t="s">
        <v>101</v>
      </c>
      <c r="D1357" t="s">
        <v>5224</v>
      </c>
      <c r="E1357" t="s">
        <v>65</v>
      </c>
      <c r="F1357" t="s">
        <v>66</v>
      </c>
      <c r="G1357" t="s">
        <v>67</v>
      </c>
      <c r="H1357" t="s">
        <v>68</v>
      </c>
      <c r="I1357" t="s">
        <v>176</v>
      </c>
      <c r="J1357" t="s">
        <v>773</v>
      </c>
      <c r="K1357" t="s">
        <v>1347</v>
      </c>
      <c r="M1357" t="s">
        <v>72</v>
      </c>
      <c r="N1357" t="s">
        <v>1348</v>
      </c>
      <c r="O1357" t="s">
        <v>1347</v>
      </c>
      <c r="P1357" t="s">
        <v>1349</v>
      </c>
      <c r="Q1357" t="s">
        <v>75</v>
      </c>
      <c r="R1357" t="s">
        <v>5008</v>
      </c>
      <c r="S1357" t="s">
        <v>5211</v>
      </c>
      <c r="T1357" t="s">
        <v>78</v>
      </c>
      <c r="U1357" t="s">
        <v>5009</v>
      </c>
      <c r="V1357" t="s">
        <v>80</v>
      </c>
      <c r="W1357" s="1">
        <v>44534</v>
      </c>
      <c r="X1357" t="s">
        <v>5010</v>
      </c>
      <c r="Y1357" t="s">
        <v>5212</v>
      </c>
      <c r="Z1357" t="s">
        <v>83</v>
      </c>
      <c r="AA1357">
        <v>1</v>
      </c>
      <c r="AB1357" t="s">
        <v>4517</v>
      </c>
      <c r="AD1357" t="s">
        <v>139</v>
      </c>
      <c r="AE1357" t="s">
        <v>86</v>
      </c>
      <c r="AF1357" t="s">
        <v>146</v>
      </c>
      <c r="AG1357" t="s">
        <v>5214</v>
      </c>
      <c r="AI1357" t="s">
        <v>90</v>
      </c>
      <c r="AJ1357">
        <v>32.313220999999999</v>
      </c>
      <c r="AK1357">
        <v>-110.712391</v>
      </c>
      <c r="AL1357">
        <v>3</v>
      </c>
      <c r="AN1357">
        <v>1169</v>
      </c>
      <c r="AP1357">
        <v>1169</v>
      </c>
      <c r="AQ1357">
        <v>1163.198684</v>
      </c>
      <c r="AT1357">
        <v>4</v>
      </c>
      <c r="AU1357">
        <v>12</v>
      </c>
      <c r="AV1357">
        <v>2021</v>
      </c>
      <c r="AW1357">
        <v>2438454</v>
      </c>
      <c r="AX1357">
        <v>2438454</v>
      </c>
      <c r="AY1357" t="s">
        <v>106</v>
      </c>
      <c r="AZ1357" t="s">
        <v>92</v>
      </c>
      <c r="BA1357" t="s">
        <v>107</v>
      </c>
      <c r="BB1357" t="s">
        <v>5225</v>
      </c>
      <c r="BC1357" t="s">
        <v>1186</v>
      </c>
      <c r="BE1357" t="s">
        <v>96</v>
      </c>
      <c r="BG1357" t="s">
        <v>4507</v>
      </c>
      <c r="BI1357" t="s">
        <v>98</v>
      </c>
      <c r="BJ1357" t="s">
        <v>4592</v>
      </c>
      <c r="BL1357" t="s">
        <v>110</v>
      </c>
    </row>
    <row r="1358" spans="1:64" hidden="1" x14ac:dyDescent="0.2">
      <c r="A1358">
        <v>1253</v>
      </c>
      <c r="B1358">
        <v>4022923460</v>
      </c>
      <c r="C1358" t="s">
        <v>101</v>
      </c>
      <c r="D1358" t="s">
        <v>5226</v>
      </c>
      <c r="E1358" t="s">
        <v>65</v>
      </c>
      <c r="F1358" t="s">
        <v>66</v>
      </c>
      <c r="G1358" t="s">
        <v>67</v>
      </c>
      <c r="H1358" t="s">
        <v>68</v>
      </c>
      <c r="I1358" t="s">
        <v>176</v>
      </c>
      <c r="J1358" t="s">
        <v>773</v>
      </c>
      <c r="K1358" t="s">
        <v>1347</v>
      </c>
      <c r="M1358" t="s">
        <v>72</v>
      </c>
      <c r="N1358" t="s">
        <v>1348</v>
      </c>
      <c r="O1358" t="s">
        <v>1347</v>
      </c>
      <c r="P1358" t="s">
        <v>1349</v>
      </c>
      <c r="Q1358" t="s">
        <v>75</v>
      </c>
      <c r="R1358" t="s">
        <v>5008</v>
      </c>
      <c r="S1358" t="s">
        <v>5211</v>
      </c>
      <c r="T1358" t="s">
        <v>78</v>
      </c>
      <c r="U1358" t="s">
        <v>5009</v>
      </c>
      <c r="V1358" t="s">
        <v>80</v>
      </c>
      <c r="W1358" s="1">
        <v>44534</v>
      </c>
      <c r="X1358" t="s">
        <v>5010</v>
      </c>
      <c r="Y1358" t="s">
        <v>5212</v>
      </c>
      <c r="Z1358" t="s">
        <v>83</v>
      </c>
      <c r="AA1358">
        <v>1</v>
      </c>
      <c r="AB1358" t="s">
        <v>4517</v>
      </c>
      <c r="AD1358" t="s">
        <v>123</v>
      </c>
      <c r="AE1358" t="s">
        <v>86</v>
      </c>
      <c r="AF1358" t="s">
        <v>146</v>
      </c>
      <c r="AG1358" t="s">
        <v>5214</v>
      </c>
      <c r="AI1358" t="s">
        <v>90</v>
      </c>
      <c r="AJ1358">
        <v>32.313220999999999</v>
      </c>
      <c r="AK1358">
        <v>-110.712391</v>
      </c>
      <c r="AL1358">
        <v>3</v>
      </c>
      <c r="AN1358">
        <v>1169</v>
      </c>
      <c r="AP1358">
        <v>1169</v>
      </c>
      <c r="AQ1358">
        <v>1163.198684</v>
      </c>
      <c r="AT1358">
        <v>4</v>
      </c>
      <c r="AU1358">
        <v>12</v>
      </c>
      <c r="AV1358">
        <v>2021</v>
      </c>
      <c r="AW1358">
        <v>2438454</v>
      </c>
      <c r="AX1358">
        <v>2438454</v>
      </c>
      <c r="AY1358" t="s">
        <v>106</v>
      </c>
      <c r="AZ1358" t="s">
        <v>92</v>
      </c>
      <c r="BA1358" t="s">
        <v>107</v>
      </c>
      <c r="BB1358" t="s">
        <v>5227</v>
      </c>
      <c r="BC1358" t="s">
        <v>1186</v>
      </c>
      <c r="BE1358" t="s">
        <v>96</v>
      </c>
      <c r="BG1358" t="s">
        <v>4507</v>
      </c>
      <c r="BI1358" t="s">
        <v>98</v>
      </c>
      <c r="BJ1358" t="s">
        <v>4644</v>
      </c>
      <c r="BL1358" t="s">
        <v>110</v>
      </c>
    </row>
    <row r="1359" spans="1:64" x14ac:dyDescent="0.2">
      <c r="A1359">
        <v>1260</v>
      </c>
      <c r="B1359">
        <v>4022923453</v>
      </c>
      <c r="C1359" t="s">
        <v>101</v>
      </c>
      <c r="D1359" t="s">
        <v>4889</v>
      </c>
      <c r="E1359" t="s">
        <v>65</v>
      </c>
      <c r="F1359" t="s">
        <v>66</v>
      </c>
      <c r="G1359" t="s">
        <v>67</v>
      </c>
      <c r="H1359" t="s">
        <v>68</v>
      </c>
      <c r="I1359" t="s">
        <v>176</v>
      </c>
      <c r="J1359" t="s">
        <v>177</v>
      </c>
      <c r="K1359" t="s">
        <v>178</v>
      </c>
      <c r="M1359" t="s">
        <v>72</v>
      </c>
      <c r="N1359" t="s">
        <v>179</v>
      </c>
      <c r="O1359" t="s">
        <v>178</v>
      </c>
      <c r="P1359" t="s">
        <v>180</v>
      </c>
      <c r="Q1359" t="s">
        <v>75</v>
      </c>
      <c r="R1359" t="s">
        <v>4501</v>
      </c>
      <c r="S1359" t="s">
        <v>77</v>
      </c>
      <c r="T1359" t="s">
        <v>78</v>
      </c>
      <c r="U1359" t="s">
        <v>3817</v>
      </c>
      <c r="V1359" t="s">
        <v>80</v>
      </c>
      <c r="W1359" s="1">
        <v>44534</v>
      </c>
      <c r="X1359" t="s">
        <v>4502</v>
      </c>
      <c r="Y1359" t="s">
        <v>4884</v>
      </c>
      <c r="Z1359" t="s">
        <v>83</v>
      </c>
      <c r="AA1359">
        <v>1</v>
      </c>
      <c r="AB1359" t="s">
        <v>4517</v>
      </c>
      <c r="AC1359">
        <v>1</v>
      </c>
      <c r="AD1359" t="s">
        <v>119</v>
      </c>
      <c r="AE1359" t="s">
        <v>145</v>
      </c>
      <c r="AF1359" t="s">
        <v>146</v>
      </c>
      <c r="AG1359" t="s">
        <v>4890</v>
      </c>
      <c r="AI1359" t="s">
        <v>90</v>
      </c>
      <c r="AJ1359">
        <v>32.336717999999998</v>
      </c>
      <c r="AK1359">
        <v>-110.720529</v>
      </c>
      <c r="AL1359">
        <v>3</v>
      </c>
      <c r="AN1359">
        <v>1472</v>
      </c>
      <c r="AP1359">
        <v>1472</v>
      </c>
      <c r="AQ1359">
        <v>1477.654468</v>
      </c>
      <c r="AT1359">
        <v>4</v>
      </c>
      <c r="AU1359">
        <v>12</v>
      </c>
      <c r="AV1359">
        <v>2021</v>
      </c>
      <c r="AW1359">
        <v>2438038</v>
      </c>
      <c r="AX1359">
        <v>2438038</v>
      </c>
      <c r="AY1359" t="s">
        <v>106</v>
      </c>
      <c r="AZ1359" t="s">
        <v>92</v>
      </c>
      <c r="BA1359" t="s">
        <v>107</v>
      </c>
      <c r="BB1359" t="s">
        <v>4891</v>
      </c>
      <c r="BC1359" t="s">
        <v>1186</v>
      </c>
      <c r="BE1359" t="s">
        <v>96</v>
      </c>
      <c r="BG1359" t="s">
        <v>4507</v>
      </c>
      <c r="BI1359" t="s">
        <v>98</v>
      </c>
      <c r="BJ1359" t="s">
        <v>4753</v>
      </c>
      <c r="BL1359" t="s">
        <v>412</v>
      </c>
    </row>
    <row r="1360" spans="1:64" hidden="1" x14ac:dyDescent="0.2">
      <c r="A1360">
        <v>1173</v>
      </c>
      <c r="B1360">
        <v>4022923540</v>
      </c>
      <c r="C1360" t="s">
        <v>101</v>
      </c>
      <c r="D1360" t="s">
        <v>5230</v>
      </c>
      <c r="E1360" t="s">
        <v>65</v>
      </c>
      <c r="F1360" t="s">
        <v>66</v>
      </c>
      <c r="G1360" t="s">
        <v>67</v>
      </c>
      <c r="H1360" t="s">
        <v>68</v>
      </c>
      <c r="I1360" t="s">
        <v>176</v>
      </c>
      <c r="J1360" t="s">
        <v>773</v>
      </c>
      <c r="K1360" t="s">
        <v>1347</v>
      </c>
      <c r="M1360" t="s">
        <v>72</v>
      </c>
      <c r="N1360" t="s">
        <v>1348</v>
      </c>
      <c r="O1360" t="s">
        <v>1347</v>
      </c>
      <c r="P1360" t="s">
        <v>1349</v>
      </c>
      <c r="Q1360" t="s">
        <v>75</v>
      </c>
      <c r="R1360" t="s">
        <v>5008</v>
      </c>
      <c r="S1360" t="s">
        <v>5211</v>
      </c>
      <c r="T1360" t="s">
        <v>78</v>
      </c>
      <c r="U1360" t="s">
        <v>5009</v>
      </c>
      <c r="V1360" t="s">
        <v>80</v>
      </c>
      <c r="W1360" s="1">
        <v>44534</v>
      </c>
      <c r="X1360" t="s">
        <v>5010</v>
      </c>
      <c r="Y1360" t="s">
        <v>5212</v>
      </c>
      <c r="Z1360" t="s">
        <v>83</v>
      </c>
      <c r="AA1360">
        <v>1</v>
      </c>
      <c r="AB1360" t="s">
        <v>4517</v>
      </c>
      <c r="AD1360" t="s">
        <v>116</v>
      </c>
      <c r="AE1360" t="s">
        <v>86</v>
      </c>
      <c r="AF1360" t="s">
        <v>146</v>
      </c>
      <c r="AG1360" t="s">
        <v>5214</v>
      </c>
      <c r="AI1360" t="s">
        <v>90</v>
      </c>
      <c r="AJ1360">
        <v>32.313220999999999</v>
      </c>
      <c r="AK1360">
        <v>-110.712391</v>
      </c>
      <c r="AL1360">
        <v>3</v>
      </c>
      <c r="AN1360">
        <v>1169</v>
      </c>
      <c r="AP1360">
        <v>1169</v>
      </c>
      <c r="AQ1360">
        <v>1163.198684</v>
      </c>
      <c r="AT1360">
        <v>4</v>
      </c>
      <c r="AU1360">
        <v>12</v>
      </c>
      <c r="AV1360">
        <v>2021</v>
      </c>
      <c r="AW1360">
        <v>2438454</v>
      </c>
      <c r="AX1360">
        <v>2438454</v>
      </c>
      <c r="AY1360" t="s">
        <v>106</v>
      </c>
      <c r="AZ1360" t="s">
        <v>92</v>
      </c>
      <c r="BA1360" t="s">
        <v>107</v>
      </c>
      <c r="BB1360" t="s">
        <v>5231</v>
      </c>
      <c r="BC1360" t="s">
        <v>1186</v>
      </c>
      <c r="BE1360" t="s">
        <v>96</v>
      </c>
      <c r="BG1360" t="s">
        <v>4507</v>
      </c>
      <c r="BI1360" t="s">
        <v>98</v>
      </c>
      <c r="BJ1360" t="s">
        <v>5090</v>
      </c>
      <c r="BL1360" t="s">
        <v>110</v>
      </c>
    </row>
    <row r="1361" spans="1:64" x14ac:dyDescent="0.2">
      <c r="A1361">
        <v>1262</v>
      </c>
      <c r="B1361">
        <v>4022923451</v>
      </c>
      <c r="C1361" t="s">
        <v>101</v>
      </c>
      <c r="D1361" t="s">
        <v>5016</v>
      </c>
      <c r="E1361" t="s">
        <v>65</v>
      </c>
      <c r="F1361" t="s">
        <v>66</v>
      </c>
      <c r="G1361" t="s">
        <v>67</v>
      </c>
      <c r="H1361" t="s">
        <v>68</v>
      </c>
      <c r="I1361" t="s">
        <v>176</v>
      </c>
      <c r="J1361" t="s">
        <v>177</v>
      </c>
      <c r="K1361" t="s">
        <v>3925</v>
      </c>
      <c r="M1361" t="s">
        <v>72</v>
      </c>
      <c r="N1361" t="s">
        <v>3926</v>
      </c>
      <c r="O1361" t="s">
        <v>3925</v>
      </c>
      <c r="P1361" t="s">
        <v>1176</v>
      </c>
      <c r="Q1361" t="s">
        <v>75</v>
      </c>
      <c r="R1361" t="s">
        <v>5008</v>
      </c>
      <c r="S1361" t="s">
        <v>211</v>
      </c>
      <c r="T1361" t="s">
        <v>78</v>
      </c>
      <c r="U1361" t="s">
        <v>5009</v>
      </c>
      <c r="V1361" t="s">
        <v>80</v>
      </c>
      <c r="W1361" s="1">
        <v>44534</v>
      </c>
      <c r="X1361" t="s">
        <v>5010</v>
      </c>
      <c r="Y1361" t="s">
        <v>5011</v>
      </c>
      <c r="Z1361" t="s">
        <v>83</v>
      </c>
      <c r="AA1361">
        <v>1</v>
      </c>
      <c r="AB1361" t="s">
        <v>4517</v>
      </c>
      <c r="AC1361">
        <v>1</v>
      </c>
      <c r="AD1361" t="s">
        <v>119</v>
      </c>
      <c r="AE1361" t="s">
        <v>86</v>
      </c>
      <c r="AF1361" t="s">
        <v>146</v>
      </c>
      <c r="AG1361" t="s">
        <v>5013</v>
      </c>
      <c r="AI1361" t="s">
        <v>90</v>
      </c>
      <c r="AJ1361">
        <v>32.313032</v>
      </c>
      <c r="AK1361">
        <v>-110.711788</v>
      </c>
      <c r="AL1361">
        <v>3</v>
      </c>
      <c r="AN1361">
        <v>1148</v>
      </c>
      <c r="AP1361">
        <v>1148</v>
      </c>
      <c r="AQ1361">
        <v>1146.7076790000001</v>
      </c>
      <c r="AT1361">
        <v>4</v>
      </c>
      <c r="AU1361">
        <v>12</v>
      </c>
      <c r="AV1361">
        <v>2021</v>
      </c>
      <c r="AW1361">
        <v>2437981</v>
      </c>
      <c r="AX1361">
        <v>2437981</v>
      </c>
      <c r="AY1361" t="s">
        <v>106</v>
      </c>
      <c r="AZ1361" t="s">
        <v>92</v>
      </c>
      <c r="BA1361" t="s">
        <v>107</v>
      </c>
      <c r="BB1361" t="s">
        <v>5017</v>
      </c>
      <c r="BC1361" t="s">
        <v>1186</v>
      </c>
      <c r="BE1361" t="s">
        <v>96</v>
      </c>
      <c r="BG1361" t="s">
        <v>4507</v>
      </c>
      <c r="BI1361" t="s">
        <v>98</v>
      </c>
      <c r="BJ1361" t="s">
        <v>4753</v>
      </c>
      <c r="BL1361" t="s">
        <v>110</v>
      </c>
    </row>
    <row r="1362" spans="1:64" hidden="1" x14ac:dyDescent="0.2">
      <c r="A1362">
        <v>1221</v>
      </c>
      <c r="B1362">
        <v>4022923492</v>
      </c>
      <c r="C1362" t="s">
        <v>101</v>
      </c>
      <c r="D1362" t="s">
        <v>5239</v>
      </c>
      <c r="E1362" t="s">
        <v>65</v>
      </c>
      <c r="F1362" t="s">
        <v>66</v>
      </c>
      <c r="G1362" t="s">
        <v>67</v>
      </c>
      <c r="H1362" t="s">
        <v>68</v>
      </c>
      <c r="I1362" t="s">
        <v>69</v>
      </c>
      <c r="J1362" t="s">
        <v>70</v>
      </c>
      <c r="K1362" t="s">
        <v>71</v>
      </c>
      <c r="M1362" t="s">
        <v>72</v>
      </c>
      <c r="N1362" t="s">
        <v>73</v>
      </c>
      <c r="O1362" t="s">
        <v>71</v>
      </c>
      <c r="P1362" t="s">
        <v>74</v>
      </c>
      <c r="Q1362" t="s">
        <v>75</v>
      </c>
      <c r="R1362" t="s">
        <v>5008</v>
      </c>
      <c r="S1362" t="s">
        <v>4463</v>
      </c>
      <c r="T1362" t="s">
        <v>78</v>
      </c>
      <c r="U1362" t="s">
        <v>5009</v>
      </c>
      <c r="V1362" t="s">
        <v>80</v>
      </c>
      <c r="W1362" s="1">
        <v>44534</v>
      </c>
      <c r="X1362" t="s">
        <v>5010</v>
      </c>
      <c r="Y1362" t="s">
        <v>5233</v>
      </c>
      <c r="Z1362" t="s">
        <v>83</v>
      </c>
      <c r="AA1362">
        <v>1</v>
      </c>
      <c r="AB1362" t="s">
        <v>4517</v>
      </c>
      <c r="AD1362" t="s">
        <v>112</v>
      </c>
      <c r="AE1362" t="s">
        <v>86</v>
      </c>
      <c r="AF1362" t="s">
        <v>146</v>
      </c>
      <c r="AG1362" t="s">
        <v>1257</v>
      </c>
      <c r="AI1362" t="s">
        <v>90</v>
      </c>
      <c r="AJ1362">
        <v>32.313585000000003</v>
      </c>
      <c r="AK1362">
        <v>-110.712908</v>
      </c>
      <c r="AL1362">
        <v>3</v>
      </c>
      <c r="AN1362">
        <v>1171</v>
      </c>
      <c r="AP1362">
        <v>1171</v>
      </c>
      <c r="AQ1362">
        <v>1176.1302639999999</v>
      </c>
      <c r="AT1362">
        <v>4</v>
      </c>
      <c r="AU1362">
        <v>12</v>
      </c>
      <c r="AV1362">
        <v>2021</v>
      </c>
      <c r="AW1362">
        <v>2439581</v>
      </c>
      <c r="AX1362">
        <v>2439581</v>
      </c>
      <c r="AY1362" t="s">
        <v>106</v>
      </c>
      <c r="AZ1362" t="s">
        <v>92</v>
      </c>
      <c r="BA1362" t="s">
        <v>107</v>
      </c>
      <c r="BB1362" t="s">
        <v>5240</v>
      </c>
      <c r="BC1362" t="s">
        <v>1186</v>
      </c>
      <c r="BE1362" t="s">
        <v>96</v>
      </c>
      <c r="BG1362" t="s">
        <v>4507</v>
      </c>
      <c r="BI1362" t="s">
        <v>98</v>
      </c>
      <c r="BJ1362" t="s">
        <v>4598</v>
      </c>
      <c r="BL1362" t="s">
        <v>110</v>
      </c>
    </row>
    <row r="1363" spans="1:64" hidden="1" x14ac:dyDescent="0.2">
      <c r="A1363">
        <v>1220</v>
      </c>
      <c r="B1363">
        <v>4022923493</v>
      </c>
      <c r="C1363" t="s">
        <v>101</v>
      </c>
      <c r="D1363" t="s">
        <v>5241</v>
      </c>
      <c r="E1363" t="s">
        <v>65</v>
      </c>
      <c r="F1363" t="s">
        <v>66</v>
      </c>
      <c r="G1363" t="s">
        <v>67</v>
      </c>
      <c r="H1363" t="s">
        <v>68</v>
      </c>
      <c r="I1363" t="s">
        <v>69</v>
      </c>
      <c r="J1363" t="s">
        <v>70</v>
      </c>
      <c r="K1363" t="s">
        <v>71</v>
      </c>
      <c r="M1363" t="s">
        <v>72</v>
      </c>
      <c r="N1363" t="s">
        <v>73</v>
      </c>
      <c r="O1363" t="s">
        <v>71</v>
      </c>
      <c r="P1363" t="s">
        <v>74</v>
      </c>
      <c r="Q1363" t="s">
        <v>75</v>
      </c>
      <c r="R1363" t="s">
        <v>5008</v>
      </c>
      <c r="S1363" t="s">
        <v>4463</v>
      </c>
      <c r="T1363" t="s">
        <v>78</v>
      </c>
      <c r="U1363" t="s">
        <v>5009</v>
      </c>
      <c r="V1363" t="s">
        <v>80</v>
      </c>
      <c r="W1363" s="1">
        <v>44534</v>
      </c>
      <c r="X1363" t="s">
        <v>5010</v>
      </c>
      <c r="Y1363" t="s">
        <v>5233</v>
      </c>
      <c r="Z1363" t="s">
        <v>83</v>
      </c>
      <c r="AA1363">
        <v>1</v>
      </c>
      <c r="AB1363" t="s">
        <v>4517</v>
      </c>
      <c r="AD1363" t="s">
        <v>116</v>
      </c>
      <c r="AE1363" t="s">
        <v>86</v>
      </c>
      <c r="AF1363" t="s">
        <v>146</v>
      </c>
      <c r="AG1363" t="s">
        <v>1257</v>
      </c>
      <c r="AI1363" t="s">
        <v>90</v>
      </c>
      <c r="AJ1363">
        <v>32.313585000000003</v>
      </c>
      <c r="AK1363">
        <v>-110.712908</v>
      </c>
      <c r="AL1363">
        <v>3</v>
      </c>
      <c r="AN1363">
        <v>1171</v>
      </c>
      <c r="AP1363">
        <v>1171</v>
      </c>
      <c r="AQ1363">
        <v>1176.1302639999999</v>
      </c>
      <c r="AT1363">
        <v>4</v>
      </c>
      <c r="AU1363">
        <v>12</v>
      </c>
      <c r="AV1363">
        <v>2021</v>
      </c>
      <c r="AW1363">
        <v>2439581</v>
      </c>
      <c r="AX1363">
        <v>2439581</v>
      </c>
      <c r="AY1363" t="s">
        <v>106</v>
      </c>
      <c r="AZ1363" t="s">
        <v>92</v>
      </c>
      <c r="BA1363" t="s">
        <v>107</v>
      </c>
      <c r="BB1363" t="s">
        <v>5242</v>
      </c>
      <c r="BC1363" t="s">
        <v>1186</v>
      </c>
      <c r="BE1363" t="s">
        <v>96</v>
      </c>
      <c r="BG1363" t="s">
        <v>4507</v>
      </c>
      <c r="BI1363" t="s">
        <v>98</v>
      </c>
      <c r="BJ1363" t="s">
        <v>4730</v>
      </c>
      <c r="BL1363" t="s">
        <v>110</v>
      </c>
    </row>
    <row r="1364" spans="1:64" hidden="1" x14ac:dyDescent="0.2">
      <c r="A1364">
        <v>1159</v>
      </c>
      <c r="B1364">
        <v>4022923554</v>
      </c>
      <c r="C1364" t="s">
        <v>101</v>
      </c>
      <c r="D1364" t="s">
        <v>5243</v>
      </c>
      <c r="E1364" t="s">
        <v>65</v>
      </c>
      <c r="F1364" t="s">
        <v>66</v>
      </c>
      <c r="G1364" t="s">
        <v>67</v>
      </c>
      <c r="H1364" t="s">
        <v>68</v>
      </c>
      <c r="I1364" t="s">
        <v>69</v>
      </c>
      <c r="J1364" t="s">
        <v>70</v>
      </c>
      <c r="K1364" t="s">
        <v>71</v>
      </c>
      <c r="M1364" t="s">
        <v>72</v>
      </c>
      <c r="N1364" t="s">
        <v>73</v>
      </c>
      <c r="O1364" t="s">
        <v>71</v>
      </c>
      <c r="P1364" t="s">
        <v>74</v>
      </c>
      <c r="Q1364" t="s">
        <v>75</v>
      </c>
      <c r="R1364" t="s">
        <v>5008</v>
      </c>
      <c r="S1364" t="s">
        <v>4463</v>
      </c>
      <c r="T1364" t="s">
        <v>78</v>
      </c>
      <c r="U1364" t="s">
        <v>5009</v>
      </c>
      <c r="V1364" t="s">
        <v>80</v>
      </c>
      <c r="W1364" s="1">
        <v>44534</v>
      </c>
      <c r="X1364" t="s">
        <v>5010</v>
      </c>
      <c r="Y1364" t="s">
        <v>5233</v>
      </c>
      <c r="Z1364" t="s">
        <v>83</v>
      </c>
      <c r="AA1364">
        <v>1</v>
      </c>
      <c r="AB1364" t="s">
        <v>672</v>
      </c>
      <c r="AD1364" t="s">
        <v>134</v>
      </c>
      <c r="AE1364" t="s">
        <v>86</v>
      </c>
      <c r="AF1364" t="s">
        <v>146</v>
      </c>
      <c r="AG1364" t="s">
        <v>1257</v>
      </c>
      <c r="AI1364" t="s">
        <v>90</v>
      </c>
      <c r="AJ1364">
        <v>32.313585000000003</v>
      </c>
      <c r="AK1364">
        <v>-110.712908</v>
      </c>
      <c r="AL1364">
        <v>3</v>
      </c>
      <c r="AN1364">
        <v>1171</v>
      </c>
      <c r="AP1364">
        <v>1171</v>
      </c>
      <c r="AQ1364">
        <v>1176.1302639999999</v>
      </c>
      <c r="AT1364">
        <v>4</v>
      </c>
      <c r="AU1364">
        <v>12</v>
      </c>
      <c r="AV1364">
        <v>2021</v>
      </c>
      <c r="AW1364">
        <v>2439581</v>
      </c>
      <c r="AX1364">
        <v>2439581</v>
      </c>
      <c r="AY1364" t="s">
        <v>106</v>
      </c>
      <c r="AZ1364" t="s">
        <v>92</v>
      </c>
      <c r="BA1364" t="s">
        <v>107</v>
      </c>
      <c r="BB1364" t="s">
        <v>5244</v>
      </c>
      <c r="BC1364" t="s">
        <v>1186</v>
      </c>
      <c r="BE1364" t="s">
        <v>96</v>
      </c>
      <c r="BG1364" t="s">
        <v>4507</v>
      </c>
      <c r="BI1364" t="s">
        <v>98</v>
      </c>
      <c r="BJ1364" t="s">
        <v>4632</v>
      </c>
      <c r="BL1364" t="s">
        <v>110</v>
      </c>
    </row>
    <row r="1365" spans="1:64" hidden="1" x14ac:dyDescent="0.2">
      <c r="A1365">
        <v>1157</v>
      </c>
      <c r="B1365">
        <v>4022923556</v>
      </c>
      <c r="C1365" t="s">
        <v>101</v>
      </c>
      <c r="D1365" t="s">
        <v>5245</v>
      </c>
      <c r="E1365" t="s">
        <v>65</v>
      </c>
      <c r="F1365" t="s">
        <v>66</v>
      </c>
      <c r="G1365" t="s">
        <v>67</v>
      </c>
      <c r="H1365" t="s">
        <v>68</v>
      </c>
      <c r="I1365" t="s">
        <v>69</v>
      </c>
      <c r="J1365" t="s">
        <v>70</v>
      </c>
      <c r="K1365" t="s">
        <v>71</v>
      </c>
      <c r="M1365" t="s">
        <v>72</v>
      </c>
      <c r="N1365" t="s">
        <v>73</v>
      </c>
      <c r="O1365" t="s">
        <v>71</v>
      </c>
      <c r="P1365" t="s">
        <v>74</v>
      </c>
      <c r="Q1365" t="s">
        <v>75</v>
      </c>
      <c r="R1365" t="s">
        <v>5008</v>
      </c>
      <c r="S1365" t="s">
        <v>4463</v>
      </c>
      <c r="T1365" t="s">
        <v>78</v>
      </c>
      <c r="U1365" t="s">
        <v>5009</v>
      </c>
      <c r="V1365" t="s">
        <v>80</v>
      </c>
      <c r="W1365" s="1">
        <v>44534</v>
      </c>
      <c r="X1365" t="s">
        <v>5010</v>
      </c>
      <c r="Y1365" t="s">
        <v>5233</v>
      </c>
      <c r="Z1365" t="s">
        <v>83</v>
      </c>
      <c r="AA1365">
        <v>1</v>
      </c>
      <c r="AB1365" t="s">
        <v>4517</v>
      </c>
      <c r="AD1365" t="s">
        <v>139</v>
      </c>
      <c r="AE1365" t="s">
        <v>86</v>
      </c>
      <c r="AF1365" t="s">
        <v>146</v>
      </c>
      <c r="AG1365" t="s">
        <v>1257</v>
      </c>
      <c r="AI1365" t="s">
        <v>90</v>
      </c>
      <c r="AJ1365">
        <v>32.313585000000003</v>
      </c>
      <c r="AK1365">
        <v>-110.712908</v>
      </c>
      <c r="AL1365">
        <v>3</v>
      </c>
      <c r="AN1365">
        <v>1171</v>
      </c>
      <c r="AP1365">
        <v>1171</v>
      </c>
      <c r="AQ1365">
        <v>1176.1302639999999</v>
      </c>
      <c r="AT1365">
        <v>4</v>
      </c>
      <c r="AU1365">
        <v>12</v>
      </c>
      <c r="AV1365">
        <v>2021</v>
      </c>
      <c r="AW1365">
        <v>2439581</v>
      </c>
      <c r="AX1365">
        <v>2439581</v>
      </c>
      <c r="AY1365" t="s">
        <v>106</v>
      </c>
      <c r="AZ1365" t="s">
        <v>92</v>
      </c>
      <c r="BA1365" t="s">
        <v>107</v>
      </c>
      <c r="BB1365" t="s">
        <v>5246</v>
      </c>
      <c r="BC1365" t="s">
        <v>1186</v>
      </c>
      <c r="BE1365" t="s">
        <v>96</v>
      </c>
      <c r="BG1365" t="s">
        <v>4507</v>
      </c>
      <c r="BI1365" t="s">
        <v>98</v>
      </c>
      <c r="BJ1365" t="s">
        <v>5247</v>
      </c>
      <c r="BL1365" t="s">
        <v>110</v>
      </c>
    </row>
    <row r="1366" spans="1:64" hidden="1" x14ac:dyDescent="0.2">
      <c r="A1366">
        <v>1156</v>
      </c>
      <c r="B1366">
        <v>4022923557</v>
      </c>
      <c r="C1366" t="s">
        <v>101</v>
      </c>
      <c r="D1366" t="s">
        <v>5248</v>
      </c>
      <c r="E1366" t="s">
        <v>65</v>
      </c>
      <c r="F1366" t="s">
        <v>66</v>
      </c>
      <c r="G1366" t="s">
        <v>67</v>
      </c>
      <c r="H1366" t="s">
        <v>68</v>
      </c>
      <c r="I1366" t="s">
        <v>69</v>
      </c>
      <c r="J1366" t="s">
        <v>70</v>
      </c>
      <c r="K1366" t="s">
        <v>71</v>
      </c>
      <c r="M1366" t="s">
        <v>72</v>
      </c>
      <c r="N1366" t="s">
        <v>73</v>
      </c>
      <c r="O1366" t="s">
        <v>71</v>
      </c>
      <c r="P1366" t="s">
        <v>74</v>
      </c>
      <c r="Q1366" t="s">
        <v>75</v>
      </c>
      <c r="R1366" t="s">
        <v>5008</v>
      </c>
      <c r="S1366" t="s">
        <v>4463</v>
      </c>
      <c r="T1366" t="s">
        <v>78</v>
      </c>
      <c r="U1366" t="s">
        <v>5009</v>
      </c>
      <c r="V1366" t="s">
        <v>80</v>
      </c>
      <c r="W1366" s="1">
        <v>44534</v>
      </c>
      <c r="X1366" t="s">
        <v>5010</v>
      </c>
      <c r="Y1366" t="s">
        <v>5233</v>
      </c>
      <c r="Z1366" t="s">
        <v>83</v>
      </c>
      <c r="AA1366">
        <v>1</v>
      </c>
      <c r="AB1366" t="s">
        <v>4517</v>
      </c>
      <c r="AD1366" t="s">
        <v>123</v>
      </c>
      <c r="AE1366" t="s">
        <v>86</v>
      </c>
      <c r="AF1366" t="s">
        <v>146</v>
      </c>
      <c r="AG1366" t="s">
        <v>1257</v>
      </c>
      <c r="AI1366" t="s">
        <v>90</v>
      </c>
      <c r="AJ1366">
        <v>32.313585000000003</v>
      </c>
      <c r="AK1366">
        <v>-110.712908</v>
      </c>
      <c r="AL1366">
        <v>3</v>
      </c>
      <c r="AN1366">
        <v>1171</v>
      </c>
      <c r="AP1366">
        <v>1171</v>
      </c>
      <c r="AQ1366">
        <v>1176.1302639999999</v>
      </c>
      <c r="AT1366">
        <v>4</v>
      </c>
      <c r="AU1366">
        <v>12</v>
      </c>
      <c r="AV1366">
        <v>2021</v>
      </c>
      <c r="AW1366">
        <v>2439581</v>
      </c>
      <c r="AX1366">
        <v>2439581</v>
      </c>
      <c r="AY1366" t="s">
        <v>106</v>
      </c>
      <c r="AZ1366" t="s">
        <v>92</v>
      </c>
      <c r="BA1366" t="s">
        <v>107</v>
      </c>
      <c r="BB1366" t="s">
        <v>5249</v>
      </c>
      <c r="BC1366" t="s">
        <v>1186</v>
      </c>
      <c r="BE1366" t="s">
        <v>96</v>
      </c>
      <c r="BG1366" t="s">
        <v>4507</v>
      </c>
      <c r="BI1366" t="s">
        <v>98</v>
      </c>
      <c r="BJ1366" t="s">
        <v>5250</v>
      </c>
      <c r="BL1366" t="s">
        <v>110</v>
      </c>
    </row>
    <row r="1367" spans="1:64" hidden="1" x14ac:dyDescent="0.2">
      <c r="A1367">
        <v>1184</v>
      </c>
      <c r="B1367">
        <v>4022923529</v>
      </c>
      <c r="C1367" t="s">
        <v>101</v>
      </c>
      <c r="D1367" t="s">
        <v>5251</v>
      </c>
      <c r="E1367" t="s">
        <v>65</v>
      </c>
      <c r="F1367" t="s">
        <v>66</v>
      </c>
      <c r="G1367" t="s">
        <v>67</v>
      </c>
      <c r="H1367" t="s">
        <v>68</v>
      </c>
      <c r="I1367" t="s">
        <v>69</v>
      </c>
      <c r="J1367" t="s">
        <v>70</v>
      </c>
      <c r="K1367" t="s">
        <v>71</v>
      </c>
      <c r="M1367" t="s">
        <v>72</v>
      </c>
      <c r="N1367" t="s">
        <v>73</v>
      </c>
      <c r="O1367" t="s">
        <v>71</v>
      </c>
      <c r="P1367" t="s">
        <v>74</v>
      </c>
      <c r="Q1367" t="s">
        <v>75</v>
      </c>
      <c r="R1367" t="s">
        <v>5008</v>
      </c>
      <c r="S1367" t="s">
        <v>4463</v>
      </c>
      <c r="T1367" t="s">
        <v>78</v>
      </c>
      <c r="U1367" t="s">
        <v>5009</v>
      </c>
      <c r="V1367" t="s">
        <v>80</v>
      </c>
      <c r="W1367" s="1">
        <v>44534</v>
      </c>
      <c r="X1367" t="s">
        <v>5010</v>
      </c>
      <c r="Y1367" t="s">
        <v>5233</v>
      </c>
      <c r="Z1367" t="s">
        <v>83</v>
      </c>
      <c r="AA1367">
        <v>1</v>
      </c>
      <c r="AB1367" t="s">
        <v>4517</v>
      </c>
      <c r="AD1367" t="s">
        <v>104</v>
      </c>
      <c r="AE1367" t="s">
        <v>86</v>
      </c>
      <c r="AF1367" t="s">
        <v>146</v>
      </c>
      <c r="AG1367" t="s">
        <v>1257</v>
      </c>
      <c r="AI1367" t="s">
        <v>90</v>
      </c>
      <c r="AJ1367">
        <v>32.313585000000003</v>
      </c>
      <c r="AK1367">
        <v>-110.712908</v>
      </c>
      <c r="AL1367">
        <v>3</v>
      </c>
      <c r="AN1367">
        <v>1171</v>
      </c>
      <c r="AP1367">
        <v>1171</v>
      </c>
      <c r="AQ1367">
        <v>1176.1302639999999</v>
      </c>
      <c r="AT1367">
        <v>4</v>
      </c>
      <c r="AU1367">
        <v>12</v>
      </c>
      <c r="AV1367">
        <v>2021</v>
      </c>
      <c r="AW1367">
        <v>2439581</v>
      </c>
      <c r="AX1367">
        <v>2439581</v>
      </c>
      <c r="AY1367" t="s">
        <v>106</v>
      </c>
      <c r="AZ1367" t="s">
        <v>92</v>
      </c>
      <c r="BA1367" t="s">
        <v>107</v>
      </c>
      <c r="BB1367" t="s">
        <v>5252</v>
      </c>
      <c r="BC1367" t="s">
        <v>1186</v>
      </c>
      <c r="BE1367" t="s">
        <v>96</v>
      </c>
      <c r="BG1367" t="s">
        <v>4507</v>
      </c>
      <c r="BI1367" t="s">
        <v>98</v>
      </c>
      <c r="BJ1367" t="s">
        <v>5253</v>
      </c>
      <c r="BL1367" t="s">
        <v>110</v>
      </c>
    </row>
    <row r="1368" spans="1:64" hidden="1" x14ac:dyDescent="0.2">
      <c r="A1368">
        <v>1150</v>
      </c>
      <c r="B1368">
        <v>4022923563</v>
      </c>
      <c r="C1368" t="s">
        <v>101</v>
      </c>
      <c r="D1368" t="s">
        <v>5261</v>
      </c>
      <c r="E1368" t="s">
        <v>65</v>
      </c>
      <c r="F1368" t="s">
        <v>66</v>
      </c>
      <c r="G1368" t="s">
        <v>67</v>
      </c>
      <c r="H1368" t="s">
        <v>68</v>
      </c>
      <c r="I1368" t="s">
        <v>69</v>
      </c>
      <c r="J1368" t="s">
        <v>70</v>
      </c>
      <c r="K1368" t="s">
        <v>71</v>
      </c>
      <c r="M1368" t="s">
        <v>72</v>
      </c>
      <c r="N1368" t="s">
        <v>73</v>
      </c>
      <c r="O1368" t="s">
        <v>71</v>
      </c>
      <c r="P1368" t="s">
        <v>74</v>
      </c>
      <c r="Q1368" t="s">
        <v>75</v>
      </c>
      <c r="R1368" t="s">
        <v>5008</v>
      </c>
      <c r="S1368" t="s">
        <v>5255</v>
      </c>
      <c r="T1368" t="s">
        <v>78</v>
      </c>
      <c r="U1368" t="s">
        <v>5009</v>
      </c>
      <c r="V1368" t="s">
        <v>80</v>
      </c>
      <c r="W1368" s="1">
        <v>44534</v>
      </c>
      <c r="X1368" t="s">
        <v>5010</v>
      </c>
      <c r="Y1368" t="s">
        <v>5256</v>
      </c>
      <c r="Z1368" t="s">
        <v>83</v>
      </c>
      <c r="AA1368">
        <v>1</v>
      </c>
      <c r="AB1368" t="s">
        <v>4517</v>
      </c>
      <c r="AD1368" t="s">
        <v>139</v>
      </c>
      <c r="AE1368" t="s">
        <v>145</v>
      </c>
      <c r="AF1368" t="s">
        <v>146</v>
      </c>
      <c r="AG1368" t="s">
        <v>5262</v>
      </c>
      <c r="AI1368" t="s">
        <v>90</v>
      </c>
      <c r="AJ1368">
        <v>32.314048</v>
      </c>
      <c r="AK1368">
        <v>-110.712737</v>
      </c>
      <c r="AL1368">
        <v>3</v>
      </c>
      <c r="AN1368">
        <v>1182</v>
      </c>
      <c r="AP1368">
        <v>1182</v>
      </c>
      <c r="AQ1368">
        <v>1182.6412849999999</v>
      </c>
      <c r="AT1368">
        <v>4</v>
      </c>
      <c r="AU1368">
        <v>12</v>
      </c>
      <c r="AV1368">
        <v>2021</v>
      </c>
      <c r="AW1368">
        <v>2439581</v>
      </c>
      <c r="AX1368">
        <v>2439581</v>
      </c>
      <c r="AY1368" t="s">
        <v>106</v>
      </c>
      <c r="AZ1368" t="s">
        <v>92</v>
      </c>
      <c r="BA1368" t="s">
        <v>107</v>
      </c>
      <c r="BB1368" t="s">
        <v>5263</v>
      </c>
      <c r="BC1368" t="s">
        <v>1186</v>
      </c>
      <c r="BE1368" t="s">
        <v>96</v>
      </c>
      <c r="BG1368" t="s">
        <v>4507</v>
      </c>
      <c r="BI1368" t="s">
        <v>98</v>
      </c>
      <c r="BJ1368" t="s">
        <v>324</v>
      </c>
      <c r="BL1368" t="s">
        <v>110</v>
      </c>
    </row>
    <row r="1369" spans="1:64" hidden="1" x14ac:dyDescent="0.2">
      <c r="A1369">
        <v>1151</v>
      </c>
      <c r="B1369">
        <v>4022923562</v>
      </c>
      <c r="C1369" t="s">
        <v>101</v>
      </c>
      <c r="D1369" t="s">
        <v>5264</v>
      </c>
      <c r="E1369" t="s">
        <v>65</v>
      </c>
      <c r="F1369" t="s">
        <v>66</v>
      </c>
      <c r="G1369" t="s">
        <v>67</v>
      </c>
      <c r="H1369" t="s">
        <v>68</v>
      </c>
      <c r="I1369" t="s">
        <v>69</v>
      </c>
      <c r="J1369" t="s">
        <v>70</v>
      </c>
      <c r="K1369" t="s">
        <v>71</v>
      </c>
      <c r="M1369" t="s">
        <v>72</v>
      </c>
      <c r="N1369" t="s">
        <v>73</v>
      </c>
      <c r="O1369" t="s">
        <v>71</v>
      </c>
      <c r="P1369" t="s">
        <v>74</v>
      </c>
      <c r="Q1369" t="s">
        <v>75</v>
      </c>
      <c r="R1369" t="s">
        <v>5008</v>
      </c>
      <c r="S1369" t="s">
        <v>5255</v>
      </c>
      <c r="T1369" t="s">
        <v>78</v>
      </c>
      <c r="U1369" t="s">
        <v>5009</v>
      </c>
      <c r="V1369" t="s">
        <v>80</v>
      </c>
      <c r="W1369" s="1">
        <v>44534</v>
      </c>
      <c r="X1369" t="s">
        <v>5010</v>
      </c>
      <c r="Y1369" t="s">
        <v>5256</v>
      </c>
      <c r="Z1369" t="s">
        <v>83</v>
      </c>
      <c r="AA1369">
        <v>1</v>
      </c>
      <c r="AB1369" t="s">
        <v>672</v>
      </c>
      <c r="AD1369" t="s">
        <v>134</v>
      </c>
      <c r="AE1369" t="s">
        <v>145</v>
      </c>
      <c r="AF1369" t="s">
        <v>146</v>
      </c>
      <c r="AG1369" t="s">
        <v>5262</v>
      </c>
      <c r="AI1369" t="s">
        <v>90</v>
      </c>
      <c r="AJ1369">
        <v>32.314048</v>
      </c>
      <c r="AK1369">
        <v>-110.712737</v>
      </c>
      <c r="AL1369">
        <v>3</v>
      </c>
      <c r="AN1369">
        <v>1182</v>
      </c>
      <c r="AP1369">
        <v>1182</v>
      </c>
      <c r="AQ1369">
        <v>1182.6412849999999</v>
      </c>
      <c r="AT1369">
        <v>4</v>
      </c>
      <c r="AU1369">
        <v>12</v>
      </c>
      <c r="AV1369">
        <v>2021</v>
      </c>
      <c r="AW1369">
        <v>2439581</v>
      </c>
      <c r="AX1369">
        <v>2439581</v>
      </c>
      <c r="AY1369" t="s">
        <v>106</v>
      </c>
      <c r="AZ1369" t="s">
        <v>92</v>
      </c>
      <c r="BA1369" t="s">
        <v>107</v>
      </c>
      <c r="BB1369" t="s">
        <v>5265</v>
      </c>
      <c r="BC1369" t="s">
        <v>1186</v>
      </c>
      <c r="BE1369" t="s">
        <v>96</v>
      </c>
      <c r="BG1369" t="s">
        <v>4507</v>
      </c>
      <c r="BI1369" t="s">
        <v>98</v>
      </c>
      <c r="BJ1369" t="s">
        <v>348</v>
      </c>
      <c r="BL1369" t="s">
        <v>110</v>
      </c>
    </row>
    <row r="1370" spans="1:64" hidden="1" x14ac:dyDescent="0.2">
      <c r="A1370">
        <v>1208</v>
      </c>
      <c r="B1370">
        <v>4022923505</v>
      </c>
      <c r="C1370" t="s">
        <v>101</v>
      </c>
      <c r="D1370" t="s">
        <v>5266</v>
      </c>
      <c r="E1370" t="s">
        <v>65</v>
      </c>
      <c r="F1370" t="s">
        <v>66</v>
      </c>
      <c r="G1370" t="s">
        <v>67</v>
      </c>
      <c r="H1370" t="s">
        <v>68</v>
      </c>
      <c r="I1370" t="s">
        <v>69</v>
      </c>
      <c r="J1370" t="s">
        <v>70</v>
      </c>
      <c r="K1370" t="s">
        <v>71</v>
      </c>
      <c r="M1370" t="s">
        <v>72</v>
      </c>
      <c r="N1370" t="s">
        <v>73</v>
      </c>
      <c r="O1370" t="s">
        <v>71</v>
      </c>
      <c r="P1370" t="s">
        <v>74</v>
      </c>
      <c r="Q1370" t="s">
        <v>75</v>
      </c>
      <c r="R1370" t="s">
        <v>5008</v>
      </c>
      <c r="S1370" t="s">
        <v>5255</v>
      </c>
      <c r="T1370" t="s">
        <v>78</v>
      </c>
      <c r="U1370" t="s">
        <v>5009</v>
      </c>
      <c r="V1370" t="s">
        <v>80</v>
      </c>
      <c r="W1370" s="1">
        <v>44534</v>
      </c>
      <c r="X1370" t="s">
        <v>5010</v>
      </c>
      <c r="Y1370" t="s">
        <v>5256</v>
      </c>
      <c r="Z1370" t="s">
        <v>83</v>
      </c>
      <c r="AA1370">
        <v>1</v>
      </c>
      <c r="AB1370" t="s">
        <v>4517</v>
      </c>
      <c r="AD1370" t="s">
        <v>123</v>
      </c>
      <c r="AE1370" t="s">
        <v>145</v>
      </c>
      <c r="AF1370" t="s">
        <v>146</v>
      </c>
      <c r="AG1370" t="s">
        <v>5262</v>
      </c>
      <c r="AI1370" t="s">
        <v>90</v>
      </c>
      <c r="AJ1370">
        <v>32.314048</v>
      </c>
      <c r="AK1370">
        <v>-110.712737</v>
      </c>
      <c r="AL1370">
        <v>3</v>
      </c>
      <c r="AN1370">
        <v>1182</v>
      </c>
      <c r="AP1370">
        <v>1182</v>
      </c>
      <c r="AQ1370">
        <v>1182.6412849999999</v>
      </c>
      <c r="AT1370">
        <v>4</v>
      </c>
      <c r="AU1370">
        <v>12</v>
      </c>
      <c r="AV1370">
        <v>2021</v>
      </c>
      <c r="AW1370">
        <v>2439581</v>
      </c>
      <c r="AX1370">
        <v>2439581</v>
      </c>
      <c r="AY1370" t="s">
        <v>106</v>
      </c>
      <c r="AZ1370" t="s">
        <v>92</v>
      </c>
      <c r="BA1370" t="s">
        <v>107</v>
      </c>
      <c r="BB1370" t="s">
        <v>5267</v>
      </c>
      <c r="BC1370" t="s">
        <v>1186</v>
      </c>
      <c r="BE1370" t="s">
        <v>96</v>
      </c>
      <c r="BG1370" t="s">
        <v>4507</v>
      </c>
      <c r="BI1370" t="s">
        <v>98</v>
      </c>
      <c r="BJ1370" t="s">
        <v>1929</v>
      </c>
      <c r="BL1370" t="s">
        <v>110</v>
      </c>
    </row>
    <row r="1371" spans="1:64" hidden="1" x14ac:dyDescent="0.2">
      <c r="A1371">
        <v>1205</v>
      </c>
      <c r="B1371">
        <v>4022923508</v>
      </c>
      <c r="C1371" t="s">
        <v>101</v>
      </c>
      <c r="D1371" t="s">
        <v>5268</v>
      </c>
      <c r="E1371" t="s">
        <v>65</v>
      </c>
      <c r="F1371" t="s">
        <v>66</v>
      </c>
      <c r="G1371" t="s">
        <v>67</v>
      </c>
      <c r="H1371" t="s">
        <v>68</v>
      </c>
      <c r="I1371" t="s">
        <v>69</v>
      </c>
      <c r="J1371" t="s">
        <v>70</v>
      </c>
      <c r="K1371" t="s">
        <v>71</v>
      </c>
      <c r="M1371" t="s">
        <v>72</v>
      </c>
      <c r="N1371" t="s">
        <v>73</v>
      </c>
      <c r="O1371" t="s">
        <v>71</v>
      </c>
      <c r="P1371" t="s">
        <v>74</v>
      </c>
      <c r="Q1371" t="s">
        <v>75</v>
      </c>
      <c r="R1371" t="s">
        <v>5008</v>
      </c>
      <c r="S1371" t="s">
        <v>5255</v>
      </c>
      <c r="T1371" t="s">
        <v>78</v>
      </c>
      <c r="U1371" t="s">
        <v>5009</v>
      </c>
      <c r="V1371" t="s">
        <v>80</v>
      </c>
      <c r="W1371" s="1">
        <v>44534</v>
      </c>
      <c r="X1371" t="s">
        <v>5010</v>
      </c>
      <c r="Y1371" t="s">
        <v>5256</v>
      </c>
      <c r="Z1371" t="s">
        <v>83</v>
      </c>
      <c r="AA1371">
        <v>1</v>
      </c>
      <c r="AB1371" t="s">
        <v>4517</v>
      </c>
      <c r="AD1371" t="s">
        <v>112</v>
      </c>
      <c r="AE1371" t="s">
        <v>145</v>
      </c>
      <c r="AF1371" t="s">
        <v>146</v>
      </c>
      <c r="AG1371" t="s">
        <v>5262</v>
      </c>
      <c r="AI1371" t="s">
        <v>90</v>
      </c>
      <c r="AJ1371">
        <v>32.314048</v>
      </c>
      <c r="AK1371">
        <v>-110.712737</v>
      </c>
      <c r="AL1371">
        <v>3</v>
      </c>
      <c r="AN1371">
        <v>1182</v>
      </c>
      <c r="AP1371">
        <v>1182</v>
      </c>
      <c r="AQ1371">
        <v>1182.6412849999999</v>
      </c>
      <c r="AT1371">
        <v>4</v>
      </c>
      <c r="AU1371">
        <v>12</v>
      </c>
      <c r="AV1371">
        <v>2021</v>
      </c>
      <c r="AW1371">
        <v>2439581</v>
      </c>
      <c r="AX1371">
        <v>2439581</v>
      </c>
      <c r="AY1371" t="s">
        <v>106</v>
      </c>
      <c r="AZ1371" t="s">
        <v>92</v>
      </c>
      <c r="BA1371" t="s">
        <v>107</v>
      </c>
      <c r="BB1371" t="s">
        <v>5269</v>
      </c>
      <c r="BC1371" t="s">
        <v>1186</v>
      </c>
      <c r="BE1371" t="s">
        <v>96</v>
      </c>
      <c r="BG1371" t="s">
        <v>4507</v>
      </c>
      <c r="BI1371" t="s">
        <v>98</v>
      </c>
      <c r="BJ1371" t="s">
        <v>5270</v>
      </c>
      <c r="BL1371" t="s">
        <v>110</v>
      </c>
    </row>
    <row r="1372" spans="1:64" hidden="1" x14ac:dyDescent="0.2">
      <c r="A1372">
        <v>1204</v>
      </c>
      <c r="B1372">
        <v>4022923509</v>
      </c>
      <c r="C1372" t="s">
        <v>101</v>
      </c>
      <c r="D1372" t="s">
        <v>5271</v>
      </c>
      <c r="E1372" t="s">
        <v>65</v>
      </c>
      <c r="F1372" t="s">
        <v>66</v>
      </c>
      <c r="G1372" t="s">
        <v>67</v>
      </c>
      <c r="H1372" t="s">
        <v>68</v>
      </c>
      <c r="I1372" t="s">
        <v>69</v>
      </c>
      <c r="J1372" t="s">
        <v>70</v>
      </c>
      <c r="K1372" t="s">
        <v>71</v>
      </c>
      <c r="M1372" t="s">
        <v>72</v>
      </c>
      <c r="N1372" t="s">
        <v>73</v>
      </c>
      <c r="O1372" t="s">
        <v>71</v>
      </c>
      <c r="P1372" t="s">
        <v>74</v>
      </c>
      <c r="Q1372" t="s">
        <v>75</v>
      </c>
      <c r="R1372" t="s">
        <v>5008</v>
      </c>
      <c r="S1372" t="s">
        <v>5255</v>
      </c>
      <c r="T1372" t="s">
        <v>78</v>
      </c>
      <c r="U1372" t="s">
        <v>5009</v>
      </c>
      <c r="V1372" t="s">
        <v>80</v>
      </c>
      <c r="W1372" s="1">
        <v>44534</v>
      </c>
      <c r="X1372" t="s">
        <v>5010</v>
      </c>
      <c r="Y1372" t="s">
        <v>5256</v>
      </c>
      <c r="Z1372" t="s">
        <v>83</v>
      </c>
      <c r="AA1372">
        <v>1</v>
      </c>
      <c r="AB1372" t="s">
        <v>4517</v>
      </c>
      <c r="AD1372" t="s">
        <v>116</v>
      </c>
      <c r="AE1372" t="s">
        <v>145</v>
      </c>
      <c r="AF1372" t="s">
        <v>146</v>
      </c>
      <c r="AG1372" t="s">
        <v>5262</v>
      </c>
      <c r="AI1372" t="s">
        <v>90</v>
      </c>
      <c r="AJ1372">
        <v>32.314048</v>
      </c>
      <c r="AK1372">
        <v>-110.712737</v>
      </c>
      <c r="AL1372">
        <v>3</v>
      </c>
      <c r="AN1372">
        <v>1182</v>
      </c>
      <c r="AP1372">
        <v>1182</v>
      </c>
      <c r="AQ1372">
        <v>1182.6412849999999</v>
      </c>
      <c r="AT1372">
        <v>4</v>
      </c>
      <c r="AU1372">
        <v>12</v>
      </c>
      <c r="AV1372">
        <v>2021</v>
      </c>
      <c r="AW1372">
        <v>2439581</v>
      </c>
      <c r="AX1372">
        <v>2439581</v>
      </c>
      <c r="AY1372" t="s">
        <v>106</v>
      </c>
      <c r="AZ1372" t="s">
        <v>92</v>
      </c>
      <c r="BA1372" t="s">
        <v>107</v>
      </c>
      <c r="BB1372" t="s">
        <v>5272</v>
      </c>
      <c r="BC1372" t="s">
        <v>1186</v>
      </c>
      <c r="BE1372" t="s">
        <v>96</v>
      </c>
      <c r="BG1372" t="s">
        <v>4507</v>
      </c>
      <c r="BI1372" t="s">
        <v>98</v>
      </c>
      <c r="BJ1372" t="s">
        <v>5273</v>
      </c>
      <c r="BL1372" t="s">
        <v>110</v>
      </c>
    </row>
    <row r="1373" spans="1:64" hidden="1" x14ac:dyDescent="0.2">
      <c r="A1373">
        <v>1202</v>
      </c>
      <c r="B1373">
        <v>4022923511</v>
      </c>
      <c r="C1373" t="s">
        <v>101</v>
      </c>
      <c r="D1373" t="s">
        <v>5274</v>
      </c>
      <c r="E1373" t="s">
        <v>65</v>
      </c>
      <c r="F1373" t="s">
        <v>66</v>
      </c>
      <c r="G1373" t="s">
        <v>67</v>
      </c>
      <c r="H1373" t="s">
        <v>68</v>
      </c>
      <c r="I1373" t="s">
        <v>69</v>
      </c>
      <c r="J1373" t="s">
        <v>70</v>
      </c>
      <c r="K1373" t="s">
        <v>71</v>
      </c>
      <c r="M1373" t="s">
        <v>72</v>
      </c>
      <c r="N1373" t="s">
        <v>73</v>
      </c>
      <c r="O1373" t="s">
        <v>71</v>
      </c>
      <c r="P1373" t="s">
        <v>74</v>
      </c>
      <c r="Q1373" t="s">
        <v>75</v>
      </c>
      <c r="R1373" t="s">
        <v>5008</v>
      </c>
      <c r="S1373" t="s">
        <v>5255</v>
      </c>
      <c r="T1373" t="s">
        <v>78</v>
      </c>
      <c r="U1373" t="s">
        <v>5009</v>
      </c>
      <c r="V1373" t="s">
        <v>80</v>
      </c>
      <c r="W1373" s="1">
        <v>44534</v>
      </c>
      <c r="X1373" t="s">
        <v>5010</v>
      </c>
      <c r="Y1373" t="s">
        <v>5256</v>
      </c>
      <c r="Z1373" t="s">
        <v>83</v>
      </c>
      <c r="AA1373">
        <v>1</v>
      </c>
      <c r="AB1373" t="s">
        <v>4517</v>
      </c>
      <c r="AD1373" t="s">
        <v>104</v>
      </c>
      <c r="AE1373" t="s">
        <v>145</v>
      </c>
      <c r="AF1373" t="s">
        <v>146</v>
      </c>
      <c r="AG1373" t="s">
        <v>5262</v>
      </c>
      <c r="AI1373" t="s">
        <v>90</v>
      </c>
      <c r="AJ1373">
        <v>32.314048</v>
      </c>
      <c r="AK1373">
        <v>-110.712737</v>
      </c>
      <c r="AL1373">
        <v>3</v>
      </c>
      <c r="AN1373">
        <v>1182</v>
      </c>
      <c r="AP1373">
        <v>1182</v>
      </c>
      <c r="AQ1373">
        <v>1182.6412849999999</v>
      </c>
      <c r="AT1373">
        <v>4</v>
      </c>
      <c r="AU1373">
        <v>12</v>
      </c>
      <c r="AV1373">
        <v>2021</v>
      </c>
      <c r="AW1373">
        <v>2439581</v>
      </c>
      <c r="AX1373">
        <v>2439581</v>
      </c>
      <c r="AY1373" t="s">
        <v>106</v>
      </c>
      <c r="AZ1373" t="s">
        <v>92</v>
      </c>
      <c r="BA1373" t="s">
        <v>107</v>
      </c>
      <c r="BB1373" t="s">
        <v>5275</v>
      </c>
      <c r="BC1373" t="s">
        <v>1186</v>
      </c>
      <c r="BE1373" t="s">
        <v>96</v>
      </c>
      <c r="BG1373" t="s">
        <v>4507</v>
      </c>
      <c r="BI1373" t="s">
        <v>98</v>
      </c>
      <c r="BJ1373" t="s">
        <v>4601</v>
      </c>
      <c r="BL1373" t="s">
        <v>110</v>
      </c>
    </row>
    <row r="1374" spans="1:64" x14ac:dyDescent="0.2">
      <c r="A1374">
        <v>1195</v>
      </c>
      <c r="B1374">
        <v>4022923518</v>
      </c>
      <c r="C1374" t="s">
        <v>101</v>
      </c>
      <c r="D1374" t="s">
        <v>5063</v>
      </c>
      <c r="E1374" t="s">
        <v>65</v>
      </c>
      <c r="F1374" t="s">
        <v>66</v>
      </c>
      <c r="G1374" t="s">
        <v>67</v>
      </c>
      <c r="H1374" t="s">
        <v>68</v>
      </c>
      <c r="I1374" t="s">
        <v>176</v>
      </c>
      <c r="J1374" t="s">
        <v>773</v>
      </c>
      <c r="K1374" t="s">
        <v>1347</v>
      </c>
      <c r="M1374" t="s">
        <v>72</v>
      </c>
      <c r="N1374" t="s">
        <v>1348</v>
      </c>
      <c r="O1374" t="s">
        <v>1347</v>
      </c>
      <c r="P1374" t="s">
        <v>1349</v>
      </c>
      <c r="Q1374" t="s">
        <v>75</v>
      </c>
      <c r="R1374" t="s">
        <v>5008</v>
      </c>
      <c r="S1374" t="s">
        <v>5057</v>
      </c>
      <c r="T1374" t="s">
        <v>78</v>
      </c>
      <c r="U1374" t="s">
        <v>5009</v>
      </c>
      <c r="V1374" t="s">
        <v>80</v>
      </c>
      <c r="W1374" s="1">
        <v>44534</v>
      </c>
      <c r="X1374" t="s">
        <v>5010</v>
      </c>
      <c r="Y1374" t="s">
        <v>5058</v>
      </c>
      <c r="Z1374" t="s">
        <v>83</v>
      </c>
      <c r="AA1374">
        <v>1</v>
      </c>
      <c r="AB1374" t="s">
        <v>4517</v>
      </c>
      <c r="AC1374">
        <v>1</v>
      </c>
      <c r="AD1374" t="s">
        <v>119</v>
      </c>
      <c r="AE1374" t="s">
        <v>86</v>
      </c>
      <c r="AF1374" t="s">
        <v>146</v>
      </c>
      <c r="AG1374" t="s">
        <v>5060</v>
      </c>
      <c r="AI1374" t="s">
        <v>90</v>
      </c>
      <c r="AJ1374">
        <v>32.313001</v>
      </c>
      <c r="AK1374">
        <v>-110.711848</v>
      </c>
      <c r="AL1374">
        <v>3</v>
      </c>
      <c r="AN1374">
        <v>1148</v>
      </c>
      <c r="AP1374">
        <v>1148</v>
      </c>
      <c r="AQ1374">
        <v>1147.8440169999999</v>
      </c>
      <c r="AT1374">
        <v>4</v>
      </c>
      <c r="AU1374">
        <v>12</v>
      </c>
      <c r="AV1374">
        <v>2021</v>
      </c>
      <c r="AW1374">
        <v>2438454</v>
      </c>
      <c r="AX1374">
        <v>2438454</v>
      </c>
      <c r="AY1374" t="s">
        <v>106</v>
      </c>
      <c r="AZ1374" t="s">
        <v>92</v>
      </c>
      <c r="BA1374" t="s">
        <v>107</v>
      </c>
      <c r="BB1374" t="s">
        <v>5064</v>
      </c>
      <c r="BC1374" t="s">
        <v>1186</v>
      </c>
      <c r="BE1374" t="s">
        <v>96</v>
      </c>
      <c r="BG1374" t="s">
        <v>4507</v>
      </c>
      <c r="BI1374" t="s">
        <v>98</v>
      </c>
      <c r="BJ1374" t="s">
        <v>4915</v>
      </c>
      <c r="BL1374" t="s">
        <v>110</v>
      </c>
    </row>
    <row r="1375" spans="1:64" x14ac:dyDescent="0.2">
      <c r="A1375">
        <v>1179</v>
      </c>
      <c r="B1375">
        <v>4022923534</v>
      </c>
      <c r="C1375" t="s">
        <v>101</v>
      </c>
      <c r="D1375" t="s">
        <v>5088</v>
      </c>
      <c r="E1375" t="s">
        <v>65</v>
      </c>
      <c r="F1375" t="s">
        <v>66</v>
      </c>
      <c r="G1375" t="s">
        <v>67</v>
      </c>
      <c r="H1375" t="s">
        <v>68</v>
      </c>
      <c r="I1375" t="s">
        <v>69</v>
      </c>
      <c r="J1375" t="s">
        <v>70</v>
      </c>
      <c r="K1375" t="s">
        <v>4195</v>
      </c>
      <c r="M1375" t="s">
        <v>72</v>
      </c>
      <c r="N1375" t="s">
        <v>4196</v>
      </c>
      <c r="O1375" t="s">
        <v>4195</v>
      </c>
      <c r="P1375" t="s">
        <v>4197</v>
      </c>
      <c r="Q1375" t="s">
        <v>75</v>
      </c>
      <c r="R1375" t="s">
        <v>5008</v>
      </c>
      <c r="S1375" t="s">
        <v>5068</v>
      </c>
      <c r="T1375" t="s">
        <v>78</v>
      </c>
      <c r="U1375" t="s">
        <v>5009</v>
      </c>
      <c r="V1375" t="s">
        <v>80</v>
      </c>
      <c r="W1375" s="1">
        <v>44534</v>
      </c>
      <c r="X1375" t="s">
        <v>5010</v>
      </c>
      <c r="Y1375" t="s">
        <v>5069</v>
      </c>
      <c r="Z1375" t="s">
        <v>83</v>
      </c>
      <c r="AA1375">
        <v>1</v>
      </c>
      <c r="AB1375" t="s">
        <v>4517</v>
      </c>
      <c r="AC1375">
        <v>1</v>
      </c>
      <c r="AD1375" t="s">
        <v>119</v>
      </c>
      <c r="AE1375" t="s">
        <v>86</v>
      </c>
      <c r="AF1375" t="s">
        <v>146</v>
      </c>
      <c r="AG1375" t="s">
        <v>5071</v>
      </c>
      <c r="AI1375" t="s">
        <v>90</v>
      </c>
      <c r="AJ1375">
        <v>32.312947999999999</v>
      </c>
      <c r="AK1375">
        <v>-110.71189699999999</v>
      </c>
      <c r="AL1375">
        <v>3</v>
      </c>
      <c r="AN1375">
        <v>1151</v>
      </c>
      <c r="AP1375">
        <v>1151</v>
      </c>
      <c r="AQ1375">
        <v>1148.51053</v>
      </c>
      <c r="AT1375">
        <v>4</v>
      </c>
      <c r="AU1375">
        <v>12</v>
      </c>
      <c r="AV1375">
        <v>2021</v>
      </c>
      <c r="AW1375">
        <v>2439589</v>
      </c>
      <c r="AX1375">
        <v>2439589</v>
      </c>
      <c r="AY1375" t="s">
        <v>106</v>
      </c>
      <c r="AZ1375" t="s">
        <v>92</v>
      </c>
      <c r="BA1375" t="s">
        <v>107</v>
      </c>
      <c r="BB1375" t="s">
        <v>5089</v>
      </c>
      <c r="BC1375" t="s">
        <v>1186</v>
      </c>
      <c r="BE1375" t="s">
        <v>96</v>
      </c>
      <c r="BG1375" t="s">
        <v>4507</v>
      </c>
      <c r="BI1375" t="s">
        <v>98</v>
      </c>
      <c r="BJ1375" t="s">
        <v>5090</v>
      </c>
      <c r="BL1375" t="s">
        <v>110</v>
      </c>
    </row>
    <row r="1376" spans="1:64" x14ac:dyDescent="0.2">
      <c r="A1376">
        <v>1177</v>
      </c>
      <c r="B1376">
        <v>4022923536</v>
      </c>
      <c r="C1376" t="s">
        <v>101</v>
      </c>
      <c r="D1376" t="s">
        <v>5135</v>
      </c>
      <c r="E1376" t="s">
        <v>65</v>
      </c>
      <c r="F1376" t="s">
        <v>66</v>
      </c>
      <c r="G1376" t="s">
        <v>67</v>
      </c>
      <c r="H1376" t="s">
        <v>68</v>
      </c>
      <c r="I1376" t="s">
        <v>69</v>
      </c>
      <c r="J1376" t="s">
        <v>70</v>
      </c>
      <c r="K1376" t="s">
        <v>4195</v>
      </c>
      <c r="M1376" t="s">
        <v>72</v>
      </c>
      <c r="N1376" t="s">
        <v>4196</v>
      </c>
      <c r="O1376" t="s">
        <v>4195</v>
      </c>
      <c r="P1376" t="s">
        <v>4197</v>
      </c>
      <c r="Q1376" t="s">
        <v>75</v>
      </c>
      <c r="R1376" t="s">
        <v>5008</v>
      </c>
      <c r="S1376" t="s">
        <v>5115</v>
      </c>
      <c r="T1376" t="s">
        <v>78</v>
      </c>
      <c r="U1376" t="s">
        <v>5009</v>
      </c>
      <c r="V1376" t="s">
        <v>80</v>
      </c>
      <c r="W1376" s="1">
        <v>44534</v>
      </c>
      <c r="X1376" t="s">
        <v>5010</v>
      </c>
      <c r="Y1376" t="s">
        <v>5116</v>
      </c>
      <c r="Z1376" t="s">
        <v>83</v>
      </c>
      <c r="AA1376">
        <v>1</v>
      </c>
      <c r="AB1376" t="s">
        <v>4517</v>
      </c>
      <c r="AC1376">
        <v>1</v>
      </c>
      <c r="AD1376" t="s">
        <v>119</v>
      </c>
      <c r="AE1376" t="s">
        <v>145</v>
      </c>
      <c r="AF1376" t="s">
        <v>146</v>
      </c>
      <c r="AG1376" t="s">
        <v>3082</v>
      </c>
      <c r="AI1376" t="s">
        <v>90</v>
      </c>
      <c r="AJ1376">
        <v>32.313161000000001</v>
      </c>
      <c r="AK1376">
        <v>-110.71195899999999</v>
      </c>
      <c r="AL1376">
        <v>3</v>
      </c>
      <c r="AN1376">
        <v>1153</v>
      </c>
      <c r="AP1376">
        <v>1153</v>
      </c>
      <c r="AQ1376">
        <v>1153.9245430000001</v>
      </c>
      <c r="AT1376">
        <v>4</v>
      </c>
      <c r="AU1376">
        <v>12</v>
      </c>
      <c r="AV1376">
        <v>2021</v>
      </c>
      <c r="AW1376">
        <v>2439589</v>
      </c>
      <c r="AX1376">
        <v>2439589</v>
      </c>
      <c r="AY1376" t="s">
        <v>106</v>
      </c>
      <c r="AZ1376" t="s">
        <v>92</v>
      </c>
      <c r="BA1376" t="s">
        <v>107</v>
      </c>
      <c r="BB1376" t="s">
        <v>5136</v>
      </c>
      <c r="BC1376" t="s">
        <v>1186</v>
      </c>
      <c r="BE1376" t="s">
        <v>96</v>
      </c>
      <c r="BG1376" t="s">
        <v>4507</v>
      </c>
      <c r="BI1376" t="s">
        <v>98</v>
      </c>
      <c r="BJ1376" t="s">
        <v>5137</v>
      </c>
      <c r="BL1376" t="s">
        <v>110</v>
      </c>
    </row>
    <row r="1377" spans="1:64" hidden="1" x14ac:dyDescent="0.2">
      <c r="A1377">
        <v>1327</v>
      </c>
      <c r="B1377">
        <v>4022923386</v>
      </c>
      <c r="C1377" t="s">
        <v>101</v>
      </c>
      <c r="D1377" t="s">
        <v>5289</v>
      </c>
      <c r="E1377" t="s">
        <v>65</v>
      </c>
      <c r="F1377" t="s">
        <v>66</v>
      </c>
      <c r="G1377" t="s">
        <v>67</v>
      </c>
      <c r="H1377" t="s">
        <v>68</v>
      </c>
      <c r="I1377" t="s">
        <v>69</v>
      </c>
      <c r="J1377" t="s">
        <v>70</v>
      </c>
      <c r="K1377" t="s">
        <v>71</v>
      </c>
      <c r="M1377" t="s">
        <v>72</v>
      </c>
      <c r="N1377" t="s">
        <v>73</v>
      </c>
      <c r="O1377" t="s">
        <v>71</v>
      </c>
      <c r="P1377" t="s">
        <v>74</v>
      </c>
      <c r="Q1377" t="s">
        <v>75</v>
      </c>
      <c r="R1377" t="s">
        <v>5008</v>
      </c>
      <c r="S1377" t="s">
        <v>5282</v>
      </c>
      <c r="T1377" t="s">
        <v>78</v>
      </c>
      <c r="U1377" t="s">
        <v>5009</v>
      </c>
      <c r="V1377" t="s">
        <v>80</v>
      </c>
      <c r="W1377" s="1">
        <v>44534</v>
      </c>
      <c r="X1377" t="s">
        <v>5010</v>
      </c>
      <c r="Y1377" t="s">
        <v>5283</v>
      </c>
      <c r="Z1377" t="s">
        <v>83</v>
      </c>
      <c r="AA1377">
        <v>1</v>
      </c>
      <c r="AB1377" t="s">
        <v>672</v>
      </c>
      <c r="AD1377" t="s">
        <v>134</v>
      </c>
      <c r="AE1377" t="s">
        <v>86</v>
      </c>
      <c r="AF1377" t="s">
        <v>146</v>
      </c>
      <c r="AG1377" t="s">
        <v>5285</v>
      </c>
      <c r="AI1377" t="s">
        <v>90</v>
      </c>
      <c r="AJ1377">
        <v>32.314162000000003</v>
      </c>
      <c r="AK1377">
        <v>-110.712628</v>
      </c>
      <c r="AL1377">
        <v>3</v>
      </c>
      <c r="AN1377">
        <v>1188</v>
      </c>
      <c r="AP1377">
        <v>1188</v>
      </c>
      <c r="AQ1377">
        <v>1182.76694</v>
      </c>
      <c r="AT1377">
        <v>4</v>
      </c>
      <c r="AU1377">
        <v>12</v>
      </c>
      <c r="AV1377">
        <v>2021</v>
      </c>
      <c r="AW1377">
        <v>2439581</v>
      </c>
      <c r="AX1377">
        <v>2439581</v>
      </c>
      <c r="AY1377" t="s">
        <v>106</v>
      </c>
      <c r="AZ1377" t="s">
        <v>92</v>
      </c>
      <c r="BA1377" t="s">
        <v>107</v>
      </c>
      <c r="BB1377" t="s">
        <v>5290</v>
      </c>
      <c r="BC1377" t="s">
        <v>1186</v>
      </c>
      <c r="BE1377" t="s">
        <v>96</v>
      </c>
      <c r="BG1377" t="s">
        <v>4507</v>
      </c>
      <c r="BI1377" t="s">
        <v>98</v>
      </c>
      <c r="BJ1377" t="s">
        <v>4829</v>
      </c>
      <c r="BL1377" t="s">
        <v>110</v>
      </c>
    </row>
    <row r="1378" spans="1:64" hidden="1" x14ac:dyDescent="0.2">
      <c r="A1378">
        <v>1325</v>
      </c>
      <c r="B1378">
        <v>4022923388</v>
      </c>
      <c r="C1378" t="s">
        <v>101</v>
      </c>
      <c r="D1378" t="s">
        <v>5291</v>
      </c>
      <c r="E1378" t="s">
        <v>65</v>
      </c>
      <c r="F1378" t="s">
        <v>66</v>
      </c>
      <c r="G1378" t="s">
        <v>67</v>
      </c>
      <c r="H1378" t="s">
        <v>68</v>
      </c>
      <c r="I1378" t="s">
        <v>69</v>
      </c>
      <c r="J1378" t="s">
        <v>70</v>
      </c>
      <c r="K1378" t="s">
        <v>71</v>
      </c>
      <c r="M1378" t="s">
        <v>72</v>
      </c>
      <c r="N1378" t="s">
        <v>73</v>
      </c>
      <c r="O1378" t="s">
        <v>71</v>
      </c>
      <c r="P1378" t="s">
        <v>74</v>
      </c>
      <c r="Q1378" t="s">
        <v>75</v>
      </c>
      <c r="R1378" t="s">
        <v>5008</v>
      </c>
      <c r="S1378" t="s">
        <v>5282</v>
      </c>
      <c r="T1378" t="s">
        <v>78</v>
      </c>
      <c r="U1378" t="s">
        <v>5009</v>
      </c>
      <c r="V1378" t="s">
        <v>80</v>
      </c>
      <c r="W1378" s="1">
        <v>44534</v>
      </c>
      <c r="X1378" t="s">
        <v>5010</v>
      </c>
      <c r="Y1378" t="s">
        <v>5283</v>
      </c>
      <c r="Z1378" t="s">
        <v>83</v>
      </c>
      <c r="AA1378">
        <v>1</v>
      </c>
      <c r="AB1378" t="s">
        <v>4517</v>
      </c>
      <c r="AD1378" t="s">
        <v>139</v>
      </c>
      <c r="AE1378" t="s">
        <v>86</v>
      </c>
      <c r="AF1378" t="s">
        <v>146</v>
      </c>
      <c r="AG1378" t="s">
        <v>5285</v>
      </c>
      <c r="AI1378" t="s">
        <v>90</v>
      </c>
      <c r="AJ1378">
        <v>32.314162000000003</v>
      </c>
      <c r="AK1378">
        <v>-110.712628</v>
      </c>
      <c r="AL1378">
        <v>3</v>
      </c>
      <c r="AN1378">
        <v>1188</v>
      </c>
      <c r="AP1378">
        <v>1188</v>
      </c>
      <c r="AQ1378">
        <v>1182.76694</v>
      </c>
      <c r="AT1378">
        <v>4</v>
      </c>
      <c r="AU1378">
        <v>12</v>
      </c>
      <c r="AV1378">
        <v>2021</v>
      </c>
      <c r="AW1378">
        <v>2439581</v>
      </c>
      <c r="AX1378">
        <v>2439581</v>
      </c>
      <c r="AY1378" t="s">
        <v>106</v>
      </c>
      <c r="AZ1378" t="s">
        <v>92</v>
      </c>
      <c r="BA1378" t="s">
        <v>107</v>
      </c>
      <c r="BB1378" t="s">
        <v>5292</v>
      </c>
      <c r="BC1378" t="s">
        <v>1186</v>
      </c>
      <c r="BE1378" t="s">
        <v>96</v>
      </c>
      <c r="BG1378" t="s">
        <v>4507</v>
      </c>
      <c r="BI1378" t="s">
        <v>98</v>
      </c>
      <c r="BJ1378" t="s">
        <v>5293</v>
      </c>
      <c r="BL1378" t="s">
        <v>110</v>
      </c>
    </row>
    <row r="1379" spans="1:64" hidden="1" x14ac:dyDescent="0.2">
      <c r="A1379">
        <v>1324</v>
      </c>
      <c r="B1379">
        <v>4022923389</v>
      </c>
      <c r="C1379" t="s">
        <v>101</v>
      </c>
      <c r="D1379" t="s">
        <v>5294</v>
      </c>
      <c r="E1379" t="s">
        <v>65</v>
      </c>
      <c r="F1379" t="s">
        <v>66</v>
      </c>
      <c r="G1379" t="s">
        <v>67</v>
      </c>
      <c r="H1379" t="s">
        <v>68</v>
      </c>
      <c r="I1379" t="s">
        <v>69</v>
      </c>
      <c r="J1379" t="s">
        <v>70</v>
      </c>
      <c r="K1379" t="s">
        <v>71</v>
      </c>
      <c r="M1379" t="s">
        <v>72</v>
      </c>
      <c r="N1379" t="s">
        <v>73</v>
      </c>
      <c r="O1379" t="s">
        <v>71</v>
      </c>
      <c r="P1379" t="s">
        <v>74</v>
      </c>
      <c r="Q1379" t="s">
        <v>75</v>
      </c>
      <c r="R1379" t="s">
        <v>5008</v>
      </c>
      <c r="S1379" t="s">
        <v>5282</v>
      </c>
      <c r="T1379" t="s">
        <v>78</v>
      </c>
      <c r="U1379" t="s">
        <v>5009</v>
      </c>
      <c r="V1379" t="s">
        <v>80</v>
      </c>
      <c r="W1379" s="1">
        <v>44534</v>
      </c>
      <c r="X1379" t="s">
        <v>5010</v>
      </c>
      <c r="Y1379" t="s">
        <v>5283</v>
      </c>
      <c r="Z1379" t="s">
        <v>83</v>
      </c>
      <c r="AA1379">
        <v>1</v>
      </c>
      <c r="AB1379" t="s">
        <v>4517</v>
      </c>
      <c r="AD1379" t="s">
        <v>123</v>
      </c>
      <c r="AE1379" t="s">
        <v>86</v>
      </c>
      <c r="AF1379" t="s">
        <v>146</v>
      </c>
      <c r="AG1379" t="s">
        <v>5285</v>
      </c>
      <c r="AI1379" t="s">
        <v>90</v>
      </c>
      <c r="AJ1379">
        <v>32.314162000000003</v>
      </c>
      <c r="AK1379">
        <v>-110.712628</v>
      </c>
      <c r="AL1379">
        <v>3</v>
      </c>
      <c r="AN1379">
        <v>1188</v>
      </c>
      <c r="AP1379">
        <v>1188</v>
      </c>
      <c r="AQ1379">
        <v>1182.76694</v>
      </c>
      <c r="AT1379">
        <v>4</v>
      </c>
      <c r="AU1379">
        <v>12</v>
      </c>
      <c r="AV1379">
        <v>2021</v>
      </c>
      <c r="AW1379">
        <v>2439581</v>
      </c>
      <c r="AX1379">
        <v>2439581</v>
      </c>
      <c r="AY1379" t="s">
        <v>106</v>
      </c>
      <c r="AZ1379" t="s">
        <v>92</v>
      </c>
      <c r="BA1379" t="s">
        <v>107</v>
      </c>
      <c r="BB1379" t="s">
        <v>5295</v>
      </c>
      <c r="BC1379" t="s">
        <v>1186</v>
      </c>
      <c r="BE1379" t="s">
        <v>96</v>
      </c>
      <c r="BG1379" t="s">
        <v>4507</v>
      </c>
      <c r="BI1379" t="s">
        <v>98</v>
      </c>
      <c r="BJ1379" t="s">
        <v>5293</v>
      </c>
      <c r="BL1379" t="s">
        <v>110</v>
      </c>
    </row>
    <row r="1380" spans="1:64" hidden="1" x14ac:dyDescent="0.2">
      <c r="A1380">
        <v>1323</v>
      </c>
      <c r="B1380">
        <v>4022923390</v>
      </c>
      <c r="C1380" t="s">
        <v>101</v>
      </c>
      <c r="D1380" t="s">
        <v>5296</v>
      </c>
      <c r="E1380" t="s">
        <v>65</v>
      </c>
      <c r="F1380" t="s">
        <v>66</v>
      </c>
      <c r="G1380" t="s">
        <v>67</v>
      </c>
      <c r="H1380" t="s">
        <v>68</v>
      </c>
      <c r="I1380" t="s">
        <v>69</v>
      </c>
      <c r="J1380" t="s">
        <v>70</v>
      </c>
      <c r="K1380" t="s">
        <v>71</v>
      </c>
      <c r="M1380" t="s">
        <v>72</v>
      </c>
      <c r="N1380" t="s">
        <v>73</v>
      </c>
      <c r="O1380" t="s">
        <v>71</v>
      </c>
      <c r="P1380" t="s">
        <v>74</v>
      </c>
      <c r="Q1380" t="s">
        <v>75</v>
      </c>
      <c r="R1380" t="s">
        <v>5008</v>
      </c>
      <c r="S1380" t="s">
        <v>5282</v>
      </c>
      <c r="T1380" t="s">
        <v>78</v>
      </c>
      <c r="U1380" t="s">
        <v>5009</v>
      </c>
      <c r="V1380" t="s">
        <v>80</v>
      </c>
      <c r="W1380" s="1">
        <v>44534</v>
      </c>
      <c r="X1380" t="s">
        <v>5010</v>
      </c>
      <c r="Y1380" t="s">
        <v>5283</v>
      </c>
      <c r="Z1380" t="s">
        <v>83</v>
      </c>
      <c r="AA1380">
        <v>1</v>
      </c>
      <c r="AB1380" t="s">
        <v>4517</v>
      </c>
      <c r="AD1380" t="s">
        <v>112</v>
      </c>
      <c r="AE1380" t="s">
        <v>86</v>
      </c>
      <c r="AF1380" t="s">
        <v>146</v>
      </c>
      <c r="AG1380" t="s">
        <v>5285</v>
      </c>
      <c r="AI1380" t="s">
        <v>90</v>
      </c>
      <c r="AJ1380">
        <v>32.314162000000003</v>
      </c>
      <c r="AK1380">
        <v>-110.712628</v>
      </c>
      <c r="AL1380">
        <v>3</v>
      </c>
      <c r="AN1380">
        <v>1188</v>
      </c>
      <c r="AP1380">
        <v>1188</v>
      </c>
      <c r="AQ1380">
        <v>1182.76694</v>
      </c>
      <c r="AT1380">
        <v>4</v>
      </c>
      <c r="AU1380">
        <v>12</v>
      </c>
      <c r="AV1380">
        <v>2021</v>
      </c>
      <c r="AW1380">
        <v>2439581</v>
      </c>
      <c r="AX1380">
        <v>2439581</v>
      </c>
      <c r="AY1380" t="s">
        <v>106</v>
      </c>
      <c r="AZ1380" t="s">
        <v>92</v>
      </c>
      <c r="BA1380" t="s">
        <v>107</v>
      </c>
      <c r="BB1380" t="s">
        <v>5297</v>
      </c>
      <c r="BC1380" t="s">
        <v>1186</v>
      </c>
      <c r="BE1380" t="s">
        <v>96</v>
      </c>
      <c r="BG1380" t="s">
        <v>4507</v>
      </c>
      <c r="BI1380" t="s">
        <v>98</v>
      </c>
      <c r="BJ1380" t="s">
        <v>4557</v>
      </c>
      <c r="BL1380" t="s">
        <v>110</v>
      </c>
    </row>
    <row r="1381" spans="1:64" hidden="1" x14ac:dyDescent="0.2">
      <c r="A1381">
        <v>1322</v>
      </c>
      <c r="B1381">
        <v>4022923391</v>
      </c>
      <c r="C1381" t="s">
        <v>101</v>
      </c>
      <c r="D1381" t="s">
        <v>5298</v>
      </c>
      <c r="E1381" t="s">
        <v>65</v>
      </c>
      <c r="F1381" t="s">
        <v>66</v>
      </c>
      <c r="G1381" t="s">
        <v>67</v>
      </c>
      <c r="H1381" t="s">
        <v>68</v>
      </c>
      <c r="I1381" t="s">
        <v>69</v>
      </c>
      <c r="J1381" t="s">
        <v>70</v>
      </c>
      <c r="K1381" t="s">
        <v>71</v>
      </c>
      <c r="M1381" t="s">
        <v>72</v>
      </c>
      <c r="N1381" t="s">
        <v>73</v>
      </c>
      <c r="O1381" t="s">
        <v>71</v>
      </c>
      <c r="P1381" t="s">
        <v>74</v>
      </c>
      <c r="Q1381" t="s">
        <v>75</v>
      </c>
      <c r="R1381" t="s">
        <v>5008</v>
      </c>
      <c r="S1381" t="s">
        <v>5282</v>
      </c>
      <c r="T1381" t="s">
        <v>78</v>
      </c>
      <c r="U1381" t="s">
        <v>5009</v>
      </c>
      <c r="V1381" t="s">
        <v>80</v>
      </c>
      <c r="W1381" s="1">
        <v>44534</v>
      </c>
      <c r="X1381" t="s">
        <v>5010</v>
      </c>
      <c r="Y1381" t="s">
        <v>5283</v>
      </c>
      <c r="Z1381" t="s">
        <v>83</v>
      </c>
      <c r="AA1381">
        <v>1</v>
      </c>
      <c r="AB1381" t="s">
        <v>4517</v>
      </c>
      <c r="AD1381" t="s">
        <v>116</v>
      </c>
      <c r="AE1381" t="s">
        <v>86</v>
      </c>
      <c r="AF1381" t="s">
        <v>146</v>
      </c>
      <c r="AG1381" t="s">
        <v>5285</v>
      </c>
      <c r="AI1381" t="s">
        <v>90</v>
      </c>
      <c r="AJ1381">
        <v>32.314162000000003</v>
      </c>
      <c r="AK1381">
        <v>-110.712628</v>
      </c>
      <c r="AL1381">
        <v>3</v>
      </c>
      <c r="AN1381">
        <v>1188</v>
      </c>
      <c r="AP1381">
        <v>1188</v>
      </c>
      <c r="AQ1381">
        <v>1182.76694</v>
      </c>
      <c r="AT1381">
        <v>4</v>
      </c>
      <c r="AU1381">
        <v>12</v>
      </c>
      <c r="AV1381">
        <v>2021</v>
      </c>
      <c r="AW1381">
        <v>2439581</v>
      </c>
      <c r="AX1381">
        <v>2439581</v>
      </c>
      <c r="AY1381" t="s">
        <v>106</v>
      </c>
      <c r="AZ1381" t="s">
        <v>92</v>
      </c>
      <c r="BA1381" t="s">
        <v>107</v>
      </c>
      <c r="BB1381" t="s">
        <v>5299</v>
      </c>
      <c r="BC1381" t="s">
        <v>1186</v>
      </c>
      <c r="BE1381" t="s">
        <v>96</v>
      </c>
      <c r="BG1381" t="s">
        <v>4507</v>
      </c>
      <c r="BI1381" t="s">
        <v>98</v>
      </c>
      <c r="BJ1381" t="s">
        <v>5293</v>
      </c>
      <c r="BL1381" t="s">
        <v>110</v>
      </c>
    </row>
    <row r="1382" spans="1:64" hidden="1" x14ac:dyDescent="0.2">
      <c r="A1382">
        <v>1178</v>
      </c>
      <c r="B1382">
        <v>4022923535</v>
      </c>
      <c r="C1382" t="s">
        <v>101</v>
      </c>
      <c r="D1382" t="s">
        <v>5300</v>
      </c>
      <c r="E1382" t="s">
        <v>65</v>
      </c>
      <c r="F1382" t="s">
        <v>66</v>
      </c>
      <c r="G1382" t="s">
        <v>67</v>
      </c>
      <c r="H1382" t="s">
        <v>68</v>
      </c>
      <c r="I1382" t="s">
        <v>69</v>
      </c>
      <c r="J1382" t="s">
        <v>70</v>
      </c>
      <c r="K1382" t="s">
        <v>71</v>
      </c>
      <c r="M1382" t="s">
        <v>72</v>
      </c>
      <c r="N1382" t="s">
        <v>73</v>
      </c>
      <c r="O1382" t="s">
        <v>71</v>
      </c>
      <c r="P1382" t="s">
        <v>74</v>
      </c>
      <c r="Q1382" t="s">
        <v>75</v>
      </c>
      <c r="R1382" t="s">
        <v>5008</v>
      </c>
      <c r="S1382" t="s">
        <v>5282</v>
      </c>
      <c r="T1382" t="s">
        <v>78</v>
      </c>
      <c r="U1382" t="s">
        <v>5009</v>
      </c>
      <c r="V1382" t="s">
        <v>80</v>
      </c>
      <c r="W1382" s="1">
        <v>44534</v>
      </c>
      <c r="X1382" t="s">
        <v>5010</v>
      </c>
      <c r="Y1382" t="s">
        <v>5283</v>
      </c>
      <c r="Z1382" t="s">
        <v>83</v>
      </c>
      <c r="AA1382">
        <v>1</v>
      </c>
      <c r="AB1382" t="s">
        <v>4517</v>
      </c>
      <c r="AD1382" t="s">
        <v>104</v>
      </c>
      <c r="AE1382" t="s">
        <v>86</v>
      </c>
      <c r="AF1382" t="s">
        <v>146</v>
      </c>
      <c r="AG1382" t="s">
        <v>5285</v>
      </c>
      <c r="AI1382" t="s">
        <v>90</v>
      </c>
      <c r="AJ1382">
        <v>32.314162000000003</v>
      </c>
      <c r="AK1382">
        <v>-110.712628</v>
      </c>
      <c r="AL1382">
        <v>3</v>
      </c>
      <c r="AN1382">
        <v>1188</v>
      </c>
      <c r="AP1382">
        <v>1188</v>
      </c>
      <c r="AQ1382">
        <v>1182.76694</v>
      </c>
      <c r="AT1382">
        <v>4</v>
      </c>
      <c r="AU1382">
        <v>12</v>
      </c>
      <c r="AV1382">
        <v>2021</v>
      </c>
      <c r="AW1382">
        <v>2439581</v>
      </c>
      <c r="AX1382">
        <v>2439581</v>
      </c>
      <c r="AY1382" t="s">
        <v>106</v>
      </c>
      <c r="AZ1382" t="s">
        <v>92</v>
      </c>
      <c r="BA1382" t="s">
        <v>107</v>
      </c>
      <c r="BB1382" t="s">
        <v>5301</v>
      </c>
      <c r="BC1382" t="s">
        <v>1186</v>
      </c>
      <c r="BE1382" t="s">
        <v>96</v>
      </c>
      <c r="BG1382" t="s">
        <v>4507</v>
      </c>
      <c r="BI1382" t="s">
        <v>98</v>
      </c>
      <c r="BJ1382" t="s">
        <v>5302</v>
      </c>
      <c r="BL1382" t="s">
        <v>110</v>
      </c>
    </row>
    <row r="1383" spans="1:64" hidden="1" x14ac:dyDescent="0.2">
      <c r="A1383">
        <v>1155</v>
      </c>
      <c r="B1383">
        <v>4022923558</v>
      </c>
      <c r="C1383" t="s">
        <v>101</v>
      </c>
      <c r="D1383" t="s">
        <v>5303</v>
      </c>
      <c r="E1383" t="s">
        <v>65</v>
      </c>
      <c r="F1383" t="s">
        <v>66</v>
      </c>
      <c r="G1383" t="s">
        <v>67</v>
      </c>
      <c r="H1383" t="s">
        <v>68</v>
      </c>
      <c r="I1383" t="s">
        <v>176</v>
      </c>
      <c r="J1383" t="s">
        <v>773</v>
      </c>
      <c r="M1383" t="s">
        <v>1072</v>
      </c>
      <c r="N1383" t="s">
        <v>1073</v>
      </c>
      <c r="O1383" t="s">
        <v>773</v>
      </c>
      <c r="P1383" t="s">
        <v>1074</v>
      </c>
      <c r="Q1383" t="s">
        <v>75</v>
      </c>
      <c r="R1383" t="s">
        <v>5008</v>
      </c>
      <c r="S1383" t="s">
        <v>5304</v>
      </c>
      <c r="T1383" t="s">
        <v>78</v>
      </c>
      <c r="U1383" t="s">
        <v>5009</v>
      </c>
      <c r="V1383" t="s">
        <v>80</v>
      </c>
      <c r="W1383" s="1">
        <v>44534</v>
      </c>
      <c r="X1383" t="s">
        <v>5010</v>
      </c>
      <c r="Y1383" t="s">
        <v>5305</v>
      </c>
      <c r="Z1383" t="s">
        <v>83</v>
      </c>
      <c r="AA1383">
        <v>1</v>
      </c>
      <c r="AB1383" t="s">
        <v>4517</v>
      </c>
      <c r="AD1383" t="s">
        <v>1077</v>
      </c>
      <c r="AE1383" t="s">
        <v>1078</v>
      </c>
      <c r="AF1383" t="s">
        <v>1079</v>
      </c>
      <c r="AG1383" t="s">
        <v>875</v>
      </c>
      <c r="AI1383" t="s">
        <v>90</v>
      </c>
      <c r="AJ1383">
        <v>32.314199000000002</v>
      </c>
      <c r="AK1383">
        <v>-110.712469</v>
      </c>
      <c r="AL1383">
        <v>3</v>
      </c>
      <c r="AN1383">
        <v>1180</v>
      </c>
      <c r="AP1383">
        <v>1180</v>
      </c>
      <c r="AQ1383">
        <v>1181.2615969999999</v>
      </c>
      <c r="AT1383">
        <v>4</v>
      </c>
      <c r="AU1383">
        <v>12</v>
      </c>
      <c r="AV1383">
        <v>2021</v>
      </c>
      <c r="AW1383">
        <v>2438433</v>
      </c>
      <c r="AY1383" t="s">
        <v>106</v>
      </c>
      <c r="AZ1383" t="s">
        <v>92</v>
      </c>
      <c r="BA1383" t="s">
        <v>107</v>
      </c>
      <c r="BB1383" t="s">
        <v>5306</v>
      </c>
      <c r="BC1383" t="s">
        <v>1186</v>
      </c>
      <c r="BE1383" t="s">
        <v>96</v>
      </c>
      <c r="BG1383" t="s">
        <v>4507</v>
      </c>
      <c r="BI1383" t="s">
        <v>98</v>
      </c>
      <c r="BJ1383" t="s">
        <v>4903</v>
      </c>
      <c r="BL1383" t="s">
        <v>110</v>
      </c>
    </row>
    <row r="1384" spans="1:64" x14ac:dyDescent="0.2">
      <c r="A1384">
        <v>1160</v>
      </c>
      <c r="B1384">
        <v>4022923553</v>
      </c>
      <c r="C1384" t="s">
        <v>101</v>
      </c>
      <c r="D1384" t="s">
        <v>5167</v>
      </c>
      <c r="E1384" t="s">
        <v>65</v>
      </c>
      <c r="F1384" t="s">
        <v>66</v>
      </c>
      <c r="G1384" t="s">
        <v>67</v>
      </c>
      <c r="H1384" t="s">
        <v>68</v>
      </c>
      <c r="I1384" t="s">
        <v>69</v>
      </c>
      <c r="J1384" t="s">
        <v>70</v>
      </c>
      <c r="K1384" t="s">
        <v>4195</v>
      </c>
      <c r="M1384" t="s">
        <v>72</v>
      </c>
      <c r="N1384" t="s">
        <v>4196</v>
      </c>
      <c r="O1384" t="s">
        <v>4195</v>
      </c>
      <c r="P1384" t="s">
        <v>4197</v>
      </c>
      <c r="Q1384" t="s">
        <v>75</v>
      </c>
      <c r="R1384" t="s">
        <v>5008</v>
      </c>
      <c r="S1384" t="s">
        <v>5159</v>
      </c>
      <c r="T1384" t="s">
        <v>78</v>
      </c>
      <c r="U1384" t="s">
        <v>5009</v>
      </c>
      <c r="V1384" t="s">
        <v>80</v>
      </c>
      <c r="W1384" s="1">
        <v>44534</v>
      </c>
      <c r="X1384" t="s">
        <v>5010</v>
      </c>
      <c r="Y1384" t="s">
        <v>5160</v>
      </c>
      <c r="Z1384" t="s">
        <v>83</v>
      </c>
      <c r="AA1384">
        <v>1</v>
      </c>
      <c r="AB1384" t="s">
        <v>4517</v>
      </c>
      <c r="AC1384">
        <v>1</v>
      </c>
      <c r="AD1384" t="s">
        <v>119</v>
      </c>
      <c r="AE1384" t="s">
        <v>145</v>
      </c>
      <c r="AF1384" t="s">
        <v>146</v>
      </c>
      <c r="AG1384" t="s">
        <v>3217</v>
      </c>
      <c r="AI1384" t="s">
        <v>90</v>
      </c>
      <c r="AJ1384">
        <v>32.313285999999998</v>
      </c>
      <c r="AK1384">
        <v>-110.71198699999999</v>
      </c>
      <c r="AL1384">
        <v>3</v>
      </c>
      <c r="AN1384">
        <v>1159</v>
      </c>
      <c r="AP1384">
        <v>1159</v>
      </c>
      <c r="AQ1384">
        <v>1157.2441249999999</v>
      </c>
      <c r="AT1384">
        <v>4</v>
      </c>
      <c r="AU1384">
        <v>12</v>
      </c>
      <c r="AV1384">
        <v>2021</v>
      </c>
      <c r="AW1384">
        <v>2439589</v>
      </c>
      <c r="AX1384">
        <v>2439589</v>
      </c>
      <c r="AY1384" t="s">
        <v>106</v>
      </c>
      <c r="AZ1384" t="s">
        <v>92</v>
      </c>
      <c r="BA1384" t="s">
        <v>107</v>
      </c>
      <c r="BB1384" t="s">
        <v>5168</v>
      </c>
      <c r="BC1384" t="s">
        <v>1186</v>
      </c>
      <c r="BE1384" t="s">
        <v>96</v>
      </c>
      <c r="BG1384" t="s">
        <v>4507</v>
      </c>
      <c r="BI1384" t="s">
        <v>98</v>
      </c>
      <c r="BJ1384" t="s">
        <v>330</v>
      </c>
      <c r="BL1384" t="s">
        <v>110</v>
      </c>
    </row>
    <row r="1385" spans="1:64" hidden="1" x14ac:dyDescent="0.2">
      <c r="A1385">
        <v>503</v>
      </c>
      <c r="B1385">
        <v>4136459456</v>
      </c>
      <c r="C1385" t="s">
        <v>101</v>
      </c>
      <c r="D1385" t="s">
        <v>5315</v>
      </c>
      <c r="E1385" t="s">
        <v>65</v>
      </c>
      <c r="F1385" t="s">
        <v>66</v>
      </c>
      <c r="G1385" t="s">
        <v>67</v>
      </c>
      <c r="H1385" t="s">
        <v>68</v>
      </c>
      <c r="I1385" t="s">
        <v>176</v>
      </c>
      <c r="J1385" t="s">
        <v>177</v>
      </c>
      <c r="K1385" t="s">
        <v>3925</v>
      </c>
      <c r="M1385" t="s">
        <v>72</v>
      </c>
      <c r="N1385" t="s">
        <v>3926</v>
      </c>
      <c r="O1385" t="s">
        <v>3925</v>
      </c>
      <c r="P1385" t="s">
        <v>1176</v>
      </c>
      <c r="Q1385" t="s">
        <v>75</v>
      </c>
      <c r="R1385" t="s">
        <v>5008</v>
      </c>
      <c r="S1385" t="s">
        <v>5308</v>
      </c>
      <c r="T1385" t="s">
        <v>78</v>
      </c>
      <c r="U1385" t="s">
        <v>5009</v>
      </c>
      <c r="V1385" t="s">
        <v>80</v>
      </c>
      <c r="W1385" s="1">
        <v>44905</v>
      </c>
      <c r="X1385" t="s">
        <v>5010</v>
      </c>
      <c r="Y1385" t="s">
        <v>5309</v>
      </c>
      <c r="Z1385" t="s">
        <v>83</v>
      </c>
      <c r="AA1385">
        <v>1</v>
      </c>
      <c r="AB1385" t="s">
        <v>5310</v>
      </c>
      <c r="AD1385" t="s">
        <v>343</v>
      </c>
      <c r="AE1385" t="s">
        <v>86</v>
      </c>
      <c r="AF1385" t="s">
        <v>146</v>
      </c>
      <c r="AG1385" t="s">
        <v>5311</v>
      </c>
      <c r="AI1385" t="s">
        <v>90</v>
      </c>
      <c r="AJ1385">
        <v>32.313585000000003</v>
      </c>
      <c r="AK1385">
        <v>-110.712704</v>
      </c>
      <c r="AL1385">
        <v>3</v>
      </c>
      <c r="AN1385">
        <v>1173</v>
      </c>
      <c r="AP1385">
        <v>1173</v>
      </c>
      <c r="AQ1385">
        <v>1173.459032</v>
      </c>
      <c r="AT1385">
        <v>10</v>
      </c>
      <c r="AU1385">
        <v>12</v>
      </c>
      <c r="AV1385">
        <v>2022</v>
      </c>
      <c r="AW1385">
        <v>2437981</v>
      </c>
      <c r="AX1385">
        <v>2437981</v>
      </c>
      <c r="AY1385" t="s">
        <v>106</v>
      </c>
      <c r="AZ1385" t="s">
        <v>92</v>
      </c>
      <c r="BA1385" t="s">
        <v>107</v>
      </c>
      <c r="BB1385" t="s">
        <v>5316</v>
      </c>
      <c r="BC1385" t="s">
        <v>5313</v>
      </c>
      <c r="BD1385" s="1">
        <v>44905</v>
      </c>
      <c r="BE1385" t="s">
        <v>96</v>
      </c>
      <c r="BG1385" t="s">
        <v>5314</v>
      </c>
      <c r="BI1385" t="s">
        <v>98</v>
      </c>
      <c r="BJ1385" t="s">
        <v>1653</v>
      </c>
      <c r="BL1385" t="s">
        <v>110</v>
      </c>
    </row>
    <row r="1386" spans="1:64" hidden="1" x14ac:dyDescent="0.2">
      <c r="A1386">
        <v>506</v>
      </c>
      <c r="B1386">
        <v>4136459453</v>
      </c>
      <c r="C1386" t="s">
        <v>101</v>
      </c>
      <c r="D1386" t="s">
        <v>5317</v>
      </c>
      <c r="E1386" t="s">
        <v>65</v>
      </c>
      <c r="F1386" t="s">
        <v>66</v>
      </c>
      <c r="G1386" t="s">
        <v>67</v>
      </c>
      <c r="H1386" t="s">
        <v>68</v>
      </c>
      <c r="I1386" t="s">
        <v>176</v>
      </c>
      <c r="J1386" t="s">
        <v>177</v>
      </c>
      <c r="K1386" t="s">
        <v>3925</v>
      </c>
      <c r="M1386" t="s">
        <v>72</v>
      </c>
      <c r="N1386" t="s">
        <v>3926</v>
      </c>
      <c r="O1386" t="s">
        <v>3925</v>
      </c>
      <c r="P1386" t="s">
        <v>1176</v>
      </c>
      <c r="Q1386" t="s">
        <v>75</v>
      </c>
      <c r="R1386" t="s">
        <v>5008</v>
      </c>
      <c r="S1386" t="s">
        <v>615</v>
      </c>
      <c r="T1386" t="s">
        <v>78</v>
      </c>
      <c r="U1386" t="s">
        <v>5009</v>
      </c>
      <c r="V1386" t="s">
        <v>80</v>
      </c>
      <c r="W1386" s="1">
        <v>44905</v>
      </c>
      <c r="X1386" t="s">
        <v>5010</v>
      </c>
      <c r="Y1386" t="s">
        <v>5318</v>
      </c>
      <c r="Z1386" t="s">
        <v>83</v>
      </c>
      <c r="AA1386">
        <v>1</v>
      </c>
      <c r="AB1386" t="s">
        <v>5310</v>
      </c>
      <c r="AD1386" t="s">
        <v>343</v>
      </c>
      <c r="AE1386" t="s">
        <v>145</v>
      </c>
      <c r="AF1386" t="s">
        <v>146</v>
      </c>
      <c r="AG1386" t="s">
        <v>980</v>
      </c>
      <c r="AI1386" t="s">
        <v>90</v>
      </c>
      <c r="AJ1386">
        <v>32.313108999999997</v>
      </c>
      <c r="AK1386">
        <v>-110.71263500000001</v>
      </c>
      <c r="AL1386">
        <v>3</v>
      </c>
      <c r="AN1386">
        <v>1170</v>
      </c>
      <c r="AP1386">
        <v>1170</v>
      </c>
      <c r="AQ1386">
        <v>1167.4931979999999</v>
      </c>
      <c r="AT1386">
        <v>10</v>
      </c>
      <c r="AU1386">
        <v>12</v>
      </c>
      <c r="AV1386">
        <v>2022</v>
      </c>
      <c r="AW1386">
        <v>2437981</v>
      </c>
      <c r="AX1386">
        <v>2437981</v>
      </c>
      <c r="AY1386" t="s">
        <v>106</v>
      </c>
      <c r="AZ1386" t="s">
        <v>92</v>
      </c>
      <c r="BA1386" t="s">
        <v>107</v>
      </c>
      <c r="BB1386" t="s">
        <v>5319</v>
      </c>
      <c r="BC1386" t="s">
        <v>5313</v>
      </c>
      <c r="BD1386" s="1">
        <v>44905</v>
      </c>
      <c r="BE1386" t="s">
        <v>96</v>
      </c>
      <c r="BG1386" t="s">
        <v>5314</v>
      </c>
      <c r="BI1386" t="s">
        <v>98</v>
      </c>
      <c r="BJ1386" t="s">
        <v>2760</v>
      </c>
      <c r="BL1386" t="s">
        <v>110</v>
      </c>
    </row>
    <row r="1387" spans="1:64" x14ac:dyDescent="0.2">
      <c r="A1387">
        <v>1162</v>
      </c>
      <c r="B1387">
        <v>4022923551</v>
      </c>
      <c r="C1387" t="s">
        <v>101</v>
      </c>
      <c r="D1387" t="s">
        <v>5190</v>
      </c>
      <c r="E1387" t="s">
        <v>65</v>
      </c>
      <c r="F1387" t="s">
        <v>66</v>
      </c>
      <c r="G1387" t="s">
        <v>67</v>
      </c>
      <c r="H1387" t="s">
        <v>68</v>
      </c>
      <c r="I1387" t="s">
        <v>176</v>
      </c>
      <c r="J1387" t="s">
        <v>773</v>
      </c>
      <c r="K1387" t="s">
        <v>1347</v>
      </c>
      <c r="M1387" t="s">
        <v>72</v>
      </c>
      <c r="N1387" t="s">
        <v>1348</v>
      </c>
      <c r="O1387" t="s">
        <v>1347</v>
      </c>
      <c r="P1387" t="s">
        <v>1349</v>
      </c>
      <c r="Q1387" t="s">
        <v>75</v>
      </c>
      <c r="R1387" t="s">
        <v>5008</v>
      </c>
      <c r="S1387" t="s">
        <v>5184</v>
      </c>
      <c r="T1387" t="s">
        <v>78</v>
      </c>
      <c r="U1387" t="s">
        <v>5009</v>
      </c>
      <c r="V1387" t="s">
        <v>80</v>
      </c>
      <c r="W1387" s="1">
        <v>44534</v>
      </c>
      <c r="X1387" t="s">
        <v>5010</v>
      </c>
      <c r="Y1387" t="s">
        <v>5185</v>
      </c>
      <c r="Z1387" t="s">
        <v>83</v>
      </c>
      <c r="AA1387">
        <v>1</v>
      </c>
      <c r="AB1387" t="s">
        <v>4517</v>
      </c>
      <c r="AC1387">
        <v>1</v>
      </c>
      <c r="AD1387" t="s">
        <v>119</v>
      </c>
      <c r="AE1387" t="s">
        <v>145</v>
      </c>
      <c r="AF1387" t="s">
        <v>146</v>
      </c>
      <c r="AG1387" t="s">
        <v>5191</v>
      </c>
      <c r="AI1387" t="s">
        <v>90</v>
      </c>
      <c r="AJ1387">
        <v>32.313310000000001</v>
      </c>
      <c r="AK1387">
        <v>-110.712159</v>
      </c>
      <c r="AL1387">
        <v>3</v>
      </c>
      <c r="AN1387">
        <v>1166</v>
      </c>
      <c r="AP1387">
        <v>1166</v>
      </c>
      <c r="AQ1387">
        <v>1159.281207</v>
      </c>
      <c r="AT1387">
        <v>4</v>
      </c>
      <c r="AU1387">
        <v>12</v>
      </c>
      <c r="AV1387">
        <v>2021</v>
      </c>
      <c r="AW1387">
        <v>2438454</v>
      </c>
      <c r="AX1387">
        <v>2438454</v>
      </c>
      <c r="AY1387" t="s">
        <v>106</v>
      </c>
      <c r="AZ1387" t="s">
        <v>92</v>
      </c>
      <c r="BA1387" t="s">
        <v>107</v>
      </c>
      <c r="BB1387" t="s">
        <v>5192</v>
      </c>
      <c r="BC1387" t="s">
        <v>1186</v>
      </c>
      <c r="BE1387" t="s">
        <v>96</v>
      </c>
      <c r="BG1387" t="s">
        <v>4507</v>
      </c>
      <c r="BI1387" t="s">
        <v>98</v>
      </c>
      <c r="BJ1387" t="s">
        <v>4769</v>
      </c>
      <c r="BL1387" t="s">
        <v>110</v>
      </c>
    </row>
    <row r="1388" spans="1:64" x14ac:dyDescent="0.2">
      <c r="A1388">
        <v>1188</v>
      </c>
      <c r="B1388">
        <v>4022923525</v>
      </c>
      <c r="C1388" t="s">
        <v>101</v>
      </c>
      <c r="D1388" t="s">
        <v>5278</v>
      </c>
      <c r="E1388" t="s">
        <v>65</v>
      </c>
      <c r="F1388" t="s">
        <v>66</v>
      </c>
      <c r="G1388" t="s">
        <v>67</v>
      </c>
      <c r="H1388" t="s">
        <v>68</v>
      </c>
      <c r="I1388" t="s">
        <v>69</v>
      </c>
      <c r="J1388" t="s">
        <v>70</v>
      </c>
      <c r="K1388" t="s">
        <v>71</v>
      </c>
      <c r="M1388" t="s">
        <v>72</v>
      </c>
      <c r="N1388" t="s">
        <v>73</v>
      </c>
      <c r="O1388" t="s">
        <v>71</v>
      </c>
      <c r="P1388" t="s">
        <v>74</v>
      </c>
      <c r="Q1388" t="s">
        <v>75</v>
      </c>
      <c r="R1388" t="s">
        <v>5008</v>
      </c>
      <c r="S1388" t="s">
        <v>5255</v>
      </c>
      <c r="T1388" t="s">
        <v>78</v>
      </c>
      <c r="U1388" t="s">
        <v>5009</v>
      </c>
      <c r="V1388" t="s">
        <v>80</v>
      </c>
      <c r="W1388" s="1">
        <v>44534</v>
      </c>
      <c r="X1388" t="s">
        <v>5010</v>
      </c>
      <c r="Y1388" t="s">
        <v>5256</v>
      </c>
      <c r="Z1388" t="s">
        <v>83</v>
      </c>
      <c r="AA1388">
        <v>1</v>
      </c>
      <c r="AB1388" t="s">
        <v>4517</v>
      </c>
      <c r="AC1388">
        <v>1</v>
      </c>
      <c r="AD1388" t="s">
        <v>119</v>
      </c>
      <c r="AE1388" t="s">
        <v>145</v>
      </c>
      <c r="AF1388" t="s">
        <v>146</v>
      </c>
      <c r="AG1388" t="s">
        <v>5262</v>
      </c>
      <c r="AI1388" t="s">
        <v>90</v>
      </c>
      <c r="AJ1388">
        <v>32.314048</v>
      </c>
      <c r="AK1388">
        <v>-110.712737</v>
      </c>
      <c r="AL1388">
        <v>3</v>
      </c>
      <c r="AN1388">
        <v>1182</v>
      </c>
      <c r="AP1388">
        <v>1182</v>
      </c>
      <c r="AQ1388">
        <v>1182.6412849999999</v>
      </c>
      <c r="AT1388">
        <v>4</v>
      </c>
      <c r="AU1388">
        <v>12</v>
      </c>
      <c r="AV1388">
        <v>2021</v>
      </c>
      <c r="AW1388">
        <v>2439581</v>
      </c>
      <c r="AX1388">
        <v>2439581</v>
      </c>
      <c r="AY1388" t="s">
        <v>106</v>
      </c>
      <c r="AZ1388" t="s">
        <v>92</v>
      </c>
      <c r="BA1388" t="s">
        <v>107</v>
      </c>
      <c r="BB1388" t="s">
        <v>5279</v>
      </c>
      <c r="BC1388" t="s">
        <v>1186</v>
      </c>
      <c r="BE1388" t="s">
        <v>96</v>
      </c>
      <c r="BG1388" t="s">
        <v>4507</v>
      </c>
      <c r="BI1388" t="s">
        <v>98</v>
      </c>
      <c r="BJ1388" t="s">
        <v>5280</v>
      </c>
      <c r="BL1388" t="s">
        <v>110</v>
      </c>
    </row>
    <row r="1389" spans="1:64" hidden="1" x14ac:dyDescent="0.2">
      <c r="A1389">
        <v>452</v>
      </c>
      <c r="B1389">
        <v>4136459507</v>
      </c>
      <c r="C1389" t="s">
        <v>101</v>
      </c>
      <c r="D1389" t="s">
        <v>5325</v>
      </c>
      <c r="E1389" t="s">
        <v>65</v>
      </c>
      <c r="F1389" t="s">
        <v>66</v>
      </c>
      <c r="G1389" t="s">
        <v>67</v>
      </c>
      <c r="H1389" t="s">
        <v>68</v>
      </c>
      <c r="I1389" t="s">
        <v>176</v>
      </c>
      <c r="J1389" t="s">
        <v>177</v>
      </c>
      <c r="K1389" t="s">
        <v>3925</v>
      </c>
      <c r="M1389" t="s">
        <v>72</v>
      </c>
      <c r="N1389" t="s">
        <v>3926</v>
      </c>
      <c r="O1389" t="s">
        <v>3925</v>
      </c>
      <c r="P1389" t="s">
        <v>1176</v>
      </c>
      <c r="Q1389" t="s">
        <v>75</v>
      </c>
      <c r="R1389" t="s">
        <v>5008</v>
      </c>
      <c r="S1389" t="s">
        <v>399</v>
      </c>
      <c r="T1389" t="s">
        <v>78</v>
      </c>
      <c r="U1389" t="s">
        <v>5009</v>
      </c>
      <c r="V1389" t="s">
        <v>80</v>
      </c>
      <c r="W1389" s="1">
        <v>44905</v>
      </c>
      <c r="X1389" t="s">
        <v>5010</v>
      </c>
      <c r="Y1389" t="s">
        <v>5323</v>
      </c>
      <c r="Z1389" t="s">
        <v>83</v>
      </c>
      <c r="AA1389">
        <v>1</v>
      </c>
      <c r="AB1389" t="s">
        <v>5310</v>
      </c>
      <c r="AD1389" t="s">
        <v>343</v>
      </c>
      <c r="AE1389" t="s">
        <v>145</v>
      </c>
      <c r="AF1389" t="s">
        <v>146</v>
      </c>
      <c r="AG1389" t="s">
        <v>980</v>
      </c>
      <c r="AI1389" t="s">
        <v>90</v>
      </c>
      <c r="AJ1389">
        <v>32.312998</v>
      </c>
      <c r="AK1389">
        <v>-110.71261800000001</v>
      </c>
      <c r="AL1389">
        <v>3</v>
      </c>
      <c r="AN1389">
        <v>1166</v>
      </c>
      <c r="AP1389">
        <v>1166</v>
      </c>
      <c r="AQ1389">
        <v>1165.8391790000001</v>
      </c>
      <c r="AT1389">
        <v>10</v>
      </c>
      <c r="AU1389">
        <v>12</v>
      </c>
      <c r="AV1389">
        <v>2022</v>
      </c>
      <c r="AW1389">
        <v>2437981</v>
      </c>
      <c r="AX1389">
        <v>2437981</v>
      </c>
      <c r="AY1389" t="s">
        <v>106</v>
      </c>
      <c r="AZ1389" t="s">
        <v>92</v>
      </c>
      <c r="BA1389" t="s">
        <v>107</v>
      </c>
      <c r="BB1389" t="s">
        <v>5326</v>
      </c>
      <c r="BC1389" t="s">
        <v>5313</v>
      </c>
      <c r="BD1389" s="1">
        <v>44905</v>
      </c>
      <c r="BE1389" t="s">
        <v>96</v>
      </c>
      <c r="BG1389" t="s">
        <v>5314</v>
      </c>
      <c r="BI1389" t="s">
        <v>98</v>
      </c>
      <c r="BJ1389" t="s">
        <v>5327</v>
      </c>
      <c r="BL1389" t="s">
        <v>110</v>
      </c>
    </row>
    <row r="1390" spans="1:64" hidden="1" x14ac:dyDescent="0.2">
      <c r="A1390">
        <v>442</v>
      </c>
      <c r="B1390">
        <v>4136459517</v>
      </c>
      <c r="C1390" t="s">
        <v>101</v>
      </c>
      <c r="D1390" t="s">
        <v>5328</v>
      </c>
      <c r="E1390" t="s">
        <v>65</v>
      </c>
      <c r="F1390" t="s">
        <v>66</v>
      </c>
      <c r="G1390" t="s">
        <v>67</v>
      </c>
      <c r="H1390" t="s">
        <v>68</v>
      </c>
      <c r="I1390" t="s">
        <v>69</v>
      </c>
      <c r="J1390" t="s">
        <v>70</v>
      </c>
      <c r="K1390" t="s">
        <v>71</v>
      </c>
      <c r="M1390" t="s">
        <v>72</v>
      </c>
      <c r="N1390" t="s">
        <v>73</v>
      </c>
      <c r="O1390" t="s">
        <v>71</v>
      </c>
      <c r="P1390" t="s">
        <v>74</v>
      </c>
      <c r="Q1390" t="s">
        <v>75</v>
      </c>
      <c r="R1390" t="s">
        <v>5008</v>
      </c>
      <c r="S1390" t="s">
        <v>5329</v>
      </c>
      <c r="T1390" t="s">
        <v>78</v>
      </c>
      <c r="U1390" t="s">
        <v>5009</v>
      </c>
      <c r="V1390" t="s">
        <v>80</v>
      </c>
      <c r="W1390" s="1">
        <v>44905</v>
      </c>
      <c r="X1390" t="s">
        <v>5010</v>
      </c>
      <c r="Y1390" t="s">
        <v>5330</v>
      </c>
      <c r="Z1390" t="s">
        <v>83</v>
      </c>
      <c r="AA1390">
        <v>1</v>
      </c>
      <c r="AB1390" t="s">
        <v>5310</v>
      </c>
      <c r="AD1390" t="s">
        <v>343</v>
      </c>
      <c r="AE1390" t="s">
        <v>145</v>
      </c>
      <c r="AF1390" t="s">
        <v>146</v>
      </c>
      <c r="AG1390" t="s">
        <v>980</v>
      </c>
      <c r="AI1390" t="s">
        <v>90</v>
      </c>
      <c r="AJ1390">
        <v>32.313468</v>
      </c>
      <c r="AK1390">
        <v>-110.714268</v>
      </c>
      <c r="AL1390">
        <v>3</v>
      </c>
      <c r="AP1390">
        <v>1186.727999</v>
      </c>
      <c r="AQ1390">
        <v>1186.727999</v>
      </c>
      <c r="AT1390">
        <v>10</v>
      </c>
      <c r="AU1390">
        <v>12</v>
      </c>
      <c r="AV1390">
        <v>2022</v>
      </c>
      <c r="AW1390">
        <v>2439581</v>
      </c>
      <c r="AX1390">
        <v>2439581</v>
      </c>
      <c r="AY1390" t="s">
        <v>106</v>
      </c>
      <c r="AZ1390" t="s">
        <v>92</v>
      </c>
      <c r="BA1390" t="s">
        <v>107</v>
      </c>
      <c r="BB1390" t="s">
        <v>5331</v>
      </c>
      <c r="BC1390" t="s">
        <v>5313</v>
      </c>
      <c r="BD1390" s="1">
        <v>44905</v>
      </c>
      <c r="BE1390" t="s">
        <v>96</v>
      </c>
      <c r="BG1390" t="s">
        <v>5314</v>
      </c>
      <c r="BI1390" t="s">
        <v>98</v>
      </c>
      <c r="BJ1390" t="s">
        <v>2819</v>
      </c>
      <c r="BL1390" t="s">
        <v>412</v>
      </c>
    </row>
    <row r="1391" spans="1:64" x14ac:dyDescent="0.2">
      <c r="A1391">
        <v>1183</v>
      </c>
      <c r="B1391">
        <v>4022923530</v>
      </c>
      <c r="C1391" t="s">
        <v>101</v>
      </c>
      <c r="D1391" t="s">
        <v>4911</v>
      </c>
      <c r="E1391" t="s">
        <v>65</v>
      </c>
      <c r="F1391" t="s">
        <v>66</v>
      </c>
      <c r="G1391" t="s">
        <v>67</v>
      </c>
      <c r="H1391" t="s">
        <v>68</v>
      </c>
      <c r="I1391" t="s">
        <v>69</v>
      </c>
      <c r="J1391" t="s">
        <v>70</v>
      </c>
      <c r="K1391" t="s">
        <v>71</v>
      </c>
      <c r="M1391" t="s">
        <v>72</v>
      </c>
      <c r="N1391" t="s">
        <v>73</v>
      </c>
      <c r="O1391" t="s">
        <v>71</v>
      </c>
      <c r="P1391" t="s">
        <v>74</v>
      </c>
      <c r="Q1391" t="s">
        <v>75</v>
      </c>
      <c r="R1391" t="s">
        <v>4501</v>
      </c>
      <c r="S1391" t="s">
        <v>4895</v>
      </c>
      <c r="T1391" t="s">
        <v>78</v>
      </c>
      <c r="U1391" t="s">
        <v>3817</v>
      </c>
      <c r="V1391" t="s">
        <v>80</v>
      </c>
      <c r="W1391" s="1">
        <v>44535</v>
      </c>
      <c r="X1391" t="s">
        <v>4502</v>
      </c>
      <c r="Y1391" t="s">
        <v>4896</v>
      </c>
      <c r="Z1391" t="s">
        <v>83</v>
      </c>
      <c r="AA1391">
        <v>1</v>
      </c>
      <c r="AB1391" t="s">
        <v>4517</v>
      </c>
      <c r="AC1391">
        <v>1</v>
      </c>
      <c r="AD1391" t="s">
        <v>119</v>
      </c>
      <c r="AE1391" t="s">
        <v>86</v>
      </c>
      <c r="AF1391" t="s">
        <v>146</v>
      </c>
      <c r="AG1391" t="s">
        <v>4898</v>
      </c>
      <c r="AI1391" t="s">
        <v>90</v>
      </c>
      <c r="AJ1391">
        <v>32.33663</v>
      </c>
      <c r="AK1391">
        <v>-110.721034</v>
      </c>
      <c r="AL1391">
        <v>3</v>
      </c>
      <c r="AN1391">
        <v>1480</v>
      </c>
      <c r="AP1391">
        <v>1480</v>
      </c>
      <c r="AQ1391">
        <v>1475.9009579999999</v>
      </c>
      <c r="AT1391">
        <v>5</v>
      </c>
      <c r="AU1391">
        <v>12</v>
      </c>
      <c r="AV1391">
        <v>2021</v>
      </c>
      <c r="AW1391">
        <v>2439581</v>
      </c>
      <c r="AX1391">
        <v>2439581</v>
      </c>
      <c r="AY1391" t="s">
        <v>106</v>
      </c>
      <c r="AZ1391" t="s">
        <v>92</v>
      </c>
      <c r="BA1391" t="s">
        <v>107</v>
      </c>
      <c r="BB1391" t="s">
        <v>4912</v>
      </c>
      <c r="BC1391" t="s">
        <v>1186</v>
      </c>
      <c r="BE1391" t="s">
        <v>96</v>
      </c>
      <c r="BG1391" t="s">
        <v>4507</v>
      </c>
      <c r="BI1391" t="s">
        <v>98</v>
      </c>
      <c r="BJ1391" t="s">
        <v>4908</v>
      </c>
      <c r="BL1391" t="s">
        <v>110</v>
      </c>
    </row>
    <row r="1392" spans="1:64" hidden="1" x14ac:dyDescent="0.2">
      <c r="A1392">
        <v>436</v>
      </c>
      <c r="B1392">
        <v>4136459523</v>
      </c>
      <c r="C1392" t="s">
        <v>101</v>
      </c>
      <c r="D1392" t="s">
        <v>5335</v>
      </c>
      <c r="E1392" t="s">
        <v>65</v>
      </c>
      <c r="F1392" t="s">
        <v>66</v>
      </c>
      <c r="G1392" t="s">
        <v>67</v>
      </c>
      <c r="H1392" t="s">
        <v>68</v>
      </c>
      <c r="I1392" t="s">
        <v>69</v>
      </c>
      <c r="J1392" t="s">
        <v>70</v>
      </c>
      <c r="K1392" t="s">
        <v>71</v>
      </c>
      <c r="M1392" t="s">
        <v>72</v>
      </c>
      <c r="N1392" t="s">
        <v>73</v>
      </c>
      <c r="O1392" t="s">
        <v>71</v>
      </c>
      <c r="P1392" t="s">
        <v>74</v>
      </c>
      <c r="Q1392" t="s">
        <v>75</v>
      </c>
      <c r="R1392" t="s">
        <v>5008</v>
      </c>
      <c r="S1392" t="s">
        <v>1584</v>
      </c>
      <c r="T1392" t="s">
        <v>78</v>
      </c>
      <c r="U1392" t="s">
        <v>5009</v>
      </c>
      <c r="V1392" t="s">
        <v>80</v>
      </c>
      <c r="W1392" s="1">
        <v>44905</v>
      </c>
      <c r="X1392" t="s">
        <v>5010</v>
      </c>
      <c r="Y1392" t="s">
        <v>5336</v>
      </c>
      <c r="Z1392" t="s">
        <v>83</v>
      </c>
      <c r="AA1392">
        <v>1</v>
      </c>
      <c r="AB1392" t="s">
        <v>5310</v>
      </c>
      <c r="AD1392" t="s">
        <v>343</v>
      </c>
      <c r="AE1392" t="s">
        <v>145</v>
      </c>
      <c r="AF1392" t="s">
        <v>146</v>
      </c>
      <c r="AG1392" t="s">
        <v>980</v>
      </c>
      <c r="AI1392" t="s">
        <v>90</v>
      </c>
      <c r="AJ1392">
        <v>32.313738000000001</v>
      </c>
      <c r="AK1392">
        <v>-110.712772</v>
      </c>
      <c r="AL1392">
        <v>3</v>
      </c>
      <c r="AN1392">
        <v>1173</v>
      </c>
      <c r="AP1392">
        <v>1173</v>
      </c>
      <c r="AQ1392">
        <v>1177.636798</v>
      </c>
      <c r="AT1392">
        <v>10</v>
      </c>
      <c r="AU1392">
        <v>12</v>
      </c>
      <c r="AV1392">
        <v>2022</v>
      </c>
      <c r="AW1392">
        <v>2439581</v>
      </c>
      <c r="AX1392">
        <v>2439581</v>
      </c>
      <c r="AY1392" t="s">
        <v>106</v>
      </c>
      <c r="AZ1392" t="s">
        <v>92</v>
      </c>
      <c r="BA1392" t="s">
        <v>107</v>
      </c>
      <c r="BB1392" t="s">
        <v>5337</v>
      </c>
      <c r="BC1392" t="s">
        <v>5313</v>
      </c>
      <c r="BD1392" s="1">
        <v>44905</v>
      </c>
      <c r="BE1392" t="s">
        <v>96</v>
      </c>
      <c r="BG1392" t="s">
        <v>5314</v>
      </c>
      <c r="BI1392" t="s">
        <v>98</v>
      </c>
      <c r="BJ1392" t="s">
        <v>1954</v>
      </c>
      <c r="BL1392" t="s">
        <v>110</v>
      </c>
    </row>
    <row r="1393" spans="1:64" x14ac:dyDescent="0.2">
      <c r="A1393">
        <v>1172</v>
      </c>
      <c r="B1393">
        <v>4022923541</v>
      </c>
      <c r="C1393" t="s">
        <v>101</v>
      </c>
      <c r="D1393" t="s">
        <v>5005</v>
      </c>
      <c r="E1393" t="s">
        <v>65</v>
      </c>
      <c r="F1393" t="s">
        <v>66</v>
      </c>
      <c r="G1393" t="s">
        <v>67</v>
      </c>
      <c r="H1393" t="s">
        <v>68</v>
      </c>
      <c r="I1393" t="s">
        <v>69</v>
      </c>
      <c r="J1393" t="s">
        <v>70</v>
      </c>
      <c r="K1393" t="s">
        <v>4195</v>
      </c>
      <c r="M1393" t="s">
        <v>72</v>
      </c>
      <c r="N1393" t="s">
        <v>4196</v>
      </c>
      <c r="O1393" t="s">
        <v>4195</v>
      </c>
      <c r="P1393" t="s">
        <v>4197</v>
      </c>
      <c r="Q1393" t="s">
        <v>75</v>
      </c>
      <c r="R1393" t="s">
        <v>4501</v>
      </c>
      <c r="S1393" t="s">
        <v>4983</v>
      </c>
      <c r="T1393" t="s">
        <v>78</v>
      </c>
      <c r="U1393" t="s">
        <v>3817</v>
      </c>
      <c r="V1393" t="s">
        <v>80</v>
      </c>
      <c r="W1393" s="1">
        <v>44535</v>
      </c>
      <c r="X1393" t="s">
        <v>4502</v>
      </c>
      <c r="Y1393" t="s">
        <v>4984</v>
      </c>
      <c r="Z1393" t="s">
        <v>83</v>
      </c>
      <c r="AA1393">
        <v>1</v>
      </c>
      <c r="AB1393" t="s">
        <v>4517</v>
      </c>
      <c r="AC1393">
        <v>1</v>
      </c>
      <c r="AD1393" t="s">
        <v>119</v>
      </c>
      <c r="AE1393" t="s">
        <v>145</v>
      </c>
      <c r="AF1393" t="s">
        <v>281</v>
      </c>
      <c r="AG1393" t="s">
        <v>4990</v>
      </c>
      <c r="AI1393" t="s">
        <v>90</v>
      </c>
      <c r="AJ1393">
        <v>32.337409999999998</v>
      </c>
      <c r="AK1393">
        <v>-110.71979399999999</v>
      </c>
      <c r="AL1393">
        <v>3</v>
      </c>
      <c r="AN1393">
        <v>1468</v>
      </c>
      <c r="AP1393">
        <v>1468</v>
      </c>
      <c r="AQ1393">
        <v>1479.931756</v>
      </c>
      <c r="AT1393">
        <v>5</v>
      </c>
      <c r="AU1393">
        <v>12</v>
      </c>
      <c r="AV1393">
        <v>2021</v>
      </c>
      <c r="AW1393">
        <v>2439589</v>
      </c>
      <c r="AX1393">
        <v>2439589</v>
      </c>
      <c r="AY1393" t="s">
        <v>106</v>
      </c>
      <c r="AZ1393" t="s">
        <v>92</v>
      </c>
      <c r="BA1393" t="s">
        <v>107</v>
      </c>
      <c r="BB1393" t="s">
        <v>5006</v>
      </c>
      <c r="BC1393" t="s">
        <v>1186</v>
      </c>
      <c r="BE1393" t="s">
        <v>96</v>
      </c>
      <c r="BG1393" t="s">
        <v>4507</v>
      </c>
      <c r="BI1393" t="s">
        <v>98</v>
      </c>
      <c r="BJ1393" t="s">
        <v>4607</v>
      </c>
      <c r="BL1393" t="s">
        <v>412</v>
      </c>
    </row>
    <row r="1394" spans="1:64" hidden="1" x14ac:dyDescent="0.2">
      <c r="A1394">
        <v>430</v>
      </c>
      <c r="B1394">
        <v>4136459529</v>
      </c>
      <c r="C1394" t="s">
        <v>101</v>
      </c>
      <c r="D1394" t="s">
        <v>5340</v>
      </c>
      <c r="E1394" t="s">
        <v>65</v>
      </c>
      <c r="F1394" t="s">
        <v>66</v>
      </c>
      <c r="G1394" t="s">
        <v>67</v>
      </c>
      <c r="H1394" t="s">
        <v>68</v>
      </c>
      <c r="I1394" t="s">
        <v>176</v>
      </c>
      <c r="J1394" t="s">
        <v>177</v>
      </c>
      <c r="K1394" t="s">
        <v>3925</v>
      </c>
      <c r="M1394" t="s">
        <v>72</v>
      </c>
      <c r="N1394" t="s">
        <v>3926</v>
      </c>
      <c r="O1394" t="s">
        <v>3925</v>
      </c>
      <c r="P1394" t="s">
        <v>1176</v>
      </c>
      <c r="Q1394" t="s">
        <v>75</v>
      </c>
      <c r="R1394" t="s">
        <v>5008</v>
      </c>
      <c r="S1394" t="s">
        <v>5341</v>
      </c>
      <c r="T1394" t="s">
        <v>78</v>
      </c>
      <c r="U1394" t="s">
        <v>5009</v>
      </c>
      <c r="V1394" t="s">
        <v>80</v>
      </c>
      <c r="W1394" s="1">
        <v>44905</v>
      </c>
      <c r="X1394" t="s">
        <v>5010</v>
      </c>
      <c r="Y1394" t="s">
        <v>5342</v>
      </c>
      <c r="Z1394" t="s">
        <v>83</v>
      </c>
      <c r="AA1394">
        <v>1</v>
      </c>
      <c r="AB1394" t="s">
        <v>5310</v>
      </c>
      <c r="AD1394" t="s">
        <v>343</v>
      </c>
      <c r="AE1394" t="s">
        <v>86</v>
      </c>
      <c r="AF1394" t="s">
        <v>146</v>
      </c>
      <c r="AG1394" t="s">
        <v>5343</v>
      </c>
      <c r="AI1394" t="s">
        <v>90</v>
      </c>
      <c r="AJ1394">
        <v>32.314228</v>
      </c>
      <c r="AK1394">
        <v>-110.71380600000001</v>
      </c>
      <c r="AL1394">
        <v>3</v>
      </c>
      <c r="AN1394">
        <v>1173</v>
      </c>
      <c r="AP1394">
        <v>1173</v>
      </c>
      <c r="AQ1394">
        <v>1207.793598</v>
      </c>
      <c r="AT1394">
        <v>10</v>
      </c>
      <c r="AU1394">
        <v>12</v>
      </c>
      <c r="AV1394">
        <v>2022</v>
      </c>
      <c r="AW1394">
        <v>2437981</v>
      </c>
      <c r="AX1394">
        <v>2437981</v>
      </c>
      <c r="AY1394" t="s">
        <v>106</v>
      </c>
      <c r="AZ1394" t="s">
        <v>92</v>
      </c>
      <c r="BA1394" t="s">
        <v>107</v>
      </c>
      <c r="BB1394" t="s">
        <v>5344</v>
      </c>
      <c r="BC1394" t="s">
        <v>5313</v>
      </c>
      <c r="BD1394" s="1">
        <v>44905</v>
      </c>
      <c r="BE1394" t="s">
        <v>96</v>
      </c>
      <c r="BG1394" t="s">
        <v>5314</v>
      </c>
      <c r="BI1394" t="s">
        <v>98</v>
      </c>
      <c r="BJ1394" t="s">
        <v>1798</v>
      </c>
      <c r="BL1394" t="s">
        <v>110</v>
      </c>
    </row>
    <row r="1395" spans="1:64" x14ac:dyDescent="0.2">
      <c r="A1395">
        <v>1038</v>
      </c>
      <c r="B1395">
        <v>4027015392</v>
      </c>
      <c r="C1395" t="s">
        <v>101</v>
      </c>
      <c r="D1395" t="s">
        <v>656</v>
      </c>
      <c r="E1395" t="s">
        <v>65</v>
      </c>
      <c r="F1395" t="s">
        <v>66</v>
      </c>
      <c r="G1395" t="s">
        <v>67</v>
      </c>
      <c r="H1395" t="s">
        <v>68</v>
      </c>
      <c r="I1395" t="s">
        <v>176</v>
      </c>
      <c r="J1395" t="s">
        <v>177</v>
      </c>
      <c r="K1395" t="s">
        <v>178</v>
      </c>
      <c r="M1395" t="s">
        <v>72</v>
      </c>
      <c r="N1395" t="s">
        <v>179</v>
      </c>
      <c r="O1395" t="s">
        <v>178</v>
      </c>
      <c r="P1395" t="s">
        <v>180</v>
      </c>
      <c r="Q1395" t="s">
        <v>75</v>
      </c>
      <c r="R1395" t="s">
        <v>644</v>
      </c>
      <c r="S1395" t="s">
        <v>645</v>
      </c>
      <c r="T1395" t="s">
        <v>78</v>
      </c>
      <c r="U1395" t="s">
        <v>646</v>
      </c>
      <c r="V1395" t="s">
        <v>80</v>
      </c>
      <c r="W1395" s="1">
        <v>44694</v>
      </c>
      <c r="X1395" t="s">
        <v>647</v>
      </c>
      <c r="Y1395" t="s">
        <v>648</v>
      </c>
      <c r="Z1395" t="s">
        <v>83</v>
      </c>
      <c r="AA1395">
        <v>1</v>
      </c>
      <c r="AB1395" t="s">
        <v>657</v>
      </c>
      <c r="AC1395">
        <v>1</v>
      </c>
      <c r="AD1395" t="s">
        <v>119</v>
      </c>
      <c r="AE1395" t="s">
        <v>145</v>
      </c>
      <c r="AF1395" t="s">
        <v>146</v>
      </c>
      <c r="AG1395" t="s">
        <v>658</v>
      </c>
      <c r="AH1395" t="s">
        <v>659</v>
      </c>
      <c r="AI1395" t="s">
        <v>90</v>
      </c>
      <c r="AJ1395">
        <v>32.387782999999999</v>
      </c>
      <c r="AK1395">
        <v>-110.712097</v>
      </c>
      <c r="AL1395">
        <v>3</v>
      </c>
      <c r="AN1395">
        <v>2096</v>
      </c>
      <c r="AP1395">
        <v>2096</v>
      </c>
      <c r="AQ1395">
        <v>2121.2476489999999</v>
      </c>
      <c r="AT1395">
        <v>13</v>
      </c>
      <c r="AU1395">
        <v>5</v>
      </c>
      <c r="AV1395">
        <v>2022</v>
      </c>
      <c r="AW1395">
        <v>2438038</v>
      </c>
      <c r="AX1395">
        <v>2438038</v>
      </c>
      <c r="AY1395" t="s">
        <v>106</v>
      </c>
      <c r="AZ1395" t="s">
        <v>92</v>
      </c>
      <c r="BA1395" t="s">
        <v>107</v>
      </c>
      <c r="BB1395" t="s">
        <v>660</v>
      </c>
      <c r="BC1395" t="s">
        <v>97</v>
      </c>
      <c r="BE1395" t="s">
        <v>96</v>
      </c>
      <c r="BG1395" t="s">
        <v>654</v>
      </c>
      <c r="BI1395" t="s">
        <v>98</v>
      </c>
      <c r="BJ1395" t="s">
        <v>661</v>
      </c>
      <c r="BL1395" t="s">
        <v>110</v>
      </c>
    </row>
    <row r="1396" spans="1:64" hidden="1" x14ac:dyDescent="0.2">
      <c r="A1396">
        <v>424</v>
      </c>
      <c r="B1396">
        <v>4136459535</v>
      </c>
      <c r="C1396" t="s">
        <v>101</v>
      </c>
      <c r="D1396" t="s">
        <v>5347</v>
      </c>
      <c r="E1396" t="s">
        <v>65</v>
      </c>
      <c r="F1396" t="s">
        <v>66</v>
      </c>
      <c r="G1396" t="s">
        <v>67</v>
      </c>
      <c r="H1396" t="s">
        <v>68</v>
      </c>
      <c r="I1396" t="s">
        <v>176</v>
      </c>
      <c r="J1396" t="s">
        <v>177</v>
      </c>
      <c r="K1396" t="s">
        <v>3925</v>
      </c>
      <c r="M1396" t="s">
        <v>72</v>
      </c>
      <c r="N1396" t="s">
        <v>3926</v>
      </c>
      <c r="O1396" t="s">
        <v>3925</v>
      </c>
      <c r="P1396" t="s">
        <v>1176</v>
      </c>
      <c r="Q1396" t="s">
        <v>75</v>
      </c>
      <c r="R1396" t="s">
        <v>5008</v>
      </c>
      <c r="S1396" t="s">
        <v>1472</v>
      </c>
      <c r="T1396" t="s">
        <v>78</v>
      </c>
      <c r="U1396" t="s">
        <v>5009</v>
      </c>
      <c r="V1396" t="s">
        <v>80</v>
      </c>
      <c r="W1396" s="1">
        <v>44905</v>
      </c>
      <c r="X1396" t="s">
        <v>5010</v>
      </c>
      <c r="Y1396" t="s">
        <v>5348</v>
      </c>
      <c r="Z1396" t="s">
        <v>83</v>
      </c>
      <c r="AA1396">
        <v>1</v>
      </c>
      <c r="AB1396" t="s">
        <v>5310</v>
      </c>
      <c r="AD1396" t="s">
        <v>343</v>
      </c>
      <c r="AE1396" t="s">
        <v>86</v>
      </c>
      <c r="AF1396" t="s">
        <v>146</v>
      </c>
      <c r="AG1396" t="s">
        <v>5343</v>
      </c>
      <c r="AI1396" t="s">
        <v>90</v>
      </c>
      <c r="AJ1396">
        <v>32.314069000000003</v>
      </c>
      <c r="AK1396">
        <v>-110.713464</v>
      </c>
      <c r="AL1396">
        <v>3</v>
      </c>
      <c r="AN1396">
        <v>1173</v>
      </c>
      <c r="AP1396">
        <v>1173</v>
      </c>
      <c r="AQ1396">
        <v>1195.292633</v>
      </c>
      <c r="AT1396">
        <v>10</v>
      </c>
      <c r="AU1396">
        <v>12</v>
      </c>
      <c r="AV1396">
        <v>2022</v>
      </c>
      <c r="AW1396">
        <v>2437981</v>
      </c>
      <c r="AX1396">
        <v>2437981</v>
      </c>
      <c r="AY1396" t="s">
        <v>106</v>
      </c>
      <c r="AZ1396" t="s">
        <v>92</v>
      </c>
      <c r="BA1396" t="s">
        <v>107</v>
      </c>
      <c r="BB1396" t="s">
        <v>5349</v>
      </c>
      <c r="BC1396" t="s">
        <v>5313</v>
      </c>
      <c r="BD1396" s="1">
        <v>44905</v>
      </c>
      <c r="BE1396" t="s">
        <v>96</v>
      </c>
      <c r="BG1396" t="s">
        <v>5314</v>
      </c>
      <c r="BI1396" t="s">
        <v>98</v>
      </c>
      <c r="BJ1396" t="s">
        <v>5350</v>
      </c>
      <c r="BL1396" t="s">
        <v>110</v>
      </c>
    </row>
    <row r="1397" spans="1:64" x14ac:dyDescent="0.2">
      <c r="A1397">
        <v>1037</v>
      </c>
      <c r="B1397">
        <v>4027015393</v>
      </c>
      <c r="C1397" t="s">
        <v>101</v>
      </c>
      <c r="D1397" t="s">
        <v>712</v>
      </c>
      <c r="E1397" t="s">
        <v>65</v>
      </c>
      <c r="F1397" t="s">
        <v>66</v>
      </c>
      <c r="G1397" t="s">
        <v>67</v>
      </c>
      <c r="H1397" t="s">
        <v>68</v>
      </c>
      <c r="I1397" t="s">
        <v>176</v>
      </c>
      <c r="J1397" t="s">
        <v>177</v>
      </c>
      <c r="K1397" t="s">
        <v>178</v>
      </c>
      <c r="M1397" t="s">
        <v>72</v>
      </c>
      <c r="N1397" t="s">
        <v>179</v>
      </c>
      <c r="O1397" t="s">
        <v>178</v>
      </c>
      <c r="P1397" t="s">
        <v>180</v>
      </c>
      <c r="Q1397" t="s">
        <v>75</v>
      </c>
      <c r="R1397" t="s">
        <v>644</v>
      </c>
      <c r="S1397" t="s">
        <v>694</v>
      </c>
      <c r="T1397" t="s">
        <v>78</v>
      </c>
      <c r="U1397" t="s">
        <v>646</v>
      </c>
      <c r="V1397" t="s">
        <v>80</v>
      </c>
      <c r="W1397" s="1">
        <v>44694</v>
      </c>
      <c r="X1397" t="s">
        <v>647</v>
      </c>
      <c r="Y1397" t="s">
        <v>695</v>
      </c>
      <c r="Z1397" t="s">
        <v>83</v>
      </c>
      <c r="AA1397">
        <v>1</v>
      </c>
      <c r="AB1397" t="s">
        <v>657</v>
      </c>
      <c r="AC1397">
        <v>1</v>
      </c>
      <c r="AD1397" t="s">
        <v>119</v>
      </c>
      <c r="AE1397" t="s">
        <v>86</v>
      </c>
      <c r="AF1397" t="s">
        <v>146</v>
      </c>
      <c r="AG1397" t="s">
        <v>697</v>
      </c>
      <c r="AH1397" t="s">
        <v>713</v>
      </c>
      <c r="AI1397" t="s">
        <v>90</v>
      </c>
      <c r="AJ1397">
        <v>32.387836</v>
      </c>
      <c r="AK1397">
        <v>-110.712315</v>
      </c>
      <c r="AL1397">
        <v>4</v>
      </c>
      <c r="AN1397">
        <v>2094</v>
      </c>
      <c r="AP1397">
        <v>2094</v>
      </c>
      <c r="AQ1397">
        <v>2123.5819609999999</v>
      </c>
      <c r="AT1397">
        <v>13</v>
      </c>
      <c r="AU1397">
        <v>5</v>
      </c>
      <c r="AV1397">
        <v>2022</v>
      </c>
      <c r="AW1397">
        <v>2438038</v>
      </c>
      <c r="AX1397">
        <v>2438038</v>
      </c>
      <c r="AY1397" t="s">
        <v>106</v>
      </c>
      <c r="AZ1397" t="s">
        <v>92</v>
      </c>
      <c r="BA1397" t="s">
        <v>107</v>
      </c>
      <c r="BB1397" t="s">
        <v>714</v>
      </c>
      <c r="BC1397" t="s">
        <v>97</v>
      </c>
      <c r="BE1397" t="s">
        <v>96</v>
      </c>
      <c r="BG1397" t="s">
        <v>654</v>
      </c>
      <c r="BI1397" t="s">
        <v>98</v>
      </c>
      <c r="BJ1397" t="s">
        <v>707</v>
      </c>
      <c r="BL1397" t="s">
        <v>110</v>
      </c>
    </row>
    <row r="1398" spans="1:64" hidden="1" x14ac:dyDescent="0.2">
      <c r="A1398">
        <v>447</v>
      </c>
      <c r="B1398">
        <v>4136459512</v>
      </c>
      <c r="C1398" t="s">
        <v>101</v>
      </c>
      <c r="D1398" s="2" t="s">
        <v>5353</v>
      </c>
      <c r="E1398" t="s">
        <v>65</v>
      </c>
      <c r="F1398" t="s">
        <v>66</v>
      </c>
      <c r="G1398" t="s">
        <v>67</v>
      </c>
      <c r="H1398" t="s">
        <v>68</v>
      </c>
      <c r="I1398" t="s">
        <v>69</v>
      </c>
      <c r="J1398" t="s">
        <v>70</v>
      </c>
      <c r="K1398" t="s">
        <v>4195</v>
      </c>
      <c r="M1398" t="s">
        <v>72</v>
      </c>
      <c r="N1398" t="s">
        <v>4196</v>
      </c>
      <c r="O1398" t="s">
        <v>4195</v>
      </c>
      <c r="P1398" t="s">
        <v>4197</v>
      </c>
      <c r="Q1398" t="s">
        <v>75</v>
      </c>
      <c r="R1398" t="s">
        <v>5008</v>
      </c>
      <c r="S1398" t="s">
        <v>3274</v>
      </c>
      <c r="T1398" t="s">
        <v>78</v>
      </c>
      <c r="U1398" t="s">
        <v>5009</v>
      </c>
      <c r="V1398" t="s">
        <v>80</v>
      </c>
      <c r="W1398" s="1">
        <v>44905</v>
      </c>
      <c r="X1398" t="s">
        <v>5010</v>
      </c>
      <c r="Y1398" t="s">
        <v>5354</v>
      </c>
      <c r="Z1398" t="s">
        <v>83</v>
      </c>
      <c r="AA1398">
        <v>1</v>
      </c>
      <c r="AB1398" t="s">
        <v>5310</v>
      </c>
      <c r="AD1398" t="s">
        <v>343</v>
      </c>
      <c r="AE1398" t="s">
        <v>145</v>
      </c>
      <c r="AF1398" t="s">
        <v>146</v>
      </c>
      <c r="AG1398" t="s">
        <v>980</v>
      </c>
      <c r="AI1398" t="s">
        <v>90</v>
      </c>
      <c r="AJ1398">
        <v>32.314058000000003</v>
      </c>
      <c r="AK1398">
        <v>-110.71372700000001</v>
      </c>
      <c r="AL1398">
        <v>3</v>
      </c>
      <c r="AN1398">
        <v>1173</v>
      </c>
      <c r="AP1398">
        <v>1173</v>
      </c>
      <c r="AQ1398">
        <v>1201.5391979999999</v>
      </c>
      <c r="AT1398">
        <v>10</v>
      </c>
      <c r="AU1398">
        <v>12</v>
      </c>
      <c r="AV1398">
        <v>2022</v>
      </c>
      <c r="AW1398">
        <v>2439589</v>
      </c>
      <c r="AX1398">
        <v>2439589</v>
      </c>
      <c r="AY1398" t="s">
        <v>106</v>
      </c>
      <c r="AZ1398" t="s">
        <v>92</v>
      </c>
      <c r="BA1398" t="s">
        <v>107</v>
      </c>
      <c r="BB1398" t="s">
        <v>5355</v>
      </c>
      <c r="BC1398" t="s">
        <v>5313</v>
      </c>
      <c r="BD1398" s="1">
        <v>44905</v>
      </c>
      <c r="BE1398" t="s">
        <v>96</v>
      </c>
      <c r="BG1398" t="s">
        <v>5314</v>
      </c>
      <c r="BI1398" t="s">
        <v>98</v>
      </c>
      <c r="BJ1398" t="s">
        <v>1954</v>
      </c>
      <c r="BL1398" t="s">
        <v>110</v>
      </c>
    </row>
    <row r="1399" spans="1:64" hidden="1" x14ac:dyDescent="0.2">
      <c r="A1399">
        <v>472</v>
      </c>
      <c r="B1399">
        <v>4136459487</v>
      </c>
      <c r="C1399" t="s">
        <v>101</v>
      </c>
      <c r="D1399" t="s">
        <v>5356</v>
      </c>
      <c r="E1399" t="s">
        <v>65</v>
      </c>
      <c r="F1399" t="s">
        <v>66</v>
      </c>
      <c r="G1399" t="s">
        <v>67</v>
      </c>
      <c r="H1399" t="s">
        <v>68</v>
      </c>
      <c r="I1399" t="s">
        <v>69</v>
      </c>
      <c r="J1399" t="s">
        <v>70</v>
      </c>
      <c r="K1399" t="s">
        <v>4195</v>
      </c>
      <c r="M1399" t="s">
        <v>72</v>
      </c>
      <c r="N1399" t="s">
        <v>4196</v>
      </c>
      <c r="O1399" t="s">
        <v>4195</v>
      </c>
      <c r="P1399" t="s">
        <v>4197</v>
      </c>
      <c r="Q1399" t="s">
        <v>75</v>
      </c>
      <c r="R1399" t="s">
        <v>5008</v>
      </c>
      <c r="S1399" t="s">
        <v>3391</v>
      </c>
      <c r="T1399" t="s">
        <v>78</v>
      </c>
      <c r="U1399" t="s">
        <v>5009</v>
      </c>
      <c r="V1399" t="s">
        <v>80</v>
      </c>
      <c r="W1399" s="1">
        <v>44905</v>
      </c>
      <c r="X1399" t="s">
        <v>5010</v>
      </c>
      <c r="Y1399" t="s">
        <v>5357</v>
      </c>
      <c r="Z1399" t="s">
        <v>83</v>
      </c>
      <c r="AA1399">
        <v>1</v>
      </c>
      <c r="AB1399" t="s">
        <v>5310</v>
      </c>
      <c r="AD1399" t="s">
        <v>343</v>
      </c>
      <c r="AE1399" t="s">
        <v>145</v>
      </c>
      <c r="AF1399" t="s">
        <v>146</v>
      </c>
      <c r="AG1399" t="s">
        <v>765</v>
      </c>
      <c r="AI1399" t="s">
        <v>90</v>
      </c>
      <c r="AJ1399">
        <v>32.314100000000003</v>
      </c>
      <c r="AK1399">
        <v>-110.71374299999999</v>
      </c>
      <c r="AL1399">
        <v>3</v>
      </c>
      <c r="AN1399">
        <v>1173</v>
      </c>
      <c r="AP1399">
        <v>1173</v>
      </c>
      <c r="AQ1399">
        <v>1202.979198</v>
      </c>
      <c r="AT1399">
        <v>10</v>
      </c>
      <c r="AU1399">
        <v>12</v>
      </c>
      <c r="AV1399">
        <v>2022</v>
      </c>
      <c r="AW1399">
        <v>2439589</v>
      </c>
      <c r="AX1399">
        <v>2439589</v>
      </c>
      <c r="AY1399" t="s">
        <v>106</v>
      </c>
      <c r="AZ1399" t="s">
        <v>92</v>
      </c>
      <c r="BA1399" t="s">
        <v>107</v>
      </c>
      <c r="BB1399" t="s">
        <v>5358</v>
      </c>
      <c r="BC1399" t="s">
        <v>5313</v>
      </c>
      <c r="BD1399" s="1">
        <v>44905</v>
      </c>
      <c r="BE1399" t="s">
        <v>96</v>
      </c>
      <c r="BG1399" t="s">
        <v>5314</v>
      </c>
      <c r="BI1399" t="s">
        <v>98</v>
      </c>
      <c r="BJ1399" t="s">
        <v>2714</v>
      </c>
      <c r="BL1399" t="s">
        <v>110</v>
      </c>
    </row>
    <row r="1400" spans="1:64" x14ac:dyDescent="0.2">
      <c r="A1400">
        <v>1054</v>
      </c>
      <c r="B1400">
        <v>4027015376</v>
      </c>
      <c r="C1400" t="s">
        <v>101</v>
      </c>
      <c r="D1400" t="s">
        <v>748</v>
      </c>
      <c r="E1400" t="s">
        <v>65</v>
      </c>
      <c r="F1400" t="s">
        <v>66</v>
      </c>
      <c r="G1400" t="s">
        <v>67</v>
      </c>
      <c r="H1400" t="s">
        <v>68</v>
      </c>
      <c r="I1400" t="s">
        <v>176</v>
      </c>
      <c r="J1400" t="s">
        <v>177</v>
      </c>
      <c r="K1400" t="s">
        <v>178</v>
      </c>
      <c r="M1400" t="s">
        <v>72</v>
      </c>
      <c r="N1400" t="s">
        <v>179</v>
      </c>
      <c r="O1400" t="s">
        <v>178</v>
      </c>
      <c r="P1400" t="s">
        <v>180</v>
      </c>
      <c r="Q1400" t="s">
        <v>75</v>
      </c>
      <c r="R1400" t="s">
        <v>644</v>
      </c>
      <c r="S1400" t="s">
        <v>727</v>
      </c>
      <c r="T1400" t="s">
        <v>78</v>
      </c>
      <c r="U1400" t="s">
        <v>646</v>
      </c>
      <c r="V1400" t="s">
        <v>80</v>
      </c>
      <c r="W1400" s="1">
        <v>44694</v>
      </c>
      <c r="X1400" t="s">
        <v>647</v>
      </c>
      <c r="Y1400" t="s">
        <v>728</v>
      </c>
      <c r="Z1400" t="s">
        <v>83</v>
      </c>
      <c r="AA1400">
        <v>1</v>
      </c>
      <c r="AB1400" t="s">
        <v>657</v>
      </c>
      <c r="AC1400">
        <v>1</v>
      </c>
      <c r="AD1400" t="s">
        <v>119</v>
      </c>
      <c r="AE1400" t="s">
        <v>145</v>
      </c>
      <c r="AF1400" t="s">
        <v>146</v>
      </c>
      <c r="AG1400" t="s">
        <v>735</v>
      </c>
      <c r="AH1400" t="s">
        <v>749</v>
      </c>
      <c r="AI1400" t="s">
        <v>90</v>
      </c>
      <c r="AJ1400">
        <v>32.387706999999999</v>
      </c>
      <c r="AK1400">
        <v>-110.712655</v>
      </c>
      <c r="AL1400">
        <v>3</v>
      </c>
      <c r="AN1400">
        <v>2113</v>
      </c>
      <c r="AP1400">
        <v>2113</v>
      </c>
      <c r="AQ1400">
        <v>2128.17245</v>
      </c>
      <c r="AT1400">
        <v>13</v>
      </c>
      <c r="AU1400">
        <v>5</v>
      </c>
      <c r="AV1400">
        <v>2022</v>
      </c>
      <c r="AW1400">
        <v>2438038</v>
      </c>
      <c r="AX1400">
        <v>2438038</v>
      </c>
      <c r="AY1400" t="s">
        <v>106</v>
      </c>
      <c r="AZ1400" t="s">
        <v>92</v>
      </c>
      <c r="BA1400" t="s">
        <v>107</v>
      </c>
      <c r="BB1400" t="s">
        <v>750</v>
      </c>
      <c r="BC1400" t="s">
        <v>97</v>
      </c>
      <c r="BE1400" t="s">
        <v>96</v>
      </c>
      <c r="BG1400" t="s">
        <v>654</v>
      </c>
      <c r="BI1400" t="s">
        <v>98</v>
      </c>
      <c r="BJ1400" t="s">
        <v>675</v>
      </c>
      <c r="BL1400" t="s">
        <v>110</v>
      </c>
    </row>
    <row r="1401" spans="1:64" x14ac:dyDescent="0.2">
      <c r="A1401">
        <v>1027</v>
      </c>
      <c r="B1401">
        <v>4027015403</v>
      </c>
      <c r="C1401" t="s">
        <v>101</v>
      </c>
      <c r="D1401" t="s">
        <v>784</v>
      </c>
      <c r="E1401" t="s">
        <v>65</v>
      </c>
      <c r="F1401" t="s">
        <v>66</v>
      </c>
      <c r="G1401" t="s">
        <v>67</v>
      </c>
      <c r="H1401" t="s">
        <v>68</v>
      </c>
      <c r="I1401" t="s">
        <v>176</v>
      </c>
      <c r="J1401" t="s">
        <v>773</v>
      </c>
      <c r="K1401" t="s">
        <v>774</v>
      </c>
      <c r="M1401" t="s">
        <v>72</v>
      </c>
      <c r="N1401" t="s">
        <v>775</v>
      </c>
      <c r="O1401" t="s">
        <v>774</v>
      </c>
      <c r="P1401" t="s">
        <v>776</v>
      </c>
      <c r="Q1401" t="s">
        <v>75</v>
      </c>
      <c r="R1401" t="s">
        <v>644</v>
      </c>
      <c r="S1401" t="s">
        <v>777</v>
      </c>
      <c r="T1401" t="s">
        <v>78</v>
      </c>
      <c r="U1401" t="s">
        <v>646</v>
      </c>
      <c r="V1401" t="s">
        <v>80</v>
      </c>
      <c r="W1401" s="1">
        <v>44694</v>
      </c>
      <c r="X1401" t="s">
        <v>647</v>
      </c>
      <c r="Y1401" t="s">
        <v>778</v>
      </c>
      <c r="Z1401" t="s">
        <v>83</v>
      </c>
      <c r="AA1401">
        <v>1</v>
      </c>
      <c r="AB1401" t="s">
        <v>657</v>
      </c>
      <c r="AC1401">
        <v>1</v>
      </c>
      <c r="AD1401" t="s">
        <v>119</v>
      </c>
      <c r="AE1401" t="s">
        <v>86</v>
      </c>
      <c r="AF1401" t="s">
        <v>146</v>
      </c>
      <c r="AG1401" t="s">
        <v>781</v>
      </c>
      <c r="AH1401" t="s">
        <v>785</v>
      </c>
      <c r="AI1401" t="s">
        <v>90</v>
      </c>
      <c r="AJ1401">
        <v>32.387774</v>
      </c>
      <c r="AK1401">
        <v>-110.712733</v>
      </c>
      <c r="AL1401">
        <v>6</v>
      </c>
      <c r="AN1401">
        <v>2081</v>
      </c>
      <c r="AP1401">
        <v>2081</v>
      </c>
      <c r="AQ1401">
        <v>2124.524656</v>
      </c>
      <c r="AT1401">
        <v>13</v>
      </c>
      <c r="AU1401">
        <v>5</v>
      </c>
      <c r="AV1401">
        <v>2022</v>
      </c>
      <c r="AW1401">
        <v>2438447</v>
      </c>
      <c r="AX1401">
        <v>2438447</v>
      </c>
      <c r="AY1401" t="s">
        <v>106</v>
      </c>
      <c r="AZ1401" t="s">
        <v>92</v>
      </c>
      <c r="BA1401" t="s">
        <v>107</v>
      </c>
      <c r="BB1401" t="s">
        <v>786</v>
      </c>
      <c r="BC1401" t="s">
        <v>97</v>
      </c>
      <c r="BE1401" t="s">
        <v>96</v>
      </c>
      <c r="BG1401" t="s">
        <v>654</v>
      </c>
      <c r="BI1401" t="s">
        <v>98</v>
      </c>
      <c r="BJ1401" t="s">
        <v>787</v>
      </c>
      <c r="BL1401" t="s">
        <v>110</v>
      </c>
    </row>
    <row r="1402" spans="1:64" x14ac:dyDescent="0.2">
      <c r="A1402">
        <v>981</v>
      </c>
      <c r="B1402">
        <v>4027015449</v>
      </c>
      <c r="C1402" t="s">
        <v>101</v>
      </c>
      <c r="D1402" t="s">
        <v>847</v>
      </c>
      <c r="E1402" t="s">
        <v>65</v>
      </c>
      <c r="F1402" t="s">
        <v>66</v>
      </c>
      <c r="G1402" t="s">
        <v>67</v>
      </c>
      <c r="H1402" t="s">
        <v>68</v>
      </c>
      <c r="I1402" t="s">
        <v>350</v>
      </c>
      <c r="J1402" t="s">
        <v>351</v>
      </c>
      <c r="K1402" t="s">
        <v>352</v>
      </c>
      <c r="M1402" t="s">
        <v>72</v>
      </c>
      <c r="N1402" t="s">
        <v>353</v>
      </c>
      <c r="O1402" t="s">
        <v>352</v>
      </c>
      <c r="P1402" t="s">
        <v>180</v>
      </c>
      <c r="Q1402" t="s">
        <v>75</v>
      </c>
      <c r="R1402" t="s">
        <v>814</v>
      </c>
      <c r="S1402" t="s">
        <v>838</v>
      </c>
      <c r="T1402" t="s">
        <v>78</v>
      </c>
      <c r="U1402" t="s">
        <v>646</v>
      </c>
      <c r="V1402" t="s">
        <v>80</v>
      </c>
      <c r="W1402" s="1">
        <v>44694</v>
      </c>
      <c r="X1402" t="s">
        <v>647</v>
      </c>
      <c r="Y1402" t="s">
        <v>839</v>
      </c>
      <c r="Z1402" t="s">
        <v>83</v>
      </c>
      <c r="AA1402">
        <v>1</v>
      </c>
      <c r="AB1402" t="s">
        <v>657</v>
      </c>
      <c r="AC1402">
        <v>1</v>
      </c>
      <c r="AD1402" t="s">
        <v>119</v>
      </c>
      <c r="AE1402" t="s">
        <v>145</v>
      </c>
      <c r="AF1402" t="s">
        <v>146</v>
      </c>
      <c r="AG1402" t="s">
        <v>218</v>
      </c>
      <c r="AH1402" t="s">
        <v>848</v>
      </c>
      <c r="AI1402" t="s">
        <v>90</v>
      </c>
      <c r="AJ1402">
        <v>32.388458</v>
      </c>
      <c r="AK1402">
        <v>-110.711341</v>
      </c>
      <c r="AL1402">
        <v>3</v>
      </c>
      <c r="AN1402">
        <v>2130</v>
      </c>
      <c r="AP1402">
        <v>2130</v>
      </c>
      <c r="AQ1402">
        <v>2146.5412510000001</v>
      </c>
      <c r="AT1402">
        <v>13</v>
      </c>
      <c r="AU1402">
        <v>5</v>
      </c>
      <c r="AV1402">
        <v>2022</v>
      </c>
      <c r="AW1402">
        <v>4972385</v>
      </c>
      <c r="AX1402">
        <v>2437431</v>
      </c>
      <c r="AY1402" t="s">
        <v>106</v>
      </c>
      <c r="AZ1402" t="s">
        <v>92</v>
      </c>
      <c r="BA1402" t="s">
        <v>107</v>
      </c>
      <c r="BB1402" t="s">
        <v>849</v>
      </c>
      <c r="BC1402" t="s">
        <v>97</v>
      </c>
      <c r="BE1402" t="s">
        <v>96</v>
      </c>
      <c r="BG1402" t="s">
        <v>654</v>
      </c>
      <c r="BI1402" t="s">
        <v>98</v>
      </c>
      <c r="BJ1402" t="s">
        <v>799</v>
      </c>
      <c r="BL1402" t="s">
        <v>412</v>
      </c>
    </row>
    <row r="1403" spans="1:64" hidden="1" x14ac:dyDescent="0.2">
      <c r="A1403">
        <v>461</v>
      </c>
      <c r="B1403">
        <v>4136459498</v>
      </c>
      <c r="C1403" t="s">
        <v>101</v>
      </c>
      <c r="D1403" t="s">
        <v>5366</v>
      </c>
      <c r="E1403" t="s">
        <v>65</v>
      </c>
      <c r="F1403" t="s">
        <v>66</v>
      </c>
      <c r="G1403" t="s">
        <v>67</v>
      </c>
      <c r="H1403" t="s">
        <v>68</v>
      </c>
      <c r="I1403" t="s">
        <v>69</v>
      </c>
      <c r="J1403" t="s">
        <v>70</v>
      </c>
      <c r="K1403" t="s">
        <v>4195</v>
      </c>
      <c r="M1403" t="s">
        <v>72</v>
      </c>
      <c r="N1403" t="s">
        <v>4196</v>
      </c>
      <c r="O1403" t="s">
        <v>4195</v>
      </c>
      <c r="P1403" t="s">
        <v>4197</v>
      </c>
      <c r="Q1403" t="s">
        <v>75</v>
      </c>
      <c r="R1403" t="s">
        <v>5008</v>
      </c>
      <c r="S1403" t="s">
        <v>1557</v>
      </c>
      <c r="T1403" t="s">
        <v>78</v>
      </c>
      <c r="U1403" t="s">
        <v>5009</v>
      </c>
      <c r="V1403" t="s">
        <v>80</v>
      </c>
      <c r="W1403" s="1">
        <v>44905</v>
      </c>
      <c r="X1403" t="s">
        <v>5010</v>
      </c>
      <c r="Y1403" t="s">
        <v>5362</v>
      </c>
      <c r="Z1403" t="s">
        <v>83</v>
      </c>
      <c r="AA1403">
        <v>1</v>
      </c>
      <c r="AB1403" t="s">
        <v>5310</v>
      </c>
      <c r="AD1403" t="s">
        <v>343</v>
      </c>
      <c r="AE1403" t="s">
        <v>145</v>
      </c>
      <c r="AF1403" t="s">
        <v>281</v>
      </c>
      <c r="AG1403" t="s">
        <v>980</v>
      </c>
      <c r="AI1403" t="s">
        <v>90</v>
      </c>
      <c r="AJ1403">
        <v>32.314273</v>
      </c>
      <c r="AK1403">
        <v>-110.712406</v>
      </c>
      <c r="AL1403">
        <v>3</v>
      </c>
      <c r="AN1403">
        <v>1165</v>
      </c>
      <c r="AP1403">
        <v>1165</v>
      </c>
      <c r="AQ1403">
        <v>1182.031997</v>
      </c>
      <c r="AT1403">
        <v>10</v>
      </c>
      <c r="AU1403">
        <v>12</v>
      </c>
      <c r="AV1403">
        <v>2022</v>
      </c>
      <c r="AW1403">
        <v>2439589</v>
      </c>
      <c r="AX1403">
        <v>2439589</v>
      </c>
      <c r="AY1403" t="s">
        <v>106</v>
      </c>
      <c r="AZ1403" t="s">
        <v>92</v>
      </c>
      <c r="BA1403" t="s">
        <v>107</v>
      </c>
      <c r="BB1403" t="s">
        <v>5367</v>
      </c>
      <c r="BC1403" t="s">
        <v>5313</v>
      </c>
      <c r="BD1403" s="1">
        <v>44905</v>
      </c>
      <c r="BE1403" t="s">
        <v>96</v>
      </c>
      <c r="BG1403" t="s">
        <v>5314</v>
      </c>
      <c r="BI1403" t="s">
        <v>98</v>
      </c>
      <c r="BJ1403" t="s">
        <v>3969</v>
      </c>
      <c r="BL1403" t="s">
        <v>412</v>
      </c>
    </row>
    <row r="1404" spans="1:64" x14ac:dyDescent="0.2">
      <c r="A1404">
        <v>1091</v>
      </c>
      <c r="B1404">
        <v>4027015339</v>
      </c>
      <c r="C1404" t="s">
        <v>101</v>
      </c>
      <c r="D1404" t="s">
        <v>922</v>
      </c>
      <c r="E1404" t="s">
        <v>65</v>
      </c>
      <c r="F1404" t="s">
        <v>66</v>
      </c>
      <c r="G1404" t="s">
        <v>67</v>
      </c>
      <c r="H1404" t="s">
        <v>68</v>
      </c>
      <c r="I1404" t="s">
        <v>176</v>
      </c>
      <c r="J1404" t="s">
        <v>177</v>
      </c>
      <c r="K1404" t="s">
        <v>178</v>
      </c>
      <c r="M1404" t="s">
        <v>72</v>
      </c>
      <c r="N1404" t="s">
        <v>179</v>
      </c>
      <c r="O1404" t="s">
        <v>178</v>
      </c>
      <c r="P1404" t="s">
        <v>180</v>
      </c>
      <c r="Q1404" t="s">
        <v>75</v>
      </c>
      <c r="R1404" t="s">
        <v>814</v>
      </c>
      <c r="S1404" t="s">
        <v>916</v>
      </c>
      <c r="T1404" t="s">
        <v>78</v>
      </c>
      <c r="U1404" t="s">
        <v>646</v>
      </c>
      <c r="V1404" t="s">
        <v>80</v>
      </c>
      <c r="W1404" s="1">
        <v>44694</v>
      </c>
      <c r="X1404" t="s">
        <v>647</v>
      </c>
      <c r="Y1404" t="s">
        <v>917</v>
      </c>
      <c r="Z1404" t="s">
        <v>83</v>
      </c>
      <c r="AA1404">
        <v>1</v>
      </c>
      <c r="AB1404" t="s">
        <v>657</v>
      </c>
      <c r="AC1404">
        <v>1</v>
      </c>
      <c r="AD1404" t="s">
        <v>119</v>
      </c>
      <c r="AE1404" t="s">
        <v>145</v>
      </c>
      <c r="AF1404" t="s">
        <v>281</v>
      </c>
      <c r="AG1404" t="s">
        <v>923</v>
      </c>
      <c r="AH1404" t="s">
        <v>924</v>
      </c>
      <c r="AI1404" t="s">
        <v>90</v>
      </c>
      <c r="AJ1404">
        <v>32.389854</v>
      </c>
      <c r="AK1404">
        <v>-110.71050200000001</v>
      </c>
      <c r="AL1404">
        <v>3</v>
      </c>
      <c r="AN1404">
        <v>2126</v>
      </c>
      <c r="AP1404">
        <v>2126</v>
      </c>
      <c r="AQ1404">
        <v>2150.3077269999999</v>
      </c>
      <c r="AT1404">
        <v>13</v>
      </c>
      <c r="AU1404">
        <v>5</v>
      </c>
      <c r="AV1404">
        <v>2022</v>
      </c>
      <c r="AW1404">
        <v>2438038</v>
      </c>
      <c r="AX1404">
        <v>2438038</v>
      </c>
      <c r="AY1404" t="s">
        <v>106</v>
      </c>
      <c r="AZ1404" t="s">
        <v>92</v>
      </c>
      <c r="BA1404" t="s">
        <v>107</v>
      </c>
      <c r="BB1404" t="s">
        <v>925</v>
      </c>
      <c r="BC1404" t="s">
        <v>97</v>
      </c>
      <c r="BE1404" t="s">
        <v>96</v>
      </c>
      <c r="BG1404" t="s">
        <v>654</v>
      </c>
      <c r="BI1404" t="s">
        <v>98</v>
      </c>
      <c r="BJ1404" t="s">
        <v>926</v>
      </c>
      <c r="BL1404" t="s">
        <v>412</v>
      </c>
    </row>
    <row r="1405" spans="1:64" hidden="1" x14ac:dyDescent="0.2">
      <c r="A1405">
        <v>457</v>
      </c>
      <c r="B1405">
        <v>4136459502</v>
      </c>
      <c r="C1405" t="s">
        <v>101</v>
      </c>
      <c r="D1405" t="s">
        <v>5374</v>
      </c>
      <c r="E1405" t="s">
        <v>65</v>
      </c>
      <c r="F1405" t="s">
        <v>66</v>
      </c>
      <c r="G1405" t="s">
        <v>67</v>
      </c>
      <c r="H1405" t="s">
        <v>68</v>
      </c>
      <c r="I1405" t="s">
        <v>69</v>
      </c>
      <c r="J1405" t="s">
        <v>70</v>
      </c>
      <c r="K1405" t="s">
        <v>4195</v>
      </c>
      <c r="M1405" t="s">
        <v>72</v>
      </c>
      <c r="N1405" t="s">
        <v>4196</v>
      </c>
      <c r="O1405" t="s">
        <v>4195</v>
      </c>
      <c r="P1405" t="s">
        <v>4197</v>
      </c>
      <c r="Q1405" t="s">
        <v>75</v>
      </c>
      <c r="R1405" t="s">
        <v>5008</v>
      </c>
      <c r="S1405" t="s">
        <v>5369</v>
      </c>
      <c r="T1405" t="s">
        <v>78</v>
      </c>
      <c r="U1405" t="s">
        <v>5009</v>
      </c>
      <c r="V1405" t="s">
        <v>80</v>
      </c>
      <c r="W1405" s="1">
        <v>44905</v>
      </c>
      <c r="X1405" t="s">
        <v>5010</v>
      </c>
      <c r="Y1405" t="s">
        <v>5370</v>
      </c>
      <c r="Z1405" t="s">
        <v>83</v>
      </c>
      <c r="AA1405">
        <v>1</v>
      </c>
      <c r="AB1405" t="s">
        <v>5310</v>
      </c>
      <c r="AD1405" t="s">
        <v>343</v>
      </c>
      <c r="AE1405" t="s">
        <v>86</v>
      </c>
      <c r="AF1405" t="s">
        <v>146</v>
      </c>
      <c r="AG1405" t="s">
        <v>5371</v>
      </c>
      <c r="AI1405" t="s">
        <v>90</v>
      </c>
      <c r="AJ1405">
        <v>32.313761</v>
      </c>
      <c r="AK1405">
        <v>-110.71426200000001</v>
      </c>
      <c r="AL1405">
        <v>3</v>
      </c>
      <c r="AP1405">
        <v>1197.0936079999999</v>
      </c>
      <c r="AQ1405">
        <v>1197.0936079999999</v>
      </c>
      <c r="AT1405">
        <v>10</v>
      </c>
      <c r="AU1405">
        <v>12</v>
      </c>
      <c r="AV1405">
        <v>2022</v>
      </c>
      <c r="AW1405">
        <v>2439589</v>
      </c>
      <c r="AX1405">
        <v>2439589</v>
      </c>
      <c r="AY1405" t="s">
        <v>106</v>
      </c>
      <c r="AZ1405" t="s">
        <v>92</v>
      </c>
      <c r="BA1405" t="s">
        <v>107</v>
      </c>
      <c r="BB1405" t="s">
        <v>5375</v>
      </c>
      <c r="BC1405" t="s">
        <v>5313</v>
      </c>
      <c r="BD1405" s="1">
        <v>44905</v>
      </c>
      <c r="BE1405" t="s">
        <v>96</v>
      </c>
      <c r="BG1405" t="s">
        <v>5314</v>
      </c>
      <c r="BI1405" t="s">
        <v>98</v>
      </c>
      <c r="BJ1405" t="s">
        <v>2764</v>
      </c>
      <c r="BL1405" t="s">
        <v>412</v>
      </c>
    </row>
    <row r="1406" spans="1:64" x14ac:dyDescent="0.2">
      <c r="A1406">
        <v>1085</v>
      </c>
      <c r="B1406">
        <v>4027015345</v>
      </c>
      <c r="C1406" t="s">
        <v>101</v>
      </c>
      <c r="D1406" t="s">
        <v>1867</v>
      </c>
      <c r="E1406" t="s">
        <v>65</v>
      </c>
      <c r="F1406" t="s">
        <v>66</v>
      </c>
      <c r="G1406" t="s">
        <v>67</v>
      </c>
      <c r="H1406" t="s">
        <v>68</v>
      </c>
      <c r="I1406" t="s">
        <v>176</v>
      </c>
      <c r="J1406" t="s">
        <v>177</v>
      </c>
      <c r="K1406" t="s">
        <v>1817</v>
      </c>
      <c r="M1406" t="s">
        <v>72</v>
      </c>
      <c r="N1406" t="s">
        <v>1856</v>
      </c>
      <c r="O1406" t="s">
        <v>1817</v>
      </c>
      <c r="P1406" t="s">
        <v>1857</v>
      </c>
      <c r="Q1406" t="s">
        <v>75</v>
      </c>
      <c r="R1406" t="s">
        <v>1858</v>
      </c>
      <c r="S1406" t="s">
        <v>645</v>
      </c>
      <c r="T1406" t="s">
        <v>78</v>
      </c>
      <c r="U1406" t="s">
        <v>1822</v>
      </c>
      <c r="V1406" t="s">
        <v>80</v>
      </c>
      <c r="W1406" s="1">
        <v>44696</v>
      </c>
      <c r="X1406" t="s">
        <v>1859</v>
      </c>
      <c r="Y1406" t="s">
        <v>1860</v>
      </c>
      <c r="Z1406" t="s">
        <v>83</v>
      </c>
      <c r="AA1406">
        <v>1</v>
      </c>
      <c r="AB1406" t="s">
        <v>657</v>
      </c>
      <c r="AC1406">
        <v>1</v>
      </c>
      <c r="AD1406" t="s">
        <v>119</v>
      </c>
      <c r="AE1406" t="s">
        <v>145</v>
      </c>
      <c r="AF1406" t="s">
        <v>146</v>
      </c>
      <c r="AG1406" t="s">
        <v>1428</v>
      </c>
      <c r="AH1406" t="s">
        <v>1868</v>
      </c>
      <c r="AI1406" t="s">
        <v>90</v>
      </c>
      <c r="AJ1406">
        <v>32.425986999999999</v>
      </c>
      <c r="AK1406">
        <v>-110.740407</v>
      </c>
      <c r="AL1406">
        <v>4</v>
      </c>
      <c r="AN1406">
        <v>2364</v>
      </c>
      <c r="AP1406">
        <v>2364</v>
      </c>
      <c r="AQ1406">
        <v>2385.7346400000001</v>
      </c>
      <c r="AT1406">
        <v>15</v>
      </c>
      <c r="AU1406">
        <v>5</v>
      </c>
      <c r="AV1406">
        <v>2022</v>
      </c>
      <c r="AW1406">
        <v>2438019</v>
      </c>
      <c r="AX1406">
        <v>2438019</v>
      </c>
      <c r="AY1406" t="s">
        <v>106</v>
      </c>
      <c r="AZ1406" t="s">
        <v>92</v>
      </c>
      <c r="BA1406" t="s">
        <v>107</v>
      </c>
      <c r="BB1406" t="s">
        <v>1869</v>
      </c>
      <c r="BC1406" t="s">
        <v>97</v>
      </c>
      <c r="BE1406" t="s">
        <v>96</v>
      </c>
      <c r="BG1406" t="s">
        <v>1865</v>
      </c>
      <c r="BI1406" t="s">
        <v>98</v>
      </c>
      <c r="BJ1406" t="s">
        <v>1870</v>
      </c>
      <c r="BL1406" t="s">
        <v>110</v>
      </c>
    </row>
    <row r="1407" spans="1:64" x14ac:dyDescent="0.2">
      <c r="A1407">
        <v>1104</v>
      </c>
      <c r="B1407">
        <v>4027015326</v>
      </c>
      <c r="C1407" t="s">
        <v>101</v>
      </c>
      <c r="D1407" t="s">
        <v>1915</v>
      </c>
      <c r="E1407" t="s">
        <v>65</v>
      </c>
      <c r="F1407" t="s">
        <v>66</v>
      </c>
      <c r="G1407" t="s">
        <v>67</v>
      </c>
      <c r="H1407" t="s">
        <v>68</v>
      </c>
      <c r="I1407" t="s">
        <v>176</v>
      </c>
      <c r="J1407" t="s">
        <v>177</v>
      </c>
      <c r="K1407" t="s">
        <v>178</v>
      </c>
      <c r="M1407" t="s">
        <v>72</v>
      </c>
      <c r="N1407" t="s">
        <v>179</v>
      </c>
      <c r="O1407" t="s">
        <v>178</v>
      </c>
      <c r="P1407" t="s">
        <v>180</v>
      </c>
      <c r="Q1407" t="s">
        <v>75</v>
      </c>
      <c r="R1407" t="s">
        <v>1858</v>
      </c>
      <c r="S1407" t="s">
        <v>694</v>
      </c>
      <c r="T1407" t="s">
        <v>78</v>
      </c>
      <c r="U1407" t="s">
        <v>1822</v>
      </c>
      <c r="V1407" t="s">
        <v>80</v>
      </c>
      <c r="W1407" s="1">
        <v>44696</v>
      </c>
      <c r="X1407" t="s">
        <v>1859</v>
      </c>
      <c r="Y1407" t="s">
        <v>1897</v>
      </c>
      <c r="Z1407" t="s">
        <v>83</v>
      </c>
      <c r="AA1407">
        <v>1</v>
      </c>
      <c r="AB1407" t="s">
        <v>657</v>
      </c>
      <c r="AC1407">
        <v>1</v>
      </c>
      <c r="AD1407" t="s">
        <v>119</v>
      </c>
      <c r="AE1407" t="s">
        <v>86</v>
      </c>
      <c r="AF1407" t="s">
        <v>146</v>
      </c>
      <c r="AG1407" t="s">
        <v>1899</v>
      </c>
      <c r="AH1407" t="s">
        <v>1916</v>
      </c>
      <c r="AI1407" t="s">
        <v>90</v>
      </c>
      <c r="AJ1407">
        <v>32.425916999999998</v>
      </c>
      <c r="AK1407">
        <v>-110.74038299999999</v>
      </c>
      <c r="AL1407">
        <v>4</v>
      </c>
      <c r="AN1407">
        <v>2366</v>
      </c>
      <c r="AP1407">
        <v>2366</v>
      </c>
      <c r="AQ1407">
        <v>2387.1654619999999</v>
      </c>
      <c r="AT1407">
        <v>15</v>
      </c>
      <c r="AU1407">
        <v>5</v>
      </c>
      <c r="AV1407">
        <v>2022</v>
      </c>
      <c r="AW1407">
        <v>2438038</v>
      </c>
      <c r="AX1407">
        <v>2438038</v>
      </c>
      <c r="AY1407" t="s">
        <v>106</v>
      </c>
      <c r="AZ1407" t="s">
        <v>92</v>
      </c>
      <c r="BA1407" t="s">
        <v>107</v>
      </c>
      <c r="BB1407" t="s">
        <v>1917</v>
      </c>
      <c r="BC1407" t="s">
        <v>97</v>
      </c>
      <c r="BE1407" t="s">
        <v>96</v>
      </c>
      <c r="BG1407" t="s">
        <v>1865</v>
      </c>
      <c r="BI1407" t="s">
        <v>98</v>
      </c>
      <c r="BJ1407" t="s">
        <v>1878</v>
      </c>
      <c r="BL1407" t="s">
        <v>110</v>
      </c>
    </row>
    <row r="1408" spans="1:64" x14ac:dyDescent="0.2">
      <c r="A1408">
        <v>920</v>
      </c>
      <c r="B1408">
        <v>4040367326</v>
      </c>
      <c r="C1408" t="s">
        <v>101</v>
      </c>
      <c r="D1408" t="s">
        <v>1983</v>
      </c>
      <c r="E1408" t="s">
        <v>65</v>
      </c>
      <c r="F1408" t="s">
        <v>66</v>
      </c>
      <c r="G1408" t="s">
        <v>67</v>
      </c>
      <c r="H1408" t="s">
        <v>68</v>
      </c>
      <c r="I1408" t="s">
        <v>176</v>
      </c>
      <c r="J1408" t="s">
        <v>177</v>
      </c>
      <c r="K1408" t="s">
        <v>1817</v>
      </c>
      <c r="M1408" t="s">
        <v>72</v>
      </c>
      <c r="N1408" t="s">
        <v>1818</v>
      </c>
      <c r="O1408" t="s">
        <v>1817</v>
      </c>
      <c r="P1408" t="s">
        <v>1819</v>
      </c>
      <c r="Q1408" t="s">
        <v>75</v>
      </c>
      <c r="R1408" t="s">
        <v>1858</v>
      </c>
      <c r="S1408" t="s">
        <v>763</v>
      </c>
      <c r="T1408" t="s">
        <v>78</v>
      </c>
      <c r="U1408" t="s">
        <v>1822</v>
      </c>
      <c r="V1408" t="s">
        <v>80</v>
      </c>
      <c r="W1408" s="1">
        <v>44696</v>
      </c>
      <c r="X1408" t="s">
        <v>1859</v>
      </c>
      <c r="Y1408" t="s">
        <v>1959</v>
      </c>
      <c r="Z1408" t="s">
        <v>83</v>
      </c>
      <c r="AA1408">
        <v>1</v>
      </c>
      <c r="AB1408" t="s">
        <v>657</v>
      </c>
      <c r="AC1408">
        <v>1</v>
      </c>
      <c r="AD1408" t="s">
        <v>119</v>
      </c>
      <c r="AE1408" t="s">
        <v>145</v>
      </c>
      <c r="AF1408" t="s">
        <v>146</v>
      </c>
      <c r="AG1408" t="s">
        <v>1310</v>
      </c>
      <c r="AH1408" t="s">
        <v>1984</v>
      </c>
      <c r="AI1408" t="s">
        <v>90</v>
      </c>
      <c r="AJ1408">
        <v>32.425590999999997</v>
      </c>
      <c r="AK1408">
        <v>-110.739936</v>
      </c>
      <c r="AL1408">
        <v>3</v>
      </c>
      <c r="AN1408">
        <v>2365</v>
      </c>
      <c r="AP1408">
        <v>2365</v>
      </c>
      <c r="AQ1408">
        <v>2383.5533959999998</v>
      </c>
      <c r="AT1408">
        <v>15</v>
      </c>
      <c r="AU1408">
        <v>5</v>
      </c>
      <c r="AV1408">
        <v>2022</v>
      </c>
      <c r="AW1408">
        <v>2437967</v>
      </c>
      <c r="AX1408">
        <v>2437967</v>
      </c>
      <c r="AY1408" t="s">
        <v>106</v>
      </c>
      <c r="AZ1408" t="s">
        <v>92</v>
      </c>
      <c r="BA1408" t="s">
        <v>107</v>
      </c>
      <c r="BB1408" t="s">
        <v>1985</v>
      </c>
      <c r="BC1408" t="s">
        <v>97</v>
      </c>
      <c r="BE1408" t="s">
        <v>96</v>
      </c>
      <c r="BG1408" t="s">
        <v>1865</v>
      </c>
      <c r="BI1408" t="s">
        <v>98</v>
      </c>
      <c r="BJ1408" t="s">
        <v>1986</v>
      </c>
      <c r="BL1408" t="s">
        <v>110</v>
      </c>
    </row>
    <row r="1409" spans="1:64" hidden="1" x14ac:dyDescent="0.2">
      <c r="A1409">
        <v>402</v>
      </c>
      <c r="B1409">
        <v>4136459567</v>
      </c>
      <c r="C1409" t="s">
        <v>101</v>
      </c>
      <c r="D1409" t="s">
        <v>5384</v>
      </c>
      <c r="E1409" t="s">
        <v>65</v>
      </c>
      <c r="F1409" t="s">
        <v>66</v>
      </c>
      <c r="G1409" t="s">
        <v>67</v>
      </c>
      <c r="H1409" t="s">
        <v>68</v>
      </c>
      <c r="I1409" t="s">
        <v>69</v>
      </c>
      <c r="J1409" t="s">
        <v>70</v>
      </c>
      <c r="K1409" t="s">
        <v>4195</v>
      </c>
      <c r="M1409" t="s">
        <v>72</v>
      </c>
      <c r="N1409" t="s">
        <v>4196</v>
      </c>
      <c r="O1409" t="s">
        <v>4195</v>
      </c>
      <c r="P1409" t="s">
        <v>4197</v>
      </c>
      <c r="Q1409" t="s">
        <v>75</v>
      </c>
      <c r="R1409" t="s">
        <v>5008</v>
      </c>
      <c r="S1409" t="s">
        <v>5379</v>
      </c>
      <c r="T1409" t="s">
        <v>78</v>
      </c>
      <c r="U1409" t="s">
        <v>5009</v>
      </c>
      <c r="V1409" t="s">
        <v>80</v>
      </c>
      <c r="W1409" s="1">
        <v>44905</v>
      </c>
      <c r="X1409" t="s">
        <v>5010</v>
      </c>
      <c r="Y1409" t="s">
        <v>5380</v>
      </c>
      <c r="Z1409" t="s">
        <v>83</v>
      </c>
      <c r="AA1409">
        <v>1</v>
      </c>
      <c r="AB1409" t="s">
        <v>5310</v>
      </c>
      <c r="AD1409" t="s">
        <v>343</v>
      </c>
      <c r="AE1409" t="s">
        <v>145</v>
      </c>
      <c r="AF1409" t="s">
        <v>281</v>
      </c>
      <c r="AG1409" t="s">
        <v>980</v>
      </c>
      <c r="AI1409" t="s">
        <v>90</v>
      </c>
      <c r="AJ1409">
        <v>32.313980000000001</v>
      </c>
      <c r="AK1409">
        <v>-110.714242</v>
      </c>
      <c r="AL1409">
        <v>3</v>
      </c>
      <c r="AP1409">
        <v>1204.6239989999999</v>
      </c>
      <c r="AQ1409">
        <v>1204.6239989999999</v>
      </c>
      <c r="AT1409">
        <v>10</v>
      </c>
      <c r="AU1409">
        <v>12</v>
      </c>
      <c r="AV1409">
        <v>2022</v>
      </c>
      <c r="AW1409">
        <v>2439589</v>
      </c>
      <c r="AX1409">
        <v>2439589</v>
      </c>
      <c r="AY1409" t="s">
        <v>106</v>
      </c>
      <c r="AZ1409" t="s">
        <v>92</v>
      </c>
      <c r="BA1409" t="s">
        <v>107</v>
      </c>
      <c r="BB1409" t="s">
        <v>5385</v>
      </c>
      <c r="BC1409" t="s">
        <v>5313</v>
      </c>
      <c r="BD1409" s="1">
        <v>44905</v>
      </c>
      <c r="BE1409" t="s">
        <v>96</v>
      </c>
      <c r="BG1409" t="s">
        <v>5314</v>
      </c>
      <c r="BI1409" t="s">
        <v>98</v>
      </c>
      <c r="BJ1409" t="s">
        <v>3943</v>
      </c>
      <c r="BL1409" t="s">
        <v>412</v>
      </c>
    </row>
    <row r="1410" spans="1:64" x14ac:dyDescent="0.2">
      <c r="A1410">
        <v>1045</v>
      </c>
      <c r="B1410">
        <v>4027015385</v>
      </c>
      <c r="C1410" t="s">
        <v>101</v>
      </c>
      <c r="D1410" t="s">
        <v>2056</v>
      </c>
      <c r="E1410" t="s">
        <v>65</v>
      </c>
      <c r="F1410" t="s">
        <v>66</v>
      </c>
      <c r="G1410" t="s">
        <v>67</v>
      </c>
      <c r="H1410" t="s">
        <v>68</v>
      </c>
      <c r="I1410" t="s">
        <v>350</v>
      </c>
      <c r="J1410" t="s">
        <v>351</v>
      </c>
      <c r="K1410" t="s">
        <v>352</v>
      </c>
      <c r="M1410" t="s">
        <v>72</v>
      </c>
      <c r="N1410" t="s">
        <v>353</v>
      </c>
      <c r="O1410" t="s">
        <v>352</v>
      </c>
      <c r="P1410" t="s">
        <v>180</v>
      </c>
      <c r="Q1410" t="s">
        <v>75</v>
      </c>
      <c r="R1410" t="s">
        <v>1858</v>
      </c>
      <c r="S1410" t="s">
        <v>823</v>
      </c>
      <c r="T1410" t="s">
        <v>78</v>
      </c>
      <c r="U1410" t="s">
        <v>1822</v>
      </c>
      <c r="V1410" t="s">
        <v>80</v>
      </c>
      <c r="W1410" s="1">
        <v>44696</v>
      </c>
      <c r="X1410" t="s">
        <v>1859</v>
      </c>
      <c r="Y1410" t="s">
        <v>2045</v>
      </c>
      <c r="Z1410" t="s">
        <v>83</v>
      </c>
      <c r="AA1410">
        <v>1</v>
      </c>
      <c r="AB1410" t="s">
        <v>657</v>
      </c>
      <c r="AC1410">
        <v>1</v>
      </c>
      <c r="AD1410" t="s">
        <v>119</v>
      </c>
      <c r="AE1410" t="s">
        <v>145</v>
      </c>
      <c r="AF1410" t="s">
        <v>146</v>
      </c>
      <c r="AG1410" t="s">
        <v>2052</v>
      </c>
      <c r="AH1410" t="s">
        <v>2057</v>
      </c>
      <c r="AI1410" t="s">
        <v>90</v>
      </c>
      <c r="AJ1410">
        <v>32.425452999999997</v>
      </c>
      <c r="AK1410">
        <v>-110.740354</v>
      </c>
      <c r="AL1410">
        <v>4</v>
      </c>
      <c r="AN1410">
        <v>2385</v>
      </c>
      <c r="AP1410">
        <v>2385</v>
      </c>
      <c r="AQ1410">
        <v>2398.42578</v>
      </c>
      <c r="AT1410">
        <v>15</v>
      </c>
      <c r="AU1410">
        <v>5</v>
      </c>
      <c r="AV1410">
        <v>2022</v>
      </c>
      <c r="AW1410">
        <v>4972385</v>
      </c>
      <c r="AX1410">
        <v>2437431</v>
      </c>
      <c r="AY1410" t="s">
        <v>106</v>
      </c>
      <c r="AZ1410" t="s">
        <v>92</v>
      </c>
      <c r="BA1410" t="s">
        <v>107</v>
      </c>
      <c r="BB1410" t="s">
        <v>2058</v>
      </c>
      <c r="BC1410" t="s">
        <v>97</v>
      </c>
      <c r="BE1410" t="s">
        <v>96</v>
      </c>
      <c r="BG1410" t="s">
        <v>1865</v>
      </c>
      <c r="BI1410" t="s">
        <v>98</v>
      </c>
      <c r="BJ1410" t="s">
        <v>2059</v>
      </c>
      <c r="BL1410" t="s">
        <v>110</v>
      </c>
    </row>
    <row r="1411" spans="1:64" x14ac:dyDescent="0.2">
      <c r="A1411">
        <v>1078</v>
      </c>
      <c r="B1411">
        <v>4027015352</v>
      </c>
      <c r="C1411" t="s">
        <v>101</v>
      </c>
      <c r="D1411" t="s">
        <v>2141</v>
      </c>
      <c r="E1411" t="s">
        <v>65</v>
      </c>
      <c r="F1411" t="s">
        <v>66</v>
      </c>
      <c r="G1411" t="s">
        <v>67</v>
      </c>
      <c r="H1411" t="s">
        <v>68</v>
      </c>
      <c r="I1411" t="s">
        <v>350</v>
      </c>
      <c r="J1411" t="s">
        <v>351</v>
      </c>
      <c r="K1411" t="s">
        <v>352</v>
      </c>
      <c r="M1411" t="s">
        <v>72</v>
      </c>
      <c r="N1411" t="s">
        <v>353</v>
      </c>
      <c r="O1411" t="s">
        <v>352</v>
      </c>
      <c r="P1411" t="s">
        <v>180</v>
      </c>
      <c r="Q1411" t="s">
        <v>75</v>
      </c>
      <c r="R1411" t="s">
        <v>1858</v>
      </c>
      <c r="S1411" t="s">
        <v>2129</v>
      </c>
      <c r="T1411" t="s">
        <v>78</v>
      </c>
      <c r="U1411" t="s">
        <v>1822</v>
      </c>
      <c r="V1411" t="s">
        <v>80</v>
      </c>
      <c r="W1411" s="1">
        <v>44696</v>
      </c>
      <c r="X1411" t="s">
        <v>1859</v>
      </c>
      <c r="Y1411" t="s">
        <v>2130</v>
      </c>
      <c r="Z1411" t="s">
        <v>83</v>
      </c>
      <c r="AA1411">
        <v>1</v>
      </c>
      <c r="AB1411" t="s">
        <v>657</v>
      </c>
      <c r="AC1411">
        <v>1</v>
      </c>
      <c r="AD1411" t="s">
        <v>119</v>
      </c>
      <c r="AE1411" t="s">
        <v>145</v>
      </c>
      <c r="AF1411" t="s">
        <v>146</v>
      </c>
      <c r="AG1411" t="s">
        <v>2137</v>
      </c>
      <c r="AH1411" t="s">
        <v>2142</v>
      </c>
      <c r="AI1411" t="s">
        <v>90</v>
      </c>
      <c r="AJ1411">
        <v>32.424956999999999</v>
      </c>
      <c r="AK1411">
        <v>-110.740188</v>
      </c>
      <c r="AL1411">
        <v>4</v>
      </c>
      <c r="AN1411">
        <v>2407</v>
      </c>
      <c r="AP1411">
        <v>2407</v>
      </c>
      <c r="AQ1411">
        <v>2409.5920289999999</v>
      </c>
      <c r="AT1411">
        <v>15</v>
      </c>
      <c r="AU1411">
        <v>5</v>
      </c>
      <c r="AV1411">
        <v>2022</v>
      </c>
      <c r="AW1411">
        <v>4972385</v>
      </c>
      <c r="AX1411">
        <v>2437431</v>
      </c>
      <c r="AY1411" t="s">
        <v>106</v>
      </c>
      <c r="AZ1411" t="s">
        <v>92</v>
      </c>
      <c r="BA1411" t="s">
        <v>107</v>
      </c>
      <c r="BB1411" t="s">
        <v>2143</v>
      </c>
      <c r="BC1411" t="s">
        <v>97</v>
      </c>
      <c r="BE1411" t="s">
        <v>96</v>
      </c>
      <c r="BG1411" t="s">
        <v>1865</v>
      </c>
      <c r="BI1411" t="s">
        <v>98</v>
      </c>
      <c r="BJ1411" t="s">
        <v>2144</v>
      </c>
      <c r="BL1411" t="s">
        <v>110</v>
      </c>
    </row>
    <row r="1412" spans="1:64" hidden="1" x14ac:dyDescent="0.2">
      <c r="A1412">
        <v>394</v>
      </c>
      <c r="B1412">
        <v>4136459575</v>
      </c>
      <c r="C1412" t="s">
        <v>101</v>
      </c>
      <c r="D1412" t="s">
        <v>5391</v>
      </c>
      <c r="E1412" t="s">
        <v>65</v>
      </c>
      <c r="F1412" t="s">
        <v>66</v>
      </c>
      <c r="G1412" t="s">
        <v>67</v>
      </c>
      <c r="H1412" t="s">
        <v>68</v>
      </c>
      <c r="I1412" t="s">
        <v>69</v>
      </c>
      <c r="J1412" t="s">
        <v>70</v>
      </c>
      <c r="K1412" t="s">
        <v>4195</v>
      </c>
      <c r="M1412" t="s">
        <v>72</v>
      </c>
      <c r="N1412" t="s">
        <v>4196</v>
      </c>
      <c r="O1412" t="s">
        <v>4195</v>
      </c>
      <c r="P1412" t="s">
        <v>4197</v>
      </c>
      <c r="Q1412" t="s">
        <v>75</v>
      </c>
      <c r="R1412" t="s">
        <v>5008</v>
      </c>
      <c r="S1412" t="s">
        <v>1533</v>
      </c>
      <c r="T1412" t="s">
        <v>78</v>
      </c>
      <c r="U1412" t="s">
        <v>5009</v>
      </c>
      <c r="V1412" t="s">
        <v>80</v>
      </c>
      <c r="W1412" s="1">
        <v>44905</v>
      </c>
      <c r="X1412" t="s">
        <v>5010</v>
      </c>
      <c r="Y1412" t="s">
        <v>5387</v>
      </c>
      <c r="Z1412" t="s">
        <v>83</v>
      </c>
      <c r="AA1412">
        <v>1</v>
      </c>
      <c r="AB1412" t="s">
        <v>5310</v>
      </c>
      <c r="AD1412" t="s">
        <v>343</v>
      </c>
      <c r="AE1412" t="s">
        <v>145</v>
      </c>
      <c r="AF1412" t="s">
        <v>146</v>
      </c>
      <c r="AG1412" t="s">
        <v>765</v>
      </c>
      <c r="AI1412" t="s">
        <v>90</v>
      </c>
      <c r="AJ1412">
        <v>32.314273999999997</v>
      </c>
      <c r="AK1412">
        <v>-110.712423</v>
      </c>
      <c r="AL1412">
        <v>3</v>
      </c>
      <c r="AN1412">
        <v>1165</v>
      </c>
      <c r="AP1412">
        <v>1165</v>
      </c>
      <c r="AQ1412">
        <v>1182.427997</v>
      </c>
      <c r="AT1412">
        <v>10</v>
      </c>
      <c r="AU1412">
        <v>12</v>
      </c>
      <c r="AV1412">
        <v>2022</v>
      </c>
      <c r="AW1412">
        <v>2439589</v>
      </c>
      <c r="AX1412">
        <v>2439589</v>
      </c>
      <c r="AY1412" t="s">
        <v>106</v>
      </c>
      <c r="AZ1412" t="s">
        <v>92</v>
      </c>
      <c r="BA1412" t="s">
        <v>107</v>
      </c>
      <c r="BB1412" t="s">
        <v>5392</v>
      </c>
      <c r="BC1412" t="s">
        <v>5313</v>
      </c>
      <c r="BD1412" s="1">
        <v>44905</v>
      </c>
      <c r="BE1412" t="s">
        <v>96</v>
      </c>
      <c r="BG1412" t="s">
        <v>5314</v>
      </c>
      <c r="BI1412" t="s">
        <v>98</v>
      </c>
      <c r="BJ1412" t="s">
        <v>1732</v>
      </c>
      <c r="BL1412" t="s">
        <v>412</v>
      </c>
    </row>
    <row r="1413" spans="1:64" x14ac:dyDescent="0.2">
      <c r="A1413">
        <v>1124</v>
      </c>
      <c r="B1413">
        <v>4027015306</v>
      </c>
      <c r="C1413" t="s">
        <v>101</v>
      </c>
      <c r="D1413" t="s">
        <v>2194</v>
      </c>
      <c r="E1413" t="s">
        <v>65</v>
      </c>
      <c r="F1413" t="s">
        <v>66</v>
      </c>
      <c r="G1413" t="s">
        <v>67</v>
      </c>
      <c r="H1413" t="s">
        <v>68</v>
      </c>
      <c r="I1413" t="s">
        <v>350</v>
      </c>
      <c r="J1413" t="s">
        <v>351</v>
      </c>
      <c r="K1413" t="s">
        <v>352</v>
      </c>
      <c r="M1413" t="s">
        <v>72</v>
      </c>
      <c r="N1413" t="s">
        <v>353</v>
      </c>
      <c r="O1413" t="s">
        <v>352</v>
      </c>
      <c r="P1413" t="s">
        <v>180</v>
      </c>
      <c r="Q1413" t="s">
        <v>75</v>
      </c>
      <c r="R1413" t="s">
        <v>2168</v>
      </c>
      <c r="S1413" t="s">
        <v>2177</v>
      </c>
      <c r="T1413" t="s">
        <v>78</v>
      </c>
      <c r="U1413" t="s">
        <v>1822</v>
      </c>
      <c r="V1413" t="s">
        <v>80</v>
      </c>
      <c r="W1413" s="1">
        <v>44696</v>
      </c>
      <c r="X1413" t="s">
        <v>1859</v>
      </c>
      <c r="Y1413" t="s">
        <v>2178</v>
      </c>
      <c r="Z1413" t="s">
        <v>83</v>
      </c>
      <c r="AA1413">
        <v>1</v>
      </c>
      <c r="AB1413" t="s">
        <v>657</v>
      </c>
      <c r="AC1413">
        <v>1</v>
      </c>
      <c r="AD1413" t="s">
        <v>119</v>
      </c>
      <c r="AE1413" t="s">
        <v>145</v>
      </c>
      <c r="AF1413" t="s">
        <v>146</v>
      </c>
      <c r="AG1413" t="s">
        <v>2184</v>
      </c>
      <c r="AH1413" t="s">
        <v>2195</v>
      </c>
      <c r="AI1413" t="s">
        <v>90</v>
      </c>
      <c r="AJ1413">
        <v>32.422614000000003</v>
      </c>
      <c r="AK1413">
        <v>-110.73336399999999</v>
      </c>
      <c r="AL1413">
        <v>174</v>
      </c>
      <c r="AP1413">
        <v>2419.8365840000001</v>
      </c>
      <c r="AQ1413">
        <v>2419.8365840000001</v>
      </c>
      <c r="AT1413">
        <v>15</v>
      </c>
      <c r="AU1413">
        <v>5</v>
      </c>
      <c r="AV1413">
        <v>2022</v>
      </c>
      <c r="AW1413">
        <v>4972385</v>
      </c>
      <c r="AX1413">
        <v>2437431</v>
      </c>
      <c r="AY1413" t="s">
        <v>106</v>
      </c>
      <c r="AZ1413" t="s">
        <v>92</v>
      </c>
      <c r="BA1413" t="s">
        <v>107</v>
      </c>
      <c r="BB1413" t="s">
        <v>2196</v>
      </c>
      <c r="BC1413" t="s">
        <v>97</v>
      </c>
      <c r="BE1413" t="s">
        <v>96</v>
      </c>
      <c r="BG1413" t="s">
        <v>1865</v>
      </c>
      <c r="BI1413" t="s">
        <v>98</v>
      </c>
      <c r="BJ1413" t="s">
        <v>2197</v>
      </c>
      <c r="BL1413" t="s">
        <v>412</v>
      </c>
    </row>
    <row r="1414" spans="1:64" hidden="1" x14ac:dyDescent="0.2">
      <c r="A1414">
        <v>390</v>
      </c>
      <c r="B1414">
        <v>4136459579</v>
      </c>
      <c r="C1414" t="s">
        <v>101</v>
      </c>
      <c r="D1414" t="s">
        <v>5398</v>
      </c>
      <c r="E1414" t="s">
        <v>65</v>
      </c>
      <c r="F1414" t="s">
        <v>66</v>
      </c>
      <c r="G1414" t="s">
        <v>67</v>
      </c>
      <c r="H1414" t="s">
        <v>68</v>
      </c>
      <c r="I1414" t="s">
        <v>69</v>
      </c>
      <c r="J1414" t="s">
        <v>70</v>
      </c>
      <c r="K1414" t="s">
        <v>4195</v>
      </c>
      <c r="M1414" t="s">
        <v>72</v>
      </c>
      <c r="N1414" t="s">
        <v>4196</v>
      </c>
      <c r="O1414" t="s">
        <v>4195</v>
      </c>
      <c r="P1414" t="s">
        <v>4197</v>
      </c>
      <c r="Q1414" t="s">
        <v>75</v>
      </c>
      <c r="R1414" t="s">
        <v>5008</v>
      </c>
      <c r="S1414" t="s">
        <v>5394</v>
      </c>
      <c r="T1414" t="s">
        <v>78</v>
      </c>
      <c r="U1414" t="s">
        <v>5009</v>
      </c>
      <c r="V1414" t="s">
        <v>80</v>
      </c>
      <c r="W1414" s="1">
        <v>44905</v>
      </c>
      <c r="X1414" t="s">
        <v>5010</v>
      </c>
      <c r="Y1414" t="s">
        <v>5395</v>
      </c>
      <c r="Z1414" t="s">
        <v>83</v>
      </c>
      <c r="AA1414">
        <v>1</v>
      </c>
      <c r="AB1414" t="s">
        <v>5310</v>
      </c>
      <c r="AD1414" t="s">
        <v>343</v>
      </c>
      <c r="AE1414" t="s">
        <v>145</v>
      </c>
      <c r="AF1414" t="s">
        <v>146</v>
      </c>
      <c r="AG1414" t="s">
        <v>5396</v>
      </c>
      <c r="AI1414" t="s">
        <v>90</v>
      </c>
      <c r="AJ1414">
        <v>32.313344999999998</v>
      </c>
      <c r="AK1414">
        <v>-110.71426700000001</v>
      </c>
      <c r="AL1414">
        <v>3</v>
      </c>
      <c r="AP1414">
        <v>1182.7391990000001</v>
      </c>
      <c r="AQ1414">
        <v>1182.7391990000001</v>
      </c>
      <c r="AT1414">
        <v>10</v>
      </c>
      <c r="AU1414">
        <v>12</v>
      </c>
      <c r="AV1414">
        <v>2022</v>
      </c>
      <c r="AW1414">
        <v>2439589</v>
      </c>
      <c r="AX1414">
        <v>2439589</v>
      </c>
      <c r="AY1414" t="s">
        <v>106</v>
      </c>
      <c r="AZ1414" t="s">
        <v>92</v>
      </c>
      <c r="BA1414" t="s">
        <v>107</v>
      </c>
      <c r="BB1414" t="s">
        <v>5399</v>
      </c>
      <c r="BC1414" t="s">
        <v>5313</v>
      </c>
      <c r="BD1414" s="1">
        <v>44905</v>
      </c>
      <c r="BE1414" t="s">
        <v>96</v>
      </c>
      <c r="BG1414" t="s">
        <v>5314</v>
      </c>
      <c r="BI1414" t="s">
        <v>98</v>
      </c>
      <c r="BJ1414" t="s">
        <v>3916</v>
      </c>
      <c r="BL1414" t="s">
        <v>412</v>
      </c>
    </row>
    <row r="1415" spans="1:64" x14ac:dyDescent="0.2">
      <c r="A1415">
        <v>250</v>
      </c>
      <c r="B1415">
        <v>4403382388</v>
      </c>
      <c r="C1415" t="s">
        <v>101</v>
      </c>
      <c r="D1415" t="s">
        <v>384</v>
      </c>
      <c r="E1415" t="s">
        <v>65</v>
      </c>
      <c r="F1415" t="s">
        <v>66</v>
      </c>
      <c r="G1415" t="s">
        <v>67</v>
      </c>
      <c r="H1415" t="s">
        <v>68</v>
      </c>
      <c r="I1415" t="s">
        <v>350</v>
      </c>
      <c r="J1415" t="s">
        <v>351</v>
      </c>
      <c r="K1415" t="s">
        <v>352</v>
      </c>
      <c r="M1415" t="s">
        <v>72</v>
      </c>
      <c r="N1415" t="s">
        <v>353</v>
      </c>
      <c r="O1415" t="s">
        <v>352</v>
      </c>
      <c r="P1415" t="s">
        <v>180</v>
      </c>
      <c r="Q1415" t="s">
        <v>75</v>
      </c>
      <c r="R1415" t="s">
        <v>354</v>
      </c>
      <c r="S1415" t="s">
        <v>355</v>
      </c>
      <c r="T1415" t="s">
        <v>78</v>
      </c>
      <c r="U1415" t="s">
        <v>79</v>
      </c>
      <c r="V1415" t="s">
        <v>80</v>
      </c>
      <c r="W1415" s="1">
        <v>45115</v>
      </c>
      <c r="X1415" t="s">
        <v>356</v>
      </c>
      <c r="Y1415" t="s">
        <v>357</v>
      </c>
      <c r="Z1415" t="s">
        <v>83</v>
      </c>
      <c r="AA1415">
        <v>1</v>
      </c>
      <c r="AB1415" t="s">
        <v>385</v>
      </c>
      <c r="AC1415">
        <v>1</v>
      </c>
      <c r="AD1415" t="s">
        <v>119</v>
      </c>
      <c r="AE1415" t="s">
        <v>145</v>
      </c>
      <c r="AF1415" t="s">
        <v>359</v>
      </c>
      <c r="AG1415" t="s">
        <v>360</v>
      </c>
      <c r="AH1415" t="s">
        <v>386</v>
      </c>
      <c r="AI1415" t="s">
        <v>90</v>
      </c>
      <c r="AJ1415">
        <v>32.372172999999997</v>
      </c>
      <c r="AK1415">
        <v>-110.70312199999999</v>
      </c>
      <c r="AL1415">
        <v>3</v>
      </c>
      <c r="AN1415">
        <v>1891</v>
      </c>
      <c r="AP1415">
        <v>1891</v>
      </c>
      <c r="AQ1415">
        <v>1902.1531339999999</v>
      </c>
      <c r="AT1415">
        <v>8</v>
      </c>
      <c r="AU1415">
        <v>7</v>
      </c>
      <c r="AV1415">
        <v>2023</v>
      </c>
      <c r="AW1415">
        <v>4972385</v>
      </c>
      <c r="AX1415">
        <v>2437431</v>
      </c>
      <c r="AY1415" t="s">
        <v>106</v>
      </c>
      <c r="AZ1415" t="s">
        <v>92</v>
      </c>
      <c r="BA1415" t="s">
        <v>107</v>
      </c>
      <c r="BB1415" t="s">
        <v>387</v>
      </c>
      <c r="BC1415" t="s">
        <v>95</v>
      </c>
      <c r="BD1415" s="1">
        <v>45115</v>
      </c>
      <c r="BE1415" t="s">
        <v>96</v>
      </c>
      <c r="BG1415" t="s">
        <v>363</v>
      </c>
      <c r="BI1415" t="s">
        <v>98</v>
      </c>
      <c r="BJ1415" t="s">
        <v>380</v>
      </c>
      <c r="BL1415" t="s">
        <v>110</v>
      </c>
    </row>
    <row r="1416" spans="1:64" hidden="1" x14ac:dyDescent="0.2">
      <c r="A1416">
        <v>386</v>
      </c>
      <c r="B1416">
        <v>4136459583</v>
      </c>
      <c r="C1416" t="s">
        <v>101</v>
      </c>
      <c r="D1416" t="s">
        <v>5403</v>
      </c>
      <c r="E1416" t="s">
        <v>65</v>
      </c>
      <c r="F1416" t="s">
        <v>66</v>
      </c>
      <c r="G1416" t="s">
        <v>67</v>
      </c>
      <c r="H1416" t="s">
        <v>68</v>
      </c>
      <c r="I1416" t="s">
        <v>69</v>
      </c>
      <c r="J1416" t="s">
        <v>70</v>
      </c>
      <c r="K1416" t="s">
        <v>4195</v>
      </c>
      <c r="M1416" t="s">
        <v>72</v>
      </c>
      <c r="N1416" t="s">
        <v>4196</v>
      </c>
      <c r="O1416" t="s">
        <v>4195</v>
      </c>
      <c r="P1416" t="s">
        <v>4197</v>
      </c>
      <c r="Q1416" t="s">
        <v>75</v>
      </c>
      <c r="R1416" t="s">
        <v>5008</v>
      </c>
      <c r="S1416" t="s">
        <v>1592</v>
      </c>
      <c r="T1416" t="s">
        <v>78</v>
      </c>
      <c r="U1416" t="s">
        <v>5009</v>
      </c>
      <c r="V1416" t="s">
        <v>80</v>
      </c>
      <c r="W1416" s="1">
        <v>44905</v>
      </c>
      <c r="X1416" t="s">
        <v>5010</v>
      </c>
      <c r="Y1416" t="s">
        <v>5401</v>
      </c>
      <c r="Z1416" t="s">
        <v>83</v>
      </c>
      <c r="AA1416">
        <v>1</v>
      </c>
      <c r="AB1416" t="s">
        <v>5310</v>
      </c>
      <c r="AD1416" t="s">
        <v>343</v>
      </c>
      <c r="AE1416" t="s">
        <v>145</v>
      </c>
      <c r="AF1416" t="s">
        <v>281</v>
      </c>
      <c r="AG1416" t="s">
        <v>980</v>
      </c>
      <c r="AI1416" t="s">
        <v>90</v>
      </c>
      <c r="AJ1416">
        <v>32.313636000000002</v>
      </c>
      <c r="AK1416">
        <v>-110.71335500000001</v>
      </c>
      <c r="AL1416">
        <v>3</v>
      </c>
      <c r="AN1416">
        <v>1153</v>
      </c>
      <c r="AP1416">
        <v>1153</v>
      </c>
      <c r="AQ1416">
        <v>1183.792565</v>
      </c>
      <c r="AT1416">
        <v>10</v>
      </c>
      <c r="AU1416">
        <v>12</v>
      </c>
      <c r="AV1416">
        <v>2022</v>
      </c>
      <c r="AW1416">
        <v>2439589</v>
      </c>
      <c r="AX1416">
        <v>2439589</v>
      </c>
      <c r="AY1416" t="s">
        <v>106</v>
      </c>
      <c r="AZ1416" t="s">
        <v>92</v>
      </c>
      <c r="BA1416" t="s">
        <v>107</v>
      </c>
      <c r="BB1416" t="s">
        <v>5404</v>
      </c>
      <c r="BC1416" t="s">
        <v>5313</v>
      </c>
      <c r="BD1416" s="1">
        <v>44905</v>
      </c>
      <c r="BE1416" t="s">
        <v>96</v>
      </c>
      <c r="BG1416" t="s">
        <v>5314</v>
      </c>
      <c r="BI1416" t="s">
        <v>98</v>
      </c>
      <c r="BJ1416" t="s">
        <v>1724</v>
      </c>
      <c r="BL1416" t="s">
        <v>110</v>
      </c>
    </row>
    <row r="1417" spans="1:64" x14ac:dyDescent="0.2">
      <c r="A1417">
        <v>266</v>
      </c>
      <c r="B1417">
        <v>4403382372</v>
      </c>
      <c r="C1417" t="s">
        <v>101</v>
      </c>
      <c r="D1417" t="s">
        <v>413</v>
      </c>
      <c r="E1417" t="s">
        <v>65</v>
      </c>
      <c r="F1417" t="s">
        <v>66</v>
      </c>
      <c r="G1417" t="s">
        <v>67</v>
      </c>
      <c r="H1417" t="s">
        <v>68</v>
      </c>
      <c r="I1417" t="s">
        <v>176</v>
      </c>
      <c r="J1417" t="s">
        <v>177</v>
      </c>
      <c r="K1417" t="s">
        <v>178</v>
      </c>
      <c r="M1417" t="s">
        <v>72</v>
      </c>
      <c r="N1417" t="s">
        <v>179</v>
      </c>
      <c r="O1417" t="s">
        <v>178</v>
      </c>
      <c r="P1417" t="s">
        <v>180</v>
      </c>
      <c r="Q1417" t="s">
        <v>75</v>
      </c>
      <c r="R1417" t="s">
        <v>354</v>
      </c>
      <c r="S1417" t="s">
        <v>399</v>
      </c>
      <c r="T1417" t="s">
        <v>78</v>
      </c>
      <c r="U1417" t="s">
        <v>79</v>
      </c>
      <c r="V1417" t="s">
        <v>80</v>
      </c>
      <c r="W1417" s="1">
        <v>45115</v>
      </c>
      <c r="X1417" t="s">
        <v>356</v>
      </c>
      <c r="Y1417" t="s">
        <v>400</v>
      </c>
      <c r="Z1417" t="s">
        <v>83</v>
      </c>
      <c r="AA1417">
        <v>1</v>
      </c>
      <c r="AB1417" t="s">
        <v>385</v>
      </c>
      <c r="AC1417">
        <v>1</v>
      </c>
      <c r="AD1417" t="s">
        <v>119</v>
      </c>
      <c r="AE1417" t="s">
        <v>145</v>
      </c>
      <c r="AF1417" t="s">
        <v>402</v>
      </c>
      <c r="AG1417" t="s">
        <v>403</v>
      </c>
      <c r="AH1417" t="s">
        <v>414</v>
      </c>
      <c r="AI1417" t="s">
        <v>90</v>
      </c>
      <c r="AJ1417">
        <v>32.372850999999997</v>
      </c>
      <c r="AK1417">
        <v>-110.701184</v>
      </c>
      <c r="AL1417">
        <v>3</v>
      </c>
      <c r="AN1417">
        <v>1896</v>
      </c>
      <c r="AP1417">
        <v>1896</v>
      </c>
      <c r="AQ1417">
        <v>1911.013565</v>
      </c>
      <c r="AT1417">
        <v>8</v>
      </c>
      <c r="AU1417">
        <v>7</v>
      </c>
      <c r="AV1417">
        <v>2023</v>
      </c>
      <c r="AW1417">
        <v>2438038</v>
      </c>
      <c r="AX1417">
        <v>2438038</v>
      </c>
      <c r="AY1417" t="s">
        <v>106</v>
      </c>
      <c r="AZ1417" t="s">
        <v>92</v>
      </c>
      <c r="BA1417" t="s">
        <v>107</v>
      </c>
      <c r="BB1417" t="s">
        <v>415</v>
      </c>
      <c r="BC1417" t="s">
        <v>95</v>
      </c>
      <c r="BD1417" s="1">
        <v>45115</v>
      </c>
      <c r="BE1417" t="s">
        <v>96</v>
      </c>
      <c r="BG1417" t="s">
        <v>363</v>
      </c>
      <c r="BI1417" t="s">
        <v>98</v>
      </c>
      <c r="BJ1417" t="s">
        <v>411</v>
      </c>
      <c r="BL1417" t="s">
        <v>412</v>
      </c>
    </row>
    <row r="1418" spans="1:64" x14ac:dyDescent="0.2">
      <c r="A1418">
        <v>317</v>
      </c>
      <c r="B1418">
        <v>4403382321</v>
      </c>
      <c r="C1418" t="s">
        <v>101</v>
      </c>
      <c r="D1418" t="s">
        <v>444</v>
      </c>
      <c r="E1418" t="s">
        <v>65</v>
      </c>
      <c r="F1418" t="s">
        <v>66</v>
      </c>
      <c r="G1418" t="s">
        <v>67</v>
      </c>
      <c r="H1418" t="s">
        <v>68</v>
      </c>
      <c r="I1418" t="s">
        <v>176</v>
      </c>
      <c r="J1418" t="s">
        <v>177</v>
      </c>
      <c r="K1418" t="s">
        <v>178</v>
      </c>
      <c r="M1418" t="s">
        <v>72</v>
      </c>
      <c r="N1418" t="s">
        <v>179</v>
      </c>
      <c r="O1418" t="s">
        <v>178</v>
      </c>
      <c r="P1418" t="s">
        <v>180</v>
      </c>
      <c r="Q1418" t="s">
        <v>75</v>
      </c>
      <c r="R1418" t="s">
        <v>354</v>
      </c>
      <c r="S1418" t="s">
        <v>437</v>
      </c>
      <c r="T1418" t="s">
        <v>78</v>
      </c>
      <c r="U1418" t="s">
        <v>79</v>
      </c>
      <c r="V1418" t="s">
        <v>80</v>
      </c>
      <c r="W1418" s="1">
        <v>45115</v>
      </c>
      <c r="X1418" t="s">
        <v>356</v>
      </c>
      <c r="Y1418" t="s">
        <v>438</v>
      </c>
      <c r="Z1418" t="s">
        <v>83</v>
      </c>
      <c r="AA1418">
        <v>1</v>
      </c>
      <c r="AB1418" t="s">
        <v>385</v>
      </c>
      <c r="AC1418">
        <v>1</v>
      </c>
      <c r="AD1418" t="s">
        <v>119</v>
      </c>
      <c r="AE1418" t="s">
        <v>86</v>
      </c>
      <c r="AF1418" t="s">
        <v>402</v>
      </c>
      <c r="AG1418" t="s">
        <v>440</v>
      </c>
      <c r="AH1418" t="s">
        <v>445</v>
      </c>
      <c r="AI1418" t="s">
        <v>90</v>
      </c>
      <c r="AJ1418">
        <v>32.372531000000002</v>
      </c>
      <c r="AK1418">
        <v>-110.702724</v>
      </c>
      <c r="AL1418">
        <v>3</v>
      </c>
      <c r="AN1418">
        <v>1920</v>
      </c>
      <c r="AP1418">
        <v>1920</v>
      </c>
      <c r="AQ1418">
        <v>1911.5636179999999</v>
      </c>
      <c r="AT1418">
        <v>8</v>
      </c>
      <c r="AU1418">
        <v>7</v>
      </c>
      <c r="AV1418">
        <v>2023</v>
      </c>
      <c r="AW1418">
        <v>2438038</v>
      </c>
      <c r="AX1418">
        <v>2438038</v>
      </c>
      <c r="AY1418" t="s">
        <v>106</v>
      </c>
      <c r="AZ1418" t="s">
        <v>92</v>
      </c>
      <c r="BA1418" t="s">
        <v>107</v>
      </c>
      <c r="BB1418" t="s">
        <v>446</v>
      </c>
      <c r="BC1418" t="s">
        <v>95</v>
      </c>
      <c r="BD1418" s="1">
        <v>45115</v>
      </c>
      <c r="BE1418" t="s">
        <v>96</v>
      </c>
      <c r="BG1418" t="s">
        <v>363</v>
      </c>
      <c r="BI1418" t="s">
        <v>98</v>
      </c>
      <c r="BJ1418" t="s">
        <v>432</v>
      </c>
      <c r="BL1418" t="s">
        <v>110</v>
      </c>
    </row>
    <row r="1419" spans="1:64" hidden="1" x14ac:dyDescent="0.2">
      <c r="A1419">
        <v>420</v>
      </c>
      <c r="B1419">
        <v>4136459539</v>
      </c>
      <c r="C1419" t="s">
        <v>101</v>
      </c>
      <c r="D1419" t="s">
        <v>5410</v>
      </c>
      <c r="E1419" t="s">
        <v>65</v>
      </c>
      <c r="F1419" t="s">
        <v>66</v>
      </c>
      <c r="G1419" t="s">
        <v>67</v>
      </c>
      <c r="H1419" t="s">
        <v>68</v>
      </c>
      <c r="I1419" t="s">
        <v>176</v>
      </c>
      <c r="J1419" t="s">
        <v>177</v>
      </c>
      <c r="K1419" t="s">
        <v>3925</v>
      </c>
      <c r="M1419" t="s">
        <v>72</v>
      </c>
      <c r="N1419" t="s">
        <v>3926</v>
      </c>
      <c r="O1419" t="s">
        <v>3925</v>
      </c>
      <c r="P1419" t="s">
        <v>1176</v>
      </c>
      <c r="Q1419" t="s">
        <v>75</v>
      </c>
      <c r="R1419" t="s">
        <v>5008</v>
      </c>
      <c r="S1419" t="s">
        <v>5411</v>
      </c>
      <c r="T1419" t="s">
        <v>78</v>
      </c>
      <c r="U1419" t="s">
        <v>5009</v>
      </c>
      <c r="V1419" t="s">
        <v>80</v>
      </c>
      <c r="W1419" s="1">
        <v>44905</v>
      </c>
      <c r="X1419" t="s">
        <v>5010</v>
      </c>
      <c r="Y1419" t="s">
        <v>5412</v>
      </c>
      <c r="Z1419" t="s">
        <v>83</v>
      </c>
      <c r="AA1419">
        <v>1</v>
      </c>
      <c r="AB1419" t="s">
        <v>5310</v>
      </c>
      <c r="AD1419" t="s">
        <v>343</v>
      </c>
      <c r="AE1419" t="s">
        <v>86</v>
      </c>
      <c r="AF1419" t="s">
        <v>146</v>
      </c>
      <c r="AG1419" t="s">
        <v>5413</v>
      </c>
      <c r="AI1419" t="s">
        <v>90</v>
      </c>
      <c r="AJ1419">
        <v>32.314050999999999</v>
      </c>
      <c r="AK1419">
        <v>-110.712856</v>
      </c>
      <c r="AL1419">
        <v>3</v>
      </c>
      <c r="AN1419">
        <v>1178</v>
      </c>
      <c r="AP1419">
        <v>1178</v>
      </c>
      <c r="AQ1419">
        <v>1183.6159990000001</v>
      </c>
      <c r="AT1419">
        <v>10</v>
      </c>
      <c r="AU1419">
        <v>12</v>
      </c>
      <c r="AV1419">
        <v>2022</v>
      </c>
      <c r="AW1419">
        <v>2437981</v>
      </c>
      <c r="AX1419">
        <v>2437981</v>
      </c>
      <c r="AY1419" t="s">
        <v>106</v>
      </c>
      <c r="AZ1419" t="s">
        <v>92</v>
      </c>
      <c r="BA1419" t="s">
        <v>107</v>
      </c>
      <c r="BB1419" t="s">
        <v>5414</v>
      </c>
      <c r="BC1419" t="s">
        <v>5313</v>
      </c>
      <c r="BD1419" s="1">
        <v>44905</v>
      </c>
      <c r="BE1419" t="s">
        <v>96</v>
      </c>
      <c r="BG1419" t="s">
        <v>5314</v>
      </c>
      <c r="BI1419" t="s">
        <v>98</v>
      </c>
      <c r="BJ1419" t="s">
        <v>1798</v>
      </c>
      <c r="BL1419" t="s">
        <v>110</v>
      </c>
    </row>
    <row r="1420" spans="1:64" x14ac:dyDescent="0.2">
      <c r="A1420">
        <v>731</v>
      </c>
      <c r="B1420">
        <v>4070420506</v>
      </c>
      <c r="C1420" t="s">
        <v>101</v>
      </c>
      <c r="D1420" t="s">
        <v>2274</v>
      </c>
      <c r="E1420" t="s">
        <v>65</v>
      </c>
      <c r="F1420" t="s">
        <v>66</v>
      </c>
      <c r="G1420" t="s">
        <v>67</v>
      </c>
      <c r="H1420" t="s">
        <v>2232</v>
      </c>
      <c r="I1420" t="s">
        <v>2233</v>
      </c>
      <c r="J1420" t="s">
        <v>2234</v>
      </c>
      <c r="K1420" t="s">
        <v>2235</v>
      </c>
      <c r="M1420" t="s">
        <v>72</v>
      </c>
      <c r="N1420" t="s">
        <v>2236</v>
      </c>
      <c r="O1420" t="s">
        <v>2235</v>
      </c>
      <c r="P1420" t="s">
        <v>2237</v>
      </c>
      <c r="Q1420" t="s">
        <v>75</v>
      </c>
      <c r="R1420" t="s">
        <v>2238</v>
      </c>
      <c r="S1420" t="s">
        <v>2239</v>
      </c>
      <c r="T1420" t="s">
        <v>78</v>
      </c>
      <c r="U1420" t="s">
        <v>1822</v>
      </c>
      <c r="V1420" t="s">
        <v>80</v>
      </c>
      <c r="W1420" s="1">
        <v>44813</v>
      </c>
      <c r="X1420" t="s">
        <v>1823</v>
      </c>
      <c r="Y1420" t="s">
        <v>2240</v>
      </c>
      <c r="Z1420" t="s">
        <v>83</v>
      </c>
      <c r="AA1420">
        <v>1</v>
      </c>
      <c r="AB1420" t="s">
        <v>103</v>
      </c>
      <c r="AC1420">
        <v>1</v>
      </c>
      <c r="AD1420" t="s">
        <v>119</v>
      </c>
      <c r="AE1420" t="s">
        <v>145</v>
      </c>
      <c r="AF1420" t="s">
        <v>146</v>
      </c>
      <c r="AG1420" t="s">
        <v>2242</v>
      </c>
      <c r="AH1420" t="s">
        <v>2275</v>
      </c>
      <c r="AI1420" t="s">
        <v>90</v>
      </c>
      <c r="AJ1420">
        <v>32.441406999999998</v>
      </c>
      <c r="AK1420">
        <v>-110.78778200000001</v>
      </c>
      <c r="AL1420">
        <v>15</v>
      </c>
      <c r="AN1420">
        <v>2770</v>
      </c>
      <c r="AP1420">
        <v>2770</v>
      </c>
      <c r="AQ1420">
        <v>2788.9607980000001</v>
      </c>
      <c r="AT1420">
        <v>9</v>
      </c>
      <c r="AU1420">
        <v>9</v>
      </c>
      <c r="AV1420">
        <v>2022</v>
      </c>
      <c r="AW1420">
        <v>2436019</v>
      </c>
      <c r="AX1420">
        <v>2436019</v>
      </c>
      <c r="AY1420" t="s">
        <v>106</v>
      </c>
      <c r="AZ1420" t="s">
        <v>92</v>
      </c>
      <c r="BA1420" t="s">
        <v>107</v>
      </c>
      <c r="BB1420" t="s">
        <v>2276</v>
      </c>
      <c r="BC1420" t="s">
        <v>2245</v>
      </c>
      <c r="BE1420" t="s">
        <v>96</v>
      </c>
      <c r="BG1420" t="s">
        <v>2246</v>
      </c>
      <c r="BI1420" t="s">
        <v>98</v>
      </c>
      <c r="BJ1420" t="s">
        <v>2277</v>
      </c>
      <c r="BL1420" t="s">
        <v>412</v>
      </c>
    </row>
    <row r="1421" spans="1:64" x14ac:dyDescent="0.2">
      <c r="A1421">
        <v>698</v>
      </c>
      <c r="B1421">
        <v>4070420539</v>
      </c>
      <c r="C1421" t="s">
        <v>101</v>
      </c>
      <c r="D1421" t="s">
        <v>2286</v>
      </c>
      <c r="E1421" t="s">
        <v>65</v>
      </c>
      <c r="F1421" t="s">
        <v>66</v>
      </c>
      <c r="G1421" t="s">
        <v>67</v>
      </c>
      <c r="H1421" t="s">
        <v>68</v>
      </c>
      <c r="I1421" t="s">
        <v>176</v>
      </c>
      <c r="J1421" t="s">
        <v>773</v>
      </c>
      <c r="K1421" t="s">
        <v>774</v>
      </c>
      <c r="M1421" t="s">
        <v>72</v>
      </c>
      <c r="N1421" t="s">
        <v>775</v>
      </c>
      <c r="O1421" t="s">
        <v>774</v>
      </c>
      <c r="P1421" t="s">
        <v>776</v>
      </c>
      <c r="Q1421" t="s">
        <v>75</v>
      </c>
      <c r="R1421" t="s">
        <v>2238</v>
      </c>
      <c r="S1421" t="s">
        <v>2279</v>
      </c>
      <c r="T1421" t="s">
        <v>78</v>
      </c>
      <c r="U1421" t="s">
        <v>1822</v>
      </c>
      <c r="V1421" t="s">
        <v>80</v>
      </c>
      <c r="W1421" s="1">
        <v>44813</v>
      </c>
      <c r="X1421" t="s">
        <v>1823</v>
      </c>
      <c r="Y1421" t="s">
        <v>2280</v>
      </c>
      <c r="Z1421" t="s">
        <v>83</v>
      </c>
      <c r="AA1421">
        <v>1</v>
      </c>
      <c r="AB1421" t="s">
        <v>103</v>
      </c>
      <c r="AC1421">
        <v>1</v>
      </c>
      <c r="AD1421" t="s">
        <v>119</v>
      </c>
      <c r="AE1421" t="s">
        <v>86</v>
      </c>
      <c r="AF1421" t="s">
        <v>146</v>
      </c>
      <c r="AG1421" t="s">
        <v>2282</v>
      </c>
      <c r="AH1421" t="s">
        <v>2287</v>
      </c>
      <c r="AI1421" t="s">
        <v>90</v>
      </c>
      <c r="AJ1421">
        <v>32.441125</v>
      </c>
      <c r="AK1421">
        <v>-110.786114</v>
      </c>
      <c r="AL1421">
        <v>15</v>
      </c>
      <c r="AN1421">
        <v>2760</v>
      </c>
      <c r="AP1421">
        <v>2760</v>
      </c>
      <c r="AQ1421">
        <v>2778.4598810000002</v>
      </c>
      <c r="AT1421">
        <v>9</v>
      </c>
      <c r="AU1421">
        <v>9</v>
      </c>
      <c r="AV1421">
        <v>2022</v>
      </c>
      <c r="AW1421">
        <v>2438447</v>
      </c>
      <c r="AX1421">
        <v>2438447</v>
      </c>
      <c r="AY1421" t="s">
        <v>106</v>
      </c>
      <c r="AZ1421" t="s">
        <v>92</v>
      </c>
      <c r="BA1421" t="s">
        <v>107</v>
      </c>
      <c r="BB1421" t="s">
        <v>2288</v>
      </c>
      <c r="BC1421" t="s">
        <v>2245</v>
      </c>
      <c r="BE1421" t="s">
        <v>96</v>
      </c>
      <c r="BG1421" t="s">
        <v>2246</v>
      </c>
      <c r="BI1421" t="s">
        <v>98</v>
      </c>
      <c r="BJ1421" t="s">
        <v>2289</v>
      </c>
      <c r="BL1421" t="s">
        <v>412</v>
      </c>
    </row>
    <row r="1422" spans="1:64" x14ac:dyDescent="0.2">
      <c r="A1422">
        <v>869</v>
      </c>
      <c r="B1422">
        <v>4070420354</v>
      </c>
      <c r="C1422" t="s">
        <v>101</v>
      </c>
      <c r="D1422" t="s">
        <v>2379</v>
      </c>
      <c r="E1422" t="s">
        <v>65</v>
      </c>
      <c r="F1422" t="s">
        <v>66</v>
      </c>
      <c r="G1422" t="s">
        <v>67</v>
      </c>
      <c r="H1422" t="s">
        <v>68</v>
      </c>
      <c r="I1422" t="s">
        <v>176</v>
      </c>
      <c r="J1422" t="s">
        <v>177</v>
      </c>
      <c r="K1422" t="s">
        <v>1817</v>
      </c>
      <c r="M1422" t="s">
        <v>72</v>
      </c>
      <c r="N1422" t="s">
        <v>1818</v>
      </c>
      <c r="O1422" t="s">
        <v>1817</v>
      </c>
      <c r="P1422" t="s">
        <v>1819</v>
      </c>
      <c r="Q1422" t="s">
        <v>75</v>
      </c>
      <c r="R1422" t="s">
        <v>2238</v>
      </c>
      <c r="S1422" t="s">
        <v>2363</v>
      </c>
      <c r="T1422" t="s">
        <v>78</v>
      </c>
      <c r="U1422" t="s">
        <v>1822</v>
      </c>
      <c r="V1422" t="s">
        <v>80</v>
      </c>
      <c r="W1422" s="1">
        <v>44813</v>
      </c>
      <c r="X1422" t="s">
        <v>1823</v>
      </c>
      <c r="Y1422" t="s">
        <v>2364</v>
      </c>
      <c r="Z1422" t="s">
        <v>83</v>
      </c>
      <c r="AA1422">
        <v>1</v>
      </c>
      <c r="AB1422" t="s">
        <v>103</v>
      </c>
      <c r="AC1422">
        <v>1</v>
      </c>
      <c r="AD1422" t="s">
        <v>119</v>
      </c>
      <c r="AE1422" t="s">
        <v>145</v>
      </c>
      <c r="AF1422" t="s">
        <v>87</v>
      </c>
      <c r="AG1422" t="s">
        <v>2366</v>
      </c>
      <c r="AH1422" t="s">
        <v>2380</v>
      </c>
      <c r="AI1422" t="s">
        <v>90</v>
      </c>
      <c r="AJ1422">
        <v>32.44106</v>
      </c>
      <c r="AK1422">
        <v>-110.78533899999999</v>
      </c>
      <c r="AL1422">
        <v>15</v>
      </c>
      <c r="AN1422">
        <v>2758</v>
      </c>
      <c r="AP1422">
        <v>2758</v>
      </c>
      <c r="AQ1422">
        <v>2779.596708</v>
      </c>
      <c r="AT1422">
        <v>9</v>
      </c>
      <c r="AU1422">
        <v>9</v>
      </c>
      <c r="AV1422">
        <v>2022</v>
      </c>
      <c r="AW1422">
        <v>2437967</v>
      </c>
      <c r="AX1422">
        <v>2437967</v>
      </c>
      <c r="AY1422" t="s">
        <v>106</v>
      </c>
      <c r="AZ1422" t="s">
        <v>92</v>
      </c>
      <c r="BA1422" t="s">
        <v>107</v>
      </c>
      <c r="BB1422" t="s">
        <v>2381</v>
      </c>
      <c r="BC1422" t="s">
        <v>2245</v>
      </c>
      <c r="BE1422" t="s">
        <v>96</v>
      </c>
      <c r="BG1422" t="s">
        <v>2246</v>
      </c>
      <c r="BI1422" t="s">
        <v>98</v>
      </c>
      <c r="BJ1422" t="s">
        <v>2378</v>
      </c>
      <c r="BL1422" t="s">
        <v>412</v>
      </c>
    </row>
    <row r="1423" spans="1:64" hidden="1" x14ac:dyDescent="0.2">
      <c r="A1423">
        <v>412</v>
      </c>
      <c r="B1423">
        <v>4136459557</v>
      </c>
      <c r="C1423" t="s">
        <v>101</v>
      </c>
      <c r="D1423" t="s">
        <v>5424</v>
      </c>
      <c r="E1423" t="s">
        <v>65</v>
      </c>
      <c r="F1423" t="s">
        <v>66</v>
      </c>
      <c r="G1423" t="s">
        <v>67</v>
      </c>
      <c r="H1423" t="s">
        <v>68</v>
      </c>
      <c r="I1423" t="s">
        <v>176</v>
      </c>
      <c r="J1423" t="s">
        <v>177</v>
      </c>
      <c r="K1423" t="s">
        <v>3925</v>
      </c>
      <c r="M1423" t="s">
        <v>72</v>
      </c>
      <c r="N1423" t="s">
        <v>3926</v>
      </c>
      <c r="O1423" t="s">
        <v>3925</v>
      </c>
      <c r="P1423" t="s">
        <v>1176</v>
      </c>
      <c r="Q1423" t="s">
        <v>75</v>
      </c>
      <c r="R1423" t="s">
        <v>5008</v>
      </c>
      <c r="S1423" t="s">
        <v>1354</v>
      </c>
      <c r="T1423" t="s">
        <v>78</v>
      </c>
      <c r="U1423" t="s">
        <v>5009</v>
      </c>
      <c r="V1423" t="s">
        <v>80</v>
      </c>
      <c r="W1423" s="1">
        <v>44905</v>
      </c>
      <c r="X1423" t="s">
        <v>5010</v>
      </c>
      <c r="Y1423" t="s">
        <v>5422</v>
      </c>
      <c r="Z1423" t="s">
        <v>83</v>
      </c>
      <c r="AA1423">
        <v>1</v>
      </c>
      <c r="AB1423" t="s">
        <v>5310</v>
      </c>
      <c r="AD1423" t="s">
        <v>343</v>
      </c>
      <c r="AE1423" t="s">
        <v>86</v>
      </c>
      <c r="AF1423" t="s">
        <v>146</v>
      </c>
      <c r="AI1423" t="s">
        <v>90</v>
      </c>
      <c r="AJ1423">
        <v>32.314185999999999</v>
      </c>
      <c r="AK1423">
        <v>-110.712461</v>
      </c>
      <c r="AL1423">
        <v>3</v>
      </c>
      <c r="AN1423">
        <v>1161</v>
      </c>
      <c r="AP1423">
        <v>1161</v>
      </c>
      <c r="AQ1423">
        <v>1180.714397</v>
      </c>
      <c r="AT1423">
        <v>10</v>
      </c>
      <c r="AU1423">
        <v>12</v>
      </c>
      <c r="AV1423">
        <v>2022</v>
      </c>
      <c r="AW1423">
        <v>2437981</v>
      </c>
      <c r="AX1423">
        <v>2437981</v>
      </c>
      <c r="AY1423" t="s">
        <v>106</v>
      </c>
      <c r="AZ1423" t="s">
        <v>92</v>
      </c>
      <c r="BA1423" t="s">
        <v>107</v>
      </c>
      <c r="BB1423" t="s">
        <v>5425</v>
      </c>
      <c r="BC1423" t="s">
        <v>5313</v>
      </c>
      <c r="BD1423" s="1">
        <v>44905</v>
      </c>
      <c r="BE1423" t="s">
        <v>96</v>
      </c>
      <c r="BG1423" t="s">
        <v>5314</v>
      </c>
      <c r="BI1423" t="s">
        <v>98</v>
      </c>
      <c r="BJ1423" t="s">
        <v>2848</v>
      </c>
      <c r="BL1423" t="s">
        <v>412</v>
      </c>
    </row>
    <row r="1424" spans="1:64" x14ac:dyDescent="0.2">
      <c r="A1424">
        <v>863</v>
      </c>
      <c r="B1424">
        <v>4070420360</v>
      </c>
      <c r="C1424" t="s">
        <v>101</v>
      </c>
      <c r="D1424" t="s">
        <v>2411</v>
      </c>
      <c r="E1424" t="s">
        <v>65</v>
      </c>
      <c r="F1424" t="s">
        <v>66</v>
      </c>
      <c r="G1424" t="s">
        <v>67</v>
      </c>
      <c r="H1424" t="s">
        <v>68</v>
      </c>
      <c r="I1424" t="s">
        <v>176</v>
      </c>
      <c r="J1424" t="s">
        <v>177</v>
      </c>
      <c r="K1424" t="s">
        <v>1817</v>
      </c>
      <c r="M1424" t="s">
        <v>72</v>
      </c>
      <c r="N1424" t="s">
        <v>1856</v>
      </c>
      <c r="O1424" t="s">
        <v>1817</v>
      </c>
      <c r="P1424" t="s">
        <v>1857</v>
      </c>
      <c r="Q1424" t="s">
        <v>75</v>
      </c>
      <c r="R1424" t="s">
        <v>2238</v>
      </c>
      <c r="S1424" t="s">
        <v>2404</v>
      </c>
      <c r="T1424" t="s">
        <v>78</v>
      </c>
      <c r="U1424" t="s">
        <v>1822</v>
      </c>
      <c r="V1424" t="s">
        <v>80</v>
      </c>
      <c r="W1424" s="1">
        <v>44813</v>
      </c>
      <c r="X1424" t="s">
        <v>1823</v>
      </c>
      <c r="Y1424" t="s">
        <v>2405</v>
      </c>
      <c r="Z1424" t="s">
        <v>83</v>
      </c>
      <c r="AA1424">
        <v>1</v>
      </c>
      <c r="AB1424" t="s">
        <v>103</v>
      </c>
      <c r="AC1424">
        <v>1</v>
      </c>
      <c r="AD1424" t="s">
        <v>119</v>
      </c>
      <c r="AE1424" t="s">
        <v>86</v>
      </c>
      <c r="AF1424" t="s">
        <v>146</v>
      </c>
      <c r="AG1424" t="s">
        <v>2407</v>
      </c>
      <c r="AH1424" t="s">
        <v>2412</v>
      </c>
      <c r="AI1424" t="s">
        <v>90</v>
      </c>
      <c r="AJ1424">
        <v>32.441080999999997</v>
      </c>
      <c r="AK1424">
        <v>-110.785628</v>
      </c>
      <c r="AL1424">
        <v>15</v>
      </c>
      <c r="AN1424">
        <v>2759</v>
      </c>
      <c r="AP1424">
        <v>2759</v>
      </c>
      <c r="AQ1424">
        <v>2778.6786710000001</v>
      </c>
      <c r="AT1424">
        <v>9</v>
      </c>
      <c r="AU1424">
        <v>9</v>
      </c>
      <c r="AV1424">
        <v>2022</v>
      </c>
      <c r="AW1424">
        <v>2438019</v>
      </c>
      <c r="AX1424">
        <v>2438019</v>
      </c>
      <c r="AY1424" t="s">
        <v>106</v>
      </c>
      <c r="AZ1424" t="s">
        <v>92</v>
      </c>
      <c r="BA1424" t="s">
        <v>107</v>
      </c>
      <c r="BB1424" t="s">
        <v>2413</v>
      </c>
      <c r="BC1424" t="s">
        <v>2245</v>
      </c>
      <c r="BE1424" t="s">
        <v>96</v>
      </c>
      <c r="BG1424" t="s">
        <v>2246</v>
      </c>
      <c r="BI1424" t="s">
        <v>98</v>
      </c>
      <c r="BJ1424" t="s">
        <v>2384</v>
      </c>
      <c r="BL1424" t="s">
        <v>412</v>
      </c>
    </row>
    <row r="1425" spans="1:64" hidden="1" x14ac:dyDescent="0.2">
      <c r="A1425">
        <v>408</v>
      </c>
      <c r="B1425">
        <v>4136459561</v>
      </c>
      <c r="C1425" t="s">
        <v>101</v>
      </c>
      <c r="D1425" t="s">
        <v>5428</v>
      </c>
      <c r="E1425" t="s">
        <v>65</v>
      </c>
      <c r="F1425" t="s">
        <v>66</v>
      </c>
      <c r="G1425" t="s">
        <v>67</v>
      </c>
      <c r="H1425" t="s">
        <v>68</v>
      </c>
      <c r="I1425" t="s">
        <v>176</v>
      </c>
      <c r="J1425" t="s">
        <v>177</v>
      </c>
      <c r="K1425" t="s">
        <v>3925</v>
      </c>
      <c r="M1425" t="s">
        <v>72</v>
      </c>
      <c r="N1425" t="s">
        <v>3926</v>
      </c>
      <c r="O1425" t="s">
        <v>3925</v>
      </c>
      <c r="P1425" t="s">
        <v>1176</v>
      </c>
      <c r="Q1425" t="s">
        <v>75</v>
      </c>
      <c r="R1425" t="s">
        <v>5008</v>
      </c>
      <c r="S1425" t="s">
        <v>1751</v>
      </c>
      <c r="T1425" t="s">
        <v>78</v>
      </c>
      <c r="U1425" t="s">
        <v>5009</v>
      </c>
      <c r="V1425" t="s">
        <v>80</v>
      </c>
      <c r="W1425" s="1">
        <v>44905</v>
      </c>
      <c r="X1425" t="s">
        <v>5010</v>
      </c>
      <c r="Y1425" t="s">
        <v>5429</v>
      </c>
      <c r="Z1425" t="s">
        <v>83</v>
      </c>
      <c r="AA1425">
        <v>1</v>
      </c>
      <c r="AB1425" t="s">
        <v>5310</v>
      </c>
      <c r="AD1425" t="s">
        <v>343</v>
      </c>
      <c r="AE1425" t="s">
        <v>86</v>
      </c>
      <c r="AF1425" t="s">
        <v>146</v>
      </c>
      <c r="AG1425" t="s">
        <v>5413</v>
      </c>
      <c r="AI1425" t="s">
        <v>90</v>
      </c>
      <c r="AJ1425">
        <v>32.314048</v>
      </c>
      <c r="AK1425">
        <v>-110.713697</v>
      </c>
      <c r="AL1425">
        <v>3</v>
      </c>
      <c r="AN1425">
        <v>1173</v>
      </c>
      <c r="AP1425">
        <v>1173</v>
      </c>
      <c r="AQ1425">
        <v>1200.8191979999999</v>
      </c>
      <c r="AT1425">
        <v>10</v>
      </c>
      <c r="AU1425">
        <v>12</v>
      </c>
      <c r="AV1425">
        <v>2022</v>
      </c>
      <c r="AW1425">
        <v>2437981</v>
      </c>
      <c r="AX1425">
        <v>2437981</v>
      </c>
      <c r="AY1425" t="s">
        <v>106</v>
      </c>
      <c r="AZ1425" t="s">
        <v>92</v>
      </c>
      <c r="BA1425" t="s">
        <v>107</v>
      </c>
      <c r="BB1425" t="s">
        <v>5430</v>
      </c>
      <c r="BC1425" t="s">
        <v>5313</v>
      </c>
      <c r="BD1425" s="1">
        <v>44905</v>
      </c>
      <c r="BE1425" t="s">
        <v>96</v>
      </c>
      <c r="BG1425" t="s">
        <v>5314</v>
      </c>
      <c r="BI1425" t="s">
        <v>98</v>
      </c>
      <c r="BJ1425" t="s">
        <v>2774</v>
      </c>
      <c r="BL1425" t="s">
        <v>110</v>
      </c>
    </row>
    <row r="1426" spans="1:64" x14ac:dyDescent="0.2">
      <c r="A1426">
        <v>719</v>
      </c>
      <c r="B1426">
        <v>4070420518</v>
      </c>
      <c r="C1426" t="s">
        <v>101</v>
      </c>
      <c r="D1426" t="s">
        <v>2490</v>
      </c>
      <c r="E1426" t="s">
        <v>65</v>
      </c>
      <c r="F1426" t="s">
        <v>66</v>
      </c>
      <c r="G1426" t="s">
        <v>67</v>
      </c>
      <c r="H1426" t="s">
        <v>68</v>
      </c>
      <c r="I1426" t="s">
        <v>176</v>
      </c>
      <c r="J1426" t="s">
        <v>773</v>
      </c>
      <c r="K1426" t="s">
        <v>774</v>
      </c>
      <c r="M1426" t="s">
        <v>72</v>
      </c>
      <c r="N1426" t="s">
        <v>775</v>
      </c>
      <c r="O1426" t="s">
        <v>774</v>
      </c>
      <c r="P1426" t="s">
        <v>776</v>
      </c>
      <c r="Q1426" t="s">
        <v>75</v>
      </c>
      <c r="R1426" t="s">
        <v>2238</v>
      </c>
      <c r="S1426" t="s">
        <v>2442</v>
      </c>
      <c r="T1426" t="s">
        <v>78</v>
      </c>
      <c r="U1426" t="s">
        <v>1822</v>
      </c>
      <c r="V1426" t="s">
        <v>80</v>
      </c>
      <c r="W1426" s="1">
        <v>44813</v>
      </c>
      <c r="X1426" t="s">
        <v>1823</v>
      </c>
      <c r="Y1426" t="s">
        <v>2443</v>
      </c>
      <c r="Z1426" t="s">
        <v>83</v>
      </c>
      <c r="AA1426">
        <v>1</v>
      </c>
      <c r="AB1426" t="s">
        <v>103</v>
      </c>
      <c r="AC1426">
        <v>1</v>
      </c>
      <c r="AD1426" t="s">
        <v>119</v>
      </c>
      <c r="AE1426" t="s">
        <v>145</v>
      </c>
      <c r="AF1426" t="s">
        <v>146</v>
      </c>
      <c r="AG1426" t="s">
        <v>2445</v>
      </c>
      <c r="AH1426" t="s">
        <v>2491</v>
      </c>
      <c r="AI1426" t="s">
        <v>90</v>
      </c>
      <c r="AJ1426">
        <v>32.441257</v>
      </c>
      <c r="AK1426">
        <v>-110.78762</v>
      </c>
      <c r="AL1426">
        <v>15</v>
      </c>
      <c r="AN1426">
        <v>2774</v>
      </c>
      <c r="AP1426">
        <v>2774</v>
      </c>
      <c r="AQ1426">
        <v>2788.5512319999998</v>
      </c>
      <c r="AT1426">
        <v>9</v>
      </c>
      <c r="AU1426">
        <v>9</v>
      </c>
      <c r="AV1426">
        <v>2022</v>
      </c>
      <c r="AW1426">
        <v>2438447</v>
      </c>
      <c r="AX1426">
        <v>2438447</v>
      </c>
      <c r="AY1426" t="s">
        <v>106</v>
      </c>
      <c r="AZ1426" t="s">
        <v>92</v>
      </c>
      <c r="BA1426" t="s">
        <v>107</v>
      </c>
      <c r="BB1426" t="s">
        <v>2492</v>
      </c>
      <c r="BC1426" t="s">
        <v>2245</v>
      </c>
      <c r="BE1426" t="s">
        <v>96</v>
      </c>
      <c r="BG1426" t="s">
        <v>2246</v>
      </c>
      <c r="BI1426" t="s">
        <v>98</v>
      </c>
      <c r="BJ1426" t="s">
        <v>2493</v>
      </c>
      <c r="BL1426" t="s">
        <v>412</v>
      </c>
    </row>
    <row r="1427" spans="1:64" hidden="1" x14ac:dyDescent="0.2">
      <c r="A1427">
        <v>404</v>
      </c>
      <c r="B1427">
        <v>4136459565</v>
      </c>
      <c r="C1427" t="s">
        <v>101</v>
      </c>
      <c r="D1427" t="s">
        <v>5433</v>
      </c>
      <c r="E1427" t="s">
        <v>65</v>
      </c>
      <c r="F1427" t="s">
        <v>66</v>
      </c>
      <c r="G1427" t="s">
        <v>67</v>
      </c>
      <c r="H1427" t="s">
        <v>68</v>
      </c>
      <c r="I1427" t="s">
        <v>176</v>
      </c>
      <c r="J1427" t="s">
        <v>773</v>
      </c>
      <c r="K1427" t="s">
        <v>1347</v>
      </c>
      <c r="M1427" t="s">
        <v>72</v>
      </c>
      <c r="N1427" t="s">
        <v>1348</v>
      </c>
      <c r="O1427" t="s">
        <v>1347</v>
      </c>
      <c r="P1427" t="s">
        <v>1349</v>
      </c>
      <c r="Q1427" t="s">
        <v>75</v>
      </c>
      <c r="R1427" t="s">
        <v>5008</v>
      </c>
      <c r="S1427" t="s">
        <v>5434</v>
      </c>
      <c r="T1427" t="s">
        <v>78</v>
      </c>
      <c r="U1427" t="s">
        <v>5009</v>
      </c>
      <c r="V1427" t="s">
        <v>80</v>
      </c>
      <c r="W1427" s="1">
        <v>44905</v>
      </c>
      <c r="X1427" t="s">
        <v>5010</v>
      </c>
      <c r="Y1427" t="s">
        <v>5435</v>
      </c>
      <c r="Z1427" t="s">
        <v>83</v>
      </c>
      <c r="AA1427">
        <v>1</v>
      </c>
      <c r="AB1427" t="s">
        <v>5310</v>
      </c>
      <c r="AD1427" t="s">
        <v>343</v>
      </c>
      <c r="AE1427" t="s">
        <v>86</v>
      </c>
      <c r="AF1427" t="s">
        <v>146</v>
      </c>
      <c r="AG1427" t="s">
        <v>5343</v>
      </c>
      <c r="AI1427" t="s">
        <v>90</v>
      </c>
      <c r="AJ1427">
        <v>32.314256999999998</v>
      </c>
      <c r="AK1427">
        <v>-110.71429000000001</v>
      </c>
      <c r="AL1427">
        <v>3</v>
      </c>
      <c r="AP1427">
        <v>1213.10761</v>
      </c>
      <c r="AQ1427">
        <v>1213.10761</v>
      </c>
      <c r="AT1427">
        <v>10</v>
      </c>
      <c r="AU1427">
        <v>12</v>
      </c>
      <c r="AV1427">
        <v>2022</v>
      </c>
      <c r="AW1427">
        <v>2438454</v>
      </c>
      <c r="AX1427">
        <v>2438454</v>
      </c>
      <c r="AY1427" t="s">
        <v>106</v>
      </c>
      <c r="AZ1427" t="s">
        <v>92</v>
      </c>
      <c r="BA1427" t="s">
        <v>107</v>
      </c>
      <c r="BB1427" t="s">
        <v>5436</v>
      </c>
      <c r="BC1427" t="s">
        <v>5313</v>
      </c>
      <c r="BD1427" s="1">
        <v>44905</v>
      </c>
      <c r="BE1427" t="s">
        <v>96</v>
      </c>
      <c r="BG1427" t="s">
        <v>5314</v>
      </c>
      <c r="BI1427" t="s">
        <v>98</v>
      </c>
      <c r="BJ1427" t="s">
        <v>3943</v>
      </c>
      <c r="BL1427" t="s">
        <v>412</v>
      </c>
    </row>
    <row r="1428" spans="1:64" x14ac:dyDescent="0.2">
      <c r="A1428">
        <v>820</v>
      </c>
      <c r="B1428">
        <v>4070420403</v>
      </c>
      <c r="C1428" t="s">
        <v>101</v>
      </c>
      <c r="D1428" t="s">
        <v>2512</v>
      </c>
      <c r="E1428" t="s">
        <v>65</v>
      </c>
      <c r="F1428" t="s">
        <v>66</v>
      </c>
      <c r="G1428" t="s">
        <v>67</v>
      </c>
      <c r="H1428" t="s">
        <v>68</v>
      </c>
      <c r="I1428" t="s">
        <v>176</v>
      </c>
      <c r="J1428" t="s">
        <v>177</v>
      </c>
      <c r="K1428" t="s">
        <v>1817</v>
      </c>
      <c r="M1428" t="s">
        <v>72</v>
      </c>
      <c r="N1428" t="s">
        <v>1818</v>
      </c>
      <c r="O1428" t="s">
        <v>1817</v>
      </c>
      <c r="P1428" t="s">
        <v>1819</v>
      </c>
      <c r="Q1428" t="s">
        <v>75</v>
      </c>
      <c r="R1428" t="s">
        <v>2238</v>
      </c>
      <c r="S1428" t="s">
        <v>2495</v>
      </c>
      <c r="T1428" t="s">
        <v>78</v>
      </c>
      <c r="U1428" t="s">
        <v>1822</v>
      </c>
      <c r="V1428" t="s">
        <v>80</v>
      </c>
      <c r="W1428" s="1">
        <v>44813</v>
      </c>
      <c r="X1428" t="s">
        <v>1823</v>
      </c>
      <c r="Y1428" t="s">
        <v>2496</v>
      </c>
      <c r="Z1428" t="s">
        <v>83</v>
      </c>
      <c r="AA1428">
        <v>1</v>
      </c>
      <c r="AB1428" t="s">
        <v>103</v>
      </c>
      <c r="AC1428">
        <v>1</v>
      </c>
      <c r="AD1428" t="s">
        <v>119</v>
      </c>
      <c r="AE1428" t="s">
        <v>145</v>
      </c>
      <c r="AF1428" t="s">
        <v>146</v>
      </c>
      <c r="AG1428" t="s">
        <v>2498</v>
      </c>
      <c r="AH1428" t="s">
        <v>2513</v>
      </c>
      <c r="AI1428" t="s">
        <v>90</v>
      </c>
      <c r="AJ1428">
        <v>32.441178000000001</v>
      </c>
      <c r="AK1428">
        <v>-110.785135</v>
      </c>
      <c r="AL1428">
        <v>15</v>
      </c>
      <c r="AN1428">
        <v>2755</v>
      </c>
      <c r="AP1428">
        <v>2755</v>
      </c>
      <c r="AQ1428">
        <v>2777.9454300000002</v>
      </c>
      <c r="AT1428">
        <v>9</v>
      </c>
      <c r="AU1428">
        <v>9</v>
      </c>
      <c r="AV1428">
        <v>2022</v>
      </c>
      <c r="AW1428">
        <v>2437967</v>
      </c>
      <c r="AX1428">
        <v>2437967</v>
      </c>
      <c r="AY1428" t="s">
        <v>106</v>
      </c>
      <c r="AZ1428" t="s">
        <v>92</v>
      </c>
      <c r="BA1428" t="s">
        <v>107</v>
      </c>
      <c r="BB1428" t="s">
        <v>2514</v>
      </c>
      <c r="BC1428" t="s">
        <v>2245</v>
      </c>
      <c r="BE1428" t="s">
        <v>96</v>
      </c>
      <c r="BG1428" t="s">
        <v>2246</v>
      </c>
      <c r="BI1428" t="s">
        <v>98</v>
      </c>
      <c r="BJ1428" t="s">
        <v>2511</v>
      </c>
      <c r="BL1428" t="s">
        <v>412</v>
      </c>
    </row>
    <row r="1429" spans="1:64" x14ac:dyDescent="0.2">
      <c r="A1429">
        <v>826</v>
      </c>
      <c r="B1429">
        <v>4070420397</v>
      </c>
      <c r="C1429" t="s">
        <v>101</v>
      </c>
      <c r="D1429" t="s">
        <v>2547</v>
      </c>
      <c r="E1429" t="s">
        <v>65</v>
      </c>
      <c r="F1429" t="s">
        <v>66</v>
      </c>
      <c r="G1429" t="s">
        <v>67</v>
      </c>
      <c r="H1429" t="s">
        <v>68</v>
      </c>
      <c r="I1429" t="s">
        <v>176</v>
      </c>
      <c r="J1429" t="s">
        <v>177</v>
      </c>
      <c r="K1429" t="s">
        <v>1817</v>
      </c>
      <c r="M1429" t="s">
        <v>72</v>
      </c>
      <c r="N1429" t="s">
        <v>1818</v>
      </c>
      <c r="O1429" t="s">
        <v>1817</v>
      </c>
      <c r="P1429" t="s">
        <v>1819</v>
      </c>
      <c r="Q1429" t="s">
        <v>75</v>
      </c>
      <c r="R1429" t="s">
        <v>2238</v>
      </c>
      <c r="S1429" t="s">
        <v>2532</v>
      </c>
      <c r="T1429" t="s">
        <v>78</v>
      </c>
      <c r="U1429" t="s">
        <v>1822</v>
      </c>
      <c r="V1429" t="s">
        <v>80</v>
      </c>
      <c r="W1429" s="1">
        <v>44813</v>
      </c>
      <c r="X1429" t="s">
        <v>1823</v>
      </c>
      <c r="Y1429" t="s">
        <v>2533</v>
      </c>
      <c r="Z1429" t="s">
        <v>83</v>
      </c>
      <c r="AA1429">
        <v>1</v>
      </c>
      <c r="AB1429" t="s">
        <v>103</v>
      </c>
      <c r="AC1429">
        <v>1</v>
      </c>
      <c r="AD1429" t="s">
        <v>119</v>
      </c>
      <c r="AE1429" t="s">
        <v>145</v>
      </c>
      <c r="AF1429" t="s">
        <v>146</v>
      </c>
      <c r="AG1429" t="s">
        <v>344</v>
      </c>
      <c r="AH1429" t="s">
        <v>2548</v>
      </c>
      <c r="AI1429" t="s">
        <v>90</v>
      </c>
      <c r="AJ1429">
        <v>32.441161000000001</v>
      </c>
      <c r="AK1429">
        <v>-110.78694400000001</v>
      </c>
      <c r="AL1429">
        <v>15</v>
      </c>
      <c r="AN1429">
        <v>2766</v>
      </c>
      <c r="AP1429">
        <v>2766</v>
      </c>
      <c r="AQ1429">
        <v>2787.5583999999999</v>
      </c>
      <c r="AT1429">
        <v>9</v>
      </c>
      <c r="AU1429">
        <v>9</v>
      </c>
      <c r="AV1429">
        <v>2022</v>
      </c>
      <c r="AW1429">
        <v>2437967</v>
      </c>
      <c r="AX1429">
        <v>2437967</v>
      </c>
      <c r="AY1429" t="s">
        <v>106</v>
      </c>
      <c r="AZ1429" t="s">
        <v>92</v>
      </c>
      <c r="BA1429" t="s">
        <v>107</v>
      </c>
      <c r="BB1429" t="s">
        <v>2549</v>
      </c>
      <c r="BC1429" t="s">
        <v>2245</v>
      </c>
      <c r="BE1429" t="s">
        <v>96</v>
      </c>
      <c r="BG1429" t="s">
        <v>2246</v>
      </c>
      <c r="BI1429" t="s">
        <v>98</v>
      </c>
      <c r="BJ1429" t="s">
        <v>2550</v>
      </c>
      <c r="BL1429" t="s">
        <v>412</v>
      </c>
    </row>
    <row r="1430" spans="1:64" hidden="1" x14ac:dyDescent="0.2">
      <c r="A1430">
        <v>613</v>
      </c>
      <c r="B1430">
        <v>4136459329</v>
      </c>
      <c r="C1430" t="s">
        <v>101</v>
      </c>
      <c r="D1430" t="s">
        <v>5441</v>
      </c>
      <c r="E1430" t="s">
        <v>65</v>
      </c>
      <c r="F1430" t="s">
        <v>66</v>
      </c>
      <c r="G1430" t="s">
        <v>67</v>
      </c>
      <c r="H1430" t="s">
        <v>68</v>
      </c>
      <c r="I1430" t="s">
        <v>176</v>
      </c>
      <c r="J1430" t="s">
        <v>177</v>
      </c>
      <c r="K1430" t="s">
        <v>3925</v>
      </c>
      <c r="M1430" t="s">
        <v>72</v>
      </c>
      <c r="N1430" t="s">
        <v>3926</v>
      </c>
      <c r="O1430" t="s">
        <v>3925</v>
      </c>
      <c r="P1430" t="s">
        <v>1176</v>
      </c>
      <c r="Q1430" t="s">
        <v>75</v>
      </c>
      <c r="R1430" t="s">
        <v>5008</v>
      </c>
      <c r="S1430" t="s">
        <v>1458</v>
      </c>
      <c r="T1430" t="s">
        <v>78</v>
      </c>
      <c r="U1430" t="s">
        <v>5009</v>
      </c>
      <c r="V1430" t="s">
        <v>80</v>
      </c>
      <c r="W1430" s="1">
        <v>44905</v>
      </c>
      <c r="X1430" t="s">
        <v>5010</v>
      </c>
      <c r="Y1430" t="s">
        <v>5442</v>
      </c>
      <c r="Z1430" t="s">
        <v>83</v>
      </c>
      <c r="AA1430">
        <v>1</v>
      </c>
      <c r="AB1430" t="s">
        <v>5310</v>
      </c>
      <c r="AD1430" t="s">
        <v>343</v>
      </c>
      <c r="AE1430" t="s">
        <v>86</v>
      </c>
      <c r="AF1430" t="s">
        <v>281</v>
      </c>
      <c r="AI1430" t="s">
        <v>90</v>
      </c>
      <c r="AJ1430">
        <v>32.313988000000002</v>
      </c>
      <c r="AK1430">
        <v>-110.713358</v>
      </c>
      <c r="AL1430">
        <v>3</v>
      </c>
      <c r="AN1430">
        <v>1173</v>
      </c>
      <c r="AP1430">
        <v>1173</v>
      </c>
      <c r="AQ1430">
        <v>1190.761616</v>
      </c>
      <c r="AT1430">
        <v>10</v>
      </c>
      <c r="AU1430">
        <v>12</v>
      </c>
      <c r="AV1430">
        <v>2022</v>
      </c>
      <c r="AW1430">
        <v>2437981</v>
      </c>
      <c r="AX1430">
        <v>2437981</v>
      </c>
      <c r="AY1430" t="s">
        <v>106</v>
      </c>
      <c r="AZ1430" t="s">
        <v>92</v>
      </c>
      <c r="BA1430" t="s">
        <v>107</v>
      </c>
      <c r="BB1430" t="s">
        <v>5443</v>
      </c>
      <c r="BC1430" t="s">
        <v>5313</v>
      </c>
      <c r="BD1430" s="1">
        <v>44905</v>
      </c>
      <c r="BE1430" t="s">
        <v>96</v>
      </c>
      <c r="BG1430" t="s">
        <v>5314</v>
      </c>
      <c r="BI1430" t="s">
        <v>98</v>
      </c>
      <c r="BJ1430" t="s">
        <v>2966</v>
      </c>
      <c r="BL1430" t="s">
        <v>110</v>
      </c>
    </row>
    <row r="1431" spans="1:64" x14ac:dyDescent="0.2">
      <c r="A1431">
        <v>933</v>
      </c>
      <c r="B1431">
        <v>4040367312</v>
      </c>
      <c r="C1431" t="s">
        <v>101</v>
      </c>
      <c r="D1431" t="s">
        <v>2598</v>
      </c>
      <c r="E1431" t="s">
        <v>65</v>
      </c>
      <c r="F1431" t="s">
        <v>66</v>
      </c>
      <c r="G1431" t="s">
        <v>67</v>
      </c>
      <c r="H1431" t="s">
        <v>68</v>
      </c>
      <c r="I1431" t="s">
        <v>176</v>
      </c>
      <c r="J1431" t="s">
        <v>773</v>
      </c>
      <c r="K1431" t="s">
        <v>774</v>
      </c>
      <c r="M1431" t="s">
        <v>72</v>
      </c>
      <c r="N1431" t="s">
        <v>775</v>
      </c>
      <c r="O1431" t="s">
        <v>774</v>
      </c>
      <c r="P1431" t="s">
        <v>776</v>
      </c>
      <c r="Q1431" t="s">
        <v>75</v>
      </c>
      <c r="R1431" t="s">
        <v>2238</v>
      </c>
      <c r="S1431" t="s">
        <v>2564</v>
      </c>
      <c r="T1431" t="s">
        <v>78</v>
      </c>
      <c r="U1431" t="s">
        <v>1822</v>
      </c>
      <c r="V1431" t="s">
        <v>80</v>
      </c>
      <c r="W1431" s="1">
        <v>44813</v>
      </c>
      <c r="X1431" t="s">
        <v>1823</v>
      </c>
      <c r="Y1431" t="s">
        <v>2565</v>
      </c>
      <c r="Z1431" t="s">
        <v>83</v>
      </c>
      <c r="AA1431">
        <v>1</v>
      </c>
      <c r="AB1431" t="s">
        <v>103</v>
      </c>
      <c r="AC1431">
        <v>1</v>
      </c>
      <c r="AD1431" t="s">
        <v>119</v>
      </c>
      <c r="AE1431" t="s">
        <v>145</v>
      </c>
      <c r="AF1431" t="s">
        <v>146</v>
      </c>
      <c r="AG1431" t="s">
        <v>2567</v>
      </c>
      <c r="AH1431" t="s">
        <v>2599</v>
      </c>
      <c r="AI1431" t="s">
        <v>90</v>
      </c>
      <c r="AJ1431">
        <v>32.441026000000001</v>
      </c>
      <c r="AK1431">
        <v>-110.785635</v>
      </c>
      <c r="AL1431">
        <v>15</v>
      </c>
      <c r="AN1431">
        <v>2759</v>
      </c>
      <c r="AP1431">
        <v>2759</v>
      </c>
      <c r="AQ1431">
        <v>2779.926031</v>
      </c>
      <c r="AT1431">
        <v>9</v>
      </c>
      <c r="AU1431">
        <v>9</v>
      </c>
      <c r="AV1431">
        <v>2022</v>
      </c>
      <c r="AW1431">
        <v>2438447</v>
      </c>
      <c r="AX1431">
        <v>2438447</v>
      </c>
      <c r="AY1431" t="s">
        <v>106</v>
      </c>
      <c r="AZ1431" t="s">
        <v>92</v>
      </c>
      <c r="BA1431" t="s">
        <v>107</v>
      </c>
      <c r="BB1431" t="s">
        <v>2600</v>
      </c>
      <c r="BC1431" t="s">
        <v>2245</v>
      </c>
      <c r="BE1431" t="s">
        <v>96</v>
      </c>
      <c r="BG1431" t="s">
        <v>2246</v>
      </c>
      <c r="BI1431" t="s">
        <v>98</v>
      </c>
      <c r="BJ1431" t="s">
        <v>1888</v>
      </c>
      <c r="BL1431" t="s">
        <v>412</v>
      </c>
    </row>
    <row r="1432" spans="1:64" x14ac:dyDescent="0.2">
      <c r="A1432">
        <v>708</v>
      </c>
      <c r="B1432">
        <v>4070420529</v>
      </c>
      <c r="C1432" t="s">
        <v>101</v>
      </c>
      <c r="D1432" t="s">
        <v>2813</v>
      </c>
      <c r="E1432" t="s">
        <v>65</v>
      </c>
      <c r="F1432" t="s">
        <v>66</v>
      </c>
      <c r="G1432" t="s">
        <v>67</v>
      </c>
      <c r="H1432" t="s">
        <v>68</v>
      </c>
      <c r="I1432" t="s">
        <v>176</v>
      </c>
      <c r="J1432" t="s">
        <v>177</v>
      </c>
      <c r="K1432" t="s">
        <v>178</v>
      </c>
      <c r="M1432" t="s">
        <v>72</v>
      </c>
      <c r="N1432" t="s">
        <v>179</v>
      </c>
      <c r="O1432" t="s">
        <v>178</v>
      </c>
      <c r="P1432" t="s">
        <v>180</v>
      </c>
      <c r="Q1432" t="s">
        <v>75</v>
      </c>
      <c r="R1432" t="s">
        <v>2806</v>
      </c>
      <c r="S1432" t="s">
        <v>645</v>
      </c>
      <c r="T1432" t="s">
        <v>78</v>
      </c>
      <c r="U1432" t="s">
        <v>1822</v>
      </c>
      <c r="V1432" t="s">
        <v>80</v>
      </c>
      <c r="W1432" s="1">
        <v>44814</v>
      </c>
      <c r="X1432" t="s">
        <v>2778</v>
      </c>
      <c r="Y1432" t="s">
        <v>2807</v>
      </c>
      <c r="Z1432" t="s">
        <v>83</v>
      </c>
      <c r="AA1432">
        <v>1</v>
      </c>
      <c r="AB1432" t="s">
        <v>103</v>
      </c>
      <c r="AC1432">
        <v>1</v>
      </c>
      <c r="AD1432" t="s">
        <v>119</v>
      </c>
      <c r="AE1432" t="s">
        <v>145</v>
      </c>
      <c r="AF1432" t="s">
        <v>146</v>
      </c>
      <c r="AG1432" t="s">
        <v>1526</v>
      </c>
      <c r="AH1432" t="s">
        <v>2814</v>
      </c>
      <c r="AI1432" t="s">
        <v>90</v>
      </c>
      <c r="AJ1432">
        <v>32.453336</v>
      </c>
      <c r="AK1432">
        <v>-110.74580400000001</v>
      </c>
      <c r="AL1432">
        <v>3</v>
      </c>
      <c r="AN1432">
        <v>2229</v>
      </c>
      <c r="AP1432">
        <v>2229</v>
      </c>
      <c r="AQ1432">
        <v>2231.3719430000001</v>
      </c>
      <c r="AT1432">
        <v>10</v>
      </c>
      <c r="AU1432">
        <v>9</v>
      </c>
      <c r="AV1432">
        <v>2022</v>
      </c>
      <c r="AW1432">
        <v>2438038</v>
      </c>
      <c r="AX1432">
        <v>2438038</v>
      </c>
      <c r="AY1432" t="s">
        <v>106</v>
      </c>
      <c r="AZ1432" t="s">
        <v>92</v>
      </c>
      <c r="BA1432" t="s">
        <v>107</v>
      </c>
      <c r="BB1432" t="s">
        <v>2815</v>
      </c>
      <c r="BC1432" t="s">
        <v>2245</v>
      </c>
      <c r="BE1432" t="s">
        <v>96</v>
      </c>
      <c r="BG1432" t="s">
        <v>2811</v>
      </c>
      <c r="BI1432" t="s">
        <v>98</v>
      </c>
      <c r="BJ1432" t="s">
        <v>1798</v>
      </c>
      <c r="BL1432" t="s">
        <v>412</v>
      </c>
    </row>
    <row r="1433" spans="1:64" hidden="1" x14ac:dyDescent="0.2">
      <c r="A1433">
        <v>618</v>
      </c>
      <c r="B1433">
        <v>4136459324</v>
      </c>
      <c r="C1433" t="s">
        <v>101</v>
      </c>
      <c r="D1433" t="s">
        <v>5449</v>
      </c>
      <c r="E1433" t="s">
        <v>65</v>
      </c>
      <c r="F1433" t="s">
        <v>66</v>
      </c>
      <c r="G1433" t="s">
        <v>67</v>
      </c>
      <c r="H1433" t="s">
        <v>68</v>
      </c>
      <c r="I1433" t="s">
        <v>176</v>
      </c>
      <c r="J1433" t="s">
        <v>177</v>
      </c>
      <c r="K1433" t="s">
        <v>3925</v>
      </c>
      <c r="M1433" t="s">
        <v>72</v>
      </c>
      <c r="N1433" t="s">
        <v>3926</v>
      </c>
      <c r="O1433" t="s">
        <v>3925</v>
      </c>
      <c r="P1433" t="s">
        <v>1176</v>
      </c>
      <c r="Q1433" t="s">
        <v>75</v>
      </c>
      <c r="R1433" t="s">
        <v>5008</v>
      </c>
      <c r="S1433" t="s">
        <v>529</v>
      </c>
      <c r="T1433" t="s">
        <v>78</v>
      </c>
      <c r="U1433" t="s">
        <v>5009</v>
      </c>
      <c r="V1433" t="s">
        <v>80</v>
      </c>
      <c r="W1433" s="1">
        <v>44905</v>
      </c>
      <c r="X1433" t="s">
        <v>5010</v>
      </c>
      <c r="Y1433" t="s">
        <v>5447</v>
      </c>
      <c r="Z1433" t="s">
        <v>83</v>
      </c>
      <c r="AA1433">
        <v>1</v>
      </c>
      <c r="AB1433" t="s">
        <v>5310</v>
      </c>
      <c r="AD1433" t="s">
        <v>343</v>
      </c>
      <c r="AE1433" t="s">
        <v>145</v>
      </c>
      <c r="AF1433" t="s">
        <v>146</v>
      </c>
      <c r="AG1433" t="s">
        <v>980</v>
      </c>
      <c r="AI1433" t="s">
        <v>90</v>
      </c>
      <c r="AJ1433">
        <v>32.312984</v>
      </c>
      <c r="AK1433">
        <v>-110.712654</v>
      </c>
      <c r="AL1433">
        <v>3</v>
      </c>
      <c r="AN1433">
        <v>1166</v>
      </c>
      <c r="AP1433">
        <v>1166</v>
      </c>
      <c r="AQ1433">
        <v>1166.4107839999999</v>
      </c>
      <c r="AT1433">
        <v>10</v>
      </c>
      <c r="AU1433">
        <v>12</v>
      </c>
      <c r="AV1433">
        <v>2022</v>
      </c>
      <c r="AW1433">
        <v>2437981</v>
      </c>
      <c r="AX1433">
        <v>2437981</v>
      </c>
      <c r="AY1433" t="s">
        <v>106</v>
      </c>
      <c r="AZ1433" t="s">
        <v>92</v>
      </c>
      <c r="BA1433" t="s">
        <v>107</v>
      </c>
      <c r="BB1433" t="s">
        <v>5450</v>
      </c>
      <c r="BC1433" t="s">
        <v>5313</v>
      </c>
      <c r="BD1433" s="1">
        <v>44905</v>
      </c>
      <c r="BE1433" t="s">
        <v>96</v>
      </c>
      <c r="BG1433" t="s">
        <v>5314</v>
      </c>
      <c r="BI1433" t="s">
        <v>98</v>
      </c>
      <c r="BJ1433" t="s">
        <v>5451</v>
      </c>
      <c r="BL1433" t="s">
        <v>110</v>
      </c>
    </row>
    <row r="1434" spans="1:64" x14ac:dyDescent="0.2">
      <c r="A1434">
        <v>726</v>
      </c>
      <c r="B1434">
        <v>4070420511</v>
      </c>
      <c r="C1434" t="s">
        <v>101</v>
      </c>
      <c r="D1434" s="2" t="s">
        <v>2857</v>
      </c>
      <c r="E1434" t="s">
        <v>65</v>
      </c>
      <c r="F1434" t="s">
        <v>66</v>
      </c>
      <c r="G1434" t="s">
        <v>67</v>
      </c>
      <c r="H1434" t="s">
        <v>68</v>
      </c>
      <c r="I1434" t="s">
        <v>176</v>
      </c>
      <c r="J1434" t="s">
        <v>177</v>
      </c>
      <c r="K1434" t="s">
        <v>178</v>
      </c>
      <c r="M1434" t="s">
        <v>72</v>
      </c>
      <c r="N1434" t="s">
        <v>179</v>
      </c>
      <c r="O1434" t="s">
        <v>178</v>
      </c>
      <c r="P1434" t="s">
        <v>180</v>
      </c>
      <c r="Q1434" t="s">
        <v>75</v>
      </c>
      <c r="R1434" t="s">
        <v>2806</v>
      </c>
      <c r="S1434" t="s">
        <v>694</v>
      </c>
      <c r="T1434" t="s">
        <v>78</v>
      </c>
      <c r="U1434" t="s">
        <v>1822</v>
      </c>
      <c r="V1434" t="s">
        <v>80</v>
      </c>
      <c r="W1434" s="1">
        <v>44814</v>
      </c>
      <c r="X1434" t="s">
        <v>2778</v>
      </c>
      <c r="Y1434" t="s">
        <v>2839</v>
      </c>
      <c r="Z1434" t="s">
        <v>83</v>
      </c>
      <c r="AA1434">
        <v>1</v>
      </c>
      <c r="AB1434" t="s">
        <v>103</v>
      </c>
      <c r="AC1434">
        <v>1</v>
      </c>
      <c r="AD1434" t="s">
        <v>119</v>
      </c>
      <c r="AE1434" t="s">
        <v>145</v>
      </c>
      <c r="AF1434" t="s">
        <v>146</v>
      </c>
      <c r="AG1434" t="s">
        <v>2841</v>
      </c>
      <c r="AH1434" t="s">
        <v>2858</v>
      </c>
      <c r="AI1434" t="s">
        <v>90</v>
      </c>
      <c r="AJ1434">
        <v>32.453328999999997</v>
      </c>
      <c r="AK1434">
        <v>-110.745807</v>
      </c>
      <c r="AL1434">
        <v>3</v>
      </c>
      <c r="AN1434">
        <v>2228</v>
      </c>
      <c r="AP1434">
        <v>2228</v>
      </c>
      <c r="AQ1434">
        <v>2231.4839139999999</v>
      </c>
      <c r="AT1434">
        <v>10</v>
      </c>
      <c r="AU1434">
        <v>9</v>
      </c>
      <c r="AV1434">
        <v>2022</v>
      </c>
      <c r="AW1434">
        <v>2438038</v>
      </c>
      <c r="AX1434">
        <v>2438038</v>
      </c>
      <c r="AY1434" t="s">
        <v>106</v>
      </c>
      <c r="AZ1434" t="s">
        <v>92</v>
      </c>
      <c r="BA1434" t="s">
        <v>107</v>
      </c>
      <c r="BB1434" t="s">
        <v>2859</v>
      </c>
      <c r="BC1434" t="s">
        <v>2245</v>
      </c>
      <c r="BE1434" t="s">
        <v>96</v>
      </c>
      <c r="BG1434" t="s">
        <v>2811</v>
      </c>
      <c r="BI1434" t="s">
        <v>98</v>
      </c>
      <c r="BJ1434" t="s">
        <v>2860</v>
      </c>
      <c r="BL1434" t="s">
        <v>412</v>
      </c>
    </row>
    <row r="1435" spans="1:64" hidden="1" x14ac:dyDescent="0.2">
      <c r="A1435">
        <v>616</v>
      </c>
      <c r="B1435">
        <v>4136459326</v>
      </c>
      <c r="C1435" t="s">
        <v>101</v>
      </c>
      <c r="D1435" t="s">
        <v>5456</v>
      </c>
      <c r="E1435" t="s">
        <v>65</v>
      </c>
      <c r="F1435" t="s">
        <v>66</v>
      </c>
      <c r="G1435" t="s">
        <v>67</v>
      </c>
      <c r="H1435" t="s">
        <v>68</v>
      </c>
      <c r="I1435" t="s">
        <v>176</v>
      </c>
      <c r="J1435" t="s">
        <v>177</v>
      </c>
      <c r="K1435" t="s">
        <v>3925</v>
      </c>
      <c r="M1435" t="s">
        <v>72</v>
      </c>
      <c r="N1435" t="s">
        <v>3926</v>
      </c>
      <c r="O1435" t="s">
        <v>3925</v>
      </c>
      <c r="P1435" t="s">
        <v>1176</v>
      </c>
      <c r="Q1435" t="s">
        <v>75</v>
      </c>
      <c r="R1435" t="s">
        <v>5008</v>
      </c>
      <c r="S1435" t="s">
        <v>5453</v>
      </c>
      <c r="T1435" t="s">
        <v>78</v>
      </c>
      <c r="U1435" t="s">
        <v>5009</v>
      </c>
      <c r="V1435" t="s">
        <v>80</v>
      </c>
      <c r="W1435" s="1">
        <v>44905</v>
      </c>
      <c r="X1435" t="s">
        <v>5010</v>
      </c>
      <c r="Y1435" t="s">
        <v>5454</v>
      </c>
      <c r="Z1435" t="s">
        <v>83</v>
      </c>
      <c r="AA1435">
        <v>1</v>
      </c>
      <c r="AB1435" t="s">
        <v>5310</v>
      </c>
      <c r="AD1435" t="s">
        <v>343</v>
      </c>
      <c r="AE1435" t="s">
        <v>145</v>
      </c>
      <c r="AF1435" t="s">
        <v>146</v>
      </c>
      <c r="AG1435" t="s">
        <v>980</v>
      </c>
      <c r="AI1435" t="s">
        <v>90</v>
      </c>
      <c r="AJ1435">
        <v>32.313760000000002</v>
      </c>
      <c r="AK1435">
        <v>-110.714264</v>
      </c>
      <c r="AL1435">
        <v>3</v>
      </c>
      <c r="AP1435">
        <v>1197.0585840000001</v>
      </c>
      <c r="AQ1435">
        <v>1197.0585840000001</v>
      </c>
      <c r="AT1435">
        <v>10</v>
      </c>
      <c r="AU1435">
        <v>12</v>
      </c>
      <c r="AV1435">
        <v>2022</v>
      </c>
      <c r="AW1435">
        <v>2437981</v>
      </c>
      <c r="AX1435">
        <v>2437981</v>
      </c>
      <c r="AY1435" t="s">
        <v>106</v>
      </c>
      <c r="AZ1435" t="s">
        <v>92</v>
      </c>
      <c r="BA1435" t="s">
        <v>107</v>
      </c>
      <c r="BB1435" t="s">
        <v>5457</v>
      </c>
      <c r="BC1435" t="s">
        <v>5313</v>
      </c>
      <c r="BD1435" s="1">
        <v>44905</v>
      </c>
      <c r="BE1435" t="s">
        <v>96</v>
      </c>
      <c r="BG1435" t="s">
        <v>5314</v>
      </c>
      <c r="BI1435" t="s">
        <v>98</v>
      </c>
      <c r="BJ1435" t="s">
        <v>2077</v>
      </c>
      <c r="BL1435" t="s">
        <v>412</v>
      </c>
    </row>
    <row r="1436" spans="1:64" x14ac:dyDescent="0.2">
      <c r="A1436">
        <v>716</v>
      </c>
      <c r="B1436">
        <v>4070420521</v>
      </c>
      <c r="C1436" t="s">
        <v>101</v>
      </c>
      <c r="D1436" t="s">
        <v>2889</v>
      </c>
      <c r="E1436" t="s">
        <v>65</v>
      </c>
      <c r="F1436" t="s">
        <v>66</v>
      </c>
      <c r="G1436" t="s">
        <v>67</v>
      </c>
      <c r="H1436" t="s">
        <v>68</v>
      </c>
      <c r="I1436" t="s">
        <v>176</v>
      </c>
      <c r="J1436" t="s">
        <v>177</v>
      </c>
      <c r="K1436" t="s">
        <v>178</v>
      </c>
      <c r="M1436" t="s">
        <v>72</v>
      </c>
      <c r="N1436" t="s">
        <v>179</v>
      </c>
      <c r="O1436" t="s">
        <v>178</v>
      </c>
      <c r="P1436" t="s">
        <v>180</v>
      </c>
      <c r="Q1436" t="s">
        <v>75</v>
      </c>
      <c r="R1436" t="s">
        <v>2806</v>
      </c>
      <c r="S1436" t="s">
        <v>763</v>
      </c>
      <c r="T1436" t="s">
        <v>78</v>
      </c>
      <c r="U1436" t="s">
        <v>1822</v>
      </c>
      <c r="V1436" t="s">
        <v>80</v>
      </c>
      <c r="W1436" s="1">
        <v>44814</v>
      </c>
      <c r="X1436" t="s">
        <v>2778</v>
      </c>
      <c r="Y1436" t="s">
        <v>2876</v>
      </c>
      <c r="Z1436" t="s">
        <v>83</v>
      </c>
      <c r="AA1436">
        <v>1</v>
      </c>
      <c r="AB1436" t="s">
        <v>103</v>
      </c>
      <c r="AC1436">
        <v>1</v>
      </c>
      <c r="AD1436" t="s">
        <v>119</v>
      </c>
      <c r="AE1436" t="s">
        <v>145</v>
      </c>
      <c r="AF1436" t="s">
        <v>146</v>
      </c>
      <c r="AG1436" t="s">
        <v>2878</v>
      </c>
      <c r="AH1436" t="s">
        <v>2890</v>
      </c>
      <c r="AI1436" t="s">
        <v>90</v>
      </c>
      <c r="AJ1436">
        <v>32.453510000000001</v>
      </c>
      <c r="AK1436">
        <v>-110.745014</v>
      </c>
      <c r="AL1436">
        <v>3</v>
      </c>
      <c r="AN1436">
        <v>2199</v>
      </c>
      <c r="AP1436">
        <v>2199</v>
      </c>
      <c r="AQ1436">
        <v>2207.513543</v>
      </c>
      <c r="AT1436">
        <v>10</v>
      </c>
      <c r="AU1436">
        <v>9</v>
      </c>
      <c r="AV1436">
        <v>2022</v>
      </c>
      <c r="AW1436">
        <v>2438038</v>
      </c>
      <c r="AX1436">
        <v>2438038</v>
      </c>
      <c r="AY1436" t="s">
        <v>106</v>
      </c>
      <c r="AZ1436" t="s">
        <v>92</v>
      </c>
      <c r="BA1436" t="s">
        <v>107</v>
      </c>
      <c r="BB1436" t="s">
        <v>2891</v>
      </c>
      <c r="BC1436" t="s">
        <v>2245</v>
      </c>
      <c r="BE1436" t="s">
        <v>96</v>
      </c>
      <c r="BG1436" t="s">
        <v>2811</v>
      </c>
      <c r="BI1436" t="s">
        <v>98</v>
      </c>
      <c r="BJ1436" t="s">
        <v>1569</v>
      </c>
      <c r="BL1436" t="s">
        <v>412</v>
      </c>
    </row>
    <row r="1437" spans="1:64" hidden="1" x14ac:dyDescent="0.2">
      <c r="A1437">
        <v>614</v>
      </c>
      <c r="B1437">
        <v>4136459328</v>
      </c>
      <c r="C1437" t="s">
        <v>101</v>
      </c>
      <c r="D1437" t="s">
        <v>5461</v>
      </c>
      <c r="E1437" t="s">
        <v>65</v>
      </c>
      <c r="F1437" t="s">
        <v>66</v>
      </c>
      <c r="G1437" t="s">
        <v>67</v>
      </c>
      <c r="H1437" t="s">
        <v>68</v>
      </c>
      <c r="I1437" t="s">
        <v>69</v>
      </c>
      <c r="J1437" t="s">
        <v>70</v>
      </c>
      <c r="K1437" t="s">
        <v>4195</v>
      </c>
      <c r="M1437" t="s">
        <v>72</v>
      </c>
      <c r="N1437" t="s">
        <v>4196</v>
      </c>
      <c r="O1437" t="s">
        <v>4195</v>
      </c>
      <c r="P1437" t="s">
        <v>4197</v>
      </c>
      <c r="Q1437" t="s">
        <v>75</v>
      </c>
      <c r="R1437" t="s">
        <v>5008</v>
      </c>
      <c r="S1437" t="s">
        <v>1523</v>
      </c>
      <c r="T1437" t="s">
        <v>78</v>
      </c>
      <c r="U1437" t="s">
        <v>5009</v>
      </c>
      <c r="V1437" t="s">
        <v>80</v>
      </c>
      <c r="W1437" s="1">
        <v>44905</v>
      </c>
      <c r="X1437" t="s">
        <v>5010</v>
      </c>
      <c r="Y1437" t="s">
        <v>5459</v>
      </c>
      <c r="Z1437" t="s">
        <v>83</v>
      </c>
      <c r="AA1437">
        <v>1</v>
      </c>
      <c r="AB1437" t="s">
        <v>5310</v>
      </c>
      <c r="AD1437" t="s">
        <v>343</v>
      </c>
      <c r="AE1437" t="s">
        <v>86</v>
      </c>
      <c r="AF1437" t="s">
        <v>281</v>
      </c>
      <c r="AI1437" t="s">
        <v>90</v>
      </c>
      <c r="AJ1437">
        <v>32.314584000000004</v>
      </c>
      <c r="AK1437">
        <v>-110.71240299999999</v>
      </c>
      <c r="AL1437">
        <v>3</v>
      </c>
      <c r="AN1437">
        <v>1179</v>
      </c>
      <c r="AP1437">
        <v>1179</v>
      </c>
      <c r="AQ1437">
        <v>1192.0803209999999</v>
      </c>
      <c r="AT1437">
        <v>10</v>
      </c>
      <c r="AU1437">
        <v>12</v>
      </c>
      <c r="AV1437">
        <v>2022</v>
      </c>
      <c r="AW1437">
        <v>2439589</v>
      </c>
      <c r="AX1437">
        <v>2439589</v>
      </c>
      <c r="AY1437" t="s">
        <v>106</v>
      </c>
      <c r="AZ1437" t="s">
        <v>92</v>
      </c>
      <c r="BA1437" t="s">
        <v>107</v>
      </c>
      <c r="BB1437" t="s">
        <v>5462</v>
      </c>
      <c r="BC1437" t="s">
        <v>5313</v>
      </c>
      <c r="BD1437" s="1">
        <v>44905</v>
      </c>
      <c r="BE1437" t="s">
        <v>96</v>
      </c>
      <c r="BG1437" t="s">
        <v>5314</v>
      </c>
      <c r="BI1437" t="s">
        <v>98</v>
      </c>
      <c r="BJ1437" t="s">
        <v>3183</v>
      </c>
      <c r="BL1437" t="s">
        <v>412</v>
      </c>
    </row>
    <row r="1438" spans="1:64" hidden="1" x14ac:dyDescent="0.2">
      <c r="A1438">
        <v>615</v>
      </c>
      <c r="B1438">
        <v>4136459327</v>
      </c>
      <c r="C1438" t="s">
        <v>101</v>
      </c>
      <c r="D1438" t="s">
        <v>5463</v>
      </c>
      <c r="E1438" t="s">
        <v>65</v>
      </c>
      <c r="F1438" t="s">
        <v>66</v>
      </c>
      <c r="G1438" t="s">
        <v>67</v>
      </c>
      <c r="H1438" t="s">
        <v>68</v>
      </c>
      <c r="I1438" t="s">
        <v>69</v>
      </c>
      <c r="J1438" t="s">
        <v>70</v>
      </c>
      <c r="K1438" t="s">
        <v>4195</v>
      </c>
      <c r="M1438" t="s">
        <v>72</v>
      </c>
      <c r="N1438" t="s">
        <v>4196</v>
      </c>
      <c r="O1438" t="s">
        <v>4195</v>
      </c>
      <c r="P1438" t="s">
        <v>4197</v>
      </c>
      <c r="Q1438" t="s">
        <v>75</v>
      </c>
      <c r="R1438" t="s">
        <v>5008</v>
      </c>
      <c r="S1438" t="s">
        <v>5464</v>
      </c>
      <c r="T1438" t="s">
        <v>78</v>
      </c>
      <c r="U1438" t="s">
        <v>5009</v>
      </c>
      <c r="V1438" t="s">
        <v>80</v>
      </c>
      <c r="W1438" s="1">
        <v>44905</v>
      </c>
      <c r="X1438" t="s">
        <v>5010</v>
      </c>
      <c r="Y1438" t="s">
        <v>5465</v>
      </c>
      <c r="Z1438" t="s">
        <v>83</v>
      </c>
      <c r="AA1438">
        <v>1</v>
      </c>
      <c r="AB1438" t="s">
        <v>5310</v>
      </c>
      <c r="AD1438" t="s">
        <v>343</v>
      </c>
      <c r="AE1438" t="s">
        <v>145</v>
      </c>
      <c r="AF1438" t="s">
        <v>146</v>
      </c>
      <c r="AG1438" t="s">
        <v>765</v>
      </c>
      <c r="AI1438" t="s">
        <v>90</v>
      </c>
      <c r="AJ1438">
        <v>32.314413000000002</v>
      </c>
      <c r="AK1438">
        <v>-110.71266799999999</v>
      </c>
      <c r="AL1438">
        <v>3</v>
      </c>
      <c r="AN1438">
        <v>1190</v>
      </c>
      <c r="AP1438">
        <v>1190</v>
      </c>
      <c r="AQ1438">
        <v>1191.0499339999999</v>
      </c>
      <c r="AT1438">
        <v>10</v>
      </c>
      <c r="AU1438">
        <v>12</v>
      </c>
      <c r="AV1438">
        <v>2022</v>
      </c>
      <c r="AW1438">
        <v>2439589</v>
      </c>
      <c r="AX1438">
        <v>2439589</v>
      </c>
      <c r="AY1438" t="s">
        <v>106</v>
      </c>
      <c r="AZ1438" t="s">
        <v>92</v>
      </c>
      <c r="BA1438" t="s">
        <v>107</v>
      </c>
      <c r="BB1438" t="s">
        <v>5466</v>
      </c>
      <c r="BC1438" t="s">
        <v>5313</v>
      </c>
      <c r="BD1438" s="1">
        <v>44905</v>
      </c>
      <c r="BE1438" t="s">
        <v>96</v>
      </c>
      <c r="BG1438" t="s">
        <v>5314</v>
      </c>
      <c r="BI1438" t="s">
        <v>98</v>
      </c>
      <c r="BJ1438" t="s">
        <v>5451</v>
      </c>
      <c r="BL1438" t="s">
        <v>110</v>
      </c>
    </row>
    <row r="1439" spans="1:64" x14ac:dyDescent="0.2">
      <c r="A1439">
        <v>835</v>
      </c>
      <c r="B1439">
        <v>4070420388</v>
      </c>
      <c r="C1439" t="s">
        <v>101</v>
      </c>
      <c r="D1439" t="s">
        <v>3086</v>
      </c>
      <c r="E1439" t="s">
        <v>65</v>
      </c>
      <c r="F1439" t="s">
        <v>66</v>
      </c>
      <c r="G1439" t="s">
        <v>67</v>
      </c>
      <c r="H1439" t="s">
        <v>68</v>
      </c>
      <c r="I1439" t="s">
        <v>350</v>
      </c>
      <c r="J1439" t="s">
        <v>351</v>
      </c>
      <c r="K1439" t="s">
        <v>352</v>
      </c>
      <c r="M1439" t="s">
        <v>72</v>
      </c>
      <c r="N1439" t="s">
        <v>353</v>
      </c>
      <c r="O1439" t="s">
        <v>352</v>
      </c>
      <c r="P1439" t="s">
        <v>180</v>
      </c>
      <c r="Q1439" t="s">
        <v>75</v>
      </c>
      <c r="R1439" t="s">
        <v>2806</v>
      </c>
      <c r="S1439" t="s">
        <v>961</v>
      </c>
      <c r="T1439" t="s">
        <v>78</v>
      </c>
      <c r="U1439" t="s">
        <v>1822</v>
      </c>
      <c r="V1439" t="s">
        <v>80</v>
      </c>
      <c r="W1439" s="1">
        <v>44814</v>
      </c>
      <c r="X1439" t="s">
        <v>2778</v>
      </c>
      <c r="Y1439" t="s">
        <v>3080</v>
      </c>
      <c r="Z1439" t="s">
        <v>83</v>
      </c>
      <c r="AA1439">
        <v>1</v>
      </c>
      <c r="AB1439" t="s">
        <v>103</v>
      </c>
      <c r="AC1439">
        <v>1</v>
      </c>
      <c r="AD1439" t="s">
        <v>119</v>
      </c>
      <c r="AE1439" t="s">
        <v>145</v>
      </c>
      <c r="AF1439" t="s">
        <v>146</v>
      </c>
      <c r="AG1439" t="s">
        <v>3082</v>
      </c>
      <c r="AH1439" t="s">
        <v>3087</v>
      </c>
      <c r="AI1439" t="s">
        <v>90</v>
      </c>
      <c r="AJ1439">
        <v>32.452097000000002</v>
      </c>
      <c r="AK1439">
        <v>-110.74662600000001</v>
      </c>
      <c r="AL1439">
        <v>3</v>
      </c>
      <c r="AN1439">
        <v>2204</v>
      </c>
      <c r="AP1439">
        <v>2204</v>
      </c>
      <c r="AQ1439">
        <v>2207.9480010000002</v>
      </c>
      <c r="AT1439">
        <v>10</v>
      </c>
      <c r="AU1439">
        <v>9</v>
      </c>
      <c r="AV1439">
        <v>2022</v>
      </c>
      <c r="AW1439">
        <v>4972385</v>
      </c>
      <c r="AX1439">
        <v>2437431</v>
      </c>
      <c r="AY1439" t="s">
        <v>106</v>
      </c>
      <c r="AZ1439" t="s">
        <v>92</v>
      </c>
      <c r="BA1439" t="s">
        <v>107</v>
      </c>
      <c r="BB1439" t="s">
        <v>3088</v>
      </c>
      <c r="BC1439" t="s">
        <v>2245</v>
      </c>
      <c r="BE1439" t="s">
        <v>96</v>
      </c>
      <c r="BG1439" t="s">
        <v>2811</v>
      </c>
      <c r="BI1439" t="s">
        <v>98</v>
      </c>
      <c r="BJ1439" t="s">
        <v>2999</v>
      </c>
      <c r="BL1439" t="s">
        <v>110</v>
      </c>
    </row>
    <row r="1440" spans="1:64" x14ac:dyDescent="0.2">
      <c r="A1440">
        <v>781</v>
      </c>
      <c r="B1440">
        <v>4070420452</v>
      </c>
      <c r="C1440" t="s">
        <v>101</v>
      </c>
      <c r="D1440" t="s">
        <v>3129</v>
      </c>
      <c r="E1440" t="s">
        <v>65</v>
      </c>
      <c r="F1440" t="s">
        <v>66</v>
      </c>
      <c r="G1440" t="s">
        <v>67</v>
      </c>
      <c r="H1440" t="s">
        <v>68</v>
      </c>
      <c r="I1440" t="s">
        <v>350</v>
      </c>
      <c r="J1440" t="s">
        <v>351</v>
      </c>
      <c r="K1440" t="s">
        <v>352</v>
      </c>
      <c r="M1440" t="s">
        <v>72</v>
      </c>
      <c r="N1440" t="s">
        <v>353</v>
      </c>
      <c r="O1440" t="s">
        <v>352</v>
      </c>
      <c r="P1440" t="s">
        <v>180</v>
      </c>
      <c r="Q1440" t="s">
        <v>75</v>
      </c>
      <c r="R1440" t="s">
        <v>2806</v>
      </c>
      <c r="S1440" t="s">
        <v>968</v>
      </c>
      <c r="T1440" t="s">
        <v>78</v>
      </c>
      <c r="U1440" t="s">
        <v>1822</v>
      </c>
      <c r="V1440" t="s">
        <v>80</v>
      </c>
      <c r="W1440" s="1">
        <v>44814</v>
      </c>
      <c r="X1440" t="s">
        <v>2778</v>
      </c>
      <c r="Y1440" t="s">
        <v>3114</v>
      </c>
      <c r="Z1440" t="s">
        <v>83</v>
      </c>
      <c r="AA1440">
        <v>1</v>
      </c>
      <c r="AB1440" t="s">
        <v>103</v>
      </c>
      <c r="AC1440">
        <v>1</v>
      </c>
      <c r="AD1440" t="s">
        <v>119</v>
      </c>
      <c r="AE1440" t="s">
        <v>86</v>
      </c>
      <c r="AF1440" t="s">
        <v>146</v>
      </c>
      <c r="AG1440" t="s">
        <v>1393</v>
      </c>
      <c r="AH1440" t="s">
        <v>3130</v>
      </c>
      <c r="AI1440" t="s">
        <v>90</v>
      </c>
      <c r="AJ1440">
        <v>32.451968000000001</v>
      </c>
      <c r="AK1440">
        <v>-110.746624</v>
      </c>
      <c r="AL1440">
        <v>4</v>
      </c>
      <c r="AN1440">
        <v>2204</v>
      </c>
      <c r="AP1440">
        <v>2204</v>
      </c>
      <c r="AQ1440">
        <v>2205.5154229999998</v>
      </c>
      <c r="AT1440">
        <v>10</v>
      </c>
      <c r="AU1440">
        <v>9</v>
      </c>
      <c r="AV1440">
        <v>2022</v>
      </c>
      <c r="AW1440">
        <v>4972385</v>
      </c>
      <c r="AX1440">
        <v>2437431</v>
      </c>
      <c r="AY1440" t="s">
        <v>106</v>
      </c>
      <c r="AZ1440" t="s">
        <v>92</v>
      </c>
      <c r="BA1440" t="s">
        <v>107</v>
      </c>
      <c r="BB1440" t="s">
        <v>3131</v>
      </c>
      <c r="BC1440" t="s">
        <v>2245</v>
      </c>
      <c r="BE1440" t="s">
        <v>96</v>
      </c>
      <c r="BG1440" t="s">
        <v>2811</v>
      </c>
      <c r="BI1440" t="s">
        <v>98</v>
      </c>
      <c r="BJ1440" t="s">
        <v>2307</v>
      </c>
      <c r="BL1440" t="s">
        <v>110</v>
      </c>
    </row>
    <row r="1441" spans="1:64" hidden="1" x14ac:dyDescent="0.2">
      <c r="A1441">
        <v>623</v>
      </c>
      <c r="B1441">
        <v>4136459319</v>
      </c>
      <c r="C1441" t="s">
        <v>101</v>
      </c>
      <c r="D1441" t="s">
        <v>5471</v>
      </c>
      <c r="E1441" t="s">
        <v>65</v>
      </c>
      <c r="F1441" t="s">
        <v>66</v>
      </c>
      <c r="G1441" t="s">
        <v>67</v>
      </c>
      <c r="H1441" t="s">
        <v>68</v>
      </c>
      <c r="I1441" t="s">
        <v>69</v>
      </c>
      <c r="J1441" t="s">
        <v>70</v>
      </c>
      <c r="K1441" t="s">
        <v>4195</v>
      </c>
      <c r="M1441" t="s">
        <v>72</v>
      </c>
      <c r="N1441" t="s">
        <v>4196</v>
      </c>
      <c r="O1441" t="s">
        <v>4195</v>
      </c>
      <c r="P1441" t="s">
        <v>4197</v>
      </c>
      <c r="Q1441" t="s">
        <v>75</v>
      </c>
      <c r="R1441" t="s">
        <v>5008</v>
      </c>
      <c r="S1441" t="s">
        <v>5472</v>
      </c>
      <c r="T1441" t="s">
        <v>78</v>
      </c>
      <c r="U1441" t="s">
        <v>5009</v>
      </c>
      <c r="V1441" t="s">
        <v>80</v>
      </c>
      <c r="W1441" s="1">
        <v>44905</v>
      </c>
      <c r="X1441" t="s">
        <v>5010</v>
      </c>
      <c r="Y1441" t="s">
        <v>5473</v>
      </c>
      <c r="Z1441" t="s">
        <v>83</v>
      </c>
      <c r="AA1441">
        <v>1</v>
      </c>
      <c r="AB1441" t="s">
        <v>5310</v>
      </c>
      <c r="AD1441" t="s">
        <v>343</v>
      </c>
      <c r="AE1441" t="s">
        <v>86</v>
      </c>
      <c r="AF1441" t="s">
        <v>87</v>
      </c>
      <c r="AI1441" t="s">
        <v>90</v>
      </c>
      <c r="AJ1441">
        <v>32.314328000000003</v>
      </c>
      <c r="AK1441">
        <v>-110.712667</v>
      </c>
      <c r="AL1441">
        <v>3</v>
      </c>
      <c r="AN1441">
        <v>1185</v>
      </c>
      <c r="AP1441">
        <v>1185</v>
      </c>
      <c r="AQ1441">
        <v>1188.4003749999999</v>
      </c>
      <c r="AT1441">
        <v>10</v>
      </c>
      <c r="AU1441">
        <v>12</v>
      </c>
      <c r="AV1441">
        <v>2022</v>
      </c>
      <c r="AW1441">
        <v>2439589</v>
      </c>
      <c r="AX1441">
        <v>2439589</v>
      </c>
      <c r="AY1441" t="s">
        <v>106</v>
      </c>
      <c r="AZ1441" t="s">
        <v>92</v>
      </c>
      <c r="BA1441" t="s">
        <v>107</v>
      </c>
      <c r="BB1441" t="s">
        <v>5474</v>
      </c>
      <c r="BC1441" t="s">
        <v>5313</v>
      </c>
      <c r="BD1441" s="1">
        <v>44905</v>
      </c>
      <c r="BE1441" t="s">
        <v>96</v>
      </c>
      <c r="BG1441" t="s">
        <v>5314</v>
      </c>
      <c r="BI1441" t="s">
        <v>98</v>
      </c>
      <c r="BJ1441" t="s">
        <v>2932</v>
      </c>
      <c r="BL1441" t="s">
        <v>110</v>
      </c>
    </row>
    <row r="1442" spans="1:64" x14ac:dyDescent="0.2">
      <c r="A1442">
        <v>775</v>
      </c>
      <c r="B1442">
        <v>4070420461</v>
      </c>
      <c r="C1442" t="s">
        <v>101</v>
      </c>
      <c r="D1442" t="s">
        <v>3153</v>
      </c>
      <c r="E1442" t="s">
        <v>65</v>
      </c>
      <c r="F1442" t="s">
        <v>66</v>
      </c>
      <c r="G1442" t="s">
        <v>67</v>
      </c>
      <c r="H1442" t="s">
        <v>68</v>
      </c>
      <c r="I1442" t="s">
        <v>350</v>
      </c>
      <c r="J1442" t="s">
        <v>351</v>
      </c>
      <c r="K1442" t="s">
        <v>352</v>
      </c>
      <c r="M1442" t="s">
        <v>72</v>
      </c>
      <c r="N1442" t="s">
        <v>353</v>
      </c>
      <c r="O1442" t="s">
        <v>352</v>
      </c>
      <c r="P1442" t="s">
        <v>180</v>
      </c>
      <c r="Q1442" t="s">
        <v>75</v>
      </c>
      <c r="R1442" t="s">
        <v>2806</v>
      </c>
      <c r="S1442" t="s">
        <v>3144</v>
      </c>
      <c r="T1442" t="s">
        <v>78</v>
      </c>
      <c r="U1442" t="s">
        <v>1822</v>
      </c>
      <c r="V1442" t="s">
        <v>80</v>
      </c>
      <c r="W1442" s="1">
        <v>44815</v>
      </c>
      <c r="X1442" t="s">
        <v>2778</v>
      </c>
      <c r="Y1442" t="s">
        <v>3145</v>
      </c>
      <c r="Z1442" t="s">
        <v>83</v>
      </c>
      <c r="AA1442">
        <v>1</v>
      </c>
      <c r="AB1442" t="s">
        <v>103</v>
      </c>
      <c r="AC1442">
        <v>1</v>
      </c>
      <c r="AD1442" t="s">
        <v>119</v>
      </c>
      <c r="AE1442" t="s">
        <v>145</v>
      </c>
      <c r="AF1442" t="s">
        <v>146</v>
      </c>
      <c r="AG1442" t="s">
        <v>3147</v>
      </c>
      <c r="AH1442" t="s">
        <v>3154</v>
      </c>
      <c r="AI1442" t="s">
        <v>90</v>
      </c>
      <c r="AJ1442">
        <v>32.453969000000001</v>
      </c>
      <c r="AK1442">
        <v>-110.74510600000001</v>
      </c>
      <c r="AL1442">
        <v>3</v>
      </c>
      <c r="AN1442">
        <v>2201</v>
      </c>
      <c r="AP1442">
        <v>2201</v>
      </c>
      <c r="AQ1442">
        <v>2206.40085</v>
      </c>
      <c r="AT1442">
        <v>11</v>
      </c>
      <c r="AU1442">
        <v>9</v>
      </c>
      <c r="AV1442">
        <v>2022</v>
      </c>
      <c r="AW1442">
        <v>4972385</v>
      </c>
      <c r="AX1442">
        <v>2437431</v>
      </c>
      <c r="AY1442" t="s">
        <v>106</v>
      </c>
      <c r="AZ1442" t="s">
        <v>92</v>
      </c>
      <c r="BA1442" t="s">
        <v>107</v>
      </c>
      <c r="BB1442" t="s">
        <v>3155</v>
      </c>
      <c r="BC1442" t="s">
        <v>2245</v>
      </c>
      <c r="BE1442" t="s">
        <v>96</v>
      </c>
      <c r="BG1442" t="s">
        <v>2811</v>
      </c>
      <c r="BI1442" t="s">
        <v>98</v>
      </c>
      <c r="BJ1442" t="s">
        <v>3128</v>
      </c>
      <c r="BL1442" t="s">
        <v>412</v>
      </c>
    </row>
    <row r="1443" spans="1:64" x14ac:dyDescent="0.2">
      <c r="A1443">
        <v>510</v>
      </c>
      <c r="B1443">
        <v>4136459449</v>
      </c>
      <c r="C1443" t="s">
        <v>101</v>
      </c>
      <c r="D1443" t="s">
        <v>5525</v>
      </c>
      <c r="E1443" t="s">
        <v>65</v>
      </c>
      <c r="F1443" t="s">
        <v>66</v>
      </c>
      <c r="G1443" t="s">
        <v>67</v>
      </c>
      <c r="H1443" t="s">
        <v>68</v>
      </c>
      <c r="I1443" t="s">
        <v>69</v>
      </c>
      <c r="J1443" t="s">
        <v>70</v>
      </c>
      <c r="K1443" t="s">
        <v>71</v>
      </c>
      <c r="M1443" t="s">
        <v>72</v>
      </c>
      <c r="N1443" t="s">
        <v>73</v>
      </c>
      <c r="O1443" t="s">
        <v>71</v>
      </c>
      <c r="P1443" t="s">
        <v>74</v>
      </c>
      <c r="Q1443" t="s">
        <v>75</v>
      </c>
      <c r="R1443" t="s">
        <v>5008</v>
      </c>
      <c r="S1443" t="s">
        <v>469</v>
      </c>
      <c r="T1443" t="s">
        <v>78</v>
      </c>
      <c r="U1443" t="s">
        <v>5009</v>
      </c>
      <c r="V1443" t="s">
        <v>80</v>
      </c>
      <c r="W1443" s="1">
        <v>44905</v>
      </c>
      <c r="X1443" t="s">
        <v>5010</v>
      </c>
      <c r="Y1443" t="s">
        <v>5495</v>
      </c>
      <c r="Z1443" t="s">
        <v>83</v>
      </c>
      <c r="AA1443">
        <v>1</v>
      </c>
      <c r="AB1443" t="s">
        <v>5526</v>
      </c>
      <c r="AC1443">
        <v>1</v>
      </c>
      <c r="AD1443" t="s">
        <v>119</v>
      </c>
      <c r="AE1443" t="s">
        <v>145</v>
      </c>
      <c r="AF1443" t="s">
        <v>281</v>
      </c>
      <c r="AG1443" t="s">
        <v>3217</v>
      </c>
      <c r="AH1443" t="s">
        <v>5527</v>
      </c>
      <c r="AI1443" t="s">
        <v>90</v>
      </c>
      <c r="AJ1443">
        <v>32.313670000000002</v>
      </c>
      <c r="AK1443">
        <v>-110.712413</v>
      </c>
      <c r="AL1443">
        <v>3</v>
      </c>
      <c r="AN1443">
        <v>1145</v>
      </c>
      <c r="AP1443">
        <v>1145</v>
      </c>
      <c r="AQ1443">
        <v>1169.9528</v>
      </c>
      <c r="AT1443">
        <v>10</v>
      </c>
      <c r="AU1443">
        <v>12</v>
      </c>
      <c r="AV1443">
        <v>2022</v>
      </c>
      <c r="AW1443">
        <v>2439581</v>
      </c>
      <c r="AX1443">
        <v>2439581</v>
      </c>
      <c r="AY1443" t="s">
        <v>106</v>
      </c>
      <c r="AZ1443" t="s">
        <v>92</v>
      </c>
      <c r="BA1443" t="s">
        <v>107</v>
      </c>
      <c r="BB1443" t="s">
        <v>5528</v>
      </c>
      <c r="BC1443" t="s">
        <v>97</v>
      </c>
      <c r="BD1443" s="1">
        <v>44905</v>
      </c>
      <c r="BE1443" t="s">
        <v>96</v>
      </c>
      <c r="BG1443" t="s">
        <v>5504</v>
      </c>
      <c r="BI1443" t="s">
        <v>98</v>
      </c>
      <c r="BJ1443" t="s">
        <v>3462</v>
      </c>
      <c r="BL1443" t="s">
        <v>412</v>
      </c>
    </row>
    <row r="1444" spans="1:64" hidden="1" x14ac:dyDescent="0.2">
      <c r="A1444">
        <v>628</v>
      </c>
      <c r="B1444">
        <v>4136459314</v>
      </c>
      <c r="C1444" t="s">
        <v>101</v>
      </c>
      <c r="D1444" t="s">
        <v>5479</v>
      </c>
      <c r="E1444" t="s">
        <v>65</v>
      </c>
      <c r="F1444" t="s">
        <v>66</v>
      </c>
      <c r="G1444" t="s">
        <v>67</v>
      </c>
      <c r="H1444" t="s">
        <v>68</v>
      </c>
      <c r="I1444" t="s">
        <v>176</v>
      </c>
      <c r="J1444" t="s">
        <v>177</v>
      </c>
      <c r="K1444" t="s">
        <v>3925</v>
      </c>
      <c r="M1444" t="s">
        <v>72</v>
      </c>
      <c r="N1444" t="s">
        <v>3926</v>
      </c>
      <c r="O1444" t="s">
        <v>3925</v>
      </c>
      <c r="P1444" t="s">
        <v>1176</v>
      </c>
      <c r="Q1444" t="s">
        <v>75</v>
      </c>
      <c r="R1444" t="s">
        <v>5008</v>
      </c>
      <c r="S1444" t="s">
        <v>5480</v>
      </c>
      <c r="T1444" t="s">
        <v>78</v>
      </c>
      <c r="U1444" t="s">
        <v>5009</v>
      </c>
      <c r="V1444" t="s">
        <v>80</v>
      </c>
      <c r="W1444" s="1">
        <v>44905</v>
      </c>
      <c r="X1444" t="s">
        <v>5010</v>
      </c>
      <c r="Y1444" t="s">
        <v>5481</v>
      </c>
      <c r="Z1444" t="s">
        <v>83</v>
      </c>
      <c r="AA1444">
        <v>1</v>
      </c>
      <c r="AB1444" t="s">
        <v>5310</v>
      </c>
      <c r="AD1444" t="s">
        <v>343</v>
      </c>
      <c r="AE1444" t="s">
        <v>145</v>
      </c>
      <c r="AF1444" t="s">
        <v>146</v>
      </c>
      <c r="AI1444" t="s">
        <v>90</v>
      </c>
      <c r="AJ1444">
        <v>32.31409</v>
      </c>
      <c r="AK1444">
        <v>-110.714263</v>
      </c>
      <c r="AL1444">
        <v>3</v>
      </c>
      <c r="AP1444">
        <v>1207.791999</v>
      </c>
      <c r="AQ1444">
        <v>1207.791999</v>
      </c>
      <c r="AT1444">
        <v>10</v>
      </c>
      <c r="AU1444">
        <v>12</v>
      </c>
      <c r="AV1444">
        <v>2022</v>
      </c>
      <c r="AW1444">
        <v>2437981</v>
      </c>
      <c r="AX1444">
        <v>2437981</v>
      </c>
      <c r="AY1444" t="s">
        <v>106</v>
      </c>
      <c r="AZ1444" t="s">
        <v>92</v>
      </c>
      <c r="BA1444" t="s">
        <v>107</v>
      </c>
      <c r="BB1444" t="s">
        <v>5482</v>
      </c>
      <c r="BC1444" t="s">
        <v>5313</v>
      </c>
      <c r="BD1444" s="1">
        <v>44905</v>
      </c>
      <c r="BE1444" t="s">
        <v>96</v>
      </c>
      <c r="BG1444" t="s">
        <v>5314</v>
      </c>
      <c r="BI1444" t="s">
        <v>98</v>
      </c>
      <c r="BJ1444" t="s">
        <v>3029</v>
      </c>
      <c r="BL1444" t="s">
        <v>412</v>
      </c>
    </row>
    <row r="1445" spans="1:64" x14ac:dyDescent="0.2">
      <c r="A1445">
        <v>458</v>
      </c>
      <c r="B1445">
        <v>4136459501</v>
      </c>
      <c r="C1445" t="s">
        <v>101</v>
      </c>
      <c r="D1445" t="s">
        <v>5610</v>
      </c>
      <c r="E1445" t="s">
        <v>65</v>
      </c>
      <c r="F1445" t="s">
        <v>66</v>
      </c>
      <c r="G1445" t="s">
        <v>67</v>
      </c>
      <c r="H1445" t="s">
        <v>68</v>
      </c>
      <c r="I1445" t="s">
        <v>176</v>
      </c>
      <c r="J1445" t="s">
        <v>177</v>
      </c>
      <c r="K1445" t="s">
        <v>3925</v>
      </c>
      <c r="M1445" t="s">
        <v>72</v>
      </c>
      <c r="N1445" t="s">
        <v>3926</v>
      </c>
      <c r="O1445" t="s">
        <v>3925</v>
      </c>
      <c r="P1445" t="s">
        <v>1176</v>
      </c>
      <c r="Q1445" t="s">
        <v>75</v>
      </c>
      <c r="R1445" t="s">
        <v>5008</v>
      </c>
      <c r="S1445" t="s">
        <v>1178</v>
      </c>
      <c r="T1445" t="s">
        <v>78</v>
      </c>
      <c r="U1445" t="s">
        <v>5009</v>
      </c>
      <c r="V1445" t="s">
        <v>80</v>
      </c>
      <c r="W1445" s="1">
        <v>44905</v>
      </c>
      <c r="X1445" t="s">
        <v>5010</v>
      </c>
      <c r="Y1445" t="s">
        <v>5592</v>
      </c>
      <c r="Z1445" t="s">
        <v>83</v>
      </c>
      <c r="AA1445">
        <v>1</v>
      </c>
      <c r="AB1445" t="s">
        <v>5526</v>
      </c>
      <c r="AC1445">
        <v>1</v>
      </c>
      <c r="AD1445" t="s">
        <v>119</v>
      </c>
      <c r="AE1445" t="s">
        <v>145</v>
      </c>
      <c r="AF1445" t="s">
        <v>146</v>
      </c>
      <c r="AG1445" t="s">
        <v>5594</v>
      </c>
      <c r="AH1445" t="s">
        <v>5611</v>
      </c>
      <c r="AI1445" t="s">
        <v>90</v>
      </c>
      <c r="AJ1445">
        <v>32.313445999999999</v>
      </c>
      <c r="AK1445">
        <v>-110.712751</v>
      </c>
      <c r="AL1445">
        <v>3</v>
      </c>
      <c r="AN1445">
        <v>1170</v>
      </c>
      <c r="AP1445">
        <v>1170</v>
      </c>
      <c r="AQ1445">
        <v>1173.271898</v>
      </c>
      <c r="AT1445">
        <v>10</v>
      </c>
      <c r="AU1445">
        <v>12</v>
      </c>
      <c r="AV1445">
        <v>2022</v>
      </c>
      <c r="AW1445">
        <v>2437981</v>
      </c>
      <c r="AX1445">
        <v>2437981</v>
      </c>
      <c r="AY1445" t="s">
        <v>106</v>
      </c>
      <c r="AZ1445" t="s">
        <v>92</v>
      </c>
      <c r="BA1445" t="s">
        <v>107</v>
      </c>
      <c r="BB1445" t="s">
        <v>5612</v>
      </c>
      <c r="BC1445" t="s">
        <v>97</v>
      </c>
      <c r="BD1445" s="1">
        <v>44905</v>
      </c>
      <c r="BE1445" t="s">
        <v>96</v>
      </c>
      <c r="BG1445" t="s">
        <v>5504</v>
      </c>
      <c r="BI1445" t="s">
        <v>98</v>
      </c>
      <c r="BJ1445" t="s">
        <v>2493</v>
      </c>
      <c r="BL1445" t="s">
        <v>110</v>
      </c>
    </row>
    <row r="1446" spans="1:64" x14ac:dyDescent="0.2">
      <c r="A1446">
        <v>380</v>
      </c>
      <c r="B1446">
        <v>4136459589</v>
      </c>
      <c r="C1446" t="s">
        <v>101</v>
      </c>
      <c r="D1446" t="s">
        <v>5751</v>
      </c>
      <c r="E1446" t="s">
        <v>65</v>
      </c>
      <c r="F1446" t="s">
        <v>66</v>
      </c>
      <c r="G1446" t="s">
        <v>67</v>
      </c>
      <c r="H1446" t="s">
        <v>68</v>
      </c>
      <c r="I1446" t="s">
        <v>69</v>
      </c>
      <c r="J1446" t="s">
        <v>70</v>
      </c>
      <c r="K1446" t="s">
        <v>4195</v>
      </c>
      <c r="M1446" t="s">
        <v>72</v>
      </c>
      <c r="N1446" t="s">
        <v>4196</v>
      </c>
      <c r="O1446" t="s">
        <v>4195</v>
      </c>
      <c r="P1446" t="s">
        <v>4197</v>
      </c>
      <c r="Q1446" t="s">
        <v>75</v>
      </c>
      <c r="R1446" t="s">
        <v>5008</v>
      </c>
      <c r="S1446" t="s">
        <v>5727</v>
      </c>
      <c r="T1446" t="s">
        <v>78</v>
      </c>
      <c r="U1446" t="s">
        <v>5009</v>
      </c>
      <c r="V1446" t="s">
        <v>80</v>
      </c>
      <c r="W1446" s="1">
        <v>44905</v>
      </c>
      <c r="X1446" t="s">
        <v>5010</v>
      </c>
      <c r="Y1446" t="s">
        <v>5728</v>
      </c>
      <c r="Z1446" t="s">
        <v>83</v>
      </c>
      <c r="AA1446">
        <v>1</v>
      </c>
      <c r="AB1446" t="s">
        <v>5526</v>
      </c>
      <c r="AC1446">
        <v>1</v>
      </c>
      <c r="AD1446" t="s">
        <v>119</v>
      </c>
      <c r="AE1446" t="s">
        <v>86</v>
      </c>
      <c r="AF1446" t="s">
        <v>146</v>
      </c>
      <c r="AG1446" t="s">
        <v>5730</v>
      </c>
      <c r="AH1446" t="s">
        <v>5752</v>
      </c>
      <c r="AI1446" t="s">
        <v>90</v>
      </c>
      <c r="AJ1446">
        <v>32.313409999999998</v>
      </c>
      <c r="AK1446">
        <v>-110.714251</v>
      </c>
      <c r="AL1446">
        <v>3</v>
      </c>
      <c r="AP1446">
        <v>1184.787599</v>
      </c>
      <c r="AQ1446">
        <v>1184.787599</v>
      </c>
      <c r="AT1446">
        <v>10</v>
      </c>
      <c r="AU1446">
        <v>12</v>
      </c>
      <c r="AV1446">
        <v>2022</v>
      </c>
      <c r="AW1446">
        <v>2439589</v>
      </c>
      <c r="AX1446">
        <v>2439589</v>
      </c>
      <c r="AY1446" t="s">
        <v>106</v>
      </c>
      <c r="AZ1446" t="s">
        <v>92</v>
      </c>
      <c r="BA1446" t="s">
        <v>107</v>
      </c>
      <c r="BB1446" t="s">
        <v>5753</v>
      </c>
      <c r="BC1446" t="s">
        <v>97</v>
      </c>
      <c r="BD1446" s="1">
        <v>44905</v>
      </c>
      <c r="BE1446" t="s">
        <v>96</v>
      </c>
      <c r="BG1446" t="s">
        <v>5504</v>
      </c>
      <c r="BI1446" t="s">
        <v>98</v>
      </c>
      <c r="BJ1446" t="s">
        <v>5672</v>
      </c>
      <c r="BL1446" t="s">
        <v>412</v>
      </c>
    </row>
    <row r="1447" spans="1:64" x14ac:dyDescent="0.2">
      <c r="A1447">
        <v>573</v>
      </c>
      <c r="B1447">
        <v>4136459385</v>
      </c>
      <c r="C1447" t="s">
        <v>101</v>
      </c>
      <c r="D1447" t="s">
        <v>5787</v>
      </c>
      <c r="E1447" t="s">
        <v>65</v>
      </c>
      <c r="F1447" t="s">
        <v>66</v>
      </c>
      <c r="G1447" t="s">
        <v>67</v>
      </c>
      <c r="H1447" t="s">
        <v>68</v>
      </c>
      <c r="I1447" t="s">
        <v>69</v>
      </c>
      <c r="J1447" t="s">
        <v>70</v>
      </c>
      <c r="K1447" t="s">
        <v>4195</v>
      </c>
      <c r="M1447" t="s">
        <v>72</v>
      </c>
      <c r="N1447" t="s">
        <v>4196</v>
      </c>
      <c r="O1447" t="s">
        <v>4195</v>
      </c>
      <c r="P1447" t="s">
        <v>4197</v>
      </c>
      <c r="Q1447" t="s">
        <v>75</v>
      </c>
      <c r="R1447" t="s">
        <v>5008</v>
      </c>
      <c r="S1447" t="s">
        <v>1769</v>
      </c>
      <c r="T1447" t="s">
        <v>78</v>
      </c>
      <c r="U1447" t="s">
        <v>5009</v>
      </c>
      <c r="V1447" t="s">
        <v>80</v>
      </c>
      <c r="W1447" s="1">
        <v>44905</v>
      </c>
      <c r="X1447" t="s">
        <v>5010</v>
      </c>
      <c r="Y1447" t="s">
        <v>5762</v>
      </c>
      <c r="Z1447" t="s">
        <v>83</v>
      </c>
      <c r="AA1447">
        <v>1</v>
      </c>
      <c r="AB1447" t="s">
        <v>5526</v>
      </c>
      <c r="AC1447">
        <v>1</v>
      </c>
      <c r="AD1447" t="s">
        <v>119</v>
      </c>
      <c r="AE1447" t="s">
        <v>145</v>
      </c>
      <c r="AF1447" t="s">
        <v>146</v>
      </c>
      <c r="AG1447" t="s">
        <v>5764</v>
      </c>
      <c r="AH1447" t="s">
        <v>5788</v>
      </c>
      <c r="AI1447" t="s">
        <v>90</v>
      </c>
      <c r="AJ1447">
        <v>32.314051999999997</v>
      </c>
      <c r="AK1447">
        <v>-110.713517</v>
      </c>
      <c r="AL1447">
        <v>3</v>
      </c>
      <c r="AN1447">
        <v>1173</v>
      </c>
      <c r="AP1447">
        <v>1173</v>
      </c>
      <c r="AQ1447">
        <v>1196.6700800000001</v>
      </c>
      <c r="AT1447">
        <v>10</v>
      </c>
      <c r="AU1447">
        <v>12</v>
      </c>
      <c r="AV1447">
        <v>2022</v>
      </c>
      <c r="AW1447">
        <v>2439589</v>
      </c>
      <c r="AX1447">
        <v>2439589</v>
      </c>
      <c r="AY1447" t="s">
        <v>106</v>
      </c>
      <c r="AZ1447" t="s">
        <v>92</v>
      </c>
      <c r="BA1447" t="s">
        <v>107</v>
      </c>
      <c r="BB1447" t="s">
        <v>5789</v>
      </c>
      <c r="BC1447" t="s">
        <v>97</v>
      </c>
      <c r="BD1447" s="1">
        <v>44905</v>
      </c>
      <c r="BE1447" t="s">
        <v>96</v>
      </c>
      <c r="BG1447" t="s">
        <v>5504</v>
      </c>
      <c r="BI1447" t="s">
        <v>98</v>
      </c>
      <c r="BJ1447" t="s">
        <v>5790</v>
      </c>
      <c r="BL1447" t="s">
        <v>110</v>
      </c>
    </row>
    <row r="1448" spans="1:64" hidden="1" x14ac:dyDescent="0.2">
      <c r="A1448">
        <v>625</v>
      </c>
      <c r="B1448">
        <v>4136459317</v>
      </c>
      <c r="C1448" t="s">
        <v>101</v>
      </c>
      <c r="D1448" t="s">
        <v>5491</v>
      </c>
      <c r="E1448" t="s">
        <v>65</v>
      </c>
      <c r="F1448" t="s">
        <v>66</v>
      </c>
      <c r="G1448" t="s">
        <v>67</v>
      </c>
      <c r="H1448" t="s">
        <v>68</v>
      </c>
      <c r="I1448" t="s">
        <v>176</v>
      </c>
      <c r="J1448" t="s">
        <v>177</v>
      </c>
      <c r="K1448" t="s">
        <v>3925</v>
      </c>
      <c r="M1448" t="s">
        <v>72</v>
      </c>
      <c r="N1448" t="s">
        <v>3926</v>
      </c>
      <c r="O1448" t="s">
        <v>3925</v>
      </c>
      <c r="P1448" t="s">
        <v>1176</v>
      </c>
      <c r="Q1448" t="s">
        <v>75</v>
      </c>
      <c r="R1448" t="s">
        <v>5008</v>
      </c>
      <c r="S1448" t="s">
        <v>1281</v>
      </c>
      <c r="T1448" t="s">
        <v>78</v>
      </c>
      <c r="U1448" t="s">
        <v>5009</v>
      </c>
      <c r="V1448" t="s">
        <v>80</v>
      </c>
      <c r="W1448" s="1">
        <v>44905</v>
      </c>
      <c r="X1448" t="s">
        <v>5010</v>
      </c>
      <c r="Y1448" t="s">
        <v>5486</v>
      </c>
      <c r="Z1448" t="s">
        <v>83</v>
      </c>
      <c r="AA1448">
        <v>1</v>
      </c>
      <c r="AB1448" t="s">
        <v>5310</v>
      </c>
      <c r="AD1448" t="s">
        <v>343</v>
      </c>
      <c r="AE1448" t="s">
        <v>145</v>
      </c>
      <c r="AF1448" t="s">
        <v>146</v>
      </c>
      <c r="AG1448" t="s">
        <v>5371</v>
      </c>
      <c r="AI1448" t="s">
        <v>90</v>
      </c>
      <c r="AJ1448">
        <v>32.314622999999997</v>
      </c>
      <c r="AK1448">
        <v>-110.71236500000001</v>
      </c>
      <c r="AL1448">
        <v>3</v>
      </c>
      <c r="AN1448">
        <v>1182</v>
      </c>
      <c r="AP1448">
        <v>1182</v>
      </c>
      <c r="AQ1448">
        <v>1192.5299950000001</v>
      </c>
      <c r="AT1448">
        <v>10</v>
      </c>
      <c r="AU1448">
        <v>12</v>
      </c>
      <c r="AV1448">
        <v>2022</v>
      </c>
      <c r="AW1448">
        <v>2437981</v>
      </c>
      <c r="AX1448">
        <v>2437981</v>
      </c>
      <c r="AY1448" t="s">
        <v>106</v>
      </c>
      <c r="AZ1448" t="s">
        <v>92</v>
      </c>
      <c r="BA1448" t="s">
        <v>107</v>
      </c>
      <c r="BB1448" t="s">
        <v>5492</v>
      </c>
      <c r="BC1448" t="s">
        <v>5313</v>
      </c>
      <c r="BD1448" s="1">
        <v>44905</v>
      </c>
      <c r="BE1448" t="s">
        <v>96</v>
      </c>
      <c r="BG1448" t="s">
        <v>5314</v>
      </c>
      <c r="BI1448" t="s">
        <v>98</v>
      </c>
      <c r="BJ1448" t="s">
        <v>5493</v>
      </c>
      <c r="BL1448" t="s">
        <v>412</v>
      </c>
    </row>
    <row r="1449" spans="1:64" hidden="1" x14ac:dyDescent="0.2">
      <c r="A1449">
        <v>481</v>
      </c>
      <c r="B1449">
        <v>4136459478</v>
      </c>
      <c r="C1449" t="s">
        <v>101</v>
      </c>
      <c r="D1449" t="s">
        <v>5501</v>
      </c>
      <c r="E1449" t="s">
        <v>65</v>
      </c>
      <c r="F1449" t="s">
        <v>66</v>
      </c>
      <c r="G1449" t="s">
        <v>67</v>
      </c>
      <c r="H1449" t="s">
        <v>68</v>
      </c>
      <c r="I1449" t="s">
        <v>69</v>
      </c>
      <c r="J1449" t="s">
        <v>70</v>
      </c>
      <c r="K1449" t="s">
        <v>71</v>
      </c>
      <c r="M1449" t="s">
        <v>72</v>
      </c>
      <c r="N1449" t="s">
        <v>73</v>
      </c>
      <c r="O1449" t="s">
        <v>71</v>
      </c>
      <c r="P1449" t="s">
        <v>74</v>
      </c>
      <c r="Q1449" t="s">
        <v>75</v>
      </c>
      <c r="R1449" t="s">
        <v>5008</v>
      </c>
      <c r="S1449" t="s">
        <v>469</v>
      </c>
      <c r="T1449" t="s">
        <v>78</v>
      </c>
      <c r="U1449" t="s">
        <v>5009</v>
      </c>
      <c r="V1449" t="s">
        <v>80</v>
      </c>
      <c r="W1449" s="1">
        <v>44905</v>
      </c>
      <c r="X1449" t="s">
        <v>5010</v>
      </c>
      <c r="Y1449" t="s">
        <v>5495</v>
      </c>
      <c r="Z1449" t="s">
        <v>83</v>
      </c>
      <c r="AA1449">
        <v>1</v>
      </c>
      <c r="AB1449" t="s">
        <v>5310</v>
      </c>
      <c r="AD1449" t="s">
        <v>116</v>
      </c>
      <c r="AE1449" t="s">
        <v>145</v>
      </c>
      <c r="AF1449" t="s">
        <v>281</v>
      </c>
      <c r="AG1449" t="s">
        <v>3217</v>
      </c>
      <c r="AH1449" t="s">
        <v>5502</v>
      </c>
      <c r="AI1449" t="s">
        <v>90</v>
      </c>
      <c r="AJ1449">
        <v>32.313670000000002</v>
      </c>
      <c r="AK1449">
        <v>-110.712413</v>
      </c>
      <c r="AL1449">
        <v>3</v>
      </c>
      <c r="AN1449">
        <v>1145</v>
      </c>
      <c r="AP1449">
        <v>1145</v>
      </c>
      <c r="AQ1449">
        <v>1169.9528</v>
      </c>
      <c r="AT1449">
        <v>10</v>
      </c>
      <c r="AU1449">
        <v>12</v>
      </c>
      <c r="AV1449">
        <v>2022</v>
      </c>
      <c r="AW1449">
        <v>2439581</v>
      </c>
      <c r="AX1449">
        <v>2439581</v>
      </c>
      <c r="AY1449" t="s">
        <v>106</v>
      </c>
      <c r="AZ1449" t="s">
        <v>92</v>
      </c>
      <c r="BA1449" t="s">
        <v>107</v>
      </c>
      <c r="BB1449" t="s">
        <v>5503</v>
      </c>
      <c r="BC1449" t="s">
        <v>97</v>
      </c>
      <c r="BD1449" s="1">
        <v>44905</v>
      </c>
      <c r="BE1449" t="s">
        <v>96</v>
      </c>
      <c r="BG1449" t="s">
        <v>5504</v>
      </c>
      <c r="BI1449" t="s">
        <v>98</v>
      </c>
      <c r="BJ1449" t="s">
        <v>3411</v>
      </c>
      <c r="BL1449" t="s">
        <v>412</v>
      </c>
    </row>
    <row r="1450" spans="1:64" hidden="1" x14ac:dyDescent="0.2">
      <c r="A1450">
        <v>498</v>
      </c>
      <c r="B1450">
        <v>4136459461</v>
      </c>
      <c r="C1450" t="s">
        <v>101</v>
      </c>
      <c r="D1450" t="s">
        <v>5505</v>
      </c>
      <c r="E1450" t="s">
        <v>65</v>
      </c>
      <c r="F1450" t="s">
        <v>66</v>
      </c>
      <c r="G1450" t="s">
        <v>67</v>
      </c>
      <c r="H1450" t="s">
        <v>68</v>
      </c>
      <c r="I1450" t="s">
        <v>69</v>
      </c>
      <c r="J1450" t="s">
        <v>70</v>
      </c>
      <c r="K1450" t="s">
        <v>71</v>
      </c>
      <c r="M1450" t="s">
        <v>72</v>
      </c>
      <c r="N1450" t="s">
        <v>73</v>
      </c>
      <c r="O1450" t="s">
        <v>71</v>
      </c>
      <c r="P1450" t="s">
        <v>74</v>
      </c>
      <c r="Q1450" t="s">
        <v>75</v>
      </c>
      <c r="R1450" t="s">
        <v>5008</v>
      </c>
      <c r="S1450" t="s">
        <v>469</v>
      </c>
      <c r="T1450" t="s">
        <v>78</v>
      </c>
      <c r="U1450" t="s">
        <v>5009</v>
      </c>
      <c r="V1450" t="s">
        <v>80</v>
      </c>
      <c r="W1450" s="1">
        <v>44905</v>
      </c>
      <c r="X1450" t="s">
        <v>5010</v>
      </c>
      <c r="Y1450" t="s">
        <v>5495</v>
      </c>
      <c r="Z1450" t="s">
        <v>83</v>
      </c>
      <c r="AA1450">
        <v>1</v>
      </c>
      <c r="AB1450" t="s">
        <v>5506</v>
      </c>
      <c r="AD1450" t="s">
        <v>104</v>
      </c>
      <c r="AE1450" t="s">
        <v>145</v>
      </c>
      <c r="AF1450" t="s">
        <v>281</v>
      </c>
      <c r="AG1450" t="s">
        <v>3217</v>
      </c>
      <c r="AH1450" t="s">
        <v>5502</v>
      </c>
      <c r="AI1450" t="s">
        <v>90</v>
      </c>
      <c r="AJ1450">
        <v>32.313670000000002</v>
      </c>
      <c r="AK1450">
        <v>-110.712413</v>
      </c>
      <c r="AL1450">
        <v>3</v>
      </c>
      <c r="AN1450">
        <v>1145</v>
      </c>
      <c r="AP1450">
        <v>1145</v>
      </c>
      <c r="AQ1450">
        <v>1169.9528</v>
      </c>
      <c r="AT1450">
        <v>10</v>
      </c>
      <c r="AU1450">
        <v>12</v>
      </c>
      <c r="AV1450">
        <v>2022</v>
      </c>
      <c r="AW1450">
        <v>2439581</v>
      </c>
      <c r="AX1450">
        <v>2439581</v>
      </c>
      <c r="AY1450" t="s">
        <v>106</v>
      </c>
      <c r="AZ1450" t="s">
        <v>92</v>
      </c>
      <c r="BA1450" t="s">
        <v>107</v>
      </c>
      <c r="BB1450" t="s">
        <v>5507</v>
      </c>
      <c r="BC1450" t="s">
        <v>97</v>
      </c>
      <c r="BD1450" s="1">
        <v>44905</v>
      </c>
      <c r="BE1450" t="s">
        <v>96</v>
      </c>
      <c r="BG1450" t="s">
        <v>5504</v>
      </c>
      <c r="BI1450" t="s">
        <v>98</v>
      </c>
      <c r="BJ1450" t="s">
        <v>3417</v>
      </c>
      <c r="BL1450" t="s">
        <v>412</v>
      </c>
    </row>
    <row r="1451" spans="1:64" hidden="1" x14ac:dyDescent="0.2">
      <c r="A1451">
        <v>501</v>
      </c>
      <c r="B1451">
        <v>4136459458</v>
      </c>
      <c r="C1451" t="s">
        <v>101</v>
      </c>
      <c r="D1451" t="s">
        <v>5508</v>
      </c>
      <c r="E1451" t="s">
        <v>65</v>
      </c>
      <c r="F1451" t="s">
        <v>66</v>
      </c>
      <c r="G1451" t="s">
        <v>67</v>
      </c>
      <c r="H1451" t="s">
        <v>68</v>
      </c>
      <c r="I1451" t="s">
        <v>69</v>
      </c>
      <c r="J1451" t="s">
        <v>70</v>
      </c>
      <c r="K1451" t="s">
        <v>71</v>
      </c>
      <c r="M1451" t="s">
        <v>72</v>
      </c>
      <c r="N1451" t="s">
        <v>73</v>
      </c>
      <c r="O1451" t="s">
        <v>71</v>
      </c>
      <c r="P1451" t="s">
        <v>74</v>
      </c>
      <c r="Q1451" t="s">
        <v>75</v>
      </c>
      <c r="R1451" t="s">
        <v>5008</v>
      </c>
      <c r="S1451" t="s">
        <v>469</v>
      </c>
      <c r="T1451" t="s">
        <v>78</v>
      </c>
      <c r="U1451" t="s">
        <v>5009</v>
      </c>
      <c r="V1451" t="s">
        <v>80</v>
      </c>
      <c r="W1451" s="1">
        <v>44905</v>
      </c>
      <c r="X1451" t="s">
        <v>5010</v>
      </c>
      <c r="Y1451" t="s">
        <v>5495</v>
      </c>
      <c r="Z1451" t="s">
        <v>83</v>
      </c>
      <c r="AA1451">
        <v>1</v>
      </c>
      <c r="AB1451" t="s">
        <v>5506</v>
      </c>
      <c r="AD1451" t="s">
        <v>116</v>
      </c>
      <c r="AE1451" t="s">
        <v>145</v>
      </c>
      <c r="AF1451" t="s">
        <v>281</v>
      </c>
      <c r="AG1451" t="s">
        <v>3217</v>
      </c>
      <c r="AH1451" t="s">
        <v>5502</v>
      </c>
      <c r="AI1451" t="s">
        <v>90</v>
      </c>
      <c r="AJ1451">
        <v>32.313670000000002</v>
      </c>
      <c r="AK1451">
        <v>-110.712413</v>
      </c>
      <c r="AL1451">
        <v>3</v>
      </c>
      <c r="AN1451">
        <v>1145</v>
      </c>
      <c r="AP1451">
        <v>1145</v>
      </c>
      <c r="AQ1451">
        <v>1169.9528</v>
      </c>
      <c r="AT1451">
        <v>10</v>
      </c>
      <c r="AU1451">
        <v>12</v>
      </c>
      <c r="AV1451">
        <v>2022</v>
      </c>
      <c r="AW1451">
        <v>2439581</v>
      </c>
      <c r="AX1451">
        <v>2439581</v>
      </c>
      <c r="AY1451" t="s">
        <v>106</v>
      </c>
      <c r="AZ1451" t="s">
        <v>92</v>
      </c>
      <c r="BA1451" t="s">
        <v>107</v>
      </c>
      <c r="BB1451" t="s">
        <v>5509</v>
      </c>
      <c r="BC1451" t="s">
        <v>97</v>
      </c>
      <c r="BD1451" s="1">
        <v>44905</v>
      </c>
      <c r="BE1451" t="s">
        <v>96</v>
      </c>
      <c r="BG1451" t="s">
        <v>5504</v>
      </c>
      <c r="BI1451" t="s">
        <v>98</v>
      </c>
      <c r="BJ1451" t="s">
        <v>3647</v>
      </c>
      <c r="BL1451" t="s">
        <v>412</v>
      </c>
    </row>
    <row r="1452" spans="1:64" hidden="1" x14ac:dyDescent="0.2">
      <c r="A1452">
        <v>494</v>
      </c>
      <c r="B1452">
        <v>4136459465</v>
      </c>
      <c r="C1452" t="s">
        <v>101</v>
      </c>
      <c r="D1452" t="s">
        <v>5510</v>
      </c>
      <c r="E1452" t="s">
        <v>65</v>
      </c>
      <c r="F1452" t="s">
        <v>66</v>
      </c>
      <c r="G1452" t="s">
        <v>67</v>
      </c>
      <c r="H1452" t="s">
        <v>68</v>
      </c>
      <c r="I1452" t="s">
        <v>69</v>
      </c>
      <c r="J1452" t="s">
        <v>70</v>
      </c>
      <c r="K1452" t="s">
        <v>71</v>
      </c>
      <c r="M1452" t="s">
        <v>72</v>
      </c>
      <c r="N1452" t="s">
        <v>73</v>
      </c>
      <c r="O1452" t="s">
        <v>71</v>
      </c>
      <c r="P1452" t="s">
        <v>74</v>
      </c>
      <c r="Q1452" t="s">
        <v>75</v>
      </c>
      <c r="R1452" t="s">
        <v>5008</v>
      </c>
      <c r="S1452" t="s">
        <v>469</v>
      </c>
      <c r="T1452" t="s">
        <v>78</v>
      </c>
      <c r="U1452" t="s">
        <v>5009</v>
      </c>
      <c r="V1452" t="s">
        <v>80</v>
      </c>
      <c r="W1452" s="1">
        <v>44905</v>
      </c>
      <c r="X1452" t="s">
        <v>5010</v>
      </c>
      <c r="Y1452" t="s">
        <v>5495</v>
      </c>
      <c r="Z1452" t="s">
        <v>83</v>
      </c>
      <c r="AA1452">
        <v>1</v>
      </c>
      <c r="AB1452" t="s">
        <v>5310</v>
      </c>
      <c r="AD1452" t="s">
        <v>123</v>
      </c>
      <c r="AE1452" t="s">
        <v>145</v>
      </c>
      <c r="AF1452" t="s">
        <v>281</v>
      </c>
      <c r="AG1452" t="s">
        <v>3217</v>
      </c>
      <c r="AH1452" t="s">
        <v>5502</v>
      </c>
      <c r="AI1452" t="s">
        <v>90</v>
      </c>
      <c r="AJ1452">
        <v>32.313670000000002</v>
      </c>
      <c r="AK1452">
        <v>-110.712413</v>
      </c>
      <c r="AL1452">
        <v>3</v>
      </c>
      <c r="AN1452">
        <v>1145</v>
      </c>
      <c r="AP1452">
        <v>1145</v>
      </c>
      <c r="AQ1452">
        <v>1169.9528</v>
      </c>
      <c r="AT1452">
        <v>10</v>
      </c>
      <c r="AU1452">
        <v>12</v>
      </c>
      <c r="AV1452">
        <v>2022</v>
      </c>
      <c r="AW1452">
        <v>2439581</v>
      </c>
      <c r="AX1452">
        <v>2439581</v>
      </c>
      <c r="AY1452" t="s">
        <v>106</v>
      </c>
      <c r="AZ1452" t="s">
        <v>92</v>
      </c>
      <c r="BA1452" t="s">
        <v>107</v>
      </c>
      <c r="BB1452" t="s">
        <v>5511</v>
      </c>
      <c r="BC1452" t="s">
        <v>97</v>
      </c>
      <c r="BD1452" s="1">
        <v>44905</v>
      </c>
      <c r="BE1452" t="s">
        <v>96</v>
      </c>
      <c r="BG1452" t="s">
        <v>5504</v>
      </c>
      <c r="BI1452" t="s">
        <v>98</v>
      </c>
      <c r="BJ1452" t="s">
        <v>3417</v>
      </c>
      <c r="BL1452" t="s">
        <v>412</v>
      </c>
    </row>
    <row r="1453" spans="1:64" hidden="1" x14ac:dyDescent="0.2">
      <c r="A1453">
        <v>495</v>
      </c>
      <c r="B1453">
        <v>4136459464</v>
      </c>
      <c r="C1453" t="s">
        <v>101</v>
      </c>
      <c r="D1453" t="s">
        <v>5512</v>
      </c>
      <c r="E1453" t="s">
        <v>65</v>
      </c>
      <c r="F1453" t="s">
        <v>66</v>
      </c>
      <c r="G1453" t="s">
        <v>67</v>
      </c>
      <c r="H1453" t="s">
        <v>68</v>
      </c>
      <c r="I1453" t="s">
        <v>69</v>
      </c>
      <c r="J1453" t="s">
        <v>70</v>
      </c>
      <c r="K1453" t="s">
        <v>71</v>
      </c>
      <c r="M1453" t="s">
        <v>72</v>
      </c>
      <c r="N1453" t="s">
        <v>73</v>
      </c>
      <c r="O1453" t="s">
        <v>71</v>
      </c>
      <c r="P1453" t="s">
        <v>74</v>
      </c>
      <c r="Q1453" t="s">
        <v>75</v>
      </c>
      <c r="R1453" t="s">
        <v>5008</v>
      </c>
      <c r="S1453" t="s">
        <v>469</v>
      </c>
      <c r="T1453" t="s">
        <v>78</v>
      </c>
      <c r="U1453" t="s">
        <v>5009</v>
      </c>
      <c r="V1453" t="s">
        <v>80</v>
      </c>
      <c r="W1453" s="1">
        <v>44905</v>
      </c>
      <c r="X1453" t="s">
        <v>5010</v>
      </c>
      <c r="Y1453" t="s">
        <v>5495</v>
      </c>
      <c r="Z1453" t="s">
        <v>83</v>
      </c>
      <c r="AA1453">
        <v>1</v>
      </c>
      <c r="AB1453" t="s">
        <v>5506</v>
      </c>
      <c r="AD1453" t="s">
        <v>139</v>
      </c>
      <c r="AE1453" t="s">
        <v>145</v>
      </c>
      <c r="AF1453" t="s">
        <v>281</v>
      </c>
      <c r="AG1453" t="s">
        <v>3217</v>
      </c>
      <c r="AH1453" t="s">
        <v>5502</v>
      </c>
      <c r="AI1453" t="s">
        <v>90</v>
      </c>
      <c r="AJ1453">
        <v>32.313670000000002</v>
      </c>
      <c r="AK1453">
        <v>-110.712413</v>
      </c>
      <c r="AL1453">
        <v>3</v>
      </c>
      <c r="AN1453">
        <v>1145</v>
      </c>
      <c r="AP1453">
        <v>1145</v>
      </c>
      <c r="AQ1453">
        <v>1169.9528</v>
      </c>
      <c r="AT1453">
        <v>10</v>
      </c>
      <c r="AU1453">
        <v>12</v>
      </c>
      <c r="AV1453">
        <v>2022</v>
      </c>
      <c r="AW1453">
        <v>2439581</v>
      </c>
      <c r="AX1453">
        <v>2439581</v>
      </c>
      <c r="AY1453" t="s">
        <v>106</v>
      </c>
      <c r="AZ1453" t="s">
        <v>92</v>
      </c>
      <c r="BA1453" t="s">
        <v>107</v>
      </c>
      <c r="BB1453" t="s">
        <v>5513</v>
      </c>
      <c r="BC1453" t="s">
        <v>97</v>
      </c>
      <c r="BD1453" s="1">
        <v>44905</v>
      </c>
      <c r="BE1453" t="s">
        <v>96</v>
      </c>
      <c r="BG1453" t="s">
        <v>5504</v>
      </c>
      <c r="BI1453" t="s">
        <v>98</v>
      </c>
      <c r="BJ1453" t="s">
        <v>5514</v>
      </c>
      <c r="BL1453" t="s">
        <v>412</v>
      </c>
    </row>
    <row r="1454" spans="1:64" hidden="1" x14ac:dyDescent="0.2">
      <c r="A1454">
        <v>524</v>
      </c>
      <c r="B1454">
        <v>4136459435</v>
      </c>
      <c r="C1454" t="s">
        <v>101</v>
      </c>
      <c r="D1454" t="s">
        <v>5515</v>
      </c>
      <c r="E1454" t="s">
        <v>65</v>
      </c>
      <c r="F1454" t="s">
        <v>66</v>
      </c>
      <c r="G1454" t="s">
        <v>67</v>
      </c>
      <c r="H1454" t="s">
        <v>68</v>
      </c>
      <c r="I1454" t="s">
        <v>69</v>
      </c>
      <c r="J1454" t="s">
        <v>70</v>
      </c>
      <c r="K1454" t="s">
        <v>71</v>
      </c>
      <c r="M1454" t="s">
        <v>72</v>
      </c>
      <c r="N1454" t="s">
        <v>73</v>
      </c>
      <c r="O1454" t="s">
        <v>71</v>
      </c>
      <c r="P1454" t="s">
        <v>74</v>
      </c>
      <c r="Q1454" t="s">
        <v>75</v>
      </c>
      <c r="R1454" t="s">
        <v>5008</v>
      </c>
      <c r="S1454" t="s">
        <v>469</v>
      </c>
      <c r="T1454" t="s">
        <v>78</v>
      </c>
      <c r="U1454" t="s">
        <v>5009</v>
      </c>
      <c r="V1454" t="s">
        <v>80</v>
      </c>
      <c r="W1454" s="1">
        <v>44905</v>
      </c>
      <c r="X1454" t="s">
        <v>5010</v>
      </c>
      <c r="Y1454" t="s">
        <v>5495</v>
      </c>
      <c r="Z1454" t="s">
        <v>83</v>
      </c>
      <c r="AA1454">
        <v>1</v>
      </c>
      <c r="AB1454" t="s">
        <v>5516</v>
      </c>
      <c r="AD1454" t="s">
        <v>378</v>
      </c>
      <c r="AE1454" t="s">
        <v>145</v>
      </c>
      <c r="AF1454" t="s">
        <v>281</v>
      </c>
      <c r="AG1454" t="s">
        <v>3217</v>
      </c>
      <c r="AH1454" t="s">
        <v>5502</v>
      </c>
      <c r="AI1454" t="s">
        <v>90</v>
      </c>
      <c r="AJ1454">
        <v>32.313670000000002</v>
      </c>
      <c r="AK1454">
        <v>-110.712413</v>
      </c>
      <c r="AL1454">
        <v>3</v>
      </c>
      <c r="AN1454">
        <v>1145</v>
      </c>
      <c r="AP1454">
        <v>1145</v>
      </c>
      <c r="AQ1454">
        <v>1169.9528</v>
      </c>
      <c r="AT1454">
        <v>10</v>
      </c>
      <c r="AU1454">
        <v>12</v>
      </c>
      <c r="AV1454">
        <v>2022</v>
      </c>
      <c r="AW1454">
        <v>2439581</v>
      </c>
      <c r="AX1454">
        <v>2439581</v>
      </c>
      <c r="AY1454" t="s">
        <v>106</v>
      </c>
      <c r="AZ1454" t="s">
        <v>92</v>
      </c>
      <c r="BA1454" t="s">
        <v>107</v>
      </c>
      <c r="BB1454" t="s">
        <v>5517</v>
      </c>
      <c r="BC1454" t="s">
        <v>97</v>
      </c>
      <c r="BD1454" s="1">
        <v>44905</v>
      </c>
      <c r="BE1454" t="s">
        <v>96</v>
      </c>
      <c r="BG1454" t="s">
        <v>5504</v>
      </c>
      <c r="BI1454" t="s">
        <v>98</v>
      </c>
      <c r="BJ1454" t="s">
        <v>3454</v>
      </c>
      <c r="BL1454" t="s">
        <v>412</v>
      </c>
    </row>
    <row r="1455" spans="1:64" x14ac:dyDescent="0.2">
      <c r="A1455">
        <v>441</v>
      </c>
      <c r="B1455">
        <v>4136459518</v>
      </c>
      <c r="C1455" t="s">
        <v>101</v>
      </c>
      <c r="D1455" t="s">
        <v>5932</v>
      </c>
      <c r="E1455" t="s">
        <v>65</v>
      </c>
      <c r="F1455" t="s">
        <v>66</v>
      </c>
      <c r="G1455" t="s">
        <v>67</v>
      </c>
      <c r="H1455" t="s">
        <v>68</v>
      </c>
      <c r="I1455" t="s">
        <v>176</v>
      </c>
      <c r="J1455" t="s">
        <v>773</v>
      </c>
      <c r="K1455" t="s">
        <v>1347</v>
      </c>
      <c r="M1455" t="s">
        <v>72</v>
      </c>
      <c r="N1455" t="s">
        <v>1348</v>
      </c>
      <c r="O1455" t="s">
        <v>1347</v>
      </c>
      <c r="P1455" t="s">
        <v>1349</v>
      </c>
      <c r="Q1455" t="s">
        <v>75</v>
      </c>
      <c r="R1455" t="s">
        <v>5008</v>
      </c>
      <c r="S1455" t="s">
        <v>5918</v>
      </c>
      <c r="T1455" t="s">
        <v>78</v>
      </c>
      <c r="U1455" t="s">
        <v>5009</v>
      </c>
      <c r="V1455" t="s">
        <v>80</v>
      </c>
      <c r="W1455" s="1">
        <v>44905</v>
      </c>
      <c r="X1455" t="s">
        <v>5010</v>
      </c>
      <c r="Y1455" t="s">
        <v>5919</v>
      </c>
      <c r="Z1455" t="s">
        <v>83</v>
      </c>
      <c r="AA1455">
        <v>1</v>
      </c>
      <c r="AB1455" t="s">
        <v>5310</v>
      </c>
      <c r="AC1455">
        <v>1</v>
      </c>
      <c r="AD1455" t="s">
        <v>119</v>
      </c>
      <c r="AE1455" t="s">
        <v>86</v>
      </c>
      <c r="AF1455" t="s">
        <v>87</v>
      </c>
      <c r="AG1455" t="s">
        <v>5921</v>
      </c>
      <c r="AH1455" t="s">
        <v>5933</v>
      </c>
      <c r="AI1455" t="s">
        <v>90</v>
      </c>
      <c r="AJ1455">
        <v>32.314751999999999</v>
      </c>
      <c r="AK1455">
        <v>-110.71243800000001</v>
      </c>
      <c r="AL1455">
        <v>3</v>
      </c>
      <c r="AN1455">
        <v>1184</v>
      </c>
      <c r="AP1455">
        <v>1184</v>
      </c>
      <c r="AQ1455">
        <v>1199.071997</v>
      </c>
      <c r="AT1455">
        <v>10</v>
      </c>
      <c r="AU1455">
        <v>12</v>
      </c>
      <c r="AV1455">
        <v>2022</v>
      </c>
      <c r="AW1455">
        <v>2438454</v>
      </c>
      <c r="AX1455">
        <v>2438454</v>
      </c>
      <c r="AY1455" t="s">
        <v>106</v>
      </c>
      <c r="AZ1455" t="s">
        <v>92</v>
      </c>
      <c r="BA1455" t="s">
        <v>107</v>
      </c>
      <c r="BB1455" t="s">
        <v>5934</v>
      </c>
      <c r="BC1455" t="s">
        <v>97</v>
      </c>
      <c r="BD1455" s="1">
        <v>44905</v>
      </c>
      <c r="BE1455" t="s">
        <v>96</v>
      </c>
      <c r="BG1455" t="s">
        <v>5504</v>
      </c>
      <c r="BI1455" t="s">
        <v>98</v>
      </c>
      <c r="BJ1455" t="s">
        <v>5935</v>
      </c>
      <c r="BL1455" t="s">
        <v>412</v>
      </c>
    </row>
    <row r="1456" spans="1:64" hidden="1" x14ac:dyDescent="0.2">
      <c r="A1456">
        <v>519</v>
      </c>
      <c r="B1456">
        <v>4136459440</v>
      </c>
      <c r="C1456" t="s">
        <v>101</v>
      </c>
      <c r="D1456" t="s">
        <v>5521</v>
      </c>
      <c r="E1456" t="s">
        <v>65</v>
      </c>
      <c r="F1456" t="s">
        <v>66</v>
      </c>
      <c r="G1456" t="s">
        <v>67</v>
      </c>
      <c r="H1456" t="s">
        <v>68</v>
      </c>
      <c r="I1456" t="s">
        <v>69</v>
      </c>
      <c r="J1456" t="s">
        <v>70</v>
      </c>
      <c r="K1456" t="s">
        <v>71</v>
      </c>
      <c r="M1456" t="s">
        <v>72</v>
      </c>
      <c r="N1456" t="s">
        <v>73</v>
      </c>
      <c r="O1456" t="s">
        <v>71</v>
      </c>
      <c r="P1456" t="s">
        <v>74</v>
      </c>
      <c r="Q1456" t="s">
        <v>75</v>
      </c>
      <c r="R1456" t="s">
        <v>5008</v>
      </c>
      <c r="S1456" t="s">
        <v>469</v>
      </c>
      <c r="T1456" t="s">
        <v>78</v>
      </c>
      <c r="U1456" t="s">
        <v>5009</v>
      </c>
      <c r="V1456" t="s">
        <v>80</v>
      </c>
      <c r="W1456" s="1">
        <v>44905</v>
      </c>
      <c r="X1456" t="s">
        <v>5010</v>
      </c>
      <c r="Y1456" t="s">
        <v>5495</v>
      </c>
      <c r="Z1456" t="s">
        <v>83</v>
      </c>
      <c r="AA1456">
        <v>1</v>
      </c>
      <c r="AB1456" t="s">
        <v>5522</v>
      </c>
      <c r="AD1456" t="s">
        <v>134</v>
      </c>
      <c r="AE1456" t="s">
        <v>145</v>
      </c>
      <c r="AF1456" t="s">
        <v>281</v>
      </c>
      <c r="AG1456" t="s">
        <v>3217</v>
      </c>
      <c r="AH1456" t="s">
        <v>5523</v>
      </c>
      <c r="AI1456" t="s">
        <v>90</v>
      </c>
      <c r="AJ1456">
        <v>32.313670000000002</v>
      </c>
      <c r="AK1456">
        <v>-110.712413</v>
      </c>
      <c r="AL1456">
        <v>3</v>
      </c>
      <c r="AN1456">
        <v>1145</v>
      </c>
      <c r="AP1456">
        <v>1145</v>
      </c>
      <c r="AQ1456">
        <v>1169.9528</v>
      </c>
      <c r="AT1456">
        <v>10</v>
      </c>
      <c r="AU1456">
        <v>12</v>
      </c>
      <c r="AV1456">
        <v>2022</v>
      </c>
      <c r="AW1456">
        <v>2439581</v>
      </c>
      <c r="AX1456">
        <v>2439581</v>
      </c>
      <c r="AY1456" t="s">
        <v>106</v>
      </c>
      <c r="AZ1456" t="s">
        <v>92</v>
      </c>
      <c r="BA1456" t="s">
        <v>107</v>
      </c>
      <c r="BB1456" t="s">
        <v>5524</v>
      </c>
      <c r="BC1456" t="s">
        <v>97</v>
      </c>
      <c r="BD1456" s="1">
        <v>44905</v>
      </c>
      <c r="BE1456" t="s">
        <v>96</v>
      </c>
      <c r="BG1456" t="s">
        <v>5504</v>
      </c>
      <c r="BI1456" t="s">
        <v>98</v>
      </c>
      <c r="BJ1456" t="s">
        <v>3454</v>
      </c>
      <c r="BL1456" t="s">
        <v>412</v>
      </c>
    </row>
    <row r="1457" spans="1:64" x14ac:dyDescent="0.2">
      <c r="A1457">
        <v>444</v>
      </c>
      <c r="B1457">
        <v>4136459515</v>
      </c>
      <c r="C1457" t="s">
        <v>101</v>
      </c>
      <c r="D1457" t="s">
        <v>5987</v>
      </c>
      <c r="E1457" t="s">
        <v>65</v>
      </c>
      <c r="F1457" t="s">
        <v>66</v>
      </c>
      <c r="G1457" t="s">
        <v>67</v>
      </c>
      <c r="H1457" t="s">
        <v>68</v>
      </c>
      <c r="I1457" t="s">
        <v>176</v>
      </c>
      <c r="J1457" t="s">
        <v>773</v>
      </c>
      <c r="K1457" t="s">
        <v>1347</v>
      </c>
      <c r="M1457" t="s">
        <v>72</v>
      </c>
      <c r="N1457" t="s">
        <v>1348</v>
      </c>
      <c r="O1457" t="s">
        <v>1347</v>
      </c>
      <c r="P1457" t="s">
        <v>1349</v>
      </c>
      <c r="Q1457" t="s">
        <v>75</v>
      </c>
      <c r="R1457" t="s">
        <v>5008</v>
      </c>
      <c r="S1457" t="s">
        <v>355</v>
      </c>
      <c r="T1457" t="s">
        <v>78</v>
      </c>
      <c r="U1457" t="s">
        <v>5009</v>
      </c>
      <c r="V1457" t="s">
        <v>80</v>
      </c>
      <c r="W1457" s="1">
        <v>44905</v>
      </c>
      <c r="X1457" t="s">
        <v>5010</v>
      </c>
      <c r="Y1457" t="s">
        <v>5978</v>
      </c>
      <c r="Z1457" t="s">
        <v>83</v>
      </c>
      <c r="AA1457">
        <v>1</v>
      </c>
      <c r="AB1457" t="s">
        <v>5526</v>
      </c>
      <c r="AC1457">
        <v>1</v>
      </c>
      <c r="AD1457" t="s">
        <v>119</v>
      </c>
      <c r="AE1457" t="s">
        <v>86</v>
      </c>
      <c r="AF1457" t="s">
        <v>146</v>
      </c>
      <c r="AG1457" t="s">
        <v>5980</v>
      </c>
      <c r="AH1457" t="s">
        <v>5988</v>
      </c>
      <c r="AI1457" t="s">
        <v>90</v>
      </c>
      <c r="AJ1457">
        <v>32.313409999999998</v>
      </c>
      <c r="AK1457">
        <v>-110.713256</v>
      </c>
      <c r="AL1457">
        <v>3</v>
      </c>
      <c r="AN1457">
        <v>1217</v>
      </c>
      <c r="AP1457">
        <v>1217</v>
      </c>
      <c r="AQ1457">
        <v>1176.622245</v>
      </c>
      <c r="AT1457">
        <v>10</v>
      </c>
      <c r="AU1457">
        <v>12</v>
      </c>
      <c r="AV1457">
        <v>2022</v>
      </c>
      <c r="AW1457">
        <v>2438454</v>
      </c>
      <c r="AX1457">
        <v>2438454</v>
      </c>
      <c r="AY1457" t="s">
        <v>106</v>
      </c>
      <c r="AZ1457" t="s">
        <v>92</v>
      </c>
      <c r="BA1457" t="s">
        <v>107</v>
      </c>
      <c r="BB1457" t="s">
        <v>5989</v>
      </c>
      <c r="BC1457" t="s">
        <v>97</v>
      </c>
      <c r="BD1457" s="1">
        <v>44905</v>
      </c>
      <c r="BE1457" t="s">
        <v>96</v>
      </c>
      <c r="BG1457" t="s">
        <v>5504</v>
      </c>
      <c r="BI1457" t="s">
        <v>98</v>
      </c>
      <c r="BJ1457" t="s">
        <v>240</v>
      </c>
      <c r="BL1457" t="s">
        <v>110</v>
      </c>
    </row>
    <row r="1458" spans="1:64" hidden="1" x14ac:dyDescent="0.2">
      <c r="A1458">
        <v>471</v>
      </c>
      <c r="B1458">
        <v>4136459488</v>
      </c>
      <c r="C1458" t="s">
        <v>101</v>
      </c>
      <c r="D1458" t="s">
        <v>5529</v>
      </c>
      <c r="E1458" t="s">
        <v>65</v>
      </c>
      <c r="F1458" t="s">
        <v>66</v>
      </c>
      <c r="G1458" t="s">
        <v>67</v>
      </c>
      <c r="H1458" t="s">
        <v>68</v>
      </c>
      <c r="I1458" t="s">
        <v>69</v>
      </c>
      <c r="J1458" t="s">
        <v>70</v>
      </c>
      <c r="K1458" t="s">
        <v>71</v>
      </c>
      <c r="M1458" t="s">
        <v>72</v>
      </c>
      <c r="N1458" t="s">
        <v>73</v>
      </c>
      <c r="O1458" t="s">
        <v>71</v>
      </c>
      <c r="P1458" t="s">
        <v>74</v>
      </c>
      <c r="Q1458" t="s">
        <v>75</v>
      </c>
      <c r="R1458" t="s">
        <v>5008</v>
      </c>
      <c r="S1458" t="s">
        <v>469</v>
      </c>
      <c r="T1458" t="s">
        <v>78</v>
      </c>
      <c r="U1458" t="s">
        <v>5009</v>
      </c>
      <c r="V1458" t="s">
        <v>80</v>
      </c>
      <c r="W1458" s="1">
        <v>44905</v>
      </c>
      <c r="X1458" t="s">
        <v>5010</v>
      </c>
      <c r="Y1458" t="s">
        <v>5495</v>
      </c>
      <c r="Z1458" t="s">
        <v>83</v>
      </c>
      <c r="AA1458">
        <v>1</v>
      </c>
      <c r="AB1458" t="s">
        <v>5310</v>
      </c>
      <c r="AD1458" t="s">
        <v>104</v>
      </c>
      <c r="AE1458" t="s">
        <v>145</v>
      </c>
      <c r="AF1458" t="s">
        <v>281</v>
      </c>
      <c r="AG1458" t="s">
        <v>3217</v>
      </c>
      <c r="AH1458" t="s">
        <v>5502</v>
      </c>
      <c r="AI1458" t="s">
        <v>90</v>
      </c>
      <c r="AJ1458">
        <v>32.313670000000002</v>
      </c>
      <c r="AK1458">
        <v>-110.712413</v>
      </c>
      <c r="AL1458">
        <v>3</v>
      </c>
      <c r="AN1458">
        <v>1145</v>
      </c>
      <c r="AP1458">
        <v>1145</v>
      </c>
      <c r="AQ1458">
        <v>1169.9528</v>
      </c>
      <c r="AT1458">
        <v>10</v>
      </c>
      <c r="AU1458">
        <v>12</v>
      </c>
      <c r="AV1458">
        <v>2022</v>
      </c>
      <c r="AW1458">
        <v>2439581</v>
      </c>
      <c r="AX1458">
        <v>2439581</v>
      </c>
      <c r="AY1458" t="s">
        <v>106</v>
      </c>
      <c r="AZ1458" t="s">
        <v>92</v>
      </c>
      <c r="BA1458" t="s">
        <v>107</v>
      </c>
      <c r="BB1458" t="s">
        <v>5530</v>
      </c>
      <c r="BC1458" t="s">
        <v>97</v>
      </c>
      <c r="BD1458" s="1">
        <v>44905</v>
      </c>
      <c r="BE1458" t="s">
        <v>96</v>
      </c>
      <c r="BG1458" t="s">
        <v>5504</v>
      </c>
      <c r="BI1458" t="s">
        <v>98</v>
      </c>
      <c r="BJ1458" t="s">
        <v>2587</v>
      </c>
      <c r="BL1458" t="s">
        <v>412</v>
      </c>
    </row>
    <row r="1459" spans="1:64" hidden="1" x14ac:dyDescent="0.2">
      <c r="A1459">
        <v>484</v>
      </c>
      <c r="B1459">
        <v>4136459475</v>
      </c>
      <c r="C1459" t="s">
        <v>101</v>
      </c>
      <c r="D1459" t="s">
        <v>5531</v>
      </c>
      <c r="E1459" t="s">
        <v>65</v>
      </c>
      <c r="F1459" t="s">
        <v>66</v>
      </c>
      <c r="G1459" t="s">
        <v>67</v>
      </c>
      <c r="H1459" t="s">
        <v>68</v>
      </c>
      <c r="I1459" t="s">
        <v>69</v>
      </c>
      <c r="J1459" t="s">
        <v>70</v>
      </c>
      <c r="K1459" t="s">
        <v>71</v>
      </c>
      <c r="M1459" t="s">
        <v>72</v>
      </c>
      <c r="N1459" t="s">
        <v>73</v>
      </c>
      <c r="O1459" t="s">
        <v>71</v>
      </c>
      <c r="P1459" t="s">
        <v>74</v>
      </c>
      <c r="Q1459" t="s">
        <v>75</v>
      </c>
      <c r="R1459" t="s">
        <v>5008</v>
      </c>
      <c r="S1459" t="s">
        <v>469</v>
      </c>
      <c r="T1459" t="s">
        <v>78</v>
      </c>
      <c r="U1459" t="s">
        <v>5009</v>
      </c>
      <c r="V1459" t="s">
        <v>80</v>
      </c>
      <c r="W1459" s="1">
        <v>44905</v>
      </c>
      <c r="X1459" t="s">
        <v>5010</v>
      </c>
      <c r="Y1459" t="s">
        <v>5495</v>
      </c>
      <c r="Z1459" t="s">
        <v>83</v>
      </c>
      <c r="AA1459">
        <v>1</v>
      </c>
      <c r="AB1459" t="s">
        <v>5310</v>
      </c>
      <c r="AD1459" t="s">
        <v>112</v>
      </c>
      <c r="AE1459" t="s">
        <v>145</v>
      </c>
      <c r="AF1459" t="s">
        <v>281</v>
      </c>
      <c r="AG1459" t="s">
        <v>3217</v>
      </c>
      <c r="AH1459" t="s">
        <v>5502</v>
      </c>
      <c r="AI1459" t="s">
        <v>90</v>
      </c>
      <c r="AJ1459">
        <v>32.313670000000002</v>
      </c>
      <c r="AK1459">
        <v>-110.712413</v>
      </c>
      <c r="AL1459">
        <v>3</v>
      </c>
      <c r="AN1459">
        <v>1145</v>
      </c>
      <c r="AP1459">
        <v>1145</v>
      </c>
      <c r="AQ1459">
        <v>1169.9528</v>
      </c>
      <c r="AT1459">
        <v>10</v>
      </c>
      <c r="AU1459">
        <v>12</v>
      </c>
      <c r="AV1459">
        <v>2022</v>
      </c>
      <c r="AW1459">
        <v>2439581</v>
      </c>
      <c r="AX1459">
        <v>2439581</v>
      </c>
      <c r="AY1459" t="s">
        <v>106</v>
      </c>
      <c r="AZ1459" t="s">
        <v>92</v>
      </c>
      <c r="BA1459" t="s">
        <v>107</v>
      </c>
      <c r="BB1459" t="s">
        <v>5532</v>
      </c>
      <c r="BC1459" t="s">
        <v>97</v>
      </c>
      <c r="BD1459" s="1">
        <v>44905</v>
      </c>
      <c r="BE1459" t="s">
        <v>96</v>
      </c>
      <c r="BG1459" t="s">
        <v>5504</v>
      </c>
      <c r="BI1459" t="s">
        <v>98</v>
      </c>
      <c r="BJ1459" t="s">
        <v>2587</v>
      </c>
      <c r="BL1459" t="s">
        <v>412</v>
      </c>
    </row>
    <row r="1460" spans="1:64" hidden="1" x14ac:dyDescent="0.2">
      <c r="A1460">
        <v>513</v>
      </c>
      <c r="B1460">
        <v>4136459446</v>
      </c>
      <c r="C1460" t="s">
        <v>101</v>
      </c>
      <c r="D1460" t="s">
        <v>5541</v>
      </c>
      <c r="E1460" t="s">
        <v>65</v>
      </c>
      <c r="F1460" t="s">
        <v>66</v>
      </c>
      <c r="G1460" t="s">
        <v>67</v>
      </c>
      <c r="H1460" t="s">
        <v>68</v>
      </c>
      <c r="I1460" t="s">
        <v>69</v>
      </c>
      <c r="J1460" t="s">
        <v>70</v>
      </c>
      <c r="K1460" t="s">
        <v>71</v>
      </c>
      <c r="M1460" t="s">
        <v>72</v>
      </c>
      <c r="N1460" t="s">
        <v>73</v>
      </c>
      <c r="O1460" t="s">
        <v>71</v>
      </c>
      <c r="P1460" t="s">
        <v>74</v>
      </c>
      <c r="Q1460" t="s">
        <v>75</v>
      </c>
      <c r="R1460" t="s">
        <v>5008</v>
      </c>
      <c r="S1460" t="s">
        <v>1800</v>
      </c>
      <c r="T1460" t="s">
        <v>78</v>
      </c>
      <c r="U1460" t="s">
        <v>5009</v>
      </c>
      <c r="V1460" t="s">
        <v>80</v>
      </c>
      <c r="W1460" s="1">
        <v>44905</v>
      </c>
      <c r="X1460" t="s">
        <v>5010</v>
      </c>
      <c r="Y1460" t="s">
        <v>5534</v>
      </c>
      <c r="Z1460" t="s">
        <v>83</v>
      </c>
      <c r="AA1460">
        <v>1</v>
      </c>
      <c r="AB1460" t="s">
        <v>5506</v>
      </c>
      <c r="AD1460" t="s">
        <v>104</v>
      </c>
      <c r="AE1460" t="s">
        <v>86</v>
      </c>
      <c r="AF1460" t="s">
        <v>146</v>
      </c>
      <c r="AG1460" t="s">
        <v>5536</v>
      </c>
      <c r="AH1460" t="s">
        <v>5542</v>
      </c>
      <c r="AI1460" t="s">
        <v>90</v>
      </c>
      <c r="AJ1460">
        <v>32.313963000000001</v>
      </c>
      <c r="AK1460">
        <v>-110.71268600000001</v>
      </c>
      <c r="AL1460">
        <v>3</v>
      </c>
      <c r="AN1460">
        <v>1176</v>
      </c>
      <c r="AP1460">
        <v>1176</v>
      </c>
      <c r="AQ1460">
        <v>1180.5033490000001</v>
      </c>
      <c r="AT1460">
        <v>10</v>
      </c>
      <c r="AU1460">
        <v>12</v>
      </c>
      <c r="AV1460">
        <v>2022</v>
      </c>
      <c r="AW1460">
        <v>2439581</v>
      </c>
      <c r="AX1460">
        <v>2439581</v>
      </c>
      <c r="AY1460" t="s">
        <v>106</v>
      </c>
      <c r="AZ1460" t="s">
        <v>92</v>
      </c>
      <c r="BA1460" t="s">
        <v>107</v>
      </c>
      <c r="BB1460" t="s">
        <v>5543</v>
      </c>
      <c r="BC1460" t="s">
        <v>97</v>
      </c>
      <c r="BD1460" s="1">
        <v>44905</v>
      </c>
      <c r="BE1460" t="s">
        <v>96</v>
      </c>
      <c r="BG1460" t="s">
        <v>5504</v>
      </c>
      <c r="BI1460" t="s">
        <v>98</v>
      </c>
      <c r="BJ1460" t="s">
        <v>5544</v>
      </c>
      <c r="BL1460" t="s">
        <v>110</v>
      </c>
    </row>
    <row r="1461" spans="1:64" hidden="1" x14ac:dyDescent="0.2">
      <c r="A1461">
        <v>504</v>
      </c>
      <c r="B1461">
        <v>4136459455</v>
      </c>
      <c r="C1461" t="s">
        <v>101</v>
      </c>
      <c r="D1461" t="s">
        <v>5545</v>
      </c>
      <c r="E1461" t="s">
        <v>65</v>
      </c>
      <c r="F1461" t="s">
        <v>66</v>
      </c>
      <c r="G1461" t="s">
        <v>67</v>
      </c>
      <c r="H1461" t="s">
        <v>68</v>
      </c>
      <c r="I1461" t="s">
        <v>69</v>
      </c>
      <c r="J1461" t="s">
        <v>70</v>
      </c>
      <c r="K1461" t="s">
        <v>71</v>
      </c>
      <c r="M1461" t="s">
        <v>72</v>
      </c>
      <c r="N1461" t="s">
        <v>73</v>
      </c>
      <c r="O1461" t="s">
        <v>71</v>
      </c>
      <c r="P1461" t="s">
        <v>74</v>
      </c>
      <c r="Q1461" t="s">
        <v>75</v>
      </c>
      <c r="R1461" t="s">
        <v>5008</v>
      </c>
      <c r="S1461" t="s">
        <v>1800</v>
      </c>
      <c r="T1461" t="s">
        <v>78</v>
      </c>
      <c r="U1461" t="s">
        <v>5009</v>
      </c>
      <c r="V1461" t="s">
        <v>80</v>
      </c>
      <c r="W1461" s="1">
        <v>44905</v>
      </c>
      <c r="X1461" t="s">
        <v>5010</v>
      </c>
      <c r="Y1461" t="s">
        <v>5534</v>
      </c>
      <c r="Z1461" t="s">
        <v>83</v>
      </c>
      <c r="AA1461">
        <v>1</v>
      </c>
      <c r="AB1461" t="s">
        <v>5310</v>
      </c>
      <c r="AD1461" t="s">
        <v>123</v>
      </c>
      <c r="AE1461" t="s">
        <v>86</v>
      </c>
      <c r="AF1461" t="s">
        <v>146</v>
      </c>
      <c r="AG1461" t="s">
        <v>5536</v>
      </c>
      <c r="AH1461" t="s">
        <v>5542</v>
      </c>
      <c r="AI1461" t="s">
        <v>90</v>
      </c>
      <c r="AJ1461">
        <v>32.313963000000001</v>
      </c>
      <c r="AK1461">
        <v>-110.71268600000001</v>
      </c>
      <c r="AL1461">
        <v>3</v>
      </c>
      <c r="AN1461">
        <v>1176</v>
      </c>
      <c r="AP1461">
        <v>1176</v>
      </c>
      <c r="AQ1461">
        <v>1180.5033490000001</v>
      </c>
      <c r="AT1461">
        <v>10</v>
      </c>
      <c r="AU1461">
        <v>12</v>
      </c>
      <c r="AV1461">
        <v>2022</v>
      </c>
      <c r="AW1461">
        <v>2439581</v>
      </c>
      <c r="AX1461">
        <v>2439581</v>
      </c>
      <c r="AY1461" t="s">
        <v>106</v>
      </c>
      <c r="AZ1461" t="s">
        <v>92</v>
      </c>
      <c r="BA1461" t="s">
        <v>107</v>
      </c>
      <c r="BB1461" t="s">
        <v>5546</v>
      </c>
      <c r="BC1461" t="s">
        <v>97</v>
      </c>
      <c r="BD1461" s="1">
        <v>44905</v>
      </c>
      <c r="BE1461" t="s">
        <v>96</v>
      </c>
      <c r="BG1461" t="s">
        <v>5504</v>
      </c>
      <c r="BI1461" t="s">
        <v>98</v>
      </c>
      <c r="BJ1461" t="s">
        <v>3477</v>
      </c>
      <c r="BL1461" t="s">
        <v>110</v>
      </c>
    </row>
    <row r="1462" spans="1:64" hidden="1" x14ac:dyDescent="0.2">
      <c r="A1462">
        <v>507</v>
      </c>
      <c r="B1462">
        <v>4136459452</v>
      </c>
      <c r="C1462" t="s">
        <v>101</v>
      </c>
      <c r="D1462" t="s">
        <v>5547</v>
      </c>
      <c r="E1462" t="s">
        <v>65</v>
      </c>
      <c r="F1462" t="s">
        <v>66</v>
      </c>
      <c r="G1462" t="s">
        <v>67</v>
      </c>
      <c r="H1462" t="s">
        <v>68</v>
      </c>
      <c r="I1462" t="s">
        <v>69</v>
      </c>
      <c r="J1462" t="s">
        <v>70</v>
      </c>
      <c r="K1462" t="s">
        <v>71</v>
      </c>
      <c r="M1462" t="s">
        <v>72</v>
      </c>
      <c r="N1462" t="s">
        <v>73</v>
      </c>
      <c r="O1462" t="s">
        <v>71</v>
      </c>
      <c r="P1462" t="s">
        <v>74</v>
      </c>
      <c r="Q1462" t="s">
        <v>75</v>
      </c>
      <c r="R1462" t="s">
        <v>5008</v>
      </c>
      <c r="S1462" t="s">
        <v>1800</v>
      </c>
      <c r="T1462" t="s">
        <v>78</v>
      </c>
      <c r="U1462" t="s">
        <v>5009</v>
      </c>
      <c r="V1462" t="s">
        <v>80</v>
      </c>
      <c r="W1462" s="1">
        <v>44905</v>
      </c>
      <c r="X1462" t="s">
        <v>5010</v>
      </c>
      <c r="Y1462" t="s">
        <v>5534</v>
      </c>
      <c r="Z1462" t="s">
        <v>83</v>
      </c>
      <c r="AA1462">
        <v>1</v>
      </c>
      <c r="AB1462" t="s">
        <v>5506</v>
      </c>
      <c r="AD1462" t="s">
        <v>139</v>
      </c>
      <c r="AE1462" t="s">
        <v>86</v>
      </c>
      <c r="AF1462" t="s">
        <v>146</v>
      </c>
      <c r="AG1462" t="s">
        <v>5536</v>
      </c>
      <c r="AH1462" t="s">
        <v>5542</v>
      </c>
      <c r="AI1462" t="s">
        <v>90</v>
      </c>
      <c r="AJ1462">
        <v>32.313963000000001</v>
      </c>
      <c r="AK1462">
        <v>-110.71268600000001</v>
      </c>
      <c r="AL1462">
        <v>3</v>
      </c>
      <c r="AN1462">
        <v>1176</v>
      </c>
      <c r="AP1462">
        <v>1176</v>
      </c>
      <c r="AQ1462">
        <v>1180.5033490000001</v>
      </c>
      <c r="AT1462">
        <v>10</v>
      </c>
      <c r="AU1462">
        <v>12</v>
      </c>
      <c r="AV1462">
        <v>2022</v>
      </c>
      <c r="AW1462">
        <v>2439581</v>
      </c>
      <c r="AX1462">
        <v>2439581</v>
      </c>
      <c r="AY1462" t="s">
        <v>106</v>
      </c>
      <c r="AZ1462" t="s">
        <v>92</v>
      </c>
      <c r="BA1462" t="s">
        <v>107</v>
      </c>
      <c r="BB1462" t="s">
        <v>5548</v>
      </c>
      <c r="BC1462" t="s">
        <v>97</v>
      </c>
      <c r="BD1462" s="1">
        <v>44905</v>
      </c>
      <c r="BE1462" t="s">
        <v>96</v>
      </c>
      <c r="BG1462" t="s">
        <v>5504</v>
      </c>
      <c r="BI1462" t="s">
        <v>98</v>
      </c>
      <c r="BJ1462" t="s">
        <v>3417</v>
      </c>
      <c r="BL1462" t="s">
        <v>110</v>
      </c>
    </row>
    <row r="1463" spans="1:64" x14ac:dyDescent="0.2">
      <c r="A1463">
        <v>549</v>
      </c>
      <c r="B1463">
        <v>4136459409</v>
      </c>
      <c r="C1463" t="s">
        <v>101</v>
      </c>
      <c r="D1463" t="s">
        <v>6025</v>
      </c>
      <c r="E1463" t="s">
        <v>65</v>
      </c>
      <c r="F1463" t="s">
        <v>66</v>
      </c>
      <c r="G1463" t="s">
        <v>67</v>
      </c>
      <c r="H1463" t="s">
        <v>68</v>
      </c>
      <c r="I1463" t="s">
        <v>176</v>
      </c>
      <c r="J1463" t="s">
        <v>773</v>
      </c>
      <c r="K1463" t="s">
        <v>1347</v>
      </c>
      <c r="M1463" t="s">
        <v>72</v>
      </c>
      <c r="N1463" t="s">
        <v>1348</v>
      </c>
      <c r="O1463" t="s">
        <v>1347</v>
      </c>
      <c r="P1463" t="s">
        <v>1349</v>
      </c>
      <c r="Q1463" t="s">
        <v>75</v>
      </c>
      <c r="R1463" t="s">
        <v>5008</v>
      </c>
      <c r="S1463" t="s">
        <v>1390</v>
      </c>
      <c r="T1463" t="s">
        <v>78</v>
      </c>
      <c r="U1463" t="s">
        <v>5009</v>
      </c>
      <c r="V1463" t="s">
        <v>80</v>
      </c>
      <c r="W1463" s="1">
        <v>44905</v>
      </c>
      <c r="X1463" t="s">
        <v>5010</v>
      </c>
      <c r="Y1463" t="s">
        <v>6004</v>
      </c>
      <c r="Z1463" t="s">
        <v>83</v>
      </c>
      <c r="AA1463">
        <v>1</v>
      </c>
      <c r="AB1463" t="s">
        <v>5526</v>
      </c>
      <c r="AC1463">
        <v>1</v>
      </c>
      <c r="AD1463" t="s">
        <v>119</v>
      </c>
      <c r="AE1463" t="s">
        <v>145</v>
      </c>
      <c r="AF1463" t="s">
        <v>146</v>
      </c>
      <c r="AG1463" t="s">
        <v>6006</v>
      </c>
      <c r="AH1463" t="s">
        <v>6026</v>
      </c>
      <c r="AI1463" t="s">
        <v>90</v>
      </c>
      <c r="AJ1463">
        <v>32.314039000000001</v>
      </c>
      <c r="AK1463">
        <v>-110.712479</v>
      </c>
      <c r="AL1463">
        <v>3</v>
      </c>
      <c r="AN1463">
        <v>1155</v>
      </c>
      <c r="AP1463">
        <v>1155</v>
      </c>
      <c r="AQ1463">
        <v>1178.283144</v>
      </c>
      <c r="AT1463">
        <v>10</v>
      </c>
      <c r="AU1463">
        <v>12</v>
      </c>
      <c r="AV1463">
        <v>2022</v>
      </c>
      <c r="AW1463">
        <v>2438454</v>
      </c>
      <c r="AX1463">
        <v>2438454</v>
      </c>
      <c r="AY1463" t="s">
        <v>106</v>
      </c>
      <c r="AZ1463" t="s">
        <v>92</v>
      </c>
      <c r="BA1463" t="s">
        <v>107</v>
      </c>
      <c r="BB1463" t="s">
        <v>6027</v>
      </c>
      <c r="BC1463" t="s">
        <v>97</v>
      </c>
      <c r="BD1463" s="1">
        <v>44905</v>
      </c>
      <c r="BE1463" t="s">
        <v>96</v>
      </c>
      <c r="BG1463" t="s">
        <v>5504</v>
      </c>
      <c r="BI1463" t="s">
        <v>98</v>
      </c>
      <c r="BJ1463" t="s">
        <v>683</v>
      </c>
      <c r="BL1463" t="s">
        <v>412</v>
      </c>
    </row>
    <row r="1464" spans="1:64" hidden="1" x14ac:dyDescent="0.2">
      <c r="A1464">
        <v>530</v>
      </c>
      <c r="B1464">
        <v>4136459429</v>
      </c>
      <c r="C1464" t="s">
        <v>101</v>
      </c>
      <c r="D1464" t="s">
        <v>5552</v>
      </c>
      <c r="E1464" t="s">
        <v>65</v>
      </c>
      <c r="F1464" t="s">
        <v>66</v>
      </c>
      <c r="G1464" t="s">
        <v>67</v>
      </c>
      <c r="H1464" t="s">
        <v>68</v>
      </c>
      <c r="I1464" t="s">
        <v>69</v>
      </c>
      <c r="J1464" t="s">
        <v>70</v>
      </c>
      <c r="K1464" t="s">
        <v>71</v>
      </c>
      <c r="M1464" t="s">
        <v>72</v>
      </c>
      <c r="N1464" t="s">
        <v>73</v>
      </c>
      <c r="O1464" t="s">
        <v>71</v>
      </c>
      <c r="P1464" t="s">
        <v>74</v>
      </c>
      <c r="Q1464" t="s">
        <v>75</v>
      </c>
      <c r="R1464" t="s">
        <v>5008</v>
      </c>
      <c r="S1464" t="s">
        <v>1800</v>
      </c>
      <c r="T1464" t="s">
        <v>78</v>
      </c>
      <c r="U1464" t="s">
        <v>5009</v>
      </c>
      <c r="V1464" t="s">
        <v>80</v>
      </c>
      <c r="W1464" s="1">
        <v>44905</v>
      </c>
      <c r="X1464" t="s">
        <v>5010</v>
      </c>
      <c r="Y1464" t="s">
        <v>5534</v>
      </c>
      <c r="Z1464" t="s">
        <v>83</v>
      </c>
      <c r="AA1464">
        <v>1</v>
      </c>
      <c r="AB1464" t="s">
        <v>5522</v>
      </c>
      <c r="AD1464" t="s">
        <v>134</v>
      </c>
      <c r="AE1464" t="s">
        <v>86</v>
      </c>
      <c r="AF1464" t="s">
        <v>146</v>
      </c>
      <c r="AG1464" t="s">
        <v>5536</v>
      </c>
      <c r="AH1464" t="s">
        <v>5553</v>
      </c>
      <c r="AI1464" t="s">
        <v>90</v>
      </c>
      <c r="AJ1464">
        <v>32.313963000000001</v>
      </c>
      <c r="AK1464">
        <v>-110.71268600000001</v>
      </c>
      <c r="AL1464">
        <v>3</v>
      </c>
      <c r="AN1464">
        <v>1176</v>
      </c>
      <c r="AP1464">
        <v>1176</v>
      </c>
      <c r="AQ1464">
        <v>1180.5033490000001</v>
      </c>
      <c r="AT1464">
        <v>10</v>
      </c>
      <c r="AU1464">
        <v>12</v>
      </c>
      <c r="AV1464">
        <v>2022</v>
      </c>
      <c r="AW1464">
        <v>2439581</v>
      </c>
      <c r="AX1464">
        <v>2439581</v>
      </c>
      <c r="AY1464" t="s">
        <v>106</v>
      </c>
      <c r="AZ1464" t="s">
        <v>92</v>
      </c>
      <c r="BA1464" t="s">
        <v>107</v>
      </c>
      <c r="BB1464" t="s">
        <v>5554</v>
      </c>
      <c r="BC1464" t="s">
        <v>97</v>
      </c>
      <c r="BD1464" s="1">
        <v>44905</v>
      </c>
      <c r="BE1464" t="s">
        <v>96</v>
      </c>
      <c r="BG1464" t="s">
        <v>5504</v>
      </c>
      <c r="BI1464" t="s">
        <v>98</v>
      </c>
      <c r="BJ1464" t="s">
        <v>3472</v>
      </c>
      <c r="BL1464" t="s">
        <v>110</v>
      </c>
    </row>
    <row r="1465" spans="1:64" hidden="1" x14ac:dyDescent="0.2">
      <c r="A1465">
        <v>525</v>
      </c>
      <c r="B1465">
        <v>4136459434</v>
      </c>
      <c r="C1465" t="s">
        <v>101</v>
      </c>
      <c r="D1465" t="s">
        <v>5555</v>
      </c>
      <c r="E1465" t="s">
        <v>65</v>
      </c>
      <c r="F1465" t="s">
        <v>66</v>
      </c>
      <c r="G1465" t="s">
        <v>67</v>
      </c>
      <c r="H1465" t="s">
        <v>68</v>
      </c>
      <c r="I1465" t="s">
        <v>69</v>
      </c>
      <c r="J1465" t="s">
        <v>70</v>
      </c>
      <c r="K1465" t="s">
        <v>71</v>
      </c>
      <c r="M1465" t="s">
        <v>72</v>
      </c>
      <c r="N1465" t="s">
        <v>73</v>
      </c>
      <c r="O1465" t="s">
        <v>71</v>
      </c>
      <c r="P1465" t="s">
        <v>74</v>
      </c>
      <c r="Q1465" t="s">
        <v>75</v>
      </c>
      <c r="R1465" t="s">
        <v>5008</v>
      </c>
      <c r="S1465" t="s">
        <v>1800</v>
      </c>
      <c r="T1465" t="s">
        <v>78</v>
      </c>
      <c r="U1465" t="s">
        <v>5009</v>
      </c>
      <c r="V1465" t="s">
        <v>80</v>
      </c>
      <c r="W1465" s="1">
        <v>44905</v>
      </c>
      <c r="X1465" t="s">
        <v>5010</v>
      </c>
      <c r="Y1465" t="s">
        <v>5534</v>
      </c>
      <c r="Z1465" t="s">
        <v>83</v>
      </c>
      <c r="AA1465">
        <v>1</v>
      </c>
      <c r="AB1465" t="s">
        <v>5506</v>
      </c>
      <c r="AD1465" t="s">
        <v>116</v>
      </c>
      <c r="AE1465" t="s">
        <v>86</v>
      </c>
      <c r="AF1465" t="s">
        <v>146</v>
      </c>
      <c r="AG1465" t="s">
        <v>5536</v>
      </c>
      <c r="AH1465" t="s">
        <v>5542</v>
      </c>
      <c r="AI1465" t="s">
        <v>90</v>
      </c>
      <c r="AJ1465">
        <v>32.313963000000001</v>
      </c>
      <c r="AK1465">
        <v>-110.71268600000001</v>
      </c>
      <c r="AL1465">
        <v>3</v>
      </c>
      <c r="AN1465">
        <v>1176</v>
      </c>
      <c r="AP1465">
        <v>1176</v>
      </c>
      <c r="AQ1465">
        <v>1180.5033490000001</v>
      </c>
      <c r="AT1465">
        <v>10</v>
      </c>
      <c r="AU1465">
        <v>12</v>
      </c>
      <c r="AV1465">
        <v>2022</v>
      </c>
      <c r="AW1465">
        <v>2439581</v>
      </c>
      <c r="AX1465">
        <v>2439581</v>
      </c>
      <c r="AY1465" t="s">
        <v>106</v>
      </c>
      <c r="AZ1465" t="s">
        <v>92</v>
      </c>
      <c r="BA1465" t="s">
        <v>107</v>
      </c>
      <c r="BB1465" t="s">
        <v>5556</v>
      </c>
      <c r="BC1465" t="s">
        <v>97</v>
      </c>
      <c r="BD1465" s="1">
        <v>44905</v>
      </c>
      <c r="BE1465" t="s">
        <v>96</v>
      </c>
      <c r="BG1465" t="s">
        <v>5504</v>
      </c>
      <c r="BI1465" t="s">
        <v>98</v>
      </c>
      <c r="BJ1465" t="s">
        <v>3454</v>
      </c>
      <c r="BL1465" t="s">
        <v>110</v>
      </c>
    </row>
    <row r="1466" spans="1:64" hidden="1" x14ac:dyDescent="0.2">
      <c r="A1466">
        <v>443</v>
      </c>
      <c r="B1466">
        <v>4136459516</v>
      </c>
      <c r="C1466" t="s">
        <v>101</v>
      </c>
      <c r="D1466" t="s">
        <v>5557</v>
      </c>
      <c r="E1466" t="s">
        <v>65</v>
      </c>
      <c r="F1466" t="s">
        <v>66</v>
      </c>
      <c r="G1466" t="s">
        <v>67</v>
      </c>
      <c r="H1466" t="s">
        <v>68</v>
      </c>
      <c r="I1466" t="s">
        <v>69</v>
      </c>
      <c r="J1466" t="s">
        <v>70</v>
      </c>
      <c r="K1466" t="s">
        <v>71</v>
      </c>
      <c r="M1466" t="s">
        <v>72</v>
      </c>
      <c r="N1466" t="s">
        <v>73</v>
      </c>
      <c r="O1466" t="s">
        <v>71</v>
      </c>
      <c r="P1466" t="s">
        <v>74</v>
      </c>
      <c r="Q1466" t="s">
        <v>75</v>
      </c>
      <c r="R1466" t="s">
        <v>5008</v>
      </c>
      <c r="S1466" t="s">
        <v>1800</v>
      </c>
      <c r="T1466" t="s">
        <v>78</v>
      </c>
      <c r="U1466" t="s">
        <v>5009</v>
      </c>
      <c r="V1466" t="s">
        <v>80</v>
      </c>
      <c r="W1466" s="1">
        <v>44905</v>
      </c>
      <c r="X1466" t="s">
        <v>5010</v>
      </c>
      <c r="Y1466" t="s">
        <v>5534</v>
      </c>
      <c r="Z1466" t="s">
        <v>83</v>
      </c>
      <c r="AA1466">
        <v>1</v>
      </c>
      <c r="AB1466" t="s">
        <v>5310</v>
      </c>
      <c r="AD1466" t="s">
        <v>104</v>
      </c>
      <c r="AE1466" t="s">
        <v>86</v>
      </c>
      <c r="AF1466" t="s">
        <v>146</v>
      </c>
      <c r="AG1466" t="s">
        <v>5536</v>
      </c>
      <c r="AH1466" t="s">
        <v>5542</v>
      </c>
      <c r="AI1466" t="s">
        <v>90</v>
      </c>
      <c r="AJ1466">
        <v>32.313963000000001</v>
      </c>
      <c r="AK1466">
        <v>-110.71268600000001</v>
      </c>
      <c r="AL1466">
        <v>3</v>
      </c>
      <c r="AN1466">
        <v>1176</v>
      </c>
      <c r="AP1466">
        <v>1176</v>
      </c>
      <c r="AQ1466">
        <v>1180.5033490000001</v>
      </c>
      <c r="AT1466">
        <v>10</v>
      </c>
      <c r="AU1466">
        <v>12</v>
      </c>
      <c r="AV1466">
        <v>2022</v>
      </c>
      <c r="AW1466">
        <v>2439581</v>
      </c>
      <c r="AX1466">
        <v>2439581</v>
      </c>
      <c r="AY1466" t="s">
        <v>106</v>
      </c>
      <c r="AZ1466" t="s">
        <v>92</v>
      </c>
      <c r="BA1466" t="s">
        <v>107</v>
      </c>
      <c r="BB1466" t="s">
        <v>5558</v>
      </c>
      <c r="BC1466" t="s">
        <v>97</v>
      </c>
      <c r="BD1466" s="1">
        <v>44905</v>
      </c>
      <c r="BE1466" t="s">
        <v>96</v>
      </c>
      <c r="BG1466" t="s">
        <v>5504</v>
      </c>
      <c r="BI1466" t="s">
        <v>98</v>
      </c>
      <c r="BJ1466" t="s">
        <v>3311</v>
      </c>
      <c r="BL1466" t="s">
        <v>110</v>
      </c>
    </row>
    <row r="1467" spans="1:64" hidden="1" x14ac:dyDescent="0.2">
      <c r="A1467">
        <v>446</v>
      </c>
      <c r="B1467">
        <v>4136459513</v>
      </c>
      <c r="C1467" t="s">
        <v>101</v>
      </c>
      <c r="D1467" t="s">
        <v>5559</v>
      </c>
      <c r="E1467" t="s">
        <v>65</v>
      </c>
      <c r="F1467" t="s">
        <v>66</v>
      </c>
      <c r="G1467" t="s">
        <v>67</v>
      </c>
      <c r="H1467" t="s">
        <v>68</v>
      </c>
      <c r="I1467" t="s">
        <v>69</v>
      </c>
      <c r="J1467" t="s">
        <v>70</v>
      </c>
      <c r="K1467" t="s">
        <v>71</v>
      </c>
      <c r="M1467" t="s">
        <v>72</v>
      </c>
      <c r="N1467" t="s">
        <v>73</v>
      </c>
      <c r="O1467" t="s">
        <v>71</v>
      </c>
      <c r="P1467" t="s">
        <v>74</v>
      </c>
      <c r="Q1467" t="s">
        <v>75</v>
      </c>
      <c r="R1467" t="s">
        <v>5008</v>
      </c>
      <c r="S1467" t="s">
        <v>1800</v>
      </c>
      <c r="T1467" t="s">
        <v>78</v>
      </c>
      <c r="U1467" t="s">
        <v>5009</v>
      </c>
      <c r="V1467" t="s">
        <v>80</v>
      </c>
      <c r="W1467" s="1">
        <v>44905</v>
      </c>
      <c r="X1467" t="s">
        <v>5010</v>
      </c>
      <c r="Y1467" t="s">
        <v>5534</v>
      </c>
      <c r="Z1467" t="s">
        <v>83</v>
      </c>
      <c r="AA1467">
        <v>1</v>
      </c>
      <c r="AB1467" t="s">
        <v>5310</v>
      </c>
      <c r="AD1467" t="s">
        <v>116</v>
      </c>
      <c r="AE1467" t="s">
        <v>86</v>
      </c>
      <c r="AF1467" t="s">
        <v>146</v>
      </c>
      <c r="AG1467" t="s">
        <v>5536</v>
      </c>
      <c r="AH1467" t="s">
        <v>5542</v>
      </c>
      <c r="AI1467" t="s">
        <v>90</v>
      </c>
      <c r="AJ1467">
        <v>32.313963000000001</v>
      </c>
      <c r="AK1467">
        <v>-110.71268600000001</v>
      </c>
      <c r="AL1467">
        <v>3</v>
      </c>
      <c r="AN1467">
        <v>1176</v>
      </c>
      <c r="AP1467">
        <v>1176</v>
      </c>
      <c r="AQ1467">
        <v>1180.5033490000001</v>
      </c>
      <c r="AT1467">
        <v>10</v>
      </c>
      <c r="AU1467">
        <v>12</v>
      </c>
      <c r="AV1467">
        <v>2022</v>
      </c>
      <c r="AW1467">
        <v>2439581</v>
      </c>
      <c r="AX1467">
        <v>2439581</v>
      </c>
      <c r="AY1467" t="s">
        <v>106</v>
      </c>
      <c r="AZ1467" t="s">
        <v>92</v>
      </c>
      <c r="BA1467" t="s">
        <v>107</v>
      </c>
      <c r="BB1467" t="s">
        <v>5560</v>
      </c>
      <c r="BC1467" t="s">
        <v>97</v>
      </c>
      <c r="BD1467" s="1">
        <v>44905</v>
      </c>
      <c r="BE1467" t="s">
        <v>96</v>
      </c>
      <c r="BG1467" t="s">
        <v>5504</v>
      </c>
      <c r="BI1467" t="s">
        <v>98</v>
      </c>
      <c r="BJ1467" t="s">
        <v>3361</v>
      </c>
      <c r="BL1467" t="s">
        <v>110</v>
      </c>
    </row>
    <row r="1468" spans="1:64" hidden="1" x14ac:dyDescent="0.2">
      <c r="A1468">
        <v>477</v>
      </c>
      <c r="B1468">
        <v>4136459482</v>
      </c>
      <c r="C1468" t="s">
        <v>101</v>
      </c>
      <c r="D1468" t="s">
        <v>5561</v>
      </c>
      <c r="E1468" t="s">
        <v>65</v>
      </c>
      <c r="F1468" t="s">
        <v>66</v>
      </c>
      <c r="G1468" t="s">
        <v>67</v>
      </c>
      <c r="H1468" t="s">
        <v>68</v>
      </c>
      <c r="I1468" t="s">
        <v>69</v>
      </c>
      <c r="J1468" t="s">
        <v>70</v>
      </c>
      <c r="K1468" t="s">
        <v>71</v>
      </c>
      <c r="M1468" t="s">
        <v>72</v>
      </c>
      <c r="N1468" t="s">
        <v>73</v>
      </c>
      <c r="O1468" t="s">
        <v>71</v>
      </c>
      <c r="P1468" t="s">
        <v>74</v>
      </c>
      <c r="Q1468" t="s">
        <v>75</v>
      </c>
      <c r="R1468" t="s">
        <v>5008</v>
      </c>
      <c r="S1468" t="s">
        <v>1800</v>
      </c>
      <c r="T1468" t="s">
        <v>78</v>
      </c>
      <c r="U1468" t="s">
        <v>5009</v>
      </c>
      <c r="V1468" t="s">
        <v>80</v>
      </c>
      <c r="W1468" s="1">
        <v>44905</v>
      </c>
      <c r="X1468" t="s">
        <v>5010</v>
      </c>
      <c r="Y1468" t="s">
        <v>5534</v>
      </c>
      <c r="Z1468" t="s">
        <v>83</v>
      </c>
      <c r="AA1468">
        <v>1</v>
      </c>
      <c r="AB1468" t="s">
        <v>5310</v>
      </c>
      <c r="AD1468" t="s">
        <v>112</v>
      </c>
      <c r="AE1468" t="s">
        <v>86</v>
      </c>
      <c r="AF1468" t="s">
        <v>146</v>
      </c>
      <c r="AG1468" t="s">
        <v>5536</v>
      </c>
      <c r="AH1468" t="s">
        <v>5542</v>
      </c>
      <c r="AI1468" t="s">
        <v>90</v>
      </c>
      <c r="AJ1468">
        <v>32.313963000000001</v>
      </c>
      <c r="AK1468">
        <v>-110.71268600000001</v>
      </c>
      <c r="AL1468">
        <v>3</v>
      </c>
      <c r="AN1468">
        <v>1176</v>
      </c>
      <c r="AP1468">
        <v>1176</v>
      </c>
      <c r="AQ1468">
        <v>1180.5033490000001</v>
      </c>
      <c r="AT1468">
        <v>10</v>
      </c>
      <c r="AU1468">
        <v>12</v>
      </c>
      <c r="AV1468">
        <v>2022</v>
      </c>
      <c r="AW1468">
        <v>2439581</v>
      </c>
      <c r="AX1468">
        <v>2439581</v>
      </c>
      <c r="AY1468" t="s">
        <v>106</v>
      </c>
      <c r="AZ1468" t="s">
        <v>92</v>
      </c>
      <c r="BA1468" t="s">
        <v>107</v>
      </c>
      <c r="BB1468" t="s">
        <v>5562</v>
      </c>
      <c r="BC1468" t="s">
        <v>97</v>
      </c>
      <c r="BD1468" s="1">
        <v>44905</v>
      </c>
      <c r="BE1468" t="s">
        <v>96</v>
      </c>
      <c r="BG1468" t="s">
        <v>5504</v>
      </c>
      <c r="BI1468" t="s">
        <v>98</v>
      </c>
      <c r="BJ1468" t="s">
        <v>2469</v>
      </c>
      <c r="BL1468" t="s">
        <v>110</v>
      </c>
    </row>
    <row r="1469" spans="1:64" hidden="1" x14ac:dyDescent="0.2">
      <c r="A1469">
        <v>437</v>
      </c>
      <c r="B1469">
        <v>4136459522</v>
      </c>
      <c r="C1469" t="s">
        <v>101</v>
      </c>
      <c r="D1469" t="s">
        <v>5569</v>
      </c>
      <c r="E1469" t="s">
        <v>65</v>
      </c>
      <c r="F1469" t="s">
        <v>66</v>
      </c>
      <c r="G1469" t="s">
        <v>67</v>
      </c>
      <c r="H1469" t="s">
        <v>68</v>
      </c>
      <c r="I1469" t="s">
        <v>69</v>
      </c>
      <c r="J1469" t="s">
        <v>70</v>
      </c>
      <c r="K1469" t="s">
        <v>71</v>
      </c>
      <c r="M1469" t="s">
        <v>72</v>
      </c>
      <c r="N1469" t="s">
        <v>73</v>
      </c>
      <c r="O1469" t="s">
        <v>71</v>
      </c>
      <c r="P1469" t="s">
        <v>74</v>
      </c>
      <c r="Q1469" t="s">
        <v>75</v>
      </c>
      <c r="R1469" t="s">
        <v>5008</v>
      </c>
      <c r="S1469" t="s">
        <v>1577</v>
      </c>
      <c r="T1469" t="s">
        <v>78</v>
      </c>
      <c r="U1469" t="s">
        <v>5009</v>
      </c>
      <c r="V1469" t="s">
        <v>80</v>
      </c>
      <c r="W1469" s="1">
        <v>44905</v>
      </c>
      <c r="X1469" t="s">
        <v>5010</v>
      </c>
      <c r="Y1469" t="s">
        <v>5564</v>
      </c>
      <c r="Z1469" t="s">
        <v>83</v>
      </c>
      <c r="AA1469">
        <v>1</v>
      </c>
      <c r="AB1469" t="s">
        <v>5506</v>
      </c>
      <c r="AD1469" t="s">
        <v>139</v>
      </c>
      <c r="AE1469" t="s">
        <v>145</v>
      </c>
      <c r="AF1469" t="s">
        <v>146</v>
      </c>
      <c r="AG1469" t="s">
        <v>4990</v>
      </c>
      <c r="AH1469" t="s">
        <v>5570</v>
      </c>
      <c r="AI1469" t="s">
        <v>90</v>
      </c>
      <c r="AJ1469">
        <v>32.313518000000002</v>
      </c>
      <c r="AK1469">
        <v>-110.712825</v>
      </c>
      <c r="AL1469">
        <v>3</v>
      </c>
      <c r="AN1469">
        <v>1171</v>
      </c>
      <c r="AP1469">
        <v>1171</v>
      </c>
      <c r="AQ1469">
        <v>1174.725631</v>
      </c>
      <c r="AT1469">
        <v>10</v>
      </c>
      <c r="AU1469">
        <v>12</v>
      </c>
      <c r="AV1469">
        <v>2022</v>
      </c>
      <c r="AW1469">
        <v>2439581</v>
      </c>
      <c r="AX1469">
        <v>2439581</v>
      </c>
      <c r="AY1469" t="s">
        <v>106</v>
      </c>
      <c r="AZ1469" t="s">
        <v>92</v>
      </c>
      <c r="BA1469" t="s">
        <v>107</v>
      </c>
      <c r="BB1469" t="s">
        <v>5571</v>
      </c>
      <c r="BC1469" t="s">
        <v>97</v>
      </c>
      <c r="BD1469" s="1">
        <v>44905</v>
      </c>
      <c r="BE1469" t="s">
        <v>96</v>
      </c>
      <c r="BG1469" t="s">
        <v>5504</v>
      </c>
      <c r="BI1469" t="s">
        <v>98</v>
      </c>
      <c r="BJ1469" t="s">
        <v>3361</v>
      </c>
      <c r="BL1469" t="s">
        <v>110</v>
      </c>
    </row>
    <row r="1470" spans="1:64" hidden="1" x14ac:dyDescent="0.2">
      <c r="A1470">
        <v>440</v>
      </c>
      <c r="B1470">
        <v>4136459519</v>
      </c>
      <c r="C1470" t="s">
        <v>101</v>
      </c>
      <c r="D1470" t="s">
        <v>5572</v>
      </c>
      <c r="E1470" t="s">
        <v>65</v>
      </c>
      <c r="F1470" t="s">
        <v>66</v>
      </c>
      <c r="G1470" t="s">
        <v>67</v>
      </c>
      <c r="H1470" t="s">
        <v>68</v>
      </c>
      <c r="I1470" t="s">
        <v>69</v>
      </c>
      <c r="J1470" t="s">
        <v>70</v>
      </c>
      <c r="K1470" t="s">
        <v>71</v>
      </c>
      <c r="M1470" t="s">
        <v>72</v>
      </c>
      <c r="N1470" t="s">
        <v>73</v>
      </c>
      <c r="O1470" t="s">
        <v>71</v>
      </c>
      <c r="P1470" t="s">
        <v>74</v>
      </c>
      <c r="Q1470" t="s">
        <v>75</v>
      </c>
      <c r="R1470" t="s">
        <v>5008</v>
      </c>
      <c r="S1470" t="s">
        <v>1577</v>
      </c>
      <c r="T1470" t="s">
        <v>78</v>
      </c>
      <c r="U1470" t="s">
        <v>5009</v>
      </c>
      <c r="V1470" t="s">
        <v>80</v>
      </c>
      <c r="W1470" s="1">
        <v>44905</v>
      </c>
      <c r="X1470" t="s">
        <v>5010</v>
      </c>
      <c r="Y1470" t="s">
        <v>5564</v>
      </c>
      <c r="Z1470" t="s">
        <v>83</v>
      </c>
      <c r="AA1470">
        <v>1</v>
      </c>
      <c r="AB1470" t="s">
        <v>5506</v>
      </c>
      <c r="AD1470" t="s">
        <v>104</v>
      </c>
      <c r="AE1470" t="s">
        <v>145</v>
      </c>
      <c r="AF1470" t="s">
        <v>146</v>
      </c>
      <c r="AG1470" t="s">
        <v>4990</v>
      </c>
      <c r="AH1470" t="s">
        <v>5570</v>
      </c>
      <c r="AI1470" t="s">
        <v>90</v>
      </c>
      <c r="AJ1470">
        <v>32.313518000000002</v>
      </c>
      <c r="AK1470">
        <v>-110.712825</v>
      </c>
      <c r="AL1470">
        <v>3</v>
      </c>
      <c r="AN1470">
        <v>1171</v>
      </c>
      <c r="AP1470">
        <v>1171</v>
      </c>
      <c r="AQ1470">
        <v>1174.725631</v>
      </c>
      <c r="AT1470">
        <v>10</v>
      </c>
      <c r="AU1470">
        <v>12</v>
      </c>
      <c r="AV1470">
        <v>2022</v>
      </c>
      <c r="AW1470">
        <v>2439581</v>
      </c>
      <c r="AX1470">
        <v>2439581</v>
      </c>
      <c r="AY1470" t="s">
        <v>106</v>
      </c>
      <c r="AZ1470" t="s">
        <v>92</v>
      </c>
      <c r="BA1470" t="s">
        <v>107</v>
      </c>
      <c r="BB1470" t="s">
        <v>5573</v>
      </c>
      <c r="BC1470" t="s">
        <v>97</v>
      </c>
      <c r="BD1470" s="1">
        <v>44905</v>
      </c>
      <c r="BE1470" t="s">
        <v>96</v>
      </c>
      <c r="BG1470" t="s">
        <v>5504</v>
      </c>
      <c r="BI1470" t="s">
        <v>98</v>
      </c>
      <c r="BJ1470" t="s">
        <v>3361</v>
      </c>
      <c r="BL1470" t="s">
        <v>110</v>
      </c>
    </row>
    <row r="1471" spans="1:64" hidden="1" x14ac:dyDescent="0.2">
      <c r="A1471">
        <v>431</v>
      </c>
      <c r="B1471">
        <v>4136459528</v>
      </c>
      <c r="C1471" t="s">
        <v>101</v>
      </c>
      <c r="D1471" t="s">
        <v>5574</v>
      </c>
      <c r="E1471" t="s">
        <v>65</v>
      </c>
      <c r="F1471" t="s">
        <v>66</v>
      </c>
      <c r="G1471" t="s">
        <v>67</v>
      </c>
      <c r="H1471" t="s">
        <v>68</v>
      </c>
      <c r="I1471" t="s">
        <v>69</v>
      </c>
      <c r="J1471" t="s">
        <v>70</v>
      </c>
      <c r="K1471" t="s">
        <v>71</v>
      </c>
      <c r="M1471" t="s">
        <v>72</v>
      </c>
      <c r="N1471" t="s">
        <v>73</v>
      </c>
      <c r="O1471" t="s">
        <v>71</v>
      </c>
      <c r="P1471" t="s">
        <v>74</v>
      </c>
      <c r="Q1471" t="s">
        <v>75</v>
      </c>
      <c r="R1471" t="s">
        <v>5008</v>
      </c>
      <c r="S1471" t="s">
        <v>1577</v>
      </c>
      <c r="T1471" t="s">
        <v>78</v>
      </c>
      <c r="U1471" t="s">
        <v>5009</v>
      </c>
      <c r="V1471" t="s">
        <v>80</v>
      </c>
      <c r="W1471" s="1">
        <v>44905</v>
      </c>
      <c r="X1471" t="s">
        <v>5010</v>
      </c>
      <c r="Y1471" t="s">
        <v>5564</v>
      </c>
      <c r="Z1471" t="s">
        <v>83</v>
      </c>
      <c r="AA1471">
        <v>1</v>
      </c>
      <c r="AB1471" t="s">
        <v>5310</v>
      </c>
      <c r="AD1471" t="s">
        <v>112</v>
      </c>
      <c r="AE1471" t="s">
        <v>145</v>
      </c>
      <c r="AF1471" t="s">
        <v>146</v>
      </c>
      <c r="AG1471" t="s">
        <v>4990</v>
      </c>
      <c r="AH1471" t="s">
        <v>5570</v>
      </c>
      <c r="AI1471" t="s">
        <v>90</v>
      </c>
      <c r="AJ1471">
        <v>32.313518000000002</v>
      </c>
      <c r="AK1471">
        <v>-110.712825</v>
      </c>
      <c r="AL1471">
        <v>3</v>
      </c>
      <c r="AN1471">
        <v>1171</v>
      </c>
      <c r="AP1471">
        <v>1171</v>
      </c>
      <c r="AQ1471">
        <v>1174.725631</v>
      </c>
      <c r="AT1471">
        <v>10</v>
      </c>
      <c r="AU1471">
        <v>12</v>
      </c>
      <c r="AV1471">
        <v>2022</v>
      </c>
      <c r="AW1471">
        <v>2439581</v>
      </c>
      <c r="AX1471">
        <v>2439581</v>
      </c>
      <c r="AY1471" t="s">
        <v>106</v>
      </c>
      <c r="AZ1471" t="s">
        <v>92</v>
      </c>
      <c r="BA1471" t="s">
        <v>107</v>
      </c>
      <c r="BB1471" t="s">
        <v>5575</v>
      </c>
      <c r="BC1471" t="s">
        <v>97</v>
      </c>
      <c r="BD1471" s="1">
        <v>44905</v>
      </c>
      <c r="BE1471" t="s">
        <v>96</v>
      </c>
      <c r="BG1471" t="s">
        <v>5504</v>
      </c>
      <c r="BI1471" t="s">
        <v>98</v>
      </c>
      <c r="BJ1471" t="s">
        <v>3356</v>
      </c>
      <c r="BL1471" t="s">
        <v>110</v>
      </c>
    </row>
    <row r="1472" spans="1:64" hidden="1" x14ac:dyDescent="0.2">
      <c r="A1472">
        <v>434</v>
      </c>
      <c r="B1472">
        <v>4136459525</v>
      </c>
      <c r="C1472" t="s">
        <v>101</v>
      </c>
      <c r="D1472" t="s">
        <v>5576</v>
      </c>
      <c r="E1472" t="s">
        <v>65</v>
      </c>
      <c r="F1472" t="s">
        <v>66</v>
      </c>
      <c r="G1472" t="s">
        <v>67</v>
      </c>
      <c r="H1472" t="s">
        <v>68</v>
      </c>
      <c r="I1472" t="s">
        <v>69</v>
      </c>
      <c r="J1472" t="s">
        <v>70</v>
      </c>
      <c r="K1472" t="s">
        <v>71</v>
      </c>
      <c r="M1472" t="s">
        <v>72</v>
      </c>
      <c r="N1472" t="s">
        <v>73</v>
      </c>
      <c r="O1472" t="s">
        <v>71</v>
      </c>
      <c r="P1472" t="s">
        <v>74</v>
      </c>
      <c r="Q1472" t="s">
        <v>75</v>
      </c>
      <c r="R1472" t="s">
        <v>5008</v>
      </c>
      <c r="S1472" t="s">
        <v>1577</v>
      </c>
      <c r="T1472" t="s">
        <v>78</v>
      </c>
      <c r="U1472" t="s">
        <v>5009</v>
      </c>
      <c r="V1472" t="s">
        <v>80</v>
      </c>
      <c r="W1472" s="1">
        <v>44905</v>
      </c>
      <c r="X1472" t="s">
        <v>5010</v>
      </c>
      <c r="Y1472" t="s">
        <v>5564</v>
      </c>
      <c r="Z1472" t="s">
        <v>83</v>
      </c>
      <c r="AA1472">
        <v>1</v>
      </c>
      <c r="AB1472" t="s">
        <v>5310</v>
      </c>
      <c r="AD1472" t="s">
        <v>123</v>
      </c>
      <c r="AE1472" t="s">
        <v>145</v>
      </c>
      <c r="AF1472" t="s">
        <v>146</v>
      </c>
      <c r="AG1472" t="s">
        <v>4990</v>
      </c>
      <c r="AH1472" t="s">
        <v>5570</v>
      </c>
      <c r="AI1472" t="s">
        <v>90</v>
      </c>
      <c r="AJ1472">
        <v>32.313518000000002</v>
      </c>
      <c r="AK1472">
        <v>-110.712825</v>
      </c>
      <c r="AL1472">
        <v>3</v>
      </c>
      <c r="AN1472">
        <v>1171</v>
      </c>
      <c r="AP1472">
        <v>1171</v>
      </c>
      <c r="AQ1472">
        <v>1174.725631</v>
      </c>
      <c r="AT1472">
        <v>10</v>
      </c>
      <c r="AU1472">
        <v>12</v>
      </c>
      <c r="AV1472">
        <v>2022</v>
      </c>
      <c r="AW1472">
        <v>2439581</v>
      </c>
      <c r="AX1472">
        <v>2439581</v>
      </c>
      <c r="AY1472" t="s">
        <v>106</v>
      </c>
      <c r="AZ1472" t="s">
        <v>92</v>
      </c>
      <c r="BA1472" t="s">
        <v>107</v>
      </c>
      <c r="BB1472" t="s">
        <v>5577</v>
      </c>
      <c r="BC1472" t="s">
        <v>97</v>
      </c>
      <c r="BD1472" s="1">
        <v>44905</v>
      </c>
      <c r="BE1472" t="s">
        <v>96</v>
      </c>
      <c r="BG1472" t="s">
        <v>5504</v>
      </c>
      <c r="BI1472" t="s">
        <v>98</v>
      </c>
      <c r="BJ1472" t="s">
        <v>3356</v>
      </c>
      <c r="BL1472" t="s">
        <v>110</v>
      </c>
    </row>
    <row r="1473" spans="1:64" hidden="1" x14ac:dyDescent="0.2">
      <c r="A1473">
        <v>425</v>
      </c>
      <c r="B1473">
        <v>4136459534</v>
      </c>
      <c r="C1473" t="s">
        <v>101</v>
      </c>
      <c r="D1473" t="s">
        <v>5578</v>
      </c>
      <c r="E1473" t="s">
        <v>65</v>
      </c>
      <c r="F1473" t="s">
        <v>66</v>
      </c>
      <c r="G1473" t="s">
        <v>67</v>
      </c>
      <c r="H1473" t="s">
        <v>68</v>
      </c>
      <c r="I1473" t="s">
        <v>69</v>
      </c>
      <c r="J1473" t="s">
        <v>70</v>
      </c>
      <c r="K1473" t="s">
        <v>71</v>
      </c>
      <c r="M1473" t="s">
        <v>72</v>
      </c>
      <c r="N1473" t="s">
        <v>73</v>
      </c>
      <c r="O1473" t="s">
        <v>71</v>
      </c>
      <c r="P1473" t="s">
        <v>74</v>
      </c>
      <c r="Q1473" t="s">
        <v>75</v>
      </c>
      <c r="R1473" t="s">
        <v>5008</v>
      </c>
      <c r="S1473" t="s">
        <v>1577</v>
      </c>
      <c r="T1473" t="s">
        <v>78</v>
      </c>
      <c r="U1473" t="s">
        <v>5009</v>
      </c>
      <c r="V1473" t="s">
        <v>80</v>
      </c>
      <c r="W1473" s="1">
        <v>44905</v>
      </c>
      <c r="X1473" t="s">
        <v>5010</v>
      </c>
      <c r="Y1473" t="s">
        <v>5564</v>
      </c>
      <c r="Z1473" t="s">
        <v>83</v>
      </c>
      <c r="AA1473">
        <v>1</v>
      </c>
      <c r="AB1473" t="s">
        <v>5310</v>
      </c>
      <c r="AD1473" t="s">
        <v>104</v>
      </c>
      <c r="AE1473" t="s">
        <v>145</v>
      </c>
      <c r="AF1473" t="s">
        <v>146</v>
      </c>
      <c r="AG1473" t="s">
        <v>4990</v>
      </c>
      <c r="AH1473" t="s">
        <v>5570</v>
      </c>
      <c r="AI1473" t="s">
        <v>90</v>
      </c>
      <c r="AJ1473">
        <v>32.313518000000002</v>
      </c>
      <c r="AK1473">
        <v>-110.712825</v>
      </c>
      <c r="AL1473">
        <v>3</v>
      </c>
      <c r="AN1473">
        <v>1171</v>
      </c>
      <c r="AP1473">
        <v>1171</v>
      </c>
      <c r="AQ1473">
        <v>1174.725631</v>
      </c>
      <c r="AT1473">
        <v>10</v>
      </c>
      <c r="AU1473">
        <v>12</v>
      </c>
      <c r="AV1473">
        <v>2022</v>
      </c>
      <c r="AW1473">
        <v>2439581</v>
      </c>
      <c r="AX1473">
        <v>2439581</v>
      </c>
      <c r="AY1473" t="s">
        <v>106</v>
      </c>
      <c r="AZ1473" t="s">
        <v>92</v>
      </c>
      <c r="BA1473" t="s">
        <v>107</v>
      </c>
      <c r="BB1473" t="s">
        <v>5579</v>
      </c>
      <c r="BC1473" t="s">
        <v>97</v>
      </c>
      <c r="BD1473" s="1">
        <v>44905</v>
      </c>
      <c r="BE1473" t="s">
        <v>96</v>
      </c>
      <c r="BG1473" t="s">
        <v>5504</v>
      </c>
      <c r="BI1473" t="s">
        <v>98</v>
      </c>
      <c r="BJ1473" t="s">
        <v>3356</v>
      </c>
      <c r="BL1473" t="s">
        <v>110</v>
      </c>
    </row>
    <row r="1474" spans="1:64" hidden="1" x14ac:dyDescent="0.2">
      <c r="A1474">
        <v>428</v>
      </c>
      <c r="B1474">
        <v>4136459531</v>
      </c>
      <c r="C1474" t="s">
        <v>101</v>
      </c>
      <c r="D1474" t="s">
        <v>5580</v>
      </c>
      <c r="E1474" t="s">
        <v>65</v>
      </c>
      <c r="F1474" t="s">
        <v>66</v>
      </c>
      <c r="G1474" t="s">
        <v>67</v>
      </c>
      <c r="H1474" t="s">
        <v>68</v>
      </c>
      <c r="I1474" t="s">
        <v>69</v>
      </c>
      <c r="J1474" t="s">
        <v>70</v>
      </c>
      <c r="K1474" t="s">
        <v>71</v>
      </c>
      <c r="M1474" t="s">
        <v>72</v>
      </c>
      <c r="N1474" t="s">
        <v>73</v>
      </c>
      <c r="O1474" t="s">
        <v>71</v>
      </c>
      <c r="P1474" t="s">
        <v>74</v>
      </c>
      <c r="Q1474" t="s">
        <v>75</v>
      </c>
      <c r="R1474" t="s">
        <v>5008</v>
      </c>
      <c r="S1474" t="s">
        <v>1577</v>
      </c>
      <c r="T1474" t="s">
        <v>78</v>
      </c>
      <c r="U1474" t="s">
        <v>5009</v>
      </c>
      <c r="V1474" t="s">
        <v>80</v>
      </c>
      <c r="W1474" s="1">
        <v>44905</v>
      </c>
      <c r="X1474" t="s">
        <v>5010</v>
      </c>
      <c r="Y1474" t="s">
        <v>5564</v>
      </c>
      <c r="Z1474" t="s">
        <v>83</v>
      </c>
      <c r="AA1474">
        <v>1</v>
      </c>
      <c r="AB1474" t="s">
        <v>5310</v>
      </c>
      <c r="AD1474" t="s">
        <v>116</v>
      </c>
      <c r="AE1474" t="s">
        <v>145</v>
      </c>
      <c r="AF1474" t="s">
        <v>146</v>
      </c>
      <c r="AG1474" t="s">
        <v>4990</v>
      </c>
      <c r="AH1474" t="s">
        <v>5570</v>
      </c>
      <c r="AI1474" t="s">
        <v>90</v>
      </c>
      <c r="AJ1474">
        <v>32.313518000000002</v>
      </c>
      <c r="AK1474">
        <v>-110.712825</v>
      </c>
      <c r="AL1474">
        <v>3</v>
      </c>
      <c r="AN1474">
        <v>1171</v>
      </c>
      <c r="AP1474">
        <v>1171</v>
      </c>
      <c r="AQ1474">
        <v>1174.725631</v>
      </c>
      <c r="AT1474">
        <v>10</v>
      </c>
      <c r="AU1474">
        <v>12</v>
      </c>
      <c r="AV1474">
        <v>2022</v>
      </c>
      <c r="AW1474">
        <v>2439581</v>
      </c>
      <c r="AX1474">
        <v>2439581</v>
      </c>
      <c r="AY1474" t="s">
        <v>106</v>
      </c>
      <c r="AZ1474" t="s">
        <v>92</v>
      </c>
      <c r="BA1474" t="s">
        <v>107</v>
      </c>
      <c r="BB1474" t="s">
        <v>5581</v>
      </c>
      <c r="BC1474" t="s">
        <v>97</v>
      </c>
      <c r="BD1474" s="1">
        <v>44905</v>
      </c>
      <c r="BE1474" t="s">
        <v>96</v>
      </c>
      <c r="BG1474" t="s">
        <v>5504</v>
      </c>
      <c r="BI1474" t="s">
        <v>98</v>
      </c>
      <c r="BJ1474" t="s">
        <v>3356</v>
      </c>
      <c r="BL1474" t="s">
        <v>110</v>
      </c>
    </row>
    <row r="1475" spans="1:64" hidden="1" x14ac:dyDescent="0.2">
      <c r="A1475">
        <v>448</v>
      </c>
      <c r="B1475">
        <v>4136459511</v>
      </c>
      <c r="C1475" t="s">
        <v>101</v>
      </c>
      <c r="D1475" t="s">
        <v>5582</v>
      </c>
      <c r="E1475" t="s">
        <v>65</v>
      </c>
      <c r="F1475" t="s">
        <v>66</v>
      </c>
      <c r="G1475" t="s">
        <v>67</v>
      </c>
      <c r="H1475" t="s">
        <v>68</v>
      </c>
      <c r="I1475" t="s">
        <v>69</v>
      </c>
      <c r="J1475" t="s">
        <v>70</v>
      </c>
      <c r="K1475" t="s">
        <v>71</v>
      </c>
      <c r="M1475" t="s">
        <v>72</v>
      </c>
      <c r="N1475" t="s">
        <v>73</v>
      </c>
      <c r="O1475" t="s">
        <v>71</v>
      </c>
      <c r="P1475" t="s">
        <v>74</v>
      </c>
      <c r="Q1475" t="s">
        <v>75</v>
      </c>
      <c r="R1475" t="s">
        <v>5008</v>
      </c>
      <c r="S1475" t="s">
        <v>1577</v>
      </c>
      <c r="T1475" t="s">
        <v>78</v>
      </c>
      <c r="U1475" t="s">
        <v>5009</v>
      </c>
      <c r="V1475" t="s">
        <v>80</v>
      </c>
      <c r="W1475" s="1">
        <v>44905</v>
      </c>
      <c r="X1475" t="s">
        <v>5010</v>
      </c>
      <c r="Y1475" t="s">
        <v>5564</v>
      </c>
      <c r="Z1475" t="s">
        <v>83</v>
      </c>
      <c r="AA1475">
        <v>1</v>
      </c>
      <c r="AB1475" t="s">
        <v>5506</v>
      </c>
      <c r="AD1475" t="s">
        <v>116</v>
      </c>
      <c r="AE1475" t="s">
        <v>145</v>
      </c>
      <c r="AF1475" t="s">
        <v>146</v>
      </c>
      <c r="AG1475" t="s">
        <v>4990</v>
      </c>
      <c r="AH1475" t="s">
        <v>5570</v>
      </c>
      <c r="AI1475" t="s">
        <v>90</v>
      </c>
      <c r="AJ1475">
        <v>32.313518000000002</v>
      </c>
      <c r="AK1475">
        <v>-110.712825</v>
      </c>
      <c r="AL1475">
        <v>3</v>
      </c>
      <c r="AN1475">
        <v>1171</v>
      </c>
      <c r="AP1475">
        <v>1171</v>
      </c>
      <c r="AQ1475">
        <v>1174.725631</v>
      </c>
      <c r="AT1475">
        <v>10</v>
      </c>
      <c r="AU1475">
        <v>12</v>
      </c>
      <c r="AV1475">
        <v>2022</v>
      </c>
      <c r="AW1475">
        <v>2439581</v>
      </c>
      <c r="AX1475">
        <v>2439581</v>
      </c>
      <c r="AY1475" t="s">
        <v>106</v>
      </c>
      <c r="AZ1475" t="s">
        <v>92</v>
      </c>
      <c r="BA1475" t="s">
        <v>107</v>
      </c>
      <c r="BB1475" t="s">
        <v>5583</v>
      </c>
      <c r="BC1475" t="s">
        <v>97</v>
      </c>
      <c r="BD1475" s="1">
        <v>44905</v>
      </c>
      <c r="BE1475" t="s">
        <v>96</v>
      </c>
      <c r="BG1475" t="s">
        <v>5504</v>
      </c>
      <c r="BI1475" t="s">
        <v>98</v>
      </c>
      <c r="BJ1475" t="s">
        <v>3311</v>
      </c>
      <c r="BL1475" t="s">
        <v>110</v>
      </c>
    </row>
    <row r="1476" spans="1:64" x14ac:dyDescent="0.2">
      <c r="A1476">
        <v>561</v>
      </c>
      <c r="B1476">
        <v>4136459397</v>
      </c>
      <c r="C1476" t="s">
        <v>101</v>
      </c>
      <c r="D1476" t="s">
        <v>6053</v>
      </c>
      <c r="E1476" t="s">
        <v>65</v>
      </c>
      <c r="F1476" t="s">
        <v>66</v>
      </c>
      <c r="G1476" t="s">
        <v>67</v>
      </c>
      <c r="H1476" t="s">
        <v>68</v>
      </c>
      <c r="I1476" t="s">
        <v>176</v>
      </c>
      <c r="J1476" t="s">
        <v>773</v>
      </c>
      <c r="K1476" t="s">
        <v>1347</v>
      </c>
      <c r="M1476" t="s">
        <v>72</v>
      </c>
      <c r="N1476" t="s">
        <v>1348</v>
      </c>
      <c r="O1476" t="s">
        <v>1347</v>
      </c>
      <c r="P1476" t="s">
        <v>1349</v>
      </c>
      <c r="Q1476" t="s">
        <v>75</v>
      </c>
      <c r="R1476" t="s">
        <v>5008</v>
      </c>
      <c r="S1476" t="s">
        <v>6037</v>
      </c>
      <c r="T1476" t="s">
        <v>78</v>
      </c>
      <c r="U1476" t="s">
        <v>5009</v>
      </c>
      <c r="V1476" t="s">
        <v>80</v>
      </c>
      <c r="W1476" s="1">
        <v>44905</v>
      </c>
      <c r="X1476" t="s">
        <v>5010</v>
      </c>
      <c r="Y1476" t="s">
        <v>6038</v>
      </c>
      <c r="Z1476" t="s">
        <v>83</v>
      </c>
      <c r="AA1476">
        <v>1</v>
      </c>
      <c r="AB1476" t="s">
        <v>5526</v>
      </c>
      <c r="AC1476">
        <v>1</v>
      </c>
      <c r="AD1476" t="s">
        <v>119</v>
      </c>
      <c r="AE1476" t="s">
        <v>145</v>
      </c>
      <c r="AF1476" t="s">
        <v>146</v>
      </c>
      <c r="AG1476" t="s">
        <v>6040</v>
      </c>
      <c r="AH1476" t="s">
        <v>6054</v>
      </c>
      <c r="AI1476" t="s">
        <v>90</v>
      </c>
      <c r="AJ1476">
        <v>32.313867000000002</v>
      </c>
      <c r="AK1476">
        <v>-110.712791</v>
      </c>
      <c r="AL1476">
        <v>3</v>
      </c>
      <c r="AN1476">
        <v>1175</v>
      </c>
      <c r="AP1476">
        <v>1175</v>
      </c>
      <c r="AQ1476">
        <v>1180.5823009999999</v>
      </c>
      <c r="AT1476">
        <v>10</v>
      </c>
      <c r="AU1476">
        <v>12</v>
      </c>
      <c r="AV1476">
        <v>2022</v>
      </c>
      <c r="AW1476">
        <v>2438454</v>
      </c>
      <c r="AX1476">
        <v>2438454</v>
      </c>
      <c r="AY1476" t="s">
        <v>106</v>
      </c>
      <c r="AZ1476" t="s">
        <v>92</v>
      </c>
      <c r="BA1476" t="s">
        <v>107</v>
      </c>
      <c r="BB1476" t="s">
        <v>6055</v>
      </c>
      <c r="BC1476" t="s">
        <v>97</v>
      </c>
      <c r="BD1476" s="1">
        <v>44905</v>
      </c>
      <c r="BE1476" t="s">
        <v>96</v>
      </c>
      <c r="BG1476" t="s">
        <v>5504</v>
      </c>
      <c r="BI1476" t="s">
        <v>98</v>
      </c>
      <c r="BJ1476" t="s">
        <v>761</v>
      </c>
      <c r="BL1476" t="s">
        <v>110</v>
      </c>
    </row>
    <row r="1477" spans="1:64" hidden="1" x14ac:dyDescent="0.2">
      <c r="A1477">
        <v>479</v>
      </c>
      <c r="B1477">
        <v>4136459480</v>
      </c>
      <c r="C1477" t="s">
        <v>101</v>
      </c>
      <c r="D1477" t="s">
        <v>5587</v>
      </c>
      <c r="E1477" t="s">
        <v>65</v>
      </c>
      <c r="F1477" t="s">
        <v>66</v>
      </c>
      <c r="G1477" t="s">
        <v>67</v>
      </c>
      <c r="H1477" t="s">
        <v>68</v>
      </c>
      <c r="I1477" t="s">
        <v>69</v>
      </c>
      <c r="J1477" t="s">
        <v>70</v>
      </c>
      <c r="K1477" t="s">
        <v>71</v>
      </c>
      <c r="M1477" t="s">
        <v>72</v>
      </c>
      <c r="N1477" t="s">
        <v>73</v>
      </c>
      <c r="O1477" t="s">
        <v>71</v>
      </c>
      <c r="P1477" t="s">
        <v>74</v>
      </c>
      <c r="Q1477" t="s">
        <v>75</v>
      </c>
      <c r="R1477" t="s">
        <v>5008</v>
      </c>
      <c r="S1477" t="s">
        <v>1577</v>
      </c>
      <c r="T1477" t="s">
        <v>78</v>
      </c>
      <c r="U1477" t="s">
        <v>5009</v>
      </c>
      <c r="V1477" t="s">
        <v>80</v>
      </c>
      <c r="W1477" s="1">
        <v>44905</v>
      </c>
      <c r="X1477" t="s">
        <v>5010</v>
      </c>
      <c r="Y1477" t="s">
        <v>5564</v>
      </c>
      <c r="Z1477" t="s">
        <v>83</v>
      </c>
      <c r="AA1477">
        <v>1</v>
      </c>
      <c r="AB1477" t="s">
        <v>5522</v>
      </c>
      <c r="AD1477" t="s">
        <v>134</v>
      </c>
      <c r="AE1477" t="s">
        <v>145</v>
      </c>
      <c r="AF1477" t="s">
        <v>146</v>
      </c>
      <c r="AG1477" t="s">
        <v>4990</v>
      </c>
      <c r="AH1477" t="s">
        <v>5588</v>
      </c>
      <c r="AI1477" t="s">
        <v>90</v>
      </c>
      <c r="AJ1477">
        <v>32.313518000000002</v>
      </c>
      <c r="AK1477">
        <v>-110.712825</v>
      </c>
      <c r="AL1477">
        <v>3</v>
      </c>
      <c r="AN1477">
        <v>1171</v>
      </c>
      <c r="AP1477">
        <v>1171</v>
      </c>
      <c r="AQ1477">
        <v>1174.725631</v>
      </c>
      <c r="AT1477">
        <v>10</v>
      </c>
      <c r="AU1477">
        <v>12</v>
      </c>
      <c r="AV1477">
        <v>2022</v>
      </c>
      <c r="AW1477">
        <v>2439581</v>
      </c>
      <c r="AX1477">
        <v>2439581</v>
      </c>
      <c r="AY1477" t="s">
        <v>106</v>
      </c>
      <c r="AZ1477" t="s">
        <v>92</v>
      </c>
      <c r="BA1477" t="s">
        <v>107</v>
      </c>
      <c r="BB1477" t="s">
        <v>5589</v>
      </c>
      <c r="BC1477" t="s">
        <v>97</v>
      </c>
      <c r="BD1477" s="1">
        <v>44905</v>
      </c>
      <c r="BE1477" t="s">
        <v>96</v>
      </c>
      <c r="BG1477" t="s">
        <v>5504</v>
      </c>
      <c r="BI1477" t="s">
        <v>98</v>
      </c>
      <c r="BJ1477" t="s">
        <v>5590</v>
      </c>
      <c r="BL1477" t="s">
        <v>110</v>
      </c>
    </row>
    <row r="1478" spans="1:64" hidden="1" x14ac:dyDescent="0.2">
      <c r="A1478">
        <v>475</v>
      </c>
      <c r="B1478">
        <v>4136459484</v>
      </c>
      <c r="C1478" t="s">
        <v>101</v>
      </c>
      <c r="D1478" t="s">
        <v>5598</v>
      </c>
      <c r="E1478" t="s">
        <v>65</v>
      </c>
      <c r="F1478" t="s">
        <v>66</v>
      </c>
      <c r="G1478" t="s">
        <v>67</v>
      </c>
      <c r="H1478" t="s">
        <v>68</v>
      </c>
      <c r="I1478" t="s">
        <v>176</v>
      </c>
      <c r="J1478" t="s">
        <v>177</v>
      </c>
      <c r="K1478" t="s">
        <v>3925</v>
      </c>
      <c r="M1478" t="s">
        <v>72</v>
      </c>
      <c r="N1478" t="s">
        <v>3926</v>
      </c>
      <c r="O1478" t="s">
        <v>3925</v>
      </c>
      <c r="P1478" t="s">
        <v>1176</v>
      </c>
      <c r="Q1478" t="s">
        <v>75</v>
      </c>
      <c r="R1478" t="s">
        <v>5008</v>
      </c>
      <c r="S1478" t="s">
        <v>1178</v>
      </c>
      <c r="T1478" t="s">
        <v>78</v>
      </c>
      <c r="U1478" t="s">
        <v>5009</v>
      </c>
      <c r="V1478" t="s">
        <v>80</v>
      </c>
      <c r="W1478" s="1">
        <v>44905</v>
      </c>
      <c r="X1478" t="s">
        <v>5010</v>
      </c>
      <c r="Y1478" t="s">
        <v>5592</v>
      </c>
      <c r="Z1478" t="s">
        <v>83</v>
      </c>
      <c r="AA1478">
        <v>1</v>
      </c>
      <c r="AB1478" t="s">
        <v>5522</v>
      </c>
      <c r="AD1478" t="s">
        <v>134</v>
      </c>
      <c r="AE1478" t="s">
        <v>145</v>
      </c>
      <c r="AF1478" t="s">
        <v>146</v>
      </c>
      <c r="AG1478" t="s">
        <v>5594</v>
      </c>
      <c r="AH1478" t="s">
        <v>5599</v>
      </c>
      <c r="AI1478" t="s">
        <v>90</v>
      </c>
      <c r="AJ1478">
        <v>32.313445999999999</v>
      </c>
      <c r="AK1478">
        <v>-110.712751</v>
      </c>
      <c r="AL1478">
        <v>3</v>
      </c>
      <c r="AN1478">
        <v>1170</v>
      </c>
      <c r="AP1478">
        <v>1170</v>
      </c>
      <c r="AQ1478">
        <v>1173.271898</v>
      </c>
      <c r="AT1478">
        <v>10</v>
      </c>
      <c r="AU1478">
        <v>12</v>
      </c>
      <c r="AV1478">
        <v>2022</v>
      </c>
      <c r="AW1478">
        <v>2437981</v>
      </c>
      <c r="AX1478">
        <v>2437981</v>
      </c>
      <c r="AY1478" t="s">
        <v>106</v>
      </c>
      <c r="AZ1478" t="s">
        <v>92</v>
      </c>
      <c r="BA1478" t="s">
        <v>107</v>
      </c>
      <c r="BB1478" t="s">
        <v>5600</v>
      </c>
      <c r="BC1478" t="s">
        <v>97</v>
      </c>
      <c r="BD1478" s="1">
        <v>44905</v>
      </c>
      <c r="BE1478" t="s">
        <v>96</v>
      </c>
      <c r="BG1478" t="s">
        <v>5504</v>
      </c>
      <c r="BI1478" t="s">
        <v>98</v>
      </c>
      <c r="BJ1478" t="s">
        <v>3433</v>
      </c>
      <c r="BL1478" t="s">
        <v>110</v>
      </c>
    </row>
    <row r="1479" spans="1:64" hidden="1" x14ac:dyDescent="0.2">
      <c r="A1479">
        <v>467</v>
      </c>
      <c r="B1479">
        <v>4136459492</v>
      </c>
      <c r="C1479" t="s">
        <v>101</v>
      </c>
      <c r="D1479" t="s">
        <v>5601</v>
      </c>
      <c r="E1479" t="s">
        <v>65</v>
      </c>
      <c r="F1479" t="s">
        <v>66</v>
      </c>
      <c r="G1479" t="s">
        <v>67</v>
      </c>
      <c r="H1479" t="s">
        <v>68</v>
      </c>
      <c r="I1479" t="s">
        <v>176</v>
      </c>
      <c r="J1479" t="s">
        <v>177</v>
      </c>
      <c r="K1479" t="s">
        <v>3925</v>
      </c>
      <c r="M1479" t="s">
        <v>72</v>
      </c>
      <c r="N1479" t="s">
        <v>3926</v>
      </c>
      <c r="O1479" t="s">
        <v>3925</v>
      </c>
      <c r="P1479" t="s">
        <v>1176</v>
      </c>
      <c r="Q1479" t="s">
        <v>75</v>
      </c>
      <c r="R1479" t="s">
        <v>5008</v>
      </c>
      <c r="S1479" t="s">
        <v>1178</v>
      </c>
      <c r="T1479" t="s">
        <v>78</v>
      </c>
      <c r="U1479" t="s">
        <v>5009</v>
      </c>
      <c r="V1479" t="s">
        <v>80</v>
      </c>
      <c r="W1479" s="1">
        <v>44905</v>
      </c>
      <c r="X1479" t="s">
        <v>5010</v>
      </c>
      <c r="Y1479" t="s">
        <v>5592</v>
      </c>
      <c r="Z1479" t="s">
        <v>83</v>
      </c>
      <c r="AA1479">
        <v>1</v>
      </c>
      <c r="AB1479" t="s">
        <v>5310</v>
      </c>
      <c r="AD1479" t="s">
        <v>112</v>
      </c>
      <c r="AE1479" t="s">
        <v>145</v>
      </c>
      <c r="AF1479" t="s">
        <v>146</v>
      </c>
      <c r="AG1479" t="s">
        <v>5594</v>
      </c>
      <c r="AH1479" t="s">
        <v>5602</v>
      </c>
      <c r="AI1479" t="s">
        <v>90</v>
      </c>
      <c r="AJ1479">
        <v>32.313445999999999</v>
      </c>
      <c r="AK1479">
        <v>-110.712751</v>
      </c>
      <c r="AL1479">
        <v>3</v>
      </c>
      <c r="AN1479">
        <v>1170</v>
      </c>
      <c r="AP1479">
        <v>1170</v>
      </c>
      <c r="AQ1479">
        <v>1173.271898</v>
      </c>
      <c r="AT1479">
        <v>10</v>
      </c>
      <c r="AU1479">
        <v>12</v>
      </c>
      <c r="AV1479">
        <v>2022</v>
      </c>
      <c r="AW1479">
        <v>2437981</v>
      </c>
      <c r="AX1479">
        <v>2437981</v>
      </c>
      <c r="AY1479" t="s">
        <v>106</v>
      </c>
      <c r="AZ1479" t="s">
        <v>92</v>
      </c>
      <c r="BA1479" t="s">
        <v>107</v>
      </c>
      <c r="BB1479" t="s">
        <v>5603</v>
      </c>
      <c r="BC1479" t="s">
        <v>97</v>
      </c>
      <c r="BD1479" s="1">
        <v>44905</v>
      </c>
      <c r="BE1479" t="s">
        <v>96</v>
      </c>
      <c r="BG1479" t="s">
        <v>5504</v>
      </c>
      <c r="BI1479" t="s">
        <v>98</v>
      </c>
      <c r="BJ1479" t="s">
        <v>3380</v>
      </c>
      <c r="BL1479" t="s">
        <v>110</v>
      </c>
    </row>
    <row r="1480" spans="1:64" hidden="1" x14ac:dyDescent="0.2">
      <c r="A1480">
        <v>469</v>
      </c>
      <c r="B1480">
        <v>4136459490</v>
      </c>
      <c r="C1480" t="s">
        <v>101</v>
      </c>
      <c r="D1480" t="s">
        <v>5604</v>
      </c>
      <c r="E1480" t="s">
        <v>65</v>
      </c>
      <c r="F1480" t="s">
        <v>66</v>
      </c>
      <c r="G1480" t="s">
        <v>67</v>
      </c>
      <c r="H1480" t="s">
        <v>68</v>
      </c>
      <c r="I1480" t="s">
        <v>176</v>
      </c>
      <c r="J1480" t="s">
        <v>177</v>
      </c>
      <c r="K1480" t="s">
        <v>3925</v>
      </c>
      <c r="M1480" t="s">
        <v>72</v>
      </c>
      <c r="N1480" t="s">
        <v>3926</v>
      </c>
      <c r="O1480" t="s">
        <v>3925</v>
      </c>
      <c r="P1480" t="s">
        <v>1176</v>
      </c>
      <c r="Q1480" t="s">
        <v>75</v>
      </c>
      <c r="R1480" t="s">
        <v>5008</v>
      </c>
      <c r="S1480" t="s">
        <v>1178</v>
      </c>
      <c r="T1480" t="s">
        <v>78</v>
      </c>
      <c r="U1480" t="s">
        <v>5009</v>
      </c>
      <c r="V1480" t="s">
        <v>80</v>
      </c>
      <c r="W1480" s="1">
        <v>44905</v>
      </c>
      <c r="X1480" t="s">
        <v>5010</v>
      </c>
      <c r="Y1480" t="s">
        <v>5592</v>
      </c>
      <c r="Z1480" t="s">
        <v>83</v>
      </c>
      <c r="AA1480">
        <v>1</v>
      </c>
      <c r="AB1480" t="s">
        <v>5310</v>
      </c>
      <c r="AD1480" t="s">
        <v>123</v>
      </c>
      <c r="AE1480" t="s">
        <v>145</v>
      </c>
      <c r="AF1480" t="s">
        <v>146</v>
      </c>
      <c r="AG1480" t="s">
        <v>5594</v>
      </c>
      <c r="AH1480" t="s">
        <v>5602</v>
      </c>
      <c r="AI1480" t="s">
        <v>90</v>
      </c>
      <c r="AJ1480">
        <v>32.313445999999999</v>
      </c>
      <c r="AK1480">
        <v>-110.712751</v>
      </c>
      <c r="AL1480">
        <v>3</v>
      </c>
      <c r="AN1480">
        <v>1170</v>
      </c>
      <c r="AP1480">
        <v>1170</v>
      </c>
      <c r="AQ1480">
        <v>1173.271898</v>
      </c>
      <c r="AT1480">
        <v>10</v>
      </c>
      <c r="AU1480">
        <v>12</v>
      </c>
      <c r="AV1480">
        <v>2022</v>
      </c>
      <c r="AW1480">
        <v>2437981</v>
      </c>
      <c r="AX1480">
        <v>2437981</v>
      </c>
      <c r="AY1480" t="s">
        <v>106</v>
      </c>
      <c r="AZ1480" t="s">
        <v>92</v>
      </c>
      <c r="BA1480" t="s">
        <v>107</v>
      </c>
      <c r="BB1480" t="s">
        <v>5605</v>
      </c>
      <c r="BC1480" t="s">
        <v>97</v>
      </c>
      <c r="BD1480" s="1">
        <v>44905</v>
      </c>
      <c r="BE1480" t="s">
        <v>96</v>
      </c>
      <c r="BG1480" t="s">
        <v>5504</v>
      </c>
      <c r="BI1480" t="s">
        <v>98</v>
      </c>
      <c r="BJ1480" t="s">
        <v>2396</v>
      </c>
      <c r="BL1480" t="s">
        <v>110</v>
      </c>
    </row>
    <row r="1481" spans="1:64" hidden="1" x14ac:dyDescent="0.2">
      <c r="A1481">
        <v>462</v>
      </c>
      <c r="B1481">
        <v>4136459497</v>
      </c>
      <c r="C1481" t="s">
        <v>101</v>
      </c>
      <c r="D1481" t="s">
        <v>5606</v>
      </c>
      <c r="E1481" t="s">
        <v>65</v>
      </c>
      <c r="F1481" t="s">
        <v>66</v>
      </c>
      <c r="G1481" t="s">
        <v>67</v>
      </c>
      <c r="H1481" t="s">
        <v>68</v>
      </c>
      <c r="I1481" t="s">
        <v>176</v>
      </c>
      <c r="J1481" t="s">
        <v>177</v>
      </c>
      <c r="K1481" t="s">
        <v>3925</v>
      </c>
      <c r="M1481" t="s">
        <v>72</v>
      </c>
      <c r="N1481" t="s">
        <v>3926</v>
      </c>
      <c r="O1481" t="s">
        <v>3925</v>
      </c>
      <c r="P1481" t="s">
        <v>1176</v>
      </c>
      <c r="Q1481" t="s">
        <v>75</v>
      </c>
      <c r="R1481" t="s">
        <v>5008</v>
      </c>
      <c r="S1481" t="s">
        <v>1178</v>
      </c>
      <c r="T1481" t="s">
        <v>78</v>
      </c>
      <c r="U1481" t="s">
        <v>5009</v>
      </c>
      <c r="V1481" t="s">
        <v>80</v>
      </c>
      <c r="W1481" s="1">
        <v>44905</v>
      </c>
      <c r="X1481" t="s">
        <v>5010</v>
      </c>
      <c r="Y1481" t="s">
        <v>5592</v>
      </c>
      <c r="Z1481" t="s">
        <v>83</v>
      </c>
      <c r="AA1481">
        <v>1</v>
      </c>
      <c r="AB1481" t="s">
        <v>5310</v>
      </c>
      <c r="AD1481" t="s">
        <v>104</v>
      </c>
      <c r="AE1481" t="s">
        <v>145</v>
      </c>
      <c r="AF1481" t="s">
        <v>146</v>
      </c>
      <c r="AG1481" t="s">
        <v>5594</v>
      </c>
      <c r="AH1481" t="s">
        <v>5602</v>
      </c>
      <c r="AI1481" t="s">
        <v>90</v>
      </c>
      <c r="AJ1481">
        <v>32.313445999999999</v>
      </c>
      <c r="AK1481">
        <v>-110.712751</v>
      </c>
      <c r="AL1481">
        <v>3</v>
      </c>
      <c r="AN1481">
        <v>1170</v>
      </c>
      <c r="AP1481">
        <v>1170</v>
      </c>
      <c r="AQ1481">
        <v>1173.271898</v>
      </c>
      <c r="AT1481">
        <v>10</v>
      </c>
      <c r="AU1481">
        <v>12</v>
      </c>
      <c r="AV1481">
        <v>2022</v>
      </c>
      <c r="AW1481">
        <v>2437981</v>
      </c>
      <c r="AX1481">
        <v>2437981</v>
      </c>
      <c r="AY1481" t="s">
        <v>106</v>
      </c>
      <c r="AZ1481" t="s">
        <v>92</v>
      </c>
      <c r="BA1481" t="s">
        <v>107</v>
      </c>
      <c r="BB1481" t="s">
        <v>5607</v>
      </c>
      <c r="BC1481" t="s">
        <v>97</v>
      </c>
      <c r="BD1481" s="1">
        <v>44905</v>
      </c>
      <c r="BE1481" t="s">
        <v>96</v>
      </c>
      <c r="BG1481" t="s">
        <v>5504</v>
      </c>
      <c r="BI1481" t="s">
        <v>98</v>
      </c>
      <c r="BJ1481" t="s">
        <v>3380</v>
      </c>
      <c r="BL1481" t="s">
        <v>110</v>
      </c>
    </row>
    <row r="1482" spans="1:64" hidden="1" x14ac:dyDescent="0.2">
      <c r="A1482">
        <v>464</v>
      </c>
      <c r="B1482">
        <v>4136459495</v>
      </c>
      <c r="C1482" t="s">
        <v>101</v>
      </c>
      <c r="D1482" t="s">
        <v>5608</v>
      </c>
      <c r="E1482" t="s">
        <v>65</v>
      </c>
      <c r="F1482" t="s">
        <v>66</v>
      </c>
      <c r="G1482" t="s">
        <v>67</v>
      </c>
      <c r="H1482" t="s">
        <v>68</v>
      </c>
      <c r="I1482" t="s">
        <v>176</v>
      </c>
      <c r="J1482" t="s">
        <v>177</v>
      </c>
      <c r="K1482" t="s">
        <v>3925</v>
      </c>
      <c r="M1482" t="s">
        <v>72</v>
      </c>
      <c r="N1482" t="s">
        <v>3926</v>
      </c>
      <c r="O1482" t="s">
        <v>3925</v>
      </c>
      <c r="P1482" t="s">
        <v>1176</v>
      </c>
      <c r="Q1482" t="s">
        <v>75</v>
      </c>
      <c r="R1482" t="s">
        <v>5008</v>
      </c>
      <c r="S1482" t="s">
        <v>1178</v>
      </c>
      <c r="T1482" t="s">
        <v>78</v>
      </c>
      <c r="U1482" t="s">
        <v>5009</v>
      </c>
      <c r="V1482" t="s">
        <v>80</v>
      </c>
      <c r="W1482" s="1">
        <v>44905</v>
      </c>
      <c r="X1482" t="s">
        <v>5010</v>
      </c>
      <c r="Y1482" t="s">
        <v>5592</v>
      </c>
      <c r="Z1482" t="s">
        <v>83</v>
      </c>
      <c r="AA1482">
        <v>1</v>
      </c>
      <c r="AB1482" t="s">
        <v>5310</v>
      </c>
      <c r="AD1482" t="s">
        <v>116</v>
      </c>
      <c r="AE1482" t="s">
        <v>145</v>
      </c>
      <c r="AF1482" t="s">
        <v>146</v>
      </c>
      <c r="AG1482" t="s">
        <v>5594</v>
      </c>
      <c r="AH1482" t="s">
        <v>5602</v>
      </c>
      <c r="AI1482" t="s">
        <v>90</v>
      </c>
      <c r="AJ1482">
        <v>32.313445999999999</v>
      </c>
      <c r="AK1482">
        <v>-110.712751</v>
      </c>
      <c r="AL1482">
        <v>3</v>
      </c>
      <c r="AN1482">
        <v>1170</v>
      </c>
      <c r="AP1482">
        <v>1170</v>
      </c>
      <c r="AQ1482">
        <v>1173.271898</v>
      </c>
      <c r="AT1482">
        <v>10</v>
      </c>
      <c r="AU1482">
        <v>12</v>
      </c>
      <c r="AV1482">
        <v>2022</v>
      </c>
      <c r="AW1482">
        <v>2437981</v>
      </c>
      <c r="AX1482">
        <v>2437981</v>
      </c>
      <c r="AY1482" t="s">
        <v>106</v>
      </c>
      <c r="AZ1482" t="s">
        <v>92</v>
      </c>
      <c r="BA1482" t="s">
        <v>107</v>
      </c>
      <c r="BB1482" t="s">
        <v>5609</v>
      </c>
      <c r="BC1482" t="s">
        <v>97</v>
      </c>
      <c r="BD1482" s="1">
        <v>44905</v>
      </c>
      <c r="BE1482" t="s">
        <v>96</v>
      </c>
      <c r="BG1482" t="s">
        <v>5504</v>
      </c>
      <c r="BI1482" t="s">
        <v>98</v>
      </c>
      <c r="BJ1482" t="s">
        <v>2489</v>
      </c>
      <c r="BL1482" t="s">
        <v>110</v>
      </c>
    </row>
    <row r="1483" spans="1:64" x14ac:dyDescent="0.2">
      <c r="A1483">
        <v>29</v>
      </c>
      <c r="B1483">
        <v>4403382611</v>
      </c>
      <c r="C1483" t="s">
        <v>101</v>
      </c>
      <c r="D1483" t="s">
        <v>1239</v>
      </c>
      <c r="E1483" t="s">
        <v>65</v>
      </c>
      <c r="F1483" t="s">
        <v>66</v>
      </c>
      <c r="G1483" t="s">
        <v>67</v>
      </c>
      <c r="H1483" t="s">
        <v>68</v>
      </c>
      <c r="I1483" t="s">
        <v>176</v>
      </c>
      <c r="J1483" t="s">
        <v>1173</v>
      </c>
      <c r="K1483" t="s">
        <v>1174</v>
      </c>
      <c r="M1483" t="s">
        <v>72</v>
      </c>
      <c r="N1483" t="s">
        <v>1175</v>
      </c>
      <c r="O1483" t="s">
        <v>1174</v>
      </c>
      <c r="P1483" t="s">
        <v>1176</v>
      </c>
      <c r="Q1483" t="s">
        <v>75</v>
      </c>
      <c r="R1483" t="s">
        <v>1177</v>
      </c>
      <c r="S1483" t="s">
        <v>615</v>
      </c>
      <c r="T1483" t="s">
        <v>78</v>
      </c>
      <c r="U1483" t="s">
        <v>646</v>
      </c>
      <c r="V1483" t="s">
        <v>1179</v>
      </c>
      <c r="W1483" s="1">
        <v>45108</v>
      </c>
      <c r="X1483" t="s">
        <v>1180</v>
      </c>
      <c r="Y1483" t="s">
        <v>1217</v>
      </c>
      <c r="Z1483" t="s">
        <v>83</v>
      </c>
      <c r="AA1483">
        <v>1</v>
      </c>
      <c r="AB1483" t="s">
        <v>385</v>
      </c>
      <c r="AC1483">
        <v>1</v>
      </c>
      <c r="AD1483" t="s">
        <v>119</v>
      </c>
      <c r="AE1483" t="s">
        <v>145</v>
      </c>
      <c r="AF1483" t="s">
        <v>402</v>
      </c>
      <c r="AG1483" t="s">
        <v>1219</v>
      </c>
      <c r="AH1483" t="s">
        <v>1240</v>
      </c>
      <c r="AI1483" t="s">
        <v>90</v>
      </c>
      <c r="AJ1483">
        <v>32.449221000000001</v>
      </c>
      <c r="AK1483">
        <v>-110.737668</v>
      </c>
      <c r="AN1483">
        <v>2078</v>
      </c>
      <c r="AP1483">
        <v>2078</v>
      </c>
      <c r="AQ1483">
        <v>2088.6641009999998</v>
      </c>
      <c r="AT1483">
        <v>1</v>
      </c>
      <c r="AU1483">
        <v>7</v>
      </c>
      <c r="AV1483">
        <v>2023</v>
      </c>
      <c r="AW1483">
        <v>2437874</v>
      </c>
      <c r="AX1483">
        <v>2437874</v>
      </c>
      <c r="AY1483" t="s">
        <v>106</v>
      </c>
      <c r="AZ1483" t="s">
        <v>92</v>
      </c>
      <c r="BA1483" t="s">
        <v>107</v>
      </c>
      <c r="BB1483" t="s">
        <v>1241</v>
      </c>
      <c r="BC1483" t="s">
        <v>1186</v>
      </c>
      <c r="BD1483" s="1">
        <v>45108</v>
      </c>
      <c r="BE1483" t="s">
        <v>96</v>
      </c>
      <c r="BG1483" t="s">
        <v>1187</v>
      </c>
      <c r="BI1483" t="s">
        <v>98</v>
      </c>
      <c r="BJ1483" t="s">
        <v>1215</v>
      </c>
      <c r="BL1483" t="s">
        <v>110</v>
      </c>
    </row>
    <row r="1484" spans="1:64" x14ac:dyDescent="0.2">
      <c r="A1484">
        <v>61</v>
      </c>
      <c r="B1484">
        <v>4403382579</v>
      </c>
      <c r="C1484" t="s">
        <v>101</v>
      </c>
      <c r="D1484" t="s">
        <v>1330</v>
      </c>
      <c r="E1484" t="s">
        <v>65</v>
      </c>
      <c r="F1484" t="s">
        <v>66</v>
      </c>
      <c r="G1484" t="s">
        <v>67</v>
      </c>
      <c r="H1484" t="s">
        <v>68</v>
      </c>
      <c r="I1484" t="s">
        <v>176</v>
      </c>
      <c r="J1484" t="s">
        <v>1251</v>
      </c>
      <c r="K1484" t="s">
        <v>1252</v>
      </c>
      <c r="M1484" t="s">
        <v>72</v>
      </c>
      <c r="N1484" t="s">
        <v>1253</v>
      </c>
      <c r="O1484" t="s">
        <v>1252</v>
      </c>
      <c r="P1484" t="s">
        <v>1254</v>
      </c>
      <c r="Q1484" t="s">
        <v>75</v>
      </c>
      <c r="R1484" t="s">
        <v>1177</v>
      </c>
      <c r="S1484" t="s">
        <v>547</v>
      </c>
      <c r="T1484" t="s">
        <v>78</v>
      </c>
      <c r="U1484" t="s">
        <v>646</v>
      </c>
      <c r="V1484" t="s">
        <v>1179</v>
      </c>
      <c r="W1484" s="1">
        <v>45108</v>
      </c>
      <c r="X1484" t="s">
        <v>1180</v>
      </c>
      <c r="Y1484" t="s">
        <v>1308</v>
      </c>
      <c r="Z1484" t="s">
        <v>83</v>
      </c>
      <c r="AA1484">
        <v>1</v>
      </c>
      <c r="AB1484" t="s">
        <v>385</v>
      </c>
      <c r="AC1484">
        <v>1</v>
      </c>
      <c r="AD1484" t="s">
        <v>119</v>
      </c>
      <c r="AE1484" t="s">
        <v>145</v>
      </c>
      <c r="AF1484" t="s">
        <v>402</v>
      </c>
      <c r="AG1484" t="s">
        <v>1310</v>
      </c>
      <c r="AH1484" t="s">
        <v>1320</v>
      </c>
      <c r="AI1484" t="s">
        <v>90</v>
      </c>
      <c r="AJ1484">
        <v>32.449865000000003</v>
      </c>
      <c r="AK1484">
        <v>-110.738021</v>
      </c>
      <c r="AL1484">
        <v>3</v>
      </c>
      <c r="AN1484">
        <v>2089</v>
      </c>
      <c r="AP1484">
        <v>2089</v>
      </c>
      <c r="AQ1484">
        <v>2094.0279999999998</v>
      </c>
      <c r="AT1484">
        <v>1</v>
      </c>
      <c r="AU1484">
        <v>7</v>
      </c>
      <c r="AV1484">
        <v>2023</v>
      </c>
      <c r="AW1484">
        <v>2438156</v>
      </c>
      <c r="AX1484">
        <v>2438156</v>
      </c>
      <c r="AY1484" t="s">
        <v>106</v>
      </c>
      <c r="AZ1484" t="s">
        <v>92</v>
      </c>
      <c r="BA1484" t="s">
        <v>107</v>
      </c>
      <c r="BB1484" t="s">
        <v>1331</v>
      </c>
      <c r="BC1484" t="s">
        <v>1186</v>
      </c>
      <c r="BD1484" s="1">
        <v>45108</v>
      </c>
      <c r="BE1484" t="s">
        <v>96</v>
      </c>
      <c r="BG1484" t="s">
        <v>1187</v>
      </c>
      <c r="BI1484" t="s">
        <v>98</v>
      </c>
      <c r="BJ1484" t="s">
        <v>1332</v>
      </c>
      <c r="BL1484" t="s">
        <v>110</v>
      </c>
    </row>
    <row r="1485" spans="1:64" hidden="1" x14ac:dyDescent="0.2">
      <c r="A1485">
        <v>454</v>
      </c>
      <c r="B1485">
        <v>4136459505</v>
      </c>
      <c r="C1485" t="s">
        <v>101</v>
      </c>
      <c r="D1485" t="s">
        <v>5616</v>
      </c>
      <c r="E1485" t="s">
        <v>65</v>
      </c>
      <c r="F1485" t="s">
        <v>66</v>
      </c>
      <c r="G1485" t="s">
        <v>67</v>
      </c>
      <c r="H1485" t="s">
        <v>68</v>
      </c>
      <c r="I1485" t="s">
        <v>176</v>
      </c>
      <c r="J1485" t="s">
        <v>177</v>
      </c>
      <c r="K1485" t="s">
        <v>3925</v>
      </c>
      <c r="M1485" t="s">
        <v>72</v>
      </c>
      <c r="N1485" t="s">
        <v>3926</v>
      </c>
      <c r="O1485" t="s">
        <v>3925</v>
      </c>
      <c r="P1485" t="s">
        <v>1176</v>
      </c>
      <c r="Q1485" t="s">
        <v>75</v>
      </c>
      <c r="R1485" t="s">
        <v>5008</v>
      </c>
      <c r="S1485" t="s">
        <v>1178</v>
      </c>
      <c r="T1485" t="s">
        <v>78</v>
      </c>
      <c r="U1485" t="s">
        <v>5009</v>
      </c>
      <c r="V1485" t="s">
        <v>80</v>
      </c>
      <c r="W1485" s="1">
        <v>44905</v>
      </c>
      <c r="X1485" t="s">
        <v>5010</v>
      </c>
      <c r="Y1485" t="s">
        <v>5592</v>
      </c>
      <c r="Z1485" t="s">
        <v>83</v>
      </c>
      <c r="AA1485">
        <v>1</v>
      </c>
      <c r="AB1485" t="s">
        <v>5506</v>
      </c>
      <c r="AD1485" t="s">
        <v>104</v>
      </c>
      <c r="AE1485" t="s">
        <v>145</v>
      </c>
      <c r="AF1485" t="s">
        <v>146</v>
      </c>
      <c r="AG1485" t="s">
        <v>5594</v>
      </c>
      <c r="AH1485" t="s">
        <v>5602</v>
      </c>
      <c r="AI1485" t="s">
        <v>90</v>
      </c>
      <c r="AJ1485">
        <v>32.313445999999999</v>
      </c>
      <c r="AK1485">
        <v>-110.712751</v>
      </c>
      <c r="AL1485">
        <v>3</v>
      </c>
      <c r="AN1485">
        <v>1170</v>
      </c>
      <c r="AP1485">
        <v>1170</v>
      </c>
      <c r="AQ1485">
        <v>1173.271898</v>
      </c>
      <c r="AT1485">
        <v>10</v>
      </c>
      <c r="AU1485">
        <v>12</v>
      </c>
      <c r="AV1485">
        <v>2022</v>
      </c>
      <c r="AW1485">
        <v>2437981</v>
      </c>
      <c r="AX1485">
        <v>2437981</v>
      </c>
      <c r="AY1485" t="s">
        <v>106</v>
      </c>
      <c r="AZ1485" t="s">
        <v>92</v>
      </c>
      <c r="BA1485" t="s">
        <v>107</v>
      </c>
      <c r="BB1485" t="s">
        <v>5617</v>
      </c>
      <c r="BC1485" t="s">
        <v>97</v>
      </c>
      <c r="BD1485" s="1">
        <v>44905</v>
      </c>
      <c r="BE1485" t="s">
        <v>96</v>
      </c>
      <c r="BG1485" t="s">
        <v>5504</v>
      </c>
      <c r="BI1485" t="s">
        <v>98</v>
      </c>
      <c r="BJ1485" t="s">
        <v>3311</v>
      </c>
      <c r="BL1485" t="s">
        <v>110</v>
      </c>
    </row>
    <row r="1486" spans="1:64" hidden="1" x14ac:dyDescent="0.2">
      <c r="A1486">
        <v>456</v>
      </c>
      <c r="B1486">
        <v>4136459503</v>
      </c>
      <c r="C1486" t="s">
        <v>101</v>
      </c>
      <c r="D1486" t="s">
        <v>5618</v>
      </c>
      <c r="E1486" t="s">
        <v>65</v>
      </c>
      <c r="F1486" t="s">
        <v>66</v>
      </c>
      <c r="G1486" t="s">
        <v>67</v>
      </c>
      <c r="H1486" t="s">
        <v>68</v>
      </c>
      <c r="I1486" t="s">
        <v>176</v>
      </c>
      <c r="J1486" t="s">
        <v>177</v>
      </c>
      <c r="K1486" t="s">
        <v>3925</v>
      </c>
      <c r="M1486" t="s">
        <v>72</v>
      </c>
      <c r="N1486" t="s">
        <v>3926</v>
      </c>
      <c r="O1486" t="s">
        <v>3925</v>
      </c>
      <c r="P1486" t="s">
        <v>1176</v>
      </c>
      <c r="Q1486" t="s">
        <v>75</v>
      </c>
      <c r="R1486" t="s">
        <v>5008</v>
      </c>
      <c r="S1486" t="s">
        <v>1178</v>
      </c>
      <c r="T1486" t="s">
        <v>78</v>
      </c>
      <c r="U1486" t="s">
        <v>5009</v>
      </c>
      <c r="V1486" t="s">
        <v>80</v>
      </c>
      <c r="W1486" s="1">
        <v>44905</v>
      </c>
      <c r="X1486" t="s">
        <v>5010</v>
      </c>
      <c r="Y1486" t="s">
        <v>5592</v>
      </c>
      <c r="Z1486" t="s">
        <v>83</v>
      </c>
      <c r="AA1486">
        <v>1</v>
      </c>
      <c r="AB1486" t="s">
        <v>5506</v>
      </c>
      <c r="AD1486" t="s">
        <v>116</v>
      </c>
      <c r="AE1486" t="s">
        <v>145</v>
      </c>
      <c r="AF1486" t="s">
        <v>146</v>
      </c>
      <c r="AG1486" t="s">
        <v>5594</v>
      </c>
      <c r="AH1486" t="s">
        <v>5602</v>
      </c>
      <c r="AI1486" t="s">
        <v>90</v>
      </c>
      <c r="AJ1486">
        <v>32.313445999999999</v>
      </c>
      <c r="AK1486">
        <v>-110.712751</v>
      </c>
      <c r="AL1486">
        <v>3</v>
      </c>
      <c r="AN1486">
        <v>1170</v>
      </c>
      <c r="AP1486">
        <v>1170</v>
      </c>
      <c r="AQ1486">
        <v>1173.271898</v>
      </c>
      <c r="AT1486">
        <v>10</v>
      </c>
      <c r="AU1486">
        <v>12</v>
      </c>
      <c r="AV1486">
        <v>2022</v>
      </c>
      <c r="AW1486">
        <v>2437981</v>
      </c>
      <c r="AX1486">
        <v>2437981</v>
      </c>
      <c r="AY1486" t="s">
        <v>106</v>
      </c>
      <c r="AZ1486" t="s">
        <v>92</v>
      </c>
      <c r="BA1486" t="s">
        <v>107</v>
      </c>
      <c r="BB1486" t="s">
        <v>5619</v>
      </c>
      <c r="BC1486" t="s">
        <v>97</v>
      </c>
      <c r="BD1486" s="1">
        <v>44905</v>
      </c>
      <c r="BE1486" t="s">
        <v>96</v>
      </c>
      <c r="BG1486" t="s">
        <v>5504</v>
      </c>
      <c r="BI1486" t="s">
        <v>98</v>
      </c>
      <c r="BJ1486" t="s">
        <v>2493</v>
      </c>
      <c r="BL1486" t="s">
        <v>110</v>
      </c>
    </row>
    <row r="1487" spans="1:64" hidden="1" x14ac:dyDescent="0.2">
      <c r="A1487">
        <v>473</v>
      </c>
      <c r="B1487">
        <v>4136459486</v>
      </c>
      <c r="C1487" t="s">
        <v>101</v>
      </c>
      <c r="D1487" t="s">
        <v>5620</v>
      </c>
      <c r="E1487" t="s">
        <v>65</v>
      </c>
      <c r="F1487" t="s">
        <v>66</v>
      </c>
      <c r="G1487" t="s">
        <v>67</v>
      </c>
      <c r="H1487" t="s">
        <v>68</v>
      </c>
      <c r="I1487" t="s">
        <v>176</v>
      </c>
      <c r="J1487" t="s">
        <v>177</v>
      </c>
      <c r="K1487" t="s">
        <v>3925</v>
      </c>
      <c r="M1487" t="s">
        <v>72</v>
      </c>
      <c r="N1487" t="s">
        <v>3926</v>
      </c>
      <c r="O1487" t="s">
        <v>3925</v>
      </c>
      <c r="P1487" t="s">
        <v>1176</v>
      </c>
      <c r="Q1487" t="s">
        <v>75</v>
      </c>
      <c r="R1487" t="s">
        <v>5008</v>
      </c>
      <c r="S1487" t="s">
        <v>1178</v>
      </c>
      <c r="T1487" t="s">
        <v>78</v>
      </c>
      <c r="U1487" t="s">
        <v>5009</v>
      </c>
      <c r="V1487" t="s">
        <v>80</v>
      </c>
      <c r="W1487" s="1">
        <v>44905</v>
      </c>
      <c r="X1487" t="s">
        <v>5010</v>
      </c>
      <c r="Y1487" t="s">
        <v>5592</v>
      </c>
      <c r="Z1487" t="s">
        <v>83</v>
      </c>
      <c r="AA1487">
        <v>1</v>
      </c>
      <c r="AB1487" t="s">
        <v>5506</v>
      </c>
      <c r="AD1487" t="s">
        <v>139</v>
      </c>
      <c r="AE1487" t="s">
        <v>145</v>
      </c>
      <c r="AF1487" t="s">
        <v>146</v>
      </c>
      <c r="AG1487" t="s">
        <v>5594</v>
      </c>
      <c r="AH1487" t="s">
        <v>5602</v>
      </c>
      <c r="AI1487" t="s">
        <v>90</v>
      </c>
      <c r="AJ1487">
        <v>32.313445999999999</v>
      </c>
      <c r="AK1487">
        <v>-110.712751</v>
      </c>
      <c r="AL1487">
        <v>3</v>
      </c>
      <c r="AN1487">
        <v>1170</v>
      </c>
      <c r="AP1487">
        <v>1170</v>
      </c>
      <c r="AQ1487">
        <v>1173.271898</v>
      </c>
      <c r="AT1487">
        <v>10</v>
      </c>
      <c r="AU1487">
        <v>12</v>
      </c>
      <c r="AV1487">
        <v>2022</v>
      </c>
      <c r="AW1487">
        <v>2437981</v>
      </c>
      <c r="AX1487">
        <v>2437981</v>
      </c>
      <c r="AY1487" t="s">
        <v>106</v>
      </c>
      <c r="AZ1487" t="s">
        <v>92</v>
      </c>
      <c r="BA1487" t="s">
        <v>107</v>
      </c>
      <c r="BB1487" t="s">
        <v>5621</v>
      </c>
      <c r="BC1487" t="s">
        <v>97</v>
      </c>
      <c r="BD1487" s="1">
        <v>44905</v>
      </c>
      <c r="BE1487" t="s">
        <v>96</v>
      </c>
      <c r="BG1487" t="s">
        <v>5504</v>
      </c>
      <c r="BI1487" t="s">
        <v>98</v>
      </c>
      <c r="BJ1487" t="s">
        <v>5622</v>
      </c>
      <c r="BL1487" t="s">
        <v>110</v>
      </c>
    </row>
    <row r="1488" spans="1:64" hidden="1" x14ac:dyDescent="0.2">
      <c r="A1488">
        <v>496</v>
      </c>
      <c r="B1488">
        <v>4136459463</v>
      </c>
      <c r="C1488" t="s">
        <v>101</v>
      </c>
      <c r="D1488" t="s">
        <v>5623</v>
      </c>
      <c r="E1488" t="s">
        <v>65</v>
      </c>
      <c r="F1488" t="s">
        <v>66</v>
      </c>
      <c r="G1488" t="s">
        <v>67</v>
      </c>
      <c r="H1488" t="s">
        <v>68</v>
      </c>
      <c r="I1488" t="s">
        <v>176</v>
      </c>
      <c r="J1488" t="s">
        <v>177</v>
      </c>
      <c r="K1488" t="s">
        <v>3925</v>
      </c>
      <c r="M1488" t="s">
        <v>72</v>
      </c>
      <c r="N1488" t="s">
        <v>3926</v>
      </c>
      <c r="O1488" t="s">
        <v>3925</v>
      </c>
      <c r="P1488" t="s">
        <v>1176</v>
      </c>
      <c r="Q1488" t="s">
        <v>75</v>
      </c>
      <c r="R1488" t="s">
        <v>5008</v>
      </c>
      <c r="S1488" t="s">
        <v>1178</v>
      </c>
      <c r="T1488" t="s">
        <v>78</v>
      </c>
      <c r="U1488" t="s">
        <v>5009</v>
      </c>
      <c r="V1488" t="s">
        <v>80</v>
      </c>
      <c r="W1488" s="1">
        <v>44905</v>
      </c>
      <c r="X1488" t="s">
        <v>5010</v>
      </c>
      <c r="Y1488" t="s">
        <v>5592</v>
      </c>
      <c r="Z1488" t="s">
        <v>83</v>
      </c>
      <c r="AA1488">
        <v>1</v>
      </c>
      <c r="AB1488" t="s">
        <v>5516</v>
      </c>
      <c r="AD1488" t="s">
        <v>378</v>
      </c>
      <c r="AE1488" t="s">
        <v>145</v>
      </c>
      <c r="AF1488" t="s">
        <v>146</v>
      </c>
      <c r="AG1488" t="s">
        <v>5594</v>
      </c>
      <c r="AH1488" t="s">
        <v>5602</v>
      </c>
      <c r="AI1488" t="s">
        <v>90</v>
      </c>
      <c r="AJ1488">
        <v>32.313445999999999</v>
      </c>
      <c r="AK1488">
        <v>-110.712751</v>
      </c>
      <c r="AL1488">
        <v>3</v>
      </c>
      <c r="AN1488">
        <v>1170</v>
      </c>
      <c r="AP1488">
        <v>1170</v>
      </c>
      <c r="AQ1488">
        <v>1173.271898</v>
      </c>
      <c r="AT1488">
        <v>10</v>
      </c>
      <c r="AU1488">
        <v>12</v>
      </c>
      <c r="AV1488">
        <v>2022</v>
      </c>
      <c r="AW1488">
        <v>2437981</v>
      </c>
      <c r="AX1488">
        <v>2437981</v>
      </c>
      <c r="AY1488" t="s">
        <v>106</v>
      </c>
      <c r="AZ1488" t="s">
        <v>92</v>
      </c>
      <c r="BA1488" t="s">
        <v>107</v>
      </c>
      <c r="BB1488" t="s">
        <v>5624</v>
      </c>
      <c r="BC1488" t="s">
        <v>97</v>
      </c>
      <c r="BD1488" s="1">
        <v>44905</v>
      </c>
      <c r="BE1488" t="s">
        <v>96</v>
      </c>
      <c r="BG1488" t="s">
        <v>5504</v>
      </c>
      <c r="BI1488" t="s">
        <v>98</v>
      </c>
      <c r="BJ1488" t="s">
        <v>4328</v>
      </c>
      <c r="BL1488" t="s">
        <v>110</v>
      </c>
    </row>
    <row r="1489" spans="1:64" hidden="1" x14ac:dyDescent="0.2">
      <c r="A1489">
        <v>470</v>
      </c>
      <c r="B1489">
        <v>4136459489</v>
      </c>
      <c r="C1489" t="s">
        <v>101</v>
      </c>
      <c r="D1489" t="s">
        <v>5633</v>
      </c>
      <c r="E1489" t="s">
        <v>65</v>
      </c>
      <c r="F1489" t="s">
        <v>66</v>
      </c>
      <c r="G1489" t="s">
        <v>67</v>
      </c>
      <c r="H1489" t="s">
        <v>68</v>
      </c>
      <c r="I1489" t="s">
        <v>176</v>
      </c>
      <c r="J1489" t="s">
        <v>177</v>
      </c>
      <c r="K1489" t="s">
        <v>3925</v>
      </c>
      <c r="M1489" t="s">
        <v>72</v>
      </c>
      <c r="N1489" t="s">
        <v>3926</v>
      </c>
      <c r="O1489" t="s">
        <v>3925</v>
      </c>
      <c r="P1489" t="s">
        <v>1176</v>
      </c>
      <c r="Q1489" t="s">
        <v>75</v>
      </c>
      <c r="R1489" t="s">
        <v>5008</v>
      </c>
      <c r="S1489" t="s">
        <v>1515</v>
      </c>
      <c r="T1489" t="s">
        <v>78</v>
      </c>
      <c r="U1489" t="s">
        <v>5009</v>
      </c>
      <c r="V1489" t="s">
        <v>80</v>
      </c>
      <c r="W1489" s="1">
        <v>44905</v>
      </c>
      <c r="X1489" t="s">
        <v>5010</v>
      </c>
      <c r="Y1489" t="s">
        <v>5626</v>
      </c>
      <c r="Z1489" t="s">
        <v>83</v>
      </c>
      <c r="AA1489">
        <v>1</v>
      </c>
      <c r="AB1489" t="s">
        <v>5634</v>
      </c>
      <c r="AD1489" t="s">
        <v>139</v>
      </c>
      <c r="AE1489" t="s">
        <v>145</v>
      </c>
      <c r="AF1489" t="s">
        <v>146</v>
      </c>
      <c r="AG1489" t="s">
        <v>5628</v>
      </c>
      <c r="AH1489" t="s">
        <v>5635</v>
      </c>
      <c r="AI1489" t="s">
        <v>90</v>
      </c>
      <c r="AJ1489">
        <v>32.314329999999998</v>
      </c>
      <c r="AK1489">
        <v>-110.712451</v>
      </c>
      <c r="AL1489">
        <v>3</v>
      </c>
      <c r="AN1489">
        <v>1168</v>
      </c>
      <c r="AP1489">
        <v>1168</v>
      </c>
      <c r="AQ1489">
        <v>1184.645597</v>
      </c>
      <c r="AT1489">
        <v>10</v>
      </c>
      <c r="AU1489">
        <v>12</v>
      </c>
      <c r="AV1489">
        <v>2022</v>
      </c>
      <c r="AW1489">
        <v>2437981</v>
      </c>
      <c r="AX1489">
        <v>2437981</v>
      </c>
      <c r="AY1489" t="s">
        <v>106</v>
      </c>
      <c r="AZ1489" t="s">
        <v>92</v>
      </c>
      <c r="BA1489" t="s">
        <v>107</v>
      </c>
      <c r="BB1489" t="s">
        <v>5636</v>
      </c>
      <c r="BC1489" t="s">
        <v>97</v>
      </c>
      <c r="BD1489" s="1">
        <v>44905</v>
      </c>
      <c r="BE1489" t="s">
        <v>96</v>
      </c>
      <c r="BG1489" t="s">
        <v>5504</v>
      </c>
      <c r="BI1489" t="s">
        <v>98</v>
      </c>
      <c r="BJ1489" t="s">
        <v>3385</v>
      </c>
      <c r="BL1489" t="s">
        <v>412</v>
      </c>
    </row>
    <row r="1490" spans="1:64" hidden="1" x14ac:dyDescent="0.2">
      <c r="A1490">
        <v>399</v>
      </c>
      <c r="B1490">
        <v>4136459570</v>
      </c>
      <c r="C1490" t="s">
        <v>101</v>
      </c>
      <c r="D1490" t="s">
        <v>5637</v>
      </c>
      <c r="E1490" t="s">
        <v>65</v>
      </c>
      <c r="F1490" t="s">
        <v>66</v>
      </c>
      <c r="G1490" t="s">
        <v>67</v>
      </c>
      <c r="H1490" t="s">
        <v>68</v>
      </c>
      <c r="I1490" t="s">
        <v>176</v>
      </c>
      <c r="J1490" t="s">
        <v>177</v>
      </c>
      <c r="K1490" t="s">
        <v>3925</v>
      </c>
      <c r="M1490" t="s">
        <v>72</v>
      </c>
      <c r="N1490" t="s">
        <v>3926</v>
      </c>
      <c r="O1490" t="s">
        <v>3925</v>
      </c>
      <c r="P1490" t="s">
        <v>1176</v>
      </c>
      <c r="Q1490" t="s">
        <v>75</v>
      </c>
      <c r="R1490" t="s">
        <v>5008</v>
      </c>
      <c r="S1490" t="s">
        <v>1515</v>
      </c>
      <c r="T1490" t="s">
        <v>78</v>
      </c>
      <c r="U1490" t="s">
        <v>5009</v>
      </c>
      <c r="V1490" t="s">
        <v>80</v>
      </c>
      <c r="W1490" s="1">
        <v>44905</v>
      </c>
      <c r="X1490" t="s">
        <v>5010</v>
      </c>
      <c r="Y1490" t="s">
        <v>5626</v>
      </c>
      <c r="Z1490" t="s">
        <v>83</v>
      </c>
      <c r="AA1490">
        <v>1</v>
      </c>
      <c r="AB1490" t="s">
        <v>5506</v>
      </c>
      <c r="AD1490" t="s">
        <v>104</v>
      </c>
      <c r="AE1490" t="s">
        <v>145</v>
      </c>
      <c r="AF1490" t="s">
        <v>146</v>
      </c>
      <c r="AG1490" t="s">
        <v>5628</v>
      </c>
      <c r="AH1490" t="s">
        <v>5635</v>
      </c>
      <c r="AI1490" t="s">
        <v>90</v>
      </c>
      <c r="AJ1490">
        <v>32.314329999999998</v>
      </c>
      <c r="AK1490">
        <v>-110.712451</v>
      </c>
      <c r="AL1490">
        <v>3</v>
      </c>
      <c r="AN1490">
        <v>1168</v>
      </c>
      <c r="AP1490">
        <v>1168</v>
      </c>
      <c r="AQ1490">
        <v>1184.645597</v>
      </c>
      <c r="AT1490">
        <v>10</v>
      </c>
      <c r="AU1490">
        <v>12</v>
      </c>
      <c r="AV1490">
        <v>2022</v>
      </c>
      <c r="AW1490">
        <v>2437981</v>
      </c>
      <c r="AX1490">
        <v>2437981</v>
      </c>
      <c r="AY1490" t="s">
        <v>106</v>
      </c>
      <c r="AZ1490" t="s">
        <v>92</v>
      </c>
      <c r="BA1490" t="s">
        <v>107</v>
      </c>
      <c r="BB1490" t="s">
        <v>5638</v>
      </c>
      <c r="BC1490" t="s">
        <v>97</v>
      </c>
      <c r="BD1490" s="1">
        <v>44905</v>
      </c>
      <c r="BE1490" t="s">
        <v>96</v>
      </c>
      <c r="BG1490" t="s">
        <v>5504</v>
      </c>
      <c r="BI1490" t="s">
        <v>98</v>
      </c>
      <c r="BJ1490" t="s">
        <v>2293</v>
      </c>
      <c r="BL1490" t="s">
        <v>412</v>
      </c>
    </row>
    <row r="1491" spans="1:64" hidden="1" x14ac:dyDescent="0.2">
      <c r="A1491">
        <v>401</v>
      </c>
      <c r="B1491">
        <v>4136459568</v>
      </c>
      <c r="C1491" t="s">
        <v>101</v>
      </c>
      <c r="D1491" t="s">
        <v>5639</v>
      </c>
      <c r="E1491" t="s">
        <v>65</v>
      </c>
      <c r="F1491" t="s">
        <v>66</v>
      </c>
      <c r="G1491" t="s">
        <v>67</v>
      </c>
      <c r="H1491" t="s">
        <v>68</v>
      </c>
      <c r="I1491" t="s">
        <v>176</v>
      </c>
      <c r="J1491" t="s">
        <v>177</v>
      </c>
      <c r="K1491" t="s">
        <v>3925</v>
      </c>
      <c r="M1491" t="s">
        <v>72</v>
      </c>
      <c r="N1491" t="s">
        <v>3926</v>
      </c>
      <c r="O1491" t="s">
        <v>3925</v>
      </c>
      <c r="P1491" t="s">
        <v>1176</v>
      </c>
      <c r="Q1491" t="s">
        <v>75</v>
      </c>
      <c r="R1491" t="s">
        <v>5008</v>
      </c>
      <c r="S1491" t="s">
        <v>1515</v>
      </c>
      <c r="T1491" t="s">
        <v>78</v>
      </c>
      <c r="U1491" t="s">
        <v>5009</v>
      </c>
      <c r="V1491" t="s">
        <v>80</v>
      </c>
      <c r="W1491" s="1">
        <v>44905</v>
      </c>
      <c r="X1491" t="s">
        <v>5010</v>
      </c>
      <c r="Y1491" t="s">
        <v>5626</v>
      </c>
      <c r="Z1491" t="s">
        <v>83</v>
      </c>
      <c r="AA1491">
        <v>1</v>
      </c>
      <c r="AB1491" t="s">
        <v>5506</v>
      </c>
      <c r="AD1491" t="s">
        <v>116</v>
      </c>
      <c r="AE1491" t="s">
        <v>145</v>
      </c>
      <c r="AF1491" t="s">
        <v>146</v>
      </c>
      <c r="AG1491" t="s">
        <v>5628</v>
      </c>
      <c r="AH1491" t="s">
        <v>5635</v>
      </c>
      <c r="AI1491" t="s">
        <v>90</v>
      </c>
      <c r="AJ1491">
        <v>32.314329999999998</v>
      </c>
      <c r="AK1491">
        <v>-110.712451</v>
      </c>
      <c r="AL1491">
        <v>3</v>
      </c>
      <c r="AN1491">
        <v>1168</v>
      </c>
      <c r="AP1491">
        <v>1168</v>
      </c>
      <c r="AQ1491">
        <v>1184.645597</v>
      </c>
      <c r="AT1491">
        <v>10</v>
      </c>
      <c r="AU1491">
        <v>12</v>
      </c>
      <c r="AV1491">
        <v>2022</v>
      </c>
      <c r="AW1491">
        <v>2437981</v>
      </c>
      <c r="AX1491">
        <v>2437981</v>
      </c>
      <c r="AY1491" t="s">
        <v>106</v>
      </c>
      <c r="AZ1491" t="s">
        <v>92</v>
      </c>
      <c r="BA1491" t="s">
        <v>107</v>
      </c>
      <c r="BB1491" t="s">
        <v>5640</v>
      </c>
      <c r="BC1491" t="s">
        <v>97</v>
      </c>
      <c r="BD1491" s="1">
        <v>44905</v>
      </c>
      <c r="BE1491" t="s">
        <v>96</v>
      </c>
      <c r="BG1491" t="s">
        <v>5504</v>
      </c>
      <c r="BI1491" t="s">
        <v>98</v>
      </c>
      <c r="BJ1491" t="s">
        <v>2254</v>
      </c>
      <c r="BL1491" t="s">
        <v>412</v>
      </c>
    </row>
    <row r="1492" spans="1:64" hidden="1" x14ac:dyDescent="0.2">
      <c r="A1492">
        <v>395</v>
      </c>
      <c r="B1492">
        <v>4136459574</v>
      </c>
      <c r="C1492" t="s">
        <v>101</v>
      </c>
      <c r="D1492" t="s">
        <v>5641</v>
      </c>
      <c r="E1492" t="s">
        <v>65</v>
      </c>
      <c r="F1492" t="s">
        <v>66</v>
      </c>
      <c r="G1492" t="s">
        <v>67</v>
      </c>
      <c r="H1492" t="s">
        <v>68</v>
      </c>
      <c r="I1492" t="s">
        <v>176</v>
      </c>
      <c r="J1492" t="s">
        <v>177</v>
      </c>
      <c r="K1492" t="s">
        <v>3925</v>
      </c>
      <c r="M1492" t="s">
        <v>72</v>
      </c>
      <c r="N1492" t="s">
        <v>3926</v>
      </c>
      <c r="O1492" t="s">
        <v>3925</v>
      </c>
      <c r="P1492" t="s">
        <v>1176</v>
      </c>
      <c r="Q1492" t="s">
        <v>75</v>
      </c>
      <c r="R1492" t="s">
        <v>5008</v>
      </c>
      <c r="S1492" t="s">
        <v>1515</v>
      </c>
      <c r="T1492" t="s">
        <v>78</v>
      </c>
      <c r="U1492" t="s">
        <v>5009</v>
      </c>
      <c r="V1492" t="s">
        <v>80</v>
      </c>
      <c r="W1492" s="1">
        <v>44905</v>
      </c>
      <c r="X1492" t="s">
        <v>5010</v>
      </c>
      <c r="Y1492" t="s">
        <v>5626</v>
      </c>
      <c r="Z1492" t="s">
        <v>83</v>
      </c>
      <c r="AA1492">
        <v>1</v>
      </c>
      <c r="AB1492" t="s">
        <v>5310</v>
      </c>
      <c r="AD1492" t="s">
        <v>123</v>
      </c>
      <c r="AE1492" t="s">
        <v>145</v>
      </c>
      <c r="AF1492" t="s">
        <v>146</v>
      </c>
      <c r="AG1492" t="s">
        <v>5628</v>
      </c>
      <c r="AH1492" t="s">
        <v>5635</v>
      </c>
      <c r="AI1492" t="s">
        <v>90</v>
      </c>
      <c r="AJ1492">
        <v>32.314329999999998</v>
      </c>
      <c r="AK1492">
        <v>-110.712451</v>
      </c>
      <c r="AL1492">
        <v>3</v>
      </c>
      <c r="AN1492">
        <v>1168</v>
      </c>
      <c r="AP1492">
        <v>1168</v>
      </c>
      <c r="AQ1492">
        <v>1184.645597</v>
      </c>
      <c r="AT1492">
        <v>10</v>
      </c>
      <c r="AU1492">
        <v>12</v>
      </c>
      <c r="AV1492">
        <v>2022</v>
      </c>
      <c r="AW1492">
        <v>2437981</v>
      </c>
      <c r="AX1492">
        <v>2437981</v>
      </c>
      <c r="AY1492" t="s">
        <v>106</v>
      </c>
      <c r="AZ1492" t="s">
        <v>92</v>
      </c>
      <c r="BA1492" t="s">
        <v>107</v>
      </c>
      <c r="BB1492" t="s">
        <v>5642</v>
      </c>
      <c r="BC1492" t="s">
        <v>97</v>
      </c>
      <c r="BD1492" s="1">
        <v>44905</v>
      </c>
      <c r="BE1492" t="s">
        <v>96</v>
      </c>
      <c r="BG1492" t="s">
        <v>5504</v>
      </c>
      <c r="BI1492" t="s">
        <v>98</v>
      </c>
      <c r="BJ1492" t="s">
        <v>3142</v>
      </c>
      <c r="BL1492" t="s">
        <v>412</v>
      </c>
    </row>
    <row r="1493" spans="1:64" hidden="1" x14ac:dyDescent="0.2">
      <c r="A1493">
        <v>397</v>
      </c>
      <c r="B1493">
        <v>4136459572</v>
      </c>
      <c r="C1493" t="s">
        <v>101</v>
      </c>
      <c r="D1493" t="s">
        <v>5643</v>
      </c>
      <c r="E1493" t="s">
        <v>65</v>
      </c>
      <c r="F1493" t="s">
        <v>66</v>
      </c>
      <c r="G1493" t="s">
        <v>67</v>
      </c>
      <c r="H1493" t="s">
        <v>68</v>
      </c>
      <c r="I1493" t="s">
        <v>176</v>
      </c>
      <c r="J1493" t="s">
        <v>177</v>
      </c>
      <c r="K1493" t="s">
        <v>3925</v>
      </c>
      <c r="M1493" t="s">
        <v>72</v>
      </c>
      <c r="N1493" t="s">
        <v>3926</v>
      </c>
      <c r="O1493" t="s">
        <v>3925</v>
      </c>
      <c r="P1493" t="s">
        <v>1176</v>
      </c>
      <c r="Q1493" t="s">
        <v>75</v>
      </c>
      <c r="R1493" t="s">
        <v>5008</v>
      </c>
      <c r="S1493" t="s">
        <v>1515</v>
      </c>
      <c r="T1493" t="s">
        <v>78</v>
      </c>
      <c r="U1493" t="s">
        <v>5009</v>
      </c>
      <c r="V1493" t="s">
        <v>80</v>
      </c>
      <c r="W1493" s="1">
        <v>44905</v>
      </c>
      <c r="X1493" t="s">
        <v>5010</v>
      </c>
      <c r="Y1493" t="s">
        <v>5626</v>
      </c>
      <c r="Z1493" t="s">
        <v>83</v>
      </c>
      <c r="AA1493">
        <v>1</v>
      </c>
      <c r="AB1493" t="s">
        <v>5506</v>
      </c>
      <c r="AD1493" t="s">
        <v>139</v>
      </c>
      <c r="AE1493" t="s">
        <v>145</v>
      </c>
      <c r="AF1493" t="s">
        <v>146</v>
      </c>
      <c r="AG1493" t="s">
        <v>5628</v>
      </c>
      <c r="AH1493" t="s">
        <v>5635</v>
      </c>
      <c r="AI1493" t="s">
        <v>90</v>
      </c>
      <c r="AJ1493">
        <v>32.314329999999998</v>
      </c>
      <c r="AK1493">
        <v>-110.712451</v>
      </c>
      <c r="AL1493">
        <v>3</v>
      </c>
      <c r="AN1493">
        <v>1168</v>
      </c>
      <c r="AP1493">
        <v>1168</v>
      </c>
      <c r="AQ1493">
        <v>1184.645597</v>
      </c>
      <c r="AT1493">
        <v>10</v>
      </c>
      <c r="AU1493">
        <v>12</v>
      </c>
      <c r="AV1493">
        <v>2022</v>
      </c>
      <c r="AW1493">
        <v>2437981</v>
      </c>
      <c r="AX1493">
        <v>2437981</v>
      </c>
      <c r="AY1493" t="s">
        <v>106</v>
      </c>
      <c r="AZ1493" t="s">
        <v>92</v>
      </c>
      <c r="BA1493" t="s">
        <v>107</v>
      </c>
      <c r="BB1493" t="s">
        <v>5644</v>
      </c>
      <c r="BC1493" t="s">
        <v>97</v>
      </c>
      <c r="BD1493" s="1">
        <v>44905</v>
      </c>
      <c r="BE1493" t="s">
        <v>96</v>
      </c>
      <c r="BG1493" t="s">
        <v>5504</v>
      </c>
      <c r="BI1493" t="s">
        <v>98</v>
      </c>
      <c r="BJ1493" t="s">
        <v>2254</v>
      </c>
      <c r="BL1493" t="s">
        <v>412</v>
      </c>
    </row>
    <row r="1494" spans="1:64" hidden="1" x14ac:dyDescent="0.2">
      <c r="A1494">
        <v>391</v>
      </c>
      <c r="B1494">
        <v>4136459578</v>
      </c>
      <c r="C1494" t="s">
        <v>101</v>
      </c>
      <c r="D1494" t="s">
        <v>5645</v>
      </c>
      <c r="E1494" t="s">
        <v>65</v>
      </c>
      <c r="F1494" t="s">
        <v>66</v>
      </c>
      <c r="G1494" t="s">
        <v>67</v>
      </c>
      <c r="H1494" t="s">
        <v>68</v>
      </c>
      <c r="I1494" t="s">
        <v>176</v>
      </c>
      <c r="J1494" t="s">
        <v>177</v>
      </c>
      <c r="K1494" t="s">
        <v>3925</v>
      </c>
      <c r="M1494" t="s">
        <v>72</v>
      </c>
      <c r="N1494" t="s">
        <v>3926</v>
      </c>
      <c r="O1494" t="s">
        <v>3925</v>
      </c>
      <c r="P1494" t="s">
        <v>1176</v>
      </c>
      <c r="Q1494" t="s">
        <v>75</v>
      </c>
      <c r="R1494" t="s">
        <v>5008</v>
      </c>
      <c r="S1494" t="s">
        <v>1515</v>
      </c>
      <c r="T1494" t="s">
        <v>78</v>
      </c>
      <c r="U1494" t="s">
        <v>5009</v>
      </c>
      <c r="V1494" t="s">
        <v>80</v>
      </c>
      <c r="W1494" s="1">
        <v>44905</v>
      </c>
      <c r="X1494" t="s">
        <v>5010</v>
      </c>
      <c r="Y1494" t="s">
        <v>5626</v>
      </c>
      <c r="Z1494" t="s">
        <v>83</v>
      </c>
      <c r="AA1494">
        <v>1</v>
      </c>
      <c r="AB1494" t="s">
        <v>5310</v>
      </c>
      <c r="AD1494" t="s">
        <v>116</v>
      </c>
      <c r="AE1494" t="s">
        <v>145</v>
      </c>
      <c r="AF1494" t="s">
        <v>146</v>
      </c>
      <c r="AG1494" t="s">
        <v>5628</v>
      </c>
      <c r="AH1494" t="s">
        <v>5635</v>
      </c>
      <c r="AI1494" t="s">
        <v>90</v>
      </c>
      <c r="AJ1494">
        <v>32.314329999999998</v>
      </c>
      <c r="AK1494">
        <v>-110.712451</v>
      </c>
      <c r="AL1494">
        <v>3</v>
      </c>
      <c r="AN1494">
        <v>1168</v>
      </c>
      <c r="AP1494">
        <v>1168</v>
      </c>
      <c r="AQ1494">
        <v>1184.645597</v>
      </c>
      <c r="AT1494">
        <v>10</v>
      </c>
      <c r="AU1494">
        <v>12</v>
      </c>
      <c r="AV1494">
        <v>2022</v>
      </c>
      <c r="AW1494">
        <v>2437981</v>
      </c>
      <c r="AX1494">
        <v>2437981</v>
      </c>
      <c r="AY1494" t="s">
        <v>106</v>
      </c>
      <c r="AZ1494" t="s">
        <v>92</v>
      </c>
      <c r="BA1494" t="s">
        <v>107</v>
      </c>
      <c r="BB1494" t="s">
        <v>5646</v>
      </c>
      <c r="BC1494" t="s">
        <v>97</v>
      </c>
      <c r="BD1494" s="1">
        <v>44905</v>
      </c>
      <c r="BE1494" t="s">
        <v>96</v>
      </c>
      <c r="BG1494" t="s">
        <v>5504</v>
      </c>
      <c r="BI1494" t="s">
        <v>98</v>
      </c>
      <c r="BJ1494" t="s">
        <v>3172</v>
      </c>
      <c r="BL1494" t="s">
        <v>412</v>
      </c>
    </row>
    <row r="1495" spans="1:64" hidden="1" x14ac:dyDescent="0.2">
      <c r="A1495">
        <v>393</v>
      </c>
      <c r="B1495">
        <v>4136459576</v>
      </c>
      <c r="C1495" t="s">
        <v>101</v>
      </c>
      <c r="D1495" t="s">
        <v>5647</v>
      </c>
      <c r="E1495" t="s">
        <v>65</v>
      </c>
      <c r="F1495" t="s">
        <v>66</v>
      </c>
      <c r="G1495" t="s">
        <v>67</v>
      </c>
      <c r="H1495" t="s">
        <v>68</v>
      </c>
      <c r="I1495" t="s">
        <v>176</v>
      </c>
      <c r="J1495" t="s">
        <v>177</v>
      </c>
      <c r="K1495" t="s">
        <v>3925</v>
      </c>
      <c r="M1495" t="s">
        <v>72</v>
      </c>
      <c r="N1495" t="s">
        <v>3926</v>
      </c>
      <c r="O1495" t="s">
        <v>3925</v>
      </c>
      <c r="P1495" t="s">
        <v>1176</v>
      </c>
      <c r="Q1495" t="s">
        <v>75</v>
      </c>
      <c r="R1495" t="s">
        <v>5008</v>
      </c>
      <c r="S1495" t="s">
        <v>1515</v>
      </c>
      <c r="T1495" t="s">
        <v>78</v>
      </c>
      <c r="U1495" t="s">
        <v>5009</v>
      </c>
      <c r="V1495" t="s">
        <v>80</v>
      </c>
      <c r="W1495" s="1">
        <v>44905</v>
      </c>
      <c r="X1495" t="s">
        <v>5010</v>
      </c>
      <c r="Y1495" t="s">
        <v>5626</v>
      </c>
      <c r="Z1495" t="s">
        <v>83</v>
      </c>
      <c r="AA1495">
        <v>1</v>
      </c>
      <c r="AB1495" t="s">
        <v>5310</v>
      </c>
      <c r="AD1495" t="s">
        <v>112</v>
      </c>
      <c r="AE1495" t="s">
        <v>145</v>
      </c>
      <c r="AF1495" t="s">
        <v>146</v>
      </c>
      <c r="AG1495" t="s">
        <v>5628</v>
      </c>
      <c r="AH1495" t="s">
        <v>5635</v>
      </c>
      <c r="AI1495" t="s">
        <v>90</v>
      </c>
      <c r="AJ1495">
        <v>32.314329999999998</v>
      </c>
      <c r="AK1495">
        <v>-110.712451</v>
      </c>
      <c r="AL1495">
        <v>3</v>
      </c>
      <c r="AN1495">
        <v>1168</v>
      </c>
      <c r="AP1495">
        <v>1168</v>
      </c>
      <c r="AQ1495">
        <v>1184.645597</v>
      </c>
      <c r="AT1495">
        <v>10</v>
      </c>
      <c r="AU1495">
        <v>12</v>
      </c>
      <c r="AV1495">
        <v>2022</v>
      </c>
      <c r="AW1495">
        <v>2437981</v>
      </c>
      <c r="AX1495">
        <v>2437981</v>
      </c>
      <c r="AY1495" t="s">
        <v>106</v>
      </c>
      <c r="AZ1495" t="s">
        <v>92</v>
      </c>
      <c r="BA1495" t="s">
        <v>107</v>
      </c>
      <c r="BB1495" t="s">
        <v>5648</v>
      </c>
      <c r="BC1495" t="s">
        <v>97</v>
      </c>
      <c r="BD1495" s="1">
        <v>44905</v>
      </c>
      <c r="BE1495" t="s">
        <v>96</v>
      </c>
      <c r="BG1495" t="s">
        <v>5504</v>
      </c>
      <c r="BI1495" t="s">
        <v>98</v>
      </c>
      <c r="BJ1495" t="s">
        <v>3142</v>
      </c>
      <c r="BL1495" t="s">
        <v>412</v>
      </c>
    </row>
    <row r="1496" spans="1:64" hidden="1" x14ac:dyDescent="0.2">
      <c r="A1496">
        <v>387</v>
      </c>
      <c r="B1496">
        <v>4136459582</v>
      </c>
      <c r="C1496" t="s">
        <v>101</v>
      </c>
      <c r="D1496" t="s">
        <v>5649</v>
      </c>
      <c r="E1496" t="s">
        <v>65</v>
      </c>
      <c r="F1496" t="s">
        <v>66</v>
      </c>
      <c r="G1496" t="s">
        <v>67</v>
      </c>
      <c r="H1496" t="s">
        <v>68</v>
      </c>
      <c r="I1496" t="s">
        <v>176</v>
      </c>
      <c r="J1496" t="s">
        <v>177</v>
      </c>
      <c r="K1496" t="s">
        <v>3925</v>
      </c>
      <c r="M1496" t="s">
        <v>72</v>
      </c>
      <c r="N1496" t="s">
        <v>3926</v>
      </c>
      <c r="O1496" t="s">
        <v>3925</v>
      </c>
      <c r="P1496" t="s">
        <v>1176</v>
      </c>
      <c r="Q1496" t="s">
        <v>75</v>
      </c>
      <c r="R1496" t="s">
        <v>5008</v>
      </c>
      <c r="S1496" t="s">
        <v>1515</v>
      </c>
      <c r="T1496" t="s">
        <v>78</v>
      </c>
      <c r="U1496" t="s">
        <v>5009</v>
      </c>
      <c r="V1496" t="s">
        <v>80</v>
      </c>
      <c r="W1496" s="1">
        <v>44905</v>
      </c>
      <c r="X1496" t="s">
        <v>5010</v>
      </c>
      <c r="Y1496" t="s">
        <v>5626</v>
      </c>
      <c r="Z1496" t="s">
        <v>83</v>
      </c>
      <c r="AA1496">
        <v>1</v>
      </c>
      <c r="AB1496" t="s">
        <v>5310</v>
      </c>
      <c r="AD1496" t="s">
        <v>104</v>
      </c>
      <c r="AE1496" t="s">
        <v>145</v>
      </c>
      <c r="AF1496" t="s">
        <v>146</v>
      </c>
      <c r="AG1496" t="s">
        <v>5628</v>
      </c>
      <c r="AH1496" t="s">
        <v>5635</v>
      </c>
      <c r="AI1496" t="s">
        <v>90</v>
      </c>
      <c r="AJ1496">
        <v>32.314329999999998</v>
      </c>
      <c r="AK1496">
        <v>-110.712451</v>
      </c>
      <c r="AL1496">
        <v>3</v>
      </c>
      <c r="AN1496">
        <v>1168</v>
      </c>
      <c r="AP1496">
        <v>1168</v>
      </c>
      <c r="AQ1496">
        <v>1184.645597</v>
      </c>
      <c r="AT1496">
        <v>10</v>
      </c>
      <c r="AU1496">
        <v>12</v>
      </c>
      <c r="AV1496">
        <v>2022</v>
      </c>
      <c r="AW1496">
        <v>2437981</v>
      </c>
      <c r="AX1496">
        <v>2437981</v>
      </c>
      <c r="AY1496" t="s">
        <v>106</v>
      </c>
      <c r="AZ1496" t="s">
        <v>92</v>
      </c>
      <c r="BA1496" t="s">
        <v>107</v>
      </c>
      <c r="BB1496" t="s">
        <v>5650</v>
      </c>
      <c r="BC1496" t="s">
        <v>97</v>
      </c>
      <c r="BD1496" s="1">
        <v>44905</v>
      </c>
      <c r="BE1496" t="s">
        <v>96</v>
      </c>
      <c r="BG1496" t="s">
        <v>5504</v>
      </c>
      <c r="BI1496" t="s">
        <v>98</v>
      </c>
      <c r="BJ1496" t="s">
        <v>5651</v>
      </c>
      <c r="BL1496" t="s">
        <v>412</v>
      </c>
    </row>
    <row r="1497" spans="1:64" x14ac:dyDescent="0.2">
      <c r="A1497">
        <v>96</v>
      </c>
      <c r="B1497">
        <v>4403382544</v>
      </c>
      <c r="C1497" t="s">
        <v>101</v>
      </c>
      <c r="D1497" t="s">
        <v>1368</v>
      </c>
      <c r="E1497" t="s">
        <v>65</v>
      </c>
      <c r="F1497" t="s">
        <v>66</v>
      </c>
      <c r="G1497" t="s">
        <v>67</v>
      </c>
      <c r="H1497" t="s">
        <v>68</v>
      </c>
      <c r="I1497" t="s">
        <v>176</v>
      </c>
      <c r="J1497" t="s">
        <v>177</v>
      </c>
      <c r="K1497" t="s">
        <v>178</v>
      </c>
      <c r="M1497" t="s">
        <v>72</v>
      </c>
      <c r="N1497" t="s">
        <v>179</v>
      </c>
      <c r="O1497" t="s">
        <v>178</v>
      </c>
      <c r="P1497" t="s">
        <v>180</v>
      </c>
      <c r="Q1497" t="s">
        <v>75</v>
      </c>
      <c r="R1497" t="s">
        <v>1177</v>
      </c>
      <c r="S1497" t="s">
        <v>1354</v>
      </c>
      <c r="T1497" t="s">
        <v>78</v>
      </c>
      <c r="U1497" t="s">
        <v>646</v>
      </c>
      <c r="V1497" t="s">
        <v>1179</v>
      </c>
      <c r="W1497" s="1">
        <v>45108</v>
      </c>
      <c r="X1497" t="s">
        <v>1180</v>
      </c>
      <c r="Y1497" t="s">
        <v>1355</v>
      </c>
      <c r="Z1497" t="s">
        <v>83</v>
      </c>
      <c r="AA1497">
        <v>1</v>
      </c>
      <c r="AB1497" t="s">
        <v>385</v>
      </c>
      <c r="AC1497">
        <v>1</v>
      </c>
      <c r="AD1497" t="s">
        <v>119</v>
      </c>
      <c r="AE1497" t="s">
        <v>145</v>
      </c>
      <c r="AF1497" t="s">
        <v>402</v>
      </c>
      <c r="AG1497" t="s">
        <v>1357</v>
      </c>
      <c r="AH1497" t="s">
        <v>1369</v>
      </c>
      <c r="AI1497" t="s">
        <v>90</v>
      </c>
      <c r="AJ1497">
        <v>32.450465999999999</v>
      </c>
      <c r="AK1497">
        <v>-110.736558</v>
      </c>
      <c r="AL1497">
        <v>3</v>
      </c>
      <c r="AN1497">
        <v>2065</v>
      </c>
      <c r="AP1497">
        <v>2065</v>
      </c>
      <c r="AQ1497">
        <v>2065.2448300000001</v>
      </c>
      <c r="AT1497">
        <v>1</v>
      </c>
      <c r="AU1497">
        <v>7</v>
      </c>
      <c r="AV1497">
        <v>2023</v>
      </c>
      <c r="AW1497">
        <v>2438038</v>
      </c>
      <c r="AX1497">
        <v>2438038</v>
      </c>
      <c r="AY1497" t="s">
        <v>106</v>
      </c>
      <c r="AZ1497" t="s">
        <v>92</v>
      </c>
      <c r="BA1497" t="s">
        <v>107</v>
      </c>
      <c r="BB1497" t="s">
        <v>1370</v>
      </c>
      <c r="BC1497" t="s">
        <v>1186</v>
      </c>
      <c r="BD1497" s="1">
        <v>45108</v>
      </c>
      <c r="BE1497" t="s">
        <v>96</v>
      </c>
      <c r="BG1497" t="s">
        <v>1187</v>
      </c>
      <c r="BI1497" t="s">
        <v>98</v>
      </c>
      <c r="BJ1497" t="s">
        <v>1371</v>
      </c>
      <c r="BL1497" t="s">
        <v>412</v>
      </c>
    </row>
    <row r="1498" spans="1:64" hidden="1" x14ac:dyDescent="0.2">
      <c r="A1498">
        <v>499</v>
      </c>
      <c r="B1498">
        <v>4136459460</v>
      </c>
      <c r="C1498" t="s">
        <v>101</v>
      </c>
      <c r="D1498" t="s">
        <v>5656</v>
      </c>
      <c r="E1498" t="s">
        <v>65</v>
      </c>
      <c r="F1498" t="s">
        <v>66</v>
      </c>
      <c r="G1498" t="s">
        <v>67</v>
      </c>
      <c r="H1498" t="s">
        <v>68</v>
      </c>
      <c r="I1498" t="s">
        <v>176</v>
      </c>
      <c r="J1498" t="s">
        <v>177</v>
      </c>
      <c r="K1498" t="s">
        <v>3925</v>
      </c>
      <c r="M1498" t="s">
        <v>72</v>
      </c>
      <c r="N1498" t="s">
        <v>3926</v>
      </c>
      <c r="O1498" t="s">
        <v>3925</v>
      </c>
      <c r="P1498" t="s">
        <v>1176</v>
      </c>
      <c r="Q1498" t="s">
        <v>75</v>
      </c>
      <c r="R1498" t="s">
        <v>5008</v>
      </c>
      <c r="S1498" t="s">
        <v>1515</v>
      </c>
      <c r="T1498" t="s">
        <v>78</v>
      </c>
      <c r="U1498" t="s">
        <v>5009</v>
      </c>
      <c r="V1498" t="s">
        <v>80</v>
      </c>
      <c r="W1498" s="1">
        <v>44905</v>
      </c>
      <c r="X1498" t="s">
        <v>5010</v>
      </c>
      <c r="Y1498" t="s">
        <v>5626</v>
      </c>
      <c r="Z1498" t="s">
        <v>83</v>
      </c>
      <c r="AA1498">
        <v>1</v>
      </c>
      <c r="AB1498" t="s">
        <v>5522</v>
      </c>
      <c r="AD1498" t="s">
        <v>134</v>
      </c>
      <c r="AE1498" t="s">
        <v>145</v>
      </c>
      <c r="AF1498" t="s">
        <v>146</v>
      </c>
      <c r="AG1498" t="s">
        <v>5628</v>
      </c>
      <c r="AH1498" t="s">
        <v>5657</v>
      </c>
      <c r="AI1498" t="s">
        <v>90</v>
      </c>
      <c r="AJ1498">
        <v>32.314329999999998</v>
      </c>
      <c r="AK1498">
        <v>-110.712451</v>
      </c>
      <c r="AL1498">
        <v>3</v>
      </c>
      <c r="AN1498">
        <v>1168</v>
      </c>
      <c r="AP1498">
        <v>1168</v>
      </c>
      <c r="AQ1498">
        <v>1184.645597</v>
      </c>
      <c r="AT1498">
        <v>10</v>
      </c>
      <c r="AU1498">
        <v>12</v>
      </c>
      <c r="AV1498">
        <v>2022</v>
      </c>
      <c r="AW1498">
        <v>2437981</v>
      </c>
      <c r="AX1498">
        <v>2437981</v>
      </c>
      <c r="AY1498" t="s">
        <v>106</v>
      </c>
      <c r="AZ1498" t="s">
        <v>92</v>
      </c>
      <c r="BA1498" t="s">
        <v>107</v>
      </c>
      <c r="BB1498" t="s">
        <v>5658</v>
      </c>
      <c r="BC1498" t="s">
        <v>97</v>
      </c>
      <c r="BD1498" s="1">
        <v>44905</v>
      </c>
      <c r="BE1498" t="s">
        <v>96</v>
      </c>
      <c r="BG1498" t="s">
        <v>5504</v>
      </c>
      <c r="BI1498" t="s">
        <v>98</v>
      </c>
      <c r="BJ1498" t="s">
        <v>5659</v>
      </c>
      <c r="BL1498" t="s">
        <v>412</v>
      </c>
    </row>
    <row r="1499" spans="1:64" hidden="1" x14ac:dyDescent="0.2">
      <c r="A1499">
        <v>576</v>
      </c>
      <c r="B1499">
        <v>4136459382</v>
      </c>
      <c r="C1499" t="s">
        <v>101</v>
      </c>
      <c r="D1499" t="s">
        <v>5660</v>
      </c>
      <c r="E1499" t="s">
        <v>65</v>
      </c>
      <c r="F1499" t="s">
        <v>66</v>
      </c>
      <c r="G1499" t="s">
        <v>67</v>
      </c>
      <c r="H1499" t="s">
        <v>68</v>
      </c>
      <c r="I1499" t="s">
        <v>176</v>
      </c>
      <c r="J1499" t="s">
        <v>177</v>
      </c>
      <c r="K1499" t="s">
        <v>3925</v>
      </c>
      <c r="M1499" t="s">
        <v>72</v>
      </c>
      <c r="N1499" t="s">
        <v>3926</v>
      </c>
      <c r="O1499" t="s">
        <v>3925</v>
      </c>
      <c r="P1499" t="s">
        <v>1176</v>
      </c>
      <c r="Q1499" t="s">
        <v>75</v>
      </c>
      <c r="R1499" t="s">
        <v>5008</v>
      </c>
      <c r="S1499" t="s">
        <v>1515</v>
      </c>
      <c r="T1499" t="s">
        <v>78</v>
      </c>
      <c r="U1499" t="s">
        <v>5009</v>
      </c>
      <c r="V1499" t="s">
        <v>80</v>
      </c>
      <c r="W1499" s="1">
        <v>44905</v>
      </c>
      <c r="X1499" t="s">
        <v>5010</v>
      </c>
      <c r="Y1499" t="s">
        <v>5626</v>
      </c>
      <c r="Z1499" t="s">
        <v>83</v>
      </c>
      <c r="AA1499">
        <v>1</v>
      </c>
      <c r="AB1499" t="s">
        <v>5516</v>
      </c>
      <c r="AD1499" t="s">
        <v>378</v>
      </c>
      <c r="AE1499" t="s">
        <v>145</v>
      </c>
      <c r="AF1499" t="s">
        <v>146</v>
      </c>
      <c r="AG1499" t="s">
        <v>5628</v>
      </c>
      <c r="AH1499" t="s">
        <v>5635</v>
      </c>
      <c r="AI1499" t="s">
        <v>90</v>
      </c>
      <c r="AJ1499">
        <v>32.314329999999998</v>
      </c>
      <c r="AK1499">
        <v>-110.712451</v>
      </c>
      <c r="AL1499">
        <v>3</v>
      </c>
      <c r="AN1499">
        <v>1168</v>
      </c>
      <c r="AP1499">
        <v>1168</v>
      </c>
      <c r="AQ1499">
        <v>1184.645597</v>
      </c>
      <c r="AT1499">
        <v>10</v>
      </c>
      <c r="AU1499">
        <v>12</v>
      </c>
      <c r="AV1499">
        <v>2022</v>
      </c>
      <c r="AW1499">
        <v>2437981</v>
      </c>
      <c r="AX1499">
        <v>2437981</v>
      </c>
      <c r="AY1499" t="s">
        <v>106</v>
      </c>
      <c r="AZ1499" t="s">
        <v>92</v>
      </c>
      <c r="BA1499" t="s">
        <v>107</v>
      </c>
      <c r="BB1499" t="s">
        <v>5661</v>
      </c>
      <c r="BC1499" t="s">
        <v>97</v>
      </c>
      <c r="BD1499" s="1">
        <v>44905</v>
      </c>
      <c r="BE1499" t="s">
        <v>96</v>
      </c>
      <c r="BG1499" t="s">
        <v>5504</v>
      </c>
      <c r="BI1499" t="s">
        <v>98</v>
      </c>
      <c r="BJ1499" t="s">
        <v>3055</v>
      </c>
      <c r="BL1499" t="s">
        <v>412</v>
      </c>
    </row>
    <row r="1500" spans="1:64" hidden="1" x14ac:dyDescent="0.2">
      <c r="A1500">
        <v>389</v>
      </c>
      <c r="B1500">
        <v>4136459580</v>
      </c>
      <c r="C1500" t="s">
        <v>101</v>
      </c>
      <c r="D1500" t="s">
        <v>5669</v>
      </c>
      <c r="E1500" t="s">
        <v>65</v>
      </c>
      <c r="F1500" t="s">
        <v>66</v>
      </c>
      <c r="G1500" t="s">
        <v>67</v>
      </c>
      <c r="H1500" t="s">
        <v>68</v>
      </c>
      <c r="I1500" t="s">
        <v>176</v>
      </c>
      <c r="J1500" t="s">
        <v>177</v>
      </c>
      <c r="K1500" t="s">
        <v>3925</v>
      </c>
      <c r="M1500" t="s">
        <v>72</v>
      </c>
      <c r="N1500" t="s">
        <v>3926</v>
      </c>
      <c r="O1500" t="s">
        <v>3925</v>
      </c>
      <c r="P1500" t="s">
        <v>1176</v>
      </c>
      <c r="Q1500" t="s">
        <v>75</v>
      </c>
      <c r="R1500" t="s">
        <v>5008</v>
      </c>
      <c r="S1500" t="s">
        <v>607</v>
      </c>
      <c r="T1500" t="s">
        <v>78</v>
      </c>
      <c r="U1500" t="s">
        <v>5009</v>
      </c>
      <c r="V1500" t="s">
        <v>80</v>
      </c>
      <c r="W1500" s="1">
        <v>44905</v>
      </c>
      <c r="X1500" t="s">
        <v>5010</v>
      </c>
      <c r="Y1500" t="s">
        <v>5663</v>
      </c>
      <c r="Z1500" t="s">
        <v>83</v>
      </c>
      <c r="AA1500">
        <v>1</v>
      </c>
      <c r="AB1500" t="s">
        <v>5310</v>
      </c>
      <c r="AD1500" t="s">
        <v>112</v>
      </c>
      <c r="AE1500" t="s">
        <v>86</v>
      </c>
      <c r="AF1500" t="s">
        <v>146</v>
      </c>
      <c r="AG1500" t="s">
        <v>5665</v>
      </c>
      <c r="AH1500" t="s">
        <v>5670</v>
      </c>
      <c r="AI1500" t="s">
        <v>90</v>
      </c>
      <c r="AJ1500">
        <v>32.313164999999998</v>
      </c>
      <c r="AK1500">
        <v>-110.712644</v>
      </c>
      <c r="AL1500">
        <v>3</v>
      </c>
      <c r="AN1500">
        <v>1168</v>
      </c>
      <c r="AP1500">
        <v>1168</v>
      </c>
      <c r="AQ1500">
        <v>1168.292398</v>
      </c>
      <c r="AT1500">
        <v>10</v>
      </c>
      <c r="AU1500">
        <v>12</v>
      </c>
      <c r="AV1500">
        <v>2022</v>
      </c>
      <c r="AW1500">
        <v>2437981</v>
      </c>
      <c r="AX1500">
        <v>2437981</v>
      </c>
      <c r="AY1500" t="s">
        <v>106</v>
      </c>
      <c r="AZ1500" t="s">
        <v>92</v>
      </c>
      <c r="BA1500" t="s">
        <v>107</v>
      </c>
      <c r="BB1500" t="s">
        <v>5671</v>
      </c>
      <c r="BC1500" t="s">
        <v>97</v>
      </c>
      <c r="BD1500" s="1">
        <v>44905</v>
      </c>
      <c r="BE1500" t="s">
        <v>96</v>
      </c>
      <c r="BG1500" t="s">
        <v>5504</v>
      </c>
      <c r="BI1500" t="s">
        <v>98</v>
      </c>
      <c r="BJ1500" t="s">
        <v>5672</v>
      </c>
      <c r="BL1500" t="s">
        <v>110</v>
      </c>
    </row>
    <row r="1501" spans="1:64" hidden="1" x14ac:dyDescent="0.2">
      <c r="A1501">
        <v>384</v>
      </c>
      <c r="B1501">
        <v>4136459585</v>
      </c>
      <c r="C1501" t="s">
        <v>101</v>
      </c>
      <c r="D1501" t="s">
        <v>5673</v>
      </c>
      <c r="E1501" t="s">
        <v>65</v>
      </c>
      <c r="F1501" t="s">
        <v>66</v>
      </c>
      <c r="G1501" t="s">
        <v>67</v>
      </c>
      <c r="H1501" t="s">
        <v>68</v>
      </c>
      <c r="I1501" t="s">
        <v>176</v>
      </c>
      <c r="J1501" t="s">
        <v>177</v>
      </c>
      <c r="K1501" t="s">
        <v>3925</v>
      </c>
      <c r="M1501" t="s">
        <v>72</v>
      </c>
      <c r="N1501" t="s">
        <v>3926</v>
      </c>
      <c r="O1501" t="s">
        <v>3925</v>
      </c>
      <c r="P1501" t="s">
        <v>1176</v>
      </c>
      <c r="Q1501" t="s">
        <v>75</v>
      </c>
      <c r="R1501" t="s">
        <v>5008</v>
      </c>
      <c r="S1501" t="s">
        <v>607</v>
      </c>
      <c r="T1501" t="s">
        <v>78</v>
      </c>
      <c r="U1501" t="s">
        <v>5009</v>
      </c>
      <c r="V1501" t="s">
        <v>80</v>
      </c>
      <c r="W1501" s="1">
        <v>44905</v>
      </c>
      <c r="X1501" t="s">
        <v>5010</v>
      </c>
      <c r="Y1501" t="s">
        <v>5663</v>
      </c>
      <c r="Z1501" t="s">
        <v>83</v>
      </c>
      <c r="AA1501">
        <v>1</v>
      </c>
      <c r="AB1501" t="s">
        <v>5310</v>
      </c>
      <c r="AD1501" t="s">
        <v>104</v>
      </c>
      <c r="AE1501" t="s">
        <v>86</v>
      </c>
      <c r="AF1501" t="s">
        <v>146</v>
      </c>
      <c r="AG1501" t="s">
        <v>5665</v>
      </c>
      <c r="AH1501" t="s">
        <v>5670</v>
      </c>
      <c r="AI1501" t="s">
        <v>90</v>
      </c>
      <c r="AJ1501">
        <v>32.313164999999998</v>
      </c>
      <c r="AK1501">
        <v>-110.712644</v>
      </c>
      <c r="AL1501">
        <v>3</v>
      </c>
      <c r="AN1501">
        <v>1168</v>
      </c>
      <c r="AP1501">
        <v>1168</v>
      </c>
      <c r="AQ1501">
        <v>1168.292398</v>
      </c>
      <c r="AT1501">
        <v>10</v>
      </c>
      <c r="AU1501">
        <v>12</v>
      </c>
      <c r="AV1501">
        <v>2022</v>
      </c>
      <c r="AW1501">
        <v>2437981</v>
      </c>
      <c r="AX1501">
        <v>2437981</v>
      </c>
      <c r="AY1501" t="s">
        <v>106</v>
      </c>
      <c r="AZ1501" t="s">
        <v>92</v>
      </c>
      <c r="BA1501" t="s">
        <v>107</v>
      </c>
      <c r="BB1501" t="s">
        <v>5674</v>
      </c>
      <c r="BC1501" t="s">
        <v>97</v>
      </c>
      <c r="BD1501" s="1">
        <v>44905</v>
      </c>
      <c r="BE1501" t="s">
        <v>96</v>
      </c>
      <c r="BG1501" t="s">
        <v>5504</v>
      </c>
      <c r="BI1501" t="s">
        <v>98</v>
      </c>
      <c r="BJ1501" t="s">
        <v>5675</v>
      </c>
      <c r="BL1501" t="s">
        <v>110</v>
      </c>
    </row>
    <row r="1502" spans="1:64" hidden="1" x14ac:dyDescent="0.2">
      <c r="A1502">
        <v>385</v>
      </c>
      <c r="B1502">
        <v>4136459584</v>
      </c>
      <c r="C1502" t="s">
        <v>101</v>
      </c>
      <c r="D1502" t="s">
        <v>5676</v>
      </c>
      <c r="E1502" t="s">
        <v>65</v>
      </c>
      <c r="F1502" t="s">
        <v>66</v>
      </c>
      <c r="G1502" t="s">
        <v>67</v>
      </c>
      <c r="H1502" t="s">
        <v>68</v>
      </c>
      <c r="I1502" t="s">
        <v>176</v>
      </c>
      <c r="J1502" t="s">
        <v>177</v>
      </c>
      <c r="K1502" t="s">
        <v>3925</v>
      </c>
      <c r="M1502" t="s">
        <v>72</v>
      </c>
      <c r="N1502" t="s">
        <v>3926</v>
      </c>
      <c r="O1502" t="s">
        <v>3925</v>
      </c>
      <c r="P1502" t="s">
        <v>1176</v>
      </c>
      <c r="Q1502" t="s">
        <v>75</v>
      </c>
      <c r="R1502" t="s">
        <v>5008</v>
      </c>
      <c r="S1502" t="s">
        <v>607</v>
      </c>
      <c r="T1502" t="s">
        <v>78</v>
      </c>
      <c r="U1502" t="s">
        <v>5009</v>
      </c>
      <c r="V1502" t="s">
        <v>80</v>
      </c>
      <c r="W1502" s="1">
        <v>44905</v>
      </c>
      <c r="X1502" t="s">
        <v>5010</v>
      </c>
      <c r="Y1502" t="s">
        <v>5663</v>
      </c>
      <c r="Z1502" t="s">
        <v>83</v>
      </c>
      <c r="AA1502">
        <v>1</v>
      </c>
      <c r="AB1502" t="s">
        <v>5310</v>
      </c>
      <c r="AD1502" t="s">
        <v>116</v>
      </c>
      <c r="AE1502" t="s">
        <v>86</v>
      </c>
      <c r="AF1502" t="s">
        <v>146</v>
      </c>
      <c r="AG1502" t="s">
        <v>5665</v>
      </c>
      <c r="AH1502" t="s">
        <v>5670</v>
      </c>
      <c r="AI1502" t="s">
        <v>90</v>
      </c>
      <c r="AJ1502">
        <v>32.313164999999998</v>
      </c>
      <c r="AK1502">
        <v>-110.712644</v>
      </c>
      <c r="AL1502">
        <v>3</v>
      </c>
      <c r="AN1502">
        <v>1168</v>
      </c>
      <c r="AP1502">
        <v>1168</v>
      </c>
      <c r="AQ1502">
        <v>1168.292398</v>
      </c>
      <c r="AT1502">
        <v>10</v>
      </c>
      <c r="AU1502">
        <v>12</v>
      </c>
      <c r="AV1502">
        <v>2022</v>
      </c>
      <c r="AW1502">
        <v>2437981</v>
      </c>
      <c r="AX1502">
        <v>2437981</v>
      </c>
      <c r="AY1502" t="s">
        <v>106</v>
      </c>
      <c r="AZ1502" t="s">
        <v>92</v>
      </c>
      <c r="BA1502" t="s">
        <v>107</v>
      </c>
      <c r="BB1502" t="s">
        <v>5677</v>
      </c>
      <c r="BC1502" t="s">
        <v>97</v>
      </c>
      <c r="BD1502" s="1">
        <v>44905</v>
      </c>
      <c r="BE1502" t="s">
        <v>96</v>
      </c>
      <c r="BG1502" t="s">
        <v>5504</v>
      </c>
      <c r="BI1502" t="s">
        <v>98</v>
      </c>
      <c r="BJ1502" t="s">
        <v>5672</v>
      </c>
      <c r="BL1502" t="s">
        <v>110</v>
      </c>
    </row>
    <row r="1503" spans="1:64" x14ac:dyDescent="0.2">
      <c r="A1503">
        <v>278</v>
      </c>
      <c r="B1503">
        <v>4403382360</v>
      </c>
      <c r="C1503" t="s">
        <v>101</v>
      </c>
      <c r="D1503" t="s">
        <v>1407</v>
      </c>
      <c r="E1503" t="s">
        <v>65</v>
      </c>
      <c r="F1503" t="s">
        <v>66</v>
      </c>
      <c r="G1503" t="s">
        <v>67</v>
      </c>
      <c r="H1503" t="s">
        <v>68</v>
      </c>
      <c r="I1503" t="s">
        <v>176</v>
      </c>
      <c r="J1503" t="s">
        <v>177</v>
      </c>
      <c r="K1503" t="s">
        <v>178</v>
      </c>
      <c r="M1503" t="s">
        <v>72</v>
      </c>
      <c r="N1503" t="s">
        <v>179</v>
      </c>
      <c r="O1503" t="s">
        <v>178</v>
      </c>
      <c r="P1503" t="s">
        <v>180</v>
      </c>
      <c r="Q1503" t="s">
        <v>75</v>
      </c>
      <c r="R1503" t="s">
        <v>1177</v>
      </c>
      <c r="S1503" t="s">
        <v>1390</v>
      </c>
      <c r="T1503" t="s">
        <v>78</v>
      </c>
      <c r="U1503" t="s">
        <v>646</v>
      </c>
      <c r="V1503" t="s">
        <v>1179</v>
      </c>
      <c r="W1503" s="1">
        <v>45108</v>
      </c>
      <c r="X1503" t="s">
        <v>1180</v>
      </c>
      <c r="Y1503" t="s">
        <v>1391</v>
      </c>
      <c r="Z1503" t="s">
        <v>83</v>
      </c>
      <c r="AA1503">
        <v>1</v>
      </c>
      <c r="AB1503" t="s">
        <v>385</v>
      </c>
      <c r="AC1503">
        <v>1</v>
      </c>
      <c r="AD1503" t="s">
        <v>119</v>
      </c>
      <c r="AE1503" t="s">
        <v>86</v>
      </c>
      <c r="AF1503" t="s">
        <v>402</v>
      </c>
      <c r="AG1503" t="s">
        <v>1393</v>
      </c>
      <c r="AH1503" t="s">
        <v>1408</v>
      </c>
      <c r="AI1503" t="s">
        <v>90</v>
      </c>
      <c r="AJ1503">
        <v>32.450394000000003</v>
      </c>
      <c r="AK1503">
        <v>-110.736435</v>
      </c>
      <c r="AL1503">
        <v>3</v>
      </c>
      <c r="AN1503">
        <v>2067</v>
      </c>
      <c r="AP1503">
        <v>2067</v>
      </c>
      <c r="AQ1503">
        <v>2064.0276349999999</v>
      </c>
      <c r="AT1503">
        <v>1</v>
      </c>
      <c r="AU1503">
        <v>7</v>
      </c>
      <c r="AV1503">
        <v>2023</v>
      </c>
      <c r="AW1503">
        <v>2438038</v>
      </c>
      <c r="AX1503">
        <v>2438038</v>
      </c>
      <c r="AY1503" t="s">
        <v>106</v>
      </c>
      <c r="AZ1503" t="s">
        <v>92</v>
      </c>
      <c r="BA1503" t="s">
        <v>107</v>
      </c>
      <c r="BB1503" t="s">
        <v>1409</v>
      </c>
      <c r="BC1503" t="s">
        <v>1186</v>
      </c>
      <c r="BD1503" s="1">
        <v>45108</v>
      </c>
      <c r="BE1503" t="s">
        <v>96</v>
      </c>
      <c r="BG1503" t="s">
        <v>1187</v>
      </c>
      <c r="BI1503" t="s">
        <v>98</v>
      </c>
      <c r="BJ1503" t="s">
        <v>1410</v>
      </c>
      <c r="BL1503" t="s">
        <v>412</v>
      </c>
    </row>
    <row r="1504" spans="1:64" hidden="1" x14ac:dyDescent="0.2">
      <c r="A1504">
        <v>417</v>
      </c>
      <c r="B1504">
        <v>4136459542</v>
      </c>
      <c r="C1504" t="s">
        <v>101</v>
      </c>
      <c r="D1504" t="s">
        <v>5681</v>
      </c>
      <c r="E1504" t="s">
        <v>65</v>
      </c>
      <c r="F1504" t="s">
        <v>66</v>
      </c>
      <c r="G1504" t="s">
        <v>67</v>
      </c>
      <c r="H1504" t="s">
        <v>68</v>
      </c>
      <c r="I1504" t="s">
        <v>176</v>
      </c>
      <c r="J1504" t="s">
        <v>177</v>
      </c>
      <c r="K1504" t="s">
        <v>3925</v>
      </c>
      <c r="M1504" t="s">
        <v>72</v>
      </c>
      <c r="N1504" t="s">
        <v>3926</v>
      </c>
      <c r="O1504" t="s">
        <v>3925</v>
      </c>
      <c r="P1504" t="s">
        <v>1176</v>
      </c>
      <c r="Q1504" t="s">
        <v>75</v>
      </c>
      <c r="R1504" t="s">
        <v>5008</v>
      </c>
      <c r="S1504" t="s">
        <v>607</v>
      </c>
      <c r="T1504" t="s">
        <v>78</v>
      </c>
      <c r="U1504" t="s">
        <v>5009</v>
      </c>
      <c r="V1504" t="s">
        <v>80</v>
      </c>
      <c r="W1504" s="1">
        <v>44905</v>
      </c>
      <c r="X1504" t="s">
        <v>5010</v>
      </c>
      <c r="Y1504" t="s">
        <v>5663</v>
      </c>
      <c r="Z1504" t="s">
        <v>83</v>
      </c>
      <c r="AA1504">
        <v>1</v>
      </c>
      <c r="AB1504" t="s">
        <v>5506</v>
      </c>
      <c r="AD1504" t="s">
        <v>104</v>
      </c>
      <c r="AE1504" t="s">
        <v>86</v>
      </c>
      <c r="AF1504" t="s">
        <v>146</v>
      </c>
      <c r="AG1504" t="s">
        <v>5665</v>
      </c>
      <c r="AH1504" t="s">
        <v>5670</v>
      </c>
      <c r="AI1504" t="s">
        <v>90</v>
      </c>
      <c r="AJ1504">
        <v>32.313164999999998</v>
      </c>
      <c r="AK1504">
        <v>-110.712644</v>
      </c>
      <c r="AL1504">
        <v>3</v>
      </c>
      <c r="AN1504">
        <v>1168</v>
      </c>
      <c r="AP1504">
        <v>1168</v>
      </c>
      <c r="AQ1504">
        <v>1168.292398</v>
      </c>
      <c r="AT1504">
        <v>10</v>
      </c>
      <c r="AU1504">
        <v>12</v>
      </c>
      <c r="AV1504">
        <v>2022</v>
      </c>
      <c r="AW1504">
        <v>2437981</v>
      </c>
      <c r="AX1504">
        <v>2437981</v>
      </c>
      <c r="AY1504" t="s">
        <v>106</v>
      </c>
      <c r="AZ1504" t="s">
        <v>92</v>
      </c>
      <c r="BA1504" t="s">
        <v>107</v>
      </c>
      <c r="BB1504" t="s">
        <v>5682</v>
      </c>
      <c r="BC1504" t="s">
        <v>97</v>
      </c>
      <c r="BD1504" s="1">
        <v>44905</v>
      </c>
      <c r="BE1504" t="s">
        <v>96</v>
      </c>
      <c r="BG1504" t="s">
        <v>5504</v>
      </c>
      <c r="BI1504" t="s">
        <v>98</v>
      </c>
      <c r="BJ1504" t="s">
        <v>2289</v>
      </c>
      <c r="BL1504" t="s">
        <v>110</v>
      </c>
    </row>
    <row r="1505" spans="1:64" hidden="1" x14ac:dyDescent="0.2">
      <c r="A1505">
        <v>419</v>
      </c>
      <c r="B1505">
        <v>4136459540</v>
      </c>
      <c r="C1505" t="s">
        <v>101</v>
      </c>
      <c r="D1505" t="s">
        <v>5683</v>
      </c>
      <c r="E1505" t="s">
        <v>65</v>
      </c>
      <c r="F1505" t="s">
        <v>66</v>
      </c>
      <c r="G1505" t="s">
        <v>67</v>
      </c>
      <c r="H1505" t="s">
        <v>68</v>
      </c>
      <c r="I1505" t="s">
        <v>176</v>
      </c>
      <c r="J1505" t="s">
        <v>177</v>
      </c>
      <c r="K1505" t="s">
        <v>3925</v>
      </c>
      <c r="M1505" t="s">
        <v>72</v>
      </c>
      <c r="N1505" t="s">
        <v>3926</v>
      </c>
      <c r="O1505" t="s">
        <v>3925</v>
      </c>
      <c r="P1505" t="s">
        <v>1176</v>
      </c>
      <c r="Q1505" t="s">
        <v>75</v>
      </c>
      <c r="R1505" t="s">
        <v>5008</v>
      </c>
      <c r="S1505" t="s">
        <v>607</v>
      </c>
      <c r="T1505" t="s">
        <v>78</v>
      </c>
      <c r="U1505" t="s">
        <v>5009</v>
      </c>
      <c r="V1505" t="s">
        <v>80</v>
      </c>
      <c r="W1505" s="1">
        <v>44905</v>
      </c>
      <c r="X1505" t="s">
        <v>5010</v>
      </c>
      <c r="Y1505" t="s">
        <v>5663</v>
      </c>
      <c r="Z1505" t="s">
        <v>83</v>
      </c>
      <c r="AA1505">
        <v>1</v>
      </c>
      <c r="AB1505" t="s">
        <v>5506</v>
      </c>
      <c r="AD1505" t="s">
        <v>116</v>
      </c>
      <c r="AE1505" t="s">
        <v>86</v>
      </c>
      <c r="AF1505" t="s">
        <v>146</v>
      </c>
      <c r="AG1505" t="s">
        <v>5665</v>
      </c>
      <c r="AH1505" t="s">
        <v>5670</v>
      </c>
      <c r="AI1505" t="s">
        <v>90</v>
      </c>
      <c r="AJ1505">
        <v>32.313164999999998</v>
      </c>
      <c r="AK1505">
        <v>-110.712644</v>
      </c>
      <c r="AL1505">
        <v>3</v>
      </c>
      <c r="AN1505">
        <v>1168</v>
      </c>
      <c r="AP1505">
        <v>1168</v>
      </c>
      <c r="AQ1505">
        <v>1168.292398</v>
      </c>
      <c r="AT1505">
        <v>10</v>
      </c>
      <c r="AU1505">
        <v>12</v>
      </c>
      <c r="AV1505">
        <v>2022</v>
      </c>
      <c r="AW1505">
        <v>2437981</v>
      </c>
      <c r="AX1505">
        <v>2437981</v>
      </c>
      <c r="AY1505" t="s">
        <v>106</v>
      </c>
      <c r="AZ1505" t="s">
        <v>92</v>
      </c>
      <c r="BA1505" t="s">
        <v>107</v>
      </c>
      <c r="BB1505" t="s">
        <v>5684</v>
      </c>
      <c r="BC1505" t="s">
        <v>97</v>
      </c>
      <c r="BD1505" s="1">
        <v>44905</v>
      </c>
      <c r="BE1505" t="s">
        <v>96</v>
      </c>
      <c r="BG1505" t="s">
        <v>5504</v>
      </c>
      <c r="BI1505" t="s">
        <v>98</v>
      </c>
      <c r="BJ1505" t="s">
        <v>2257</v>
      </c>
      <c r="BL1505" t="s">
        <v>110</v>
      </c>
    </row>
    <row r="1506" spans="1:64" hidden="1" x14ac:dyDescent="0.2">
      <c r="A1506">
        <v>413</v>
      </c>
      <c r="B1506">
        <v>4136459556</v>
      </c>
      <c r="C1506" t="s">
        <v>101</v>
      </c>
      <c r="D1506" t="s">
        <v>5685</v>
      </c>
      <c r="E1506" t="s">
        <v>65</v>
      </c>
      <c r="F1506" t="s">
        <v>66</v>
      </c>
      <c r="G1506" t="s">
        <v>67</v>
      </c>
      <c r="H1506" t="s">
        <v>68</v>
      </c>
      <c r="I1506" t="s">
        <v>176</v>
      </c>
      <c r="J1506" t="s">
        <v>177</v>
      </c>
      <c r="K1506" t="s">
        <v>3925</v>
      </c>
      <c r="M1506" t="s">
        <v>72</v>
      </c>
      <c r="N1506" t="s">
        <v>3926</v>
      </c>
      <c r="O1506" t="s">
        <v>3925</v>
      </c>
      <c r="P1506" t="s">
        <v>1176</v>
      </c>
      <c r="Q1506" t="s">
        <v>75</v>
      </c>
      <c r="R1506" t="s">
        <v>5008</v>
      </c>
      <c r="S1506" t="s">
        <v>607</v>
      </c>
      <c r="T1506" t="s">
        <v>78</v>
      </c>
      <c r="U1506" t="s">
        <v>5009</v>
      </c>
      <c r="V1506" t="s">
        <v>80</v>
      </c>
      <c r="W1506" s="1">
        <v>44905</v>
      </c>
      <c r="X1506" t="s">
        <v>5010</v>
      </c>
      <c r="Y1506" t="s">
        <v>5663</v>
      </c>
      <c r="Z1506" t="s">
        <v>83</v>
      </c>
      <c r="AA1506">
        <v>1</v>
      </c>
      <c r="AB1506" t="s">
        <v>5310</v>
      </c>
      <c r="AD1506" t="s">
        <v>123</v>
      </c>
      <c r="AE1506" t="s">
        <v>86</v>
      </c>
      <c r="AF1506" t="s">
        <v>146</v>
      </c>
      <c r="AG1506" t="s">
        <v>5665</v>
      </c>
      <c r="AH1506" t="s">
        <v>5670</v>
      </c>
      <c r="AI1506" t="s">
        <v>90</v>
      </c>
      <c r="AJ1506">
        <v>32.313164999999998</v>
      </c>
      <c r="AK1506">
        <v>-110.712644</v>
      </c>
      <c r="AL1506">
        <v>3</v>
      </c>
      <c r="AN1506">
        <v>1168</v>
      </c>
      <c r="AP1506">
        <v>1168</v>
      </c>
      <c r="AQ1506">
        <v>1168.292398</v>
      </c>
      <c r="AT1506">
        <v>10</v>
      </c>
      <c r="AU1506">
        <v>12</v>
      </c>
      <c r="AV1506">
        <v>2022</v>
      </c>
      <c r="AW1506">
        <v>2437981</v>
      </c>
      <c r="AX1506">
        <v>2437981</v>
      </c>
      <c r="AY1506" t="s">
        <v>106</v>
      </c>
      <c r="AZ1506" t="s">
        <v>92</v>
      </c>
      <c r="BA1506" t="s">
        <v>107</v>
      </c>
      <c r="BB1506" t="s">
        <v>5686</v>
      </c>
      <c r="BC1506" t="s">
        <v>97</v>
      </c>
      <c r="BD1506" s="1">
        <v>44905</v>
      </c>
      <c r="BE1506" t="s">
        <v>96</v>
      </c>
      <c r="BG1506" t="s">
        <v>5504</v>
      </c>
      <c r="BI1506" t="s">
        <v>98</v>
      </c>
      <c r="BJ1506" t="s">
        <v>2260</v>
      </c>
      <c r="BL1506" t="s">
        <v>110</v>
      </c>
    </row>
    <row r="1507" spans="1:64" hidden="1" x14ac:dyDescent="0.2">
      <c r="A1507">
        <v>415</v>
      </c>
      <c r="B1507">
        <v>4136459554</v>
      </c>
      <c r="C1507" t="s">
        <v>101</v>
      </c>
      <c r="D1507" t="s">
        <v>5687</v>
      </c>
      <c r="E1507" t="s">
        <v>65</v>
      </c>
      <c r="F1507" t="s">
        <v>66</v>
      </c>
      <c r="G1507" t="s">
        <v>67</v>
      </c>
      <c r="H1507" t="s">
        <v>68</v>
      </c>
      <c r="I1507" t="s">
        <v>176</v>
      </c>
      <c r="J1507" t="s">
        <v>177</v>
      </c>
      <c r="K1507" t="s">
        <v>3925</v>
      </c>
      <c r="M1507" t="s">
        <v>72</v>
      </c>
      <c r="N1507" t="s">
        <v>3926</v>
      </c>
      <c r="O1507" t="s">
        <v>3925</v>
      </c>
      <c r="P1507" t="s">
        <v>1176</v>
      </c>
      <c r="Q1507" t="s">
        <v>75</v>
      </c>
      <c r="R1507" t="s">
        <v>5008</v>
      </c>
      <c r="S1507" t="s">
        <v>607</v>
      </c>
      <c r="T1507" t="s">
        <v>78</v>
      </c>
      <c r="U1507" t="s">
        <v>5009</v>
      </c>
      <c r="V1507" t="s">
        <v>80</v>
      </c>
      <c r="W1507" s="1">
        <v>44905</v>
      </c>
      <c r="X1507" t="s">
        <v>5010</v>
      </c>
      <c r="Y1507" t="s">
        <v>5663</v>
      </c>
      <c r="Z1507" t="s">
        <v>83</v>
      </c>
      <c r="AA1507">
        <v>1</v>
      </c>
      <c r="AB1507" t="s">
        <v>5506</v>
      </c>
      <c r="AD1507" t="s">
        <v>139</v>
      </c>
      <c r="AE1507" t="s">
        <v>86</v>
      </c>
      <c r="AF1507" t="s">
        <v>146</v>
      </c>
      <c r="AG1507" t="s">
        <v>5665</v>
      </c>
      <c r="AH1507" t="s">
        <v>5670</v>
      </c>
      <c r="AI1507" t="s">
        <v>90</v>
      </c>
      <c r="AJ1507">
        <v>32.313164999999998</v>
      </c>
      <c r="AK1507">
        <v>-110.712644</v>
      </c>
      <c r="AL1507">
        <v>3</v>
      </c>
      <c r="AN1507">
        <v>1168</v>
      </c>
      <c r="AP1507">
        <v>1168</v>
      </c>
      <c r="AQ1507">
        <v>1168.292398</v>
      </c>
      <c r="AT1507">
        <v>10</v>
      </c>
      <c r="AU1507">
        <v>12</v>
      </c>
      <c r="AV1507">
        <v>2022</v>
      </c>
      <c r="AW1507">
        <v>2437981</v>
      </c>
      <c r="AX1507">
        <v>2437981</v>
      </c>
      <c r="AY1507" t="s">
        <v>106</v>
      </c>
      <c r="AZ1507" t="s">
        <v>92</v>
      </c>
      <c r="BA1507" t="s">
        <v>107</v>
      </c>
      <c r="BB1507" t="s">
        <v>5688</v>
      </c>
      <c r="BC1507" t="s">
        <v>97</v>
      </c>
      <c r="BD1507" s="1">
        <v>44905</v>
      </c>
      <c r="BE1507" t="s">
        <v>96</v>
      </c>
      <c r="BG1507" t="s">
        <v>5504</v>
      </c>
      <c r="BI1507" t="s">
        <v>98</v>
      </c>
      <c r="BJ1507" t="s">
        <v>2673</v>
      </c>
      <c r="BL1507" t="s">
        <v>110</v>
      </c>
    </row>
    <row r="1508" spans="1:64" hidden="1" x14ac:dyDescent="0.2">
      <c r="A1508">
        <v>531</v>
      </c>
      <c r="B1508">
        <v>4136459428</v>
      </c>
      <c r="C1508" t="s">
        <v>101</v>
      </c>
      <c r="D1508" t="s">
        <v>5689</v>
      </c>
      <c r="E1508" t="s">
        <v>65</v>
      </c>
      <c r="F1508" t="s">
        <v>66</v>
      </c>
      <c r="G1508" t="s">
        <v>67</v>
      </c>
      <c r="H1508" t="s">
        <v>68</v>
      </c>
      <c r="I1508" t="s">
        <v>176</v>
      </c>
      <c r="J1508" t="s">
        <v>177</v>
      </c>
      <c r="K1508" t="s">
        <v>3925</v>
      </c>
      <c r="M1508" t="s">
        <v>72</v>
      </c>
      <c r="N1508" t="s">
        <v>3926</v>
      </c>
      <c r="O1508" t="s">
        <v>3925</v>
      </c>
      <c r="P1508" t="s">
        <v>1176</v>
      </c>
      <c r="Q1508" t="s">
        <v>75</v>
      </c>
      <c r="R1508" t="s">
        <v>5008</v>
      </c>
      <c r="S1508" t="s">
        <v>607</v>
      </c>
      <c r="T1508" t="s">
        <v>78</v>
      </c>
      <c r="U1508" t="s">
        <v>5009</v>
      </c>
      <c r="V1508" t="s">
        <v>80</v>
      </c>
      <c r="W1508" s="1">
        <v>44905</v>
      </c>
      <c r="X1508" t="s">
        <v>5010</v>
      </c>
      <c r="Y1508" t="s">
        <v>5663</v>
      </c>
      <c r="Z1508" t="s">
        <v>83</v>
      </c>
      <c r="AA1508">
        <v>1</v>
      </c>
      <c r="AB1508" t="s">
        <v>5522</v>
      </c>
      <c r="AD1508" t="s">
        <v>134</v>
      </c>
      <c r="AE1508" t="s">
        <v>86</v>
      </c>
      <c r="AF1508" t="s">
        <v>146</v>
      </c>
      <c r="AG1508" t="s">
        <v>5665</v>
      </c>
      <c r="AH1508" t="s">
        <v>5690</v>
      </c>
      <c r="AI1508" t="s">
        <v>90</v>
      </c>
      <c r="AJ1508">
        <v>32.313164999999998</v>
      </c>
      <c r="AK1508">
        <v>-110.712644</v>
      </c>
      <c r="AL1508">
        <v>3</v>
      </c>
      <c r="AN1508">
        <v>1168</v>
      </c>
      <c r="AP1508">
        <v>1168</v>
      </c>
      <c r="AQ1508">
        <v>1168.292398</v>
      </c>
      <c r="AT1508">
        <v>10</v>
      </c>
      <c r="AU1508">
        <v>12</v>
      </c>
      <c r="AV1508">
        <v>2022</v>
      </c>
      <c r="AW1508">
        <v>2437981</v>
      </c>
      <c r="AX1508">
        <v>2437981</v>
      </c>
      <c r="AY1508" t="s">
        <v>106</v>
      </c>
      <c r="AZ1508" t="s">
        <v>92</v>
      </c>
      <c r="BA1508" t="s">
        <v>107</v>
      </c>
      <c r="BB1508" t="s">
        <v>5691</v>
      </c>
      <c r="BC1508" t="s">
        <v>97</v>
      </c>
      <c r="BD1508" s="1">
        <v>44905</v>
      </c>
      <c r="BE1508" t="s">
        <v>96</v>
      </c>
      <c r="BG1508" t="s">
        <v>5504</v>
      </c>
      <c r="BI1508" t="s">
        <v>98</v>
      </c>
      <c r="BJ1508" t="s">
        <v>5692</v>
      </c>
      <c r="BL1508" t="s">
        <v>110</v>
      </c>
    </row>
    <row r="1509" spans="1:64" hidden="1" x14ac:dyDescent="0.2">
      <c r="A1509">
        <v>409</v>
      </c>
      <c r="B1509">
        <v>4136459560</v>
      </c>
      <c r="C1509" t="s">
        <v>101</v>
      </c>
      <c r="D1509" t="s">
        <v>5699</v>
      </c>
      <c r="E1509" t="s">
        <v>65</v>
      </c>
      <c r="F1509" t="s">
        <v>66</v>
      </c>
      <c r="G1509" t="s">
        <v>67</v>
      </c>
      <c r="H1509" t="s">
        <v>68</v>
      </c>
      <c r="I1509" t="s">
        <v>69</v>
      </c>
      <c r="J1509" t="s">
        <v>70</v>
      </c>
      <c r="K1509" t="s">
        <v>4195</v>
      </c>
      <c r="M1509" t="s">
        <v>72</v>
      </c>
      <c r="N1509" t="s">
        <v>4196</v>
      </c>
      <c r="O1509" t="s">
        <v>4195</v>
      </c>
      <c r="P1509" t="s">
        <v>4197</v>
      </c>
      <c r="Q1509" t="s">
        <v>75</v>
      </c>
      <c r="R1509" t="s">
        <v>5008</v>
      </c>
      <c r="S1509" t="s">
        <v>1565</v>
      </c>
      <c r="T1509" t="s">
        <v>78</v>
      </c>
      <c r="U1509" t="s">
        <v>5009</v>
      </c>
      <c r="V1509" t="s">
        <v>80</v>
      </c>
      <c r="W1509" s="1">
        <v>44905</v>
      </c>
      <c r="X1509" t="s">
        <v>5010</v>
      </c>
      <c r="Y1509" t="s">
        <v>5694</v>
      </c>
      <c r="Z1509" t="s">
        <v>83</v>
      </c>
      <c r="AA1509">
        <v>1</v>
      </c>
      <c r="AB1509" t="s">
        <v>5700</v>
      </c>
      <c r="AD1509" t="s">
        <v>116</v>
      </c>
      <c r="AE1509" t="s">
        <v>86</v>
      </c>
      <c r="AF1509" t="s">
        <v>146</v>
      </c>
      <c r="AG1509" t="s">
        <v>5536</v>
      </c>
      <c r="AH1509" t="s">
        <v>5701</v>
      </c>
      <c r="AI1509" t="s">
        <v>90</v>
      </c>
      <c r="AJ1509">
        <v>32.313924</v>
      </c>
      <c r="AK1509">
        <v>-110.713359</v>
      </c>
      <c r="AL1509">
        <v>3</v>
      </c>
      <c r="AN1509">
        <v>1153</v>
      </c>
      <c r="AP1509">
        <v>1153</v>
      </c>
      <c r="AQ1509">
        <v>1189.991994</v>
      </c>
      <c r="AT1509">
        <v>10</v>
      </c>
      <c r="AU1509">
        <v>12</v>
      </c>
      <c r="AV1509">
        <v>2022</v>
      </c>
      <c r="AW1509">
        <v>2439589</v>
      </c>
      <c r="AX1509">
        <v>2439589</v>
      </c>
      <c r="AY1509" t="s">
        <v>106</v>
      </c>
      <c r="AZ1509" t="s">
        <v>92</v>
      </c>
      <c r="BA1509" t="s">
        <v>107</v>
      </c>
      <c r="BB1509" t="s">
        <v>5702</v>
      </c>
      <c r="BC1509" t="s">
        <v>97</v>
      </c>
      <c r="BD1509" s="1">
        <v>44905</v>
      </c>
      <c r="BE1509" t="s">
        <v>96</v>
      </c>
      <c r="BG1509" t="s">
        <v>5504</v>
      </c>
      <c r="BI1509" t="s">
        <v>98</v>
      </c>
      <c r="BJ1509" t="s">
        <v>2254</v>
      </c>
      <c r="BL1509" t="s">
        <v>110</v>
      </c>
    </row>
    <row r="1510" spans="1:64" x14ac:dyDescent="0.2">
      <c r="A1510">
        <v>307</v>
      </c>
      <c r="B1510">
        <v>4403382331</v>
      </c>
      <c r="C1510" t="s">
        <v>101</v>
      </c>
      <c r="D1510" t="s">
        <v>1450</v>
      </c>
      <c r="E1510" t="s">
        <v>65</v>
      </c>
      <c r="F1510" t="s">
        <v>66</v>
      </c>
      <c r="G1510" t="s">
        <v>67</v>
      </c>
      <c r="H1510" t="s">
        <v>68</v>
      </c>
      <c r="I1510" t="s">
        <v>176</v>
      </c>
      <c r="J1510" t="s">
        <v>177</v>
      </c>
      <c r="K1510" t="s">
        <v>178</v>
      </c>
      <c r="M1510" t="s">
        <v>72</v>
      </c>
      <c r="N1510" t="s">
        <v>179</v>
      </c>
      <c r="O1510" t="s">
        <v>178</v>
      </c>
      <c r="P1510" t="s">
        <v>180</v>
      </c>
      <c r="Q1510" t="s">
        <v>75</v>
      </c>
      <c r="R1510" t="s">
        <v>1177</v>
      </c>
      <c r="S1510" t="s">
        <v>1425</v>
      </c>
      <c r="T1510" t="s">
        <v>78</v>
      </c>
      <c r="U1510" t="s">
        <v>646</v>
      </c>
      <c r="V1510" t="s">
        <v>1179</v>
      </c>
      <c r="W1510" s="1">
        <v>45108</v>
      </c>
      <c r="X1510" t="s">
        <v>1180</v>
      </c>
      <c r="Y1510" t="s">
        <v>1426</v>
      </c>
      <c r="Z1510" t="s">
        <v>83</v>
      </c>
      <c r="AA1510">
        <v>1</v>
      </c>
      <c r="AB1510" t="s">
        <v>385</v>
      </c>
      <c r="AC1510">
        <v>1</v>
      </c>
      <c r="AD1510" t="s">
        <v>119</v>
      </c>
      <c r="AE1510" t="s">
        <v>145</v>
      </c>
      <c r="AF1510" t="s">
        <v>402</v>
      </c>
      <c r="AG1510" t="s">
        <v>1428</v>
      </c>
      <c r="AH1510" t="s">
        <v>1451</v>
      </c>
      <c r="AI1510" t="s">
        <v>90</v>
      </c>
      <c r="AJ1510">
        <v>32.450868999999997</v>
      </c>
      <c r="AK1510">
        <v>-110.736958</v>
      </c>
      <c r="AL1510">
        <v>3</v>
      </c>
      <c r="AN1510">
        <v>2055</v>
      </c>
      <c r="AP1510">
        <v>2055</v>
      </c>
      <c r="AQ1510">
        <v>2062.4493339999999</v>
      </c>
      <c r="AT1510">
        <v>1</v>
      </c>
      <c r="AU1510">
        <v>7</v>
      </c>
      <c r="AV1510">
        <v>2023</v>
      </c>
      <c r="AW1510">
        <v>2438038</v>
      </c>
      <c r="AX1510">
        <v>2438038</v>
      </c>
      <c r="AY1510" t="s">
        <v>106</v>
      </c>
      <c r="AZ1510" t="s">
        <v>92</v>
      </c>
      <c r="BA1510" t="s">
        <v>107</v>
      </c>
      <c r="BB1510" t="s">
        <v>1452</v>
      </c>
      <c r="BC1510" t="s">
        <v>1186</v>
      </c>
      <c r="BD1510" s="1">
        <v>45108</v>
      </c>
      <c r="BE1510" t="s">
        <v>96</v>
      </c>
      <c r="BG1510" t="s">
        <v>1187</v>
      </c>
      <c r="BI1510" t="s">
        <v>98</v>
      </c>
      <c r="BJ1510" t="s">
        <v>1453</v>
      </c>
      <c r="BL1510" t="s">
        <v>412</v>
      </c>
    </row>
    <row r="1511" spans="1:64" hidden="1" x14ac:dyDescent="0.2">
      <c r="A1511">
        <v>405</v>
      </c>
      <c r="B1511">
        <v>4136459564</v>
      </c>
      <c r="C1511" t="s">
        <v>101</v>
      </c>
      <c r="D1511" t="s">
        <v>5706</v>
      </c>
      <c r="E1511" t="s">
        <v>65</v>
      </c>
      <c r="F1511" t="s">
        <v>66</v>
      </c>
      <c r="G1511" t="s">
        <v>67</v>
      </c>
      <c r="H1511" t="s">
        <v>68</v>
      </c>
      <c r="I1511" t="s">
        <v>69</v>
      </c>
      <c r="J1511" t="s">
        <v>70</v>
      </c>
      <c r="K1511" t="s">
        <v>4195</v>
      </c>
      <c r="M1511" t="s">
        <v>72</v>
      </c>
      <c r="N1511" t="s">
        <v>4196</v>
      </c>
      <c r="O1511" t="s">
        <v>4195</v>
      </c>
      <c r="P1511" t="s">
        <v>4197</v>
      </c>
      <c r="Q1511" t="s">
        <v>75</v>
      </c>
      <c r="R1511" t="s">
        <v>5008</v>
      </c>
      <c r="S1511" t="s">
        <v>1565</v>
      </c>
      <c r="T1511" t="s">
        <v>78</v>
      </c>
      <c r="U1511" t="s">
        <v>5009</v>
      </c>
      <c r="V1511" t="s">
        <v>80</v>
      </c>
      <c r="W1511" s="1">
        <v>44905</v>
      </c>
      <c r="X1511" t="s">
        <v>5010</v>
      </c>
      <c r="Y1511" t="s">
        <v>5694</v>
      </c>
      <c r="Z1511" t="s">
        <v>83</v>
      </c>
      <c r="AA1511">
        <v>1</v>
      </c>
      <c r="AB1511" t="s">
        <v>5707</v>
      </c>
      <c r="AD1511" t="s">
        <v>139</v>
      </c>
      <c r="AE1511" t="s">
        <v>86</v>
      </c>
      <c r="AF1511" t="s">
        <v>146</v>
      </c>
      <c r="AG1511" t="s">
        <v>5536</v>
      </c>
      <c r="AH1511" t="s">
        <v>5701</v>
      </c>
      <c r="AI1511" t="s">
        <v>90</v>
      </c>
      <c r="AJ1511">
        <v>32.313924</v>
      </c>
      <c r="AK1511">
        <v>-110.713359</v>
      </c>
      <c r="AL1511">
        <v>3</v>
      </c>
      <c r="AN1511">
        <v>1153</v>
      </c>
      <c r="AP1511">
        <v>1153</v>
      </c>
      <c r="AQ1511">
        <v>1189.991994</v>
      </c>
      <c r="AT1511">
        <v>10</v>
      </c>
      <c r="AU1511">
        <v>12</v>
      </c>
      <c r="AV1511">
        <v>2022</v>
      </c>
      <c r="AW1511">
        <v>2439589</v>
      </c>
      <c r="AX1511">
        <v>2439589</v>
      </c>
      <c r="AY1511" t="s">
        <v>106</v>
      </c>
      <c r="AZ1511" t="s">
        <v>92</v>
      </c>
      <c r="BA1511" t="s">
        <v>107</v>
      </c>
      <c r="BB1511" t="s">
        <v>5708</v>
      </c>
      <c r="BC1511" t="s">
        <v>97</v>
      </c>
      <c r="BD1511" s="1">
        <v>44905</v>
      </c>
      <c r="BE1511" t="s">
        <v>96</v>
      </c>
      <c r="BG1511" t="s">
        <v>5504</v>
      </c>
      <c r="BI1511" t="s">
        <v>98</v>
      </c>
      <c r="BJ1511" t="s">
        <v>2609</v>
      </c>
      <c r="BL1511" t="s">
        <v>110</v>
      </c>
    </row>
    <row r="1512" spans="1:64" hidden="1" x14ac:dyDescent="0.2">
      <c r="A1512">
        <v>407</v>
      </c>
      <c r="B1512">
        <v>4136459562</v>
      </c>
      <c r="C1512" t="s">
        <v>101</v>
      </c>
      <c r="D1512" t="s">
        <v>5709</v>
      </c>
      <c r="E1512" t="s">
        <v>65</v>
      </c>
      <c r="F1512" t="s">
        <v>66</v>
      </c>
      <c r="G1512" t="s">
        <v>67</v>
      </c>
      <c r="H1512" t="s">
        <v>68</v>
      </c>
      <c r="I1512" t="s">
        <v>69</v>
      </c>
      <c r="J1512" t="s">
        <v>70</v>
      </c>
      <c r="K1512" t="s">
        <v>4195</v>
      </c>
      <c r="M1512" t="s">
        <v>72</v>
      </c>
      <c r="N1512" t="s">
        <v>4196</v>
      </c>
      <c r="O1512" t="s">
        <v>4195</v>
      </c>
      <c r="P1512" t="s">
        <v>4197</v>
      </c>
      <c r="Q1512" t="s">
        <v>75</v>
      </c>
      <c r="R1512" t="s">
        <v>5008</v>
      </c>
      <c r="S1512" t="s">
        <v>1565</v>
      </c>
      <c r="T1512" t="s">
        <v>78</v>
      </c>
      <c r="U1512" t="s">
        <v>5009</v>
      </c>
      <c r="V1512" t="s">
        <v>80</v>
      </c>
      <c r="W1512" s="1">
        <v>44905</v>
      </c>
      <c r="X1512" t="s">
        <v>5010</v>
      </c>
      <c r="Y1512" t="s">
        <v>5694</v>
      </c>
      <c r="Z1512" t="s">
        <v>83</v>
      </c>
      <c r="AA1512">
        <v>1</v>
      </c>
      <c r="AB1512" t="s">
        <v>5700</v>
      </c>
      <c r="AD1512" t="s">
        <v>104</v>
      </c>
      <c r="AE1512" t="s">
        <v>86</v>
      </c>
      <c r="AF1512" t="s">
        <v>146</v>
      </c>
      <c r="AG1512" t="s">
        <v>5536</v>
      </c>
      <c r="AH1512" t="s">
        <v>5701</v>
      </c>
      <c r="AI1512" t="s">
        <v>90</v>
      </c>
      <c r="AJ1512">
        <v>32.313924</v>
      </c>
      <c r="AK1512">
        <v>-110.713359</v>
      </c>
      <c r="AL1512">
        <v>3</v>
      </c>
      <c r="AN1512">
        <v>1153</v>
      </c>
      <c r="AP1512">
        <v>1153</v>
      </c>
      <c r="AQ1512">
        <v>1189.991994</v>
      </c>
      <c r="AT1512">
        <v>10</v>
      </c>
      <c r="AU1512">
        <v>12</v>
      </c>
      <c r="AV1512">
        <v>2022</v>
      </c>
      <c r="AW1512">
        <v>2439589</v>
      </c>
      <c r="AX1512">
        <v>2439589</v>
      </c>
      <c r="AY1512" t="s">
        <v>106</v>
      </c>
      <c r="AZ1512" t="s">
        <v>92</v>
      </c>
      <c r="BA1512" t="s">
        <v>107</v>
      </c>
      <c r="BB1512" t="s">
        <v>5710</v>
      </c>
      <c r="BC1512" t="s">
        <v>97</v>
      </c>
      <c r="BD1512" s="1">
        <v>44905</v>
      </c>
      <c r="BE1512" t="s">
        <v>96</v>
      </c>
      <c r="BG1512" t="s">
        <v>5504</v>
      </c>
      <c r="BI1512" t="s">
        <v>98</v>
      </c>
      <c r="BJ1512" t="s">
        <v>2254</v>
      </c>
      <c r="BL1512" t="s">
        <v>110</v>
      </c>
    </row>
    <row r="1513" spans="1:64" hidden="1" x14ac:dyDescent="0.2">
      <c r="A1513">
        <v>403</v>
      </c>
      <c r="B1513">
        <v>4136459566</v>
      </c>
      <c r="C1513" t="s">
        <v>101</v>
      </c>
      <c r="D1513" t="s">
        <v>5711</v>
      </c>
      <c r="E1513" t="s">
        <v>65</v>
      </c>
      <c r="F1513" t="s">
        <v>66</v>
      </c>
      <c r="G1513" t="s">
        <v>67</v>
      </c>
      <c r="H1513" t="s">
        <v>68</v>
      </c>
      <c r="I1513" t="s">
        <v>69</v>
      </c>
      <c r="J1513" t="s">
        <v>70</v>
      </c>
      <c r="K1513" t="s">
        <v>4195</v>
      </c>
      <c r="M1513" t="s">
        <v>72</v>
      </c>
      <c r="N1513" t="s">
        <v>4196</v>
      </c>
      <c r="O1513" t="s">
        <v>4195</v>
      </c>
      <c r="P1513" t="s">
        <v>4197</v>
      </c>
      <c r="Q1513" t="s">
        <v>75</v>
      </c>
      <c r="R1513" t="s">
        <v>5008</v>
      </c>
      <c r="S1513" t="s">
        <v>1565</v>
      </c>
      <c r="T1513" t="s">
        <v>78</v>
      </c>
      <c r="U1513" t="s">
        <v>5009</v>
      </c>
      <c r="V1513" t="s">
        <v>80</v>
      </c>
      <c r="W1513" s="1">
        <v>44905</v>
      </c>
      <c r="X1513" t="s">
        <v>5010</v>
      </c>
      <c r="Y1513" t="s">
        <v>5694</v>
      </c>
      <c r="Z1513" t="s">
        <v>83</v>
      </c>
      <c r="AA1513">
        <v>1</v>
      </c>
      <c r="AB1513" t="s">
        <v>5310</v>
      </c>
      <c r="AD1513" t="s">
        <v>123</v>
      </c>
      <c r="AE1513" t="s">
        <v>86</v>
      </c>
      <c r="AF1513" t="s">
        <v>146</v>
      </c>
      <c r="AG1513" t="s">
        <v>5536</v>
      </c>
      <c r="AH1513" t="s">
        <v>5701</v>
      </c>
      <c r="AI1513" t="s">
        <v>90</v>
      </c>
      <c r="AJ1513">
        <v>32.313924</v>
      </c>
      <c r="AK1513">
        <v>-110.713359</v>
      </c>
      <c r="AL1513">
        <v>3</v>
      </c>
      <c r="AN1513">
        <v>1153</v>
      </c>
      <c r="AP1513">
        <v>1153</v>
      </c>
      <c r="AQ1513">
        <v>1189.991994</v>
      </c>
      <c r="AT1513">
        <v>10</v>
      </c>
      <c r="AU1513">
        <v>12</v>
      </c>
      <c r="AV1513">
        <v>2022</v>
      </c>
      <c r="AW1513">
        <v>2439589</v>
      </c>
      <c r="AX1513">
        <v>2439589</v>
      </c>
      <c r="AY1513" t="s">
        <v>106</v>
      </c>
      <c r="AZ1513" t="s">
        <v>92</v>
      </c>
      <c r="BA1513" t="s">
        <v>107</v>
      </c>
      <c r="BB1513" t="s">
        <v>5712</v>
      </c>
      <c r="BC1513" t="s">
        <v>97</v>
      </c>
      <c r="BD1513" s="1">
        <v>44905</v>
      </c>
      <c r="BE1513" t="s">
        <v>96</v>
      </c>
      <c r="BG1513" t="s">
        <v>5504</v>
      </c>
      <c r="BI1513" t="s">
        <v>98</v>
      </c>
      <c r="BJ1513" t="s">
        <v>2609</v>
      </c>
      <c r="BL1513" t="s">
        <v>110</v>
      </c>
    </row>
    <row r="1514" spans="1:64" hidden="1" x14ac:dyDescent="0.2">
      <c r="A1514">
        <v>426</v>
      </c>
      <c r="B1514">
        <v>4136459533</v>
      </c>
      <c r="C1514" t="s">
        <v>101</v>
      </c>
      <c r="D1514" t="s">
        <v>5713</v>
      </c>
      <c r="E1514" t="s">
        <v>65</v>
      </c>
      <c r="F1514" t="s">
        <v>66</v>
      </c>
      <c r="G1514" t="s">
        <v>67</v>
      </c>
      <c r="H1514" t="s">
        <v>68</v>
      </c>
      <c r="I1514" t="s">
        <v>69</v>
      </c>
      <c r="J1514" t="s">
        <v>70</v>
      </c>
      <c r="K1514" t="s">
        <v>4195</v>
      </c>
      <c r="M1514" t="s">
        <v>72</v>
      </c>
      <c r="N1514" t="s">
        <v>4196</v>
      </c>
      <c r="O1514" t="s">
        <v>4195</v>
      </c>
      <c r="P1514" t="s">
        <v>4197</v>
      </c>
      <c r="Q1514" t="s">
        <v>75</v>
      </c>
      <c r="R1514" t="s">
        <v>5008</v>
      </c>
      <c r="S1514" t="s">
        <v>1565</v>
      </c>
      <c r="T1514" t="s">
        <v>78</v>
      </c>
      <c r="U1514" t="s">
        <v>5009</v>
      </c>
      <c r="V1514" t="s">
        <v>80</v>
      </c>
      <c r="W1514" s="1">
        <v>44905</v>
      </c>
      <c r="X1514" t="s">
        <v>5010</v>
      </c>
      <c r="Y1514" t="s">
        <v>5694</v>
      </c>
      <c r="Z1514" t="s">
        <v>83</v>
      </c>
      <c r="AA1514">
        <v>1</v>
      </c>
      <c r="AB1514" t="s">
        <v>5522</v>
      </c>
      <c r="AD1514" t="s">
        <v>134</v>
      </c>
      <c r="AE1514" t="s">
        <v>86</v>
      </c>
      <c r="AF1514" t="s">
        <v>146</v>
      </c>
      <c r="AG1514" t="s">
        <v>5536</v>
      </c>
      <c r="AH1514" t="s">
        <v>5714</v>
      </c>
      <c r="AI1514" t="s">
        <v>90</v>
      </c>
      <c r="AJ1514">
        <v>32.313924</v>
      </c>
      <c r="AK1514">
        <v>-110.713359</v>
      </c>
      <c r="AL1514">
        <v>3</v>
      </c>
      <c r="AN1514">
        <v>1153</v>
      </c>
      <c r="AP1514">
        <v>1153</v>
      </c>
      <c r="AQ1514">
        <v>1189.991994</v>
      </c>
      <c r="AT1514">
        <v>10</v>
      </c>
      <c r="AU1514">
        <v>12</v>
      </c>
      <c r="AV1514">
        <v>2022</v>
      </c>
      <c r="AW1514">
        <v>2439589</v>
      </c>
      <c r="AX1514">
        <v>2439589</v>
      </c>
      <c r="AY1514" t="s">
        <v>106</v>
      </c>
      <c r="AZ1514" t="s">
        <v>92</v>
      </c>
      <c r="BA1514" t="s">
        <v>107</v>
      </c>
      <c r="BB1514" t="s">
        <v>5715</v>
      </c>
      <c r="BC1514" t="s">
        <v>97</v>
      </c>
      <c r="BD1514" s="1">
        <v>44905</v>
      </c>
      <c r="BE1514" t="s">
        <v>96</v>
      </c>
      <c r="BG1514" t="s">
        <v>5504</v>
      </c>
      <c r="BI1514" t="s">
        <v>98</v>
      </c>
      <c r="BJ1514" t="s">
        <v>1317</v>
      </c>
      <c r="BL1514" t="s">
        <v>110</v>
      </c>
    </row>
    <row r="1515" spans="1:64" hidden="1" x14ac:dyDescent="0.2">
      <c r="A1515">
        <v>371</v>
      </c>
      <c r="B1515">
        <v>4136459609</v>
      </c>
      <c r="C1515" t="s">
        <v>101</v>
      </c>
      <c r="D1515" t="s">
        <v>5716</v>
      </c>
      <c r="E1515" t="s">
        <v>65</v>
      </c>
      <c r="F1515" t="s">
        <v>66</v>
      </c>
      <c r="G1515" t="s">
        <v>67</v>
      </c>
      <c r="H1515" t="s">
        <v>68</v>
      </c>
      <c r="I1515" t="s">
        <v>69</v>
      </c>
      <c r="J1515" t="s">
        <v>70</v>
      </c>
      <c r="K1515" t="s">
        <v>4195</v>
      </c>
      <c r="M1515" t="s">
        <v>72</v>
      </c>
      <c r="N1515" t="s">
        <v>4196</v>
      </c>
      <c r="O1515" t="s">
        <v>4195</v>
      </c>
      <c r="P1515" t="s">
        <v>4197</v>
      </c>
      <c r="Q1515" t="s">
        <v>75</v>
      </c>
      <c r="R1515" t="s">
        <v>5008</v>
      </c>
      <c r="S1515" t="s">
        <v>1565</v>
      </c>
      <c r="T1515" t="s">
        <v>78</v>
      </c>
      <c r="U1515" t="s">
        <v>5009</v>
      </c>
      <c r="V1515" t="s">
        <v>80</v>
      </c>
      <c r="W1515" s="1">
        <v>44905</v>
      </c>
      <c r="X1515" t="s">
        <v>5010</v>
      </c>
      <c r="Y1515" t="s">
        <v>5694</v>
      </c>
      <c r="Z1515" t="s">
        <v>83</v>
      </c>
      <c r="AA1515">
        <v>1</v>
      </c>
      <c r="AB1515" t="s">
        <v>5310</v>
      </c>
      <c r="AD1515" t="s">
        <v>116</v>
      </c>
      <c r="AE1515" t="s">
        <v>86</v>
      </c>
      <c r="AF1515" t="s">
        <v>146</v>
      </c>
      <c r="AG1515" t="s">
        <v>5536</v>
      </c>
      <c r="AH1515" t="s">
        <v>5701</v>
      </c>
      <c r="AI1515" t="s">
        <v>90</v>
      </c>
      <c r="AJ1515">
        <v>32.313924</v>
      </c>
      <c r="AK1515">
        <v>-110.713359</v>
      </c>
      <c r="AL1515">
        <v>3</v>
      </c>
      <c r="AN1515">
        <v>1153</v>
      </c>
      <c r="AP1515">
        <v>1153</v>
      </c>
      <c r="AQ1515">
        <v>1189.991994</v>
      </c>
      <c r="AT1515">
        <v>10</v>
      </c>
      <c r="AU1515">
        <v>12</v>
      </c>
      <c r="AV1515">
        <v>2022</v>
      </c>
      <c r="AW1515">
        <v>2439589</v>
      </c>
      <c r="AX1515">
        <v>2439589</v>
      </c>
      <c r="AY1515" t="s">
        <v>106</v>
      </c>
      <c r="AZ1515" t="s">
        <v>92</v>
      </c>
      <c r="BA1515" t="s">
        <v>107</v>
      </c>
      <c r="BB1515" t="s">
        <v>5717</v>
      </c>
      <c r="BC1515" t="s">
        <v>97</v>
      </c>
      <c r="BD1515" s="1">
        <v>44905</v>
      </c>
      <c r="BE1515" t="s">
        <v>96</v>
      </c>
      <c r="BG1515" t="s">
        <v>5504</v>
      </c>
      <c r="BI1515" t="s">
        <v>98</v>
      </c>
      <c r="BJ1515" t="s">
        <v>5718</v>
      </c>
      <c r="BL1515" t="s">
        <v>110</v>
      </c>
    </row>
    <row r="1516" spans="1:64" hidden="1" x14ac:dyDescent="0.2">
      <c r="A1516">
        <v>372</v>
      </c>
      <c r="B1516">
        <v>4136459608</v>
      </c>
      <c r="C1516" t="s">
        <v>101</v>
      </c>
      <c r="D1516" t="s">
        <v>5719</v>
      </c>
      <c r="E1516" t="s">
        <v>65</v>
      </c>
      <c r="F1516" t="s">
        <v>66</v>
      </c>
      <c r="G1516" t="s">
        <v>67</v>
      </c>
      <c r="H1516" t="s">
        <v>68</v>
      </c>
      <c r="I1516" t="s">
        <v>69</v>
      </c>
      <c r="J1516" t="s">
        <v>70</v>
      </c>
      <c r="K1516" t="s">
        <v>4195</v>
      </c>
      <c r="M1516" t="s">
        <v>72</v>
      </c>
      <c r="N1516" t="s">
        <v>4196</v>
      </c>
      <c r="O1516" t="s">
        <v>4195</v>
      </c>
      <c r="P1516" t="s">
        <v>4197</v>
      </c>
      <c r="Q1516" t="s">
        <v>75</v>
      </c>
      <c r="R1516" t="s">
        <v>5008</v>
      </c>
      <c r="S1516" t="s">
        <v>1565</v>
      </c>
      <c r="T1516" t="s">
        <v>78</v>
      </c>
      <c r="U1516" t="s">
        <v>5009</v>
      </c>
      <c r="V1516" t="s">
        <v>80</v>
      </c>
      <c r="W1516" s="1">
        <v>44905</v>
      </c>
      <c r="X1516" t="s">
        <v>5010</v>
      </c>
      <c r="Y1516" t="s">
        <v>5694</v>
      </c>
      <c r="Z1516" t="s">
        <v>83</v>
      </c>
      <c r="AA1516">
        <v>1</v>
      </c>
      <c r="AB1516" t="s">
        <v>5310</v>
      </c>
      <c r="AD1516" t="s">
        <v>112</v>
      </c>
      <c r="AE1516" t="s">
        <v>86</v>
      </c>
      <c r="AF1516" t="s">
        <v>146</v>
      </c>
      <c r="AG1516" t="s">
        <v>5536</v>
      </c>
      <c r="AH1516" t="s">
        <v>5701</v>
      </c>
      <c r="AI1516" t="s">
        <v>90</v>
      </c>
      <c r="AJ1516">
        <v>32.313924</v>
      </c>
      <c r="AK1516">
        <v>-110.713359</v>
      </c>
      <c r="AL1516">
        <v>3</v>
      </c>
      <c r="AN1516">
        <v>1153</v>
      </c>
      <c r="AP1516">
        <v>1153</v>
      </c>
      <c r="AQ1516">
        <v>1189.991994</v>
      </c>
      <c r="AT1516">
        <v>10</v>
      </c>
      <c r="AU1516">
        <v>12</v>
      </c>
      <c r="AV1516">
        <v>2022</v>
      </c>
      <c r="AW1516">
        <v>2439589</v>
      </c>
      <c r="AX1516">
        <v>2439589</v>
      </c>
      <c r="AY1516" t="s">
        <v>106</v>
      </c>
      <c r="AZ1516" t="s">
        <v>92</v>
      </c>
      <c r="BA1516" t="s">
        <v>107</v>
      </c>
      <c r="BB1516" t="s">
        <v>5720</v>
      </c>
      <c r="BC1516" t="s">
        <v>97</v>
      </c>
      <c r="BD1516" s="1">
        <v>44905</v>
      </c>
      <c r="BE1516" t="s">
        <v>96</v>
      </c>
      <c r="BG1516" t="s">
        <v>5504</v>
      </c>
      <c r="BI1516" t="s">
        <v>98</v>
      </c>
      <c r="BJ1516" t="s">
        <v>5718</v>
      </c>
      <c r="BL1516" t="s">
        <v>110</v>
      </c>
    </row>
    <row r="1517" spans="1:64" hidden="1" x14ac:dyDescent="0.2">
      <c r="A1517">
        <v>369</v>
      </c>
      <c r="B1517">
        <v>4136459611</v>
      </c>
      <c r="C1517" t="s">
        <v>101</v>
      </c>
      <c r="D1517" t="s">
        <v>5721</v>
      </c>
      <c r="E1517" t="s">
        <v>65</v>
      </c>
      <c r="F1517" t="s">
        <v>66</v>
      </c>
      <c r="G1517" t="s">
        <v>67</v>
      </c>
      <c r="H1517" t="s">
        <v>68</v>
      </c>
      <c r="I1517" t="s">
        <v>69</v>
      </c>
      <c r="J1517" t="s">
        <v>70</v>
      </c>
      <c r="K1517" t="s">
        <v>4195</v>
      </c>
      <c r="M1517" t="s">
        <v>72</v>
      </c>
      <c r="N1517" t="s">
        <v>4196</v>
      </c>
      <c r="O1517" t="s">
        <v>4195</v>
      </c>
      <c r="P1517" t="s">
        <v>4197</v>
      </c>
      <c r="Q1517" t="s">
        <v>75</v>
      </c>
      <c r="R1517" t="s">
        <v>5008</v>
      </c>
      <c r="S1517" t="s">
        <v>1565</v>
      </c>
      <c r="T1517" t="s">
        <v>78</v>
      </c>
      <c r="U1517" t="s">
        <v>5009</v>
      </c>
      <c r="V1517" t="s">
        <v>80</v>
      </c>
      <c r="W1517" s="1">
        <v>44905</v>
      </c>
      <c r="X1517" t="s">
        <v>5010</v>
      </c>
      <c r="Y1517" t="s">
        <v>5694</v>
      </c>
      <c r="Z1517" t="s">
        <v>83</v>
      </c>
      <c r="AA1517">
        <v>1</v>
      </c>
      <c r="AB1517" t="s">
        <v>5310</v>
      </c>
      <c r="AD1517" t="s">
        <v>104</v>
      </c>
      <c r="AE1517" t="s">
        <v>86</v>
      </c>
      <c r="AF1517" t="s">
        <v>146</v>
      </c>
      <c r="AG1517" t="s">
        <v>5536</v>
      </c>
      <c r="AH1517" t="s">
        <v>5701</v>
      </c>
      <c r="AI1517" t="s">
        <v>90</v>
      </c>
      <c r="AJ1517">
        <v>32.313924</v>
      </c>
      <c r="AK1517">
        <v>-110.713359</v>
      </c>
      <c r="AL1517">
        <v>3</v>
      </c>
      <c r="AN1517">
        <v>1153</v>
      </c>
      <c r="AP1517">
        <v>1153</v>
      </c>
      <c r="AQ1517">
        <v>1189.991994</v>
      </c>
      <c r="AT1517">
        <v>10</v>
      </c>
      <c r="AU1517">
        <v>12</v>
      </c>
      <c r="AV1517">
        <v>2022</v>
      </c>
      <c r="AW1517">
        <v>2439589</v>
      </c>
      <c r="AX1517">
        <v>2439589</v>
      </c>
      <c r="AY1517" t="s">
        <v>106</v>
      </c>
      <c r="AZ1517" t="s">
        <v>92</v>
      </c>
      <c r="BA1517" t="s">
        <v>107</v>
      </c>
      <c r="BB1517" t="s">
        <v>5722</v>
      </c>
      <c r="BC1517" t="s">
        <v>97</v>
      </c>
      <c r="BD1517" s="1">
        <v>44905</v>
      </c>
      <c r="BE1517" t="s">
        <v>96</v>
      </c>
      <c r="BG1517" t="s">
        <v>5504</v>
      </c>
      <c r="BI1517" t="s">
        <v>98</v>
      </c>
      <c r="BJ1517" t="s">
        <v>3484</v>
      </c>
      <c r="BL1517" t="s">
        <v>110</v>
      </c>
    </row>
    <row r="1518" spans="1:64" hidden="1" x14ac:dyDescent="0.2">
      <c r="A1518">
        <v>520</v>
      </c>
      <c r="B1518">
        <v>4136459439</v>
      </c>
      <c r="C1518" t="s">
        <v>101</v>
      </c>
      <c r="D1518" t="s">
        <v>5723</v>
      </c>
      <c r="E1518" t="s">
        <v>65</v>
      </c>
      <c r="F1518" t="s">
        <v>66</v>
      </c>
      <c r="G1518" t="s">
        <v>67</v>
      </c>
      <c r="H1518" t="s">
        <v>68</v>
      </c>
      <c r="I1518" t="s">
        <v>69</v>
      </c>
      <c r="J1518" t="s">
        <v>70</v>
      </c>
      <c r="K1518" t="s">
        <v>4195</v>
      </c>
      <c r="M1518" t="s">
        <v>72</v>
      </c>
      <c r="N1518" t="s">
        <v>4196</v>
      </c>
      <c r="O1518" t="s">
        <v>4195</v>
      </c>
      <c r="P1518" t="s">
        <v>4197</v>
      </c>
      <c r="Q1518" t="s">
        <v>75</v>
      </c>
      <c r="R1518" t="s">
        <v>5008</v>
      </c>
      <c r="S1518" t="s">
        <v>1565</v>
      </c>
      <c r="T1518" t="s">
        <v>78</v>
      </c>
      <c r="U1518" t="s">
        <v>5009</v>
      </c>
      <c r="V1518" t="s">
        <v>80</v>
      </c>
      <c r="W1518" s="1">
        <v>44905</v>
      </c>
      <c r="X1518" t="s">
        <v>5010</v>
      </c>
      <c r="Y1518" t="s">
        <v>5694</v>
      </c>
      <c r="Z1518" t="s">
        <v>83</v>
      </c>
      <c r="AA1518">
        <v>1</v>
      </c>
      <c r="AB1518" t="s">
        <v>5516</v>
      </c>
      <c r="AD1518" t="s">
        <v>378</v>
      </c>
      <c r="AE1518" t="s">
        <v>86</v>
      </c>
      <c r="AF1518" t="s">
        <v>146</v>
      </c>
      <c r="AG1518" t="s">
        <v>5536</v>
      </c>
      <c r="AH1518" t="s">
        <v>5701</v>
      </c>
      <c r="AI1518" t="s">
        <v>90</v>
      </c>
      <c r="AJ1518">
        <v>32.313924</v>
      </c>
      <c r="AK1518">
        <v>-110.713359</v>
      </c>
      <c r="AL1518">
        <v>3</v>
      </c>
      <c r="AN1518">
        <v>1153</v>
      </c>
      <c r="AP1518">
        <v>1153</v>
      </c>
      <c r="AQ1518">
        <v>1189.991994</v>
      </c>
      <c r="AT1518">
        <v>10</v>
      </c>
      <c r="AU1518">
        <v>12</v>
      </c>
      <c r="AV1518">
        <v>2022</v>
      </c>
      <c r="AW1518">
        <v>2439589</v>
      </c>
      <c r="AX1518">
        <v>2439589</v>
      </c>
      <c r="AY1518" t="s">
        <v>106</v>
      </c>
      <c r="AZ1518" t="s">
        <v>92</v>
      </c>
      <c r="BA1518" t="s">
        <v>107</v>
      </c>
      <c r="BB1518" t="s">
        <v>5724</v>
      </c>
      <c r="BC1518" t="s">
        <v>97</v>
      </c>
      <c r="BD1518" s="1">
        <v>44905</v>
      </c>
      <c r="BE1518" t="s">
        <v>96</v>
      </c>
      <c r="BG1518" t="s">
        <v>5504</v>
      </c>
      <c r="BI1518" t="s">
        <v>98</v>
      </c>
      <c r="BJ1518" t="s">
        <v>5725</v>
      </c>
      <c r="BL1518" t="s">
        <v>110</v>
      </c>
    </row>
    <row r="1519" spans="1:64" hidden="1" x14ac:dyDescent="0.2">
      <c r="A1519">
        <v>370</v>
      </c>
      <c r="B1519">
        <v>4136459610</v>
      </c>
      <c r="C1519" t="s">
        <v>101</v>
      </c>
      <c r="D1519" t="s">
        <v>5733</v>
      </c>
      <c r="E1519" t="s">
        <v>65</v>
      </c>
      <c r="F1519" t="s">
        <v>66</v>
      </c>
      <c r="G1519" t="s">
        <v>67</v>
      </c>
      <c r="H1519" t="s">
        <v>68</v>
      </c>
      <c r="I1519" t="s">
        <v>69</v>
      </c>
      <c r="J1519" t="s">
        <v>70</v>
      </c>
      <c r="K1519" t="s">
        <v>4195</v>
      </c>
      <c r="M1519" t="s">
        <v>72</v>
      </c>
      <c r="N1519" t="s">
        <v>4196</v>
      </c>
      <c r="O1519" t="s">
        <v>4195</v>
      </c>
      <c r="P1519" t="s">
        <v>4197</v>
      </c>
      <c r="Q1519" t="s">
        <v>75</v>
      </c>
      <c r="R1519" t="s">
        <v>5008</v>
      </c>
      <c r="S1519" t="s">
        <v>5727</v>
      </c>
      <c r="T1519" t="s">
        <v>78</v>
      </c>
      <c r="U1519" t="s">
        <v>5009</v>
      </c>
      <c r="V1519" t="s">
        <v>80</v>
      </c>
      <c r="W1519" s="1">
        <v>44905</v>
      </c>
      <c r="X1519" t="s">
        <v>5010</v>
      </c>
      <c r="Y1519" t="s">
        <v>5728</v>
      </c>
      <c r="Z1519" t="s">
        <v>83</v>
      </c>
      <c r="AA1519">
        <v>1</v>
      </c>
      <c r="AB1519" t="s">
        <v>5700</v>
      </c>
      <c r="AD1519" t="s">
        <v>116</v>
      </c>
      <c r="AE1519" t="s">
        <v>86</v>
      </c>
      <c r="AF1519" t="s">
        <v>146</v>
      </c>
      <c r="AG1519" t="s">
        <v>5730</v>
      </c>
      <c r="AH1519" t="s">
        <v>5734</v>
      </c>
      <c r="AI1519" t="s">
        <v>90</v>
      </c>
      <c r="AJ1519">
        <v>32.313409999999998</v>
      </c>
      <c r="AK1519">
        <v>-110.714251</v>
      </c>
      <c r="AL1519">
        <v>3</v>
      </c>
      <c r="AP1519">
        <v>1184.787599</v>
      </c>
      <c r="AQ1519">
        <v>1184.787599</v>
      </c>
      <c r="AT1519">
        <v>10</v>
      </c>
      <c r="AU1519">
        <v>12</v>
      </c>
      <c r="AV1519">
        <v>2022</v>
      </c>
      <c r="AW1519">
        <v>2439589</v>
      </c>
      <c r="AX1519">
        <v>2439589</v>
      </c>
      <c r="AY1519" t="s">
        <v>106</v>
      </c>
      <c r="AZ1519" t="s">
        <v>92</v>
      </c>
      <c r="BA1519" t="s">
        <v>107</v>
      </c>
      <c r="BB1519" t="s">
        <v>5735</v>
      </c>
      <c r="BC1519" t="s">
        <v>97</v>
      </c>
      <c r="BD1519" s="1">
        <v>44905</v>
      </c>
      <c r="BE1519" t="s">
        <v>96</v>
      </c>
      <c r="BG1519" t="s">
        <v>5504</v>
      </c>
      <c r="BI1519" t="s">
        <v>98</v>
      </c>
      <c r="BJ1519" t="s">
        <v>3484</v>
      </c>
      <c r="BL1519" t="s">
        <v>412</v>
      </c>
    </row>
    <row r="1520" spans="1:64" hidden="1" x14ac:dyDescent="0.2">
      <c r="A1520">
        <v>367</v>
      </c>
      <c r="B1520">
        <v>4136459624</v>
      </c>
      <c r="C1520" t="s">
        <v>101</v>
      </c>
      <c r="D1520" t="s">
        <v>5736</v>
      </c>
      <c r="E1520" t="s">
        <v>65</v>
      </c>
      <c r="F1520" t="s">
        <v>66</v>
      </c>
      <c r="G1520" t="s">
        <v>67</v>
      </c>
      <c r="H1520" t="s">
        <v>68</v>
      </c>
      <c r="I1520" t="s">
        <v>69</v>
      </c>
      <c r="J1520" t="s">
        <v>70</v>
      </c>
      <c r="K1520" t="s">
        <v>4195</v>
      </c>
      <c r="M1520" t="s">
        <v>72</v>
      </c>
      <c r="N1520" t="s">
        <v>4196</v>
      </c>
      <c r="O1520" t="s">
        <v>4195</v>
      </c>
      <c r="P1520" t="s">
        <v>4197</v>
      </c>
      <c r="Q1520" t="s">
        <v>75</v>
      </c>
      <c r="R1520" t="s">
        <v>5008</v>
      </c>
      <c r="S1520" t="s">
        <v>5727</v>
      </c>
      <c r="T1520" t="s">
        <v>78</v>
      </c>
      <c r="U1520" t="s">
        <v>5009</v>
      </c>
      <c r="V1520" t="s">
        <v>80</v>
      </c>
      <c r="W1520" s="1">
        <v>44905</v>
      </c>
      <c r="X1520" t="s">
        <v>5010</v>
      </c>
      <c r="Y1520" t="s">
        <v>5728</v>
      </c>
      <c r="Z1520" t="s">
        <v>83</v>
      </c>
      <c r="AA1520">
        <v>1</v>
      </c>
      <c r="AB1520" t="s">
        <v>5700</v>
      </c>
      <c r="AD1520" t="s">
        <v>139</v>
      </c>
      <c r="AE1520" t="s">
        <v>86</v>
      </c>
      <c r="AF1520" t="s">
        <v>146</v>
      </c>
      <c r="AG1520" t="s">
        <v>5730</v>
      </c>
      <c r="AH1520" t="s">
        <v>5734</v>
      </c>
      <c r="AI1520" t="s">
        <v>90</v>
      </c>
      <c r="AJ1520">
        <v>32.313409999999998</v>
      </c>
      <c r="AK1520">
        <v>-110.714251</v>
      </c>
      <c r="AL1520">
        <v>3</v>
      </c>
      <c r="AP1520">
        <v>1184.787599</v>
      </c>
      <c r="AQ1520">
        <v>1184.787599</v>
      </c>
      <c r="AT1520">
        <v>10</v>
      </c>
      <c r="AU1520">
        <v>12</v>
      </c>
      <c r="AV1520">
        <v>2022</v>
      </c>
      <c r="AW1520">
        <v>2439589</v>
      </c>
      <c r="AX1520">
        <v>2439589</v>
      </c>
      <c r="AY1520" t="s">
        <v>106</v>
      </c>
      <c r="AZ1520" t="s">
        <v>92</v>
      </c>
      <c r="BA1520" t="s">
        <v>107</v>
      </c>
      <c r="BB1520" t="s">
        <v>5737</v>
      </c>
      <c r="BC1520" t="s">
        <v>97</v>
      </c>
      <c r="BD1520" s="1">
        <v>44905</v>
      </c>
      <c r="BE1520" t="s">
        <v>96</v>
      </c>
      <c r="BG1520" t="s">
        <v>5504</v>
      </c>
      <c r="BI1520" t="s">
        <v>98</v>
      </c>
      <c r="BJ1520" t="s">
        <v>3488</v>
      </c>
      <c r="BL1520" t="s">
        <v>412</v>
      </c>
    </row>
    <row r="1521" spans="1:64" hidden="1" x14ac:dyDescent="0.2">
      <c r="A1521">
        <v>368</v>
      </c>
      <c r="B1521">
        <v>4136459623</v>
      </c>
      <c r="C1521" t="s">
        <v>101</v>
      </c>
      <c r="D1521" t="s">
        <v>5738</v>
      </c>
      <c r="E1521" t="s">
        <v>65</v>
      </c>
      <c r="F1521" t="s">
        <v>66</v>
      </c>
      <c r="G1521" t="s">
        <v>67</v>
      </c>
      <c r="H1521" t="s">
        <v>68</v>
      </c>
      <c r="I1521" t="s">
        <v>69</v>
      </c>
      <c r="J1521" t="s">
        <v>70</v>
      </c>
      <c r="K1521" t="s">
        <v>4195</v>
      </c>
      <c r="M1521" t="s">
        <v>72</v>
      </c>
      <c r="N1521" t="s">
        <v>4196</v>
      </c>
      <c r="O1521" t="s">
        <v>4195</v>
      </c>
      <c r="P1521" t="s">
        <v>4197</v>
      </c>
      <c r="Q1521" t="s">
        <v>75</v>
      </c>
      <c r="R1521" t="s">
        <v>5008</v>
      </c>
      <c r="S1521" t="s">
        <v>5727</v>
      </c>
      <c r="T1521" t="s">
        <v>78</v>
      </c>
      <c r="U1521" t="s">
        <v>5009</v>
      </c>
      <c r="V1521" t="s">
        <v>80</v>
      </c>
      <c r="W1521" s="1">
        <v>44905</v>
      </c>
      <c r="X1521" t="s">
        <v>5010</v>
      </c>
      <c r="Y1521" t="s">
        <v>5728</v>
      </c>
      <c r="Z1521" t="s">
        <v>83</v>
      </c>
      <c r="AA1521">
        <v>1</v>
      </c>
      <c r="AB1521" t="s">
        <v>5700</v>
      </c>
      <c r="AD1521" t="s">
        <v>104</v>
      </c>
      <c r="AE1521" t="s">
        <v>86</v>
      </c>
      <c r="AF1521" t="s">
        <v>146</v>
      </c>
      <c r="AG1521" t="s">
        <v>5730</v>
      </c>
      <c r="AH1521" t="s">
        <v>5734</v>
      </c>
      <c r="AI1521" t="s">
        <v>90</v>
      </c>
      <c r="AJ1521">
        <v>32.313409999999998</v>
      </c>
      <c r="AK1521">
        <v>-110.714251</v>
      </c>
      <c r="AL1521">
        <v>3</v>
      </c>
      <c r="AP1521">
        <v>1184.787599</v>
      </c>
      <c r="AQ1521">
        <v>1184.787599</v>
      </c>
      <c r="AT1521">
        <v>10</v>
      </c>
      <c r="AU1521">
        <v>12</v>
      </c>
      <c r="AV1521">
        <v>2022</v>
      </c>
      <c r="AW1521">
        <v>2439589</v>
      </c>
      <c r="AX1521">
        <v>2439589</v>
      </c>
      <c r="AY1521" t="s">
        <v>106</v>
      </c>
      <c r="AZ1521" t="s">
        <v>92</v>
      </c>
      <c r="BA1521" t="s">
        <v>107</v>
      </c>
      <c r="BB1521" t="s">
        <v>5739</v>
      </c>
      <c r="BC1521" t="s">
        <v>97</v>
      </c>
      <c r="BD1521" s="1">
        <v>44905</v>
      </c>
      <c r="BE1521" t="s">
        <v>96</v>
      </c>
      <c r="BG1521" t="s">
        <v>5504</v>
      </c>
      <c r="BI1521" t="s">
        <v>98</v>
      </c>
      <c r="BJ1521" t="s">
        <v>3488</v>
      </c>
      <c r="BL1521" t="s">
        <v>412</v>
      </c>
    </row>
    <row r="1522" spans="1:64" hidden="1" x14ac:dyDescent="0.2">
      <c r="A1522">
        <v>365</v>
      </c>
      <c r="B1522">
        <v>4136459626</v>
      </c>
      <c r="C1522" t="s">
        <v>101</v>
      </c>
      <c r="D1522" s="2" t="s">
        <v>5740</v>
      </c>
      <c r="E1522" t="s">
        <v>65</v>
      </c>
      <c r="F1522" t="s">
        <v>66</v>
      </c>
      <c r="G1522" t="s">
        <v>67</v>
      </c>
      <c r="H1522" t="s">
        <v>68</v>
      </c>
      <c r="I1522" t="s">
        <v>69</v>
      </c>
      <c r="J1522" t="s">
        <v>70</v>
      </c>
      <c r="K1522" t="s">
        <v>4195</v>
      </c>
      <c r="M1522" t="s">
        <v>72</v>
      </c>
      <c r="N1522" t="s">
        <v>4196</v>
      </c>
      <c r="O1522" t="s">
        <v>4195</v>
      </c>
      <c r="P1522" t="s">
        <v>4197</v>
      </c>
      <c r="Q1522" t="s">
        <v>75</v>
      </c>
      <c r="R1522" t="s">
        <v>5008</v>
      </c>
      <c r="S1522" t="s">
        <v>5727</v>
      </c>
      <c r="T1522" t="s">
        <v>78</v>
      </c>
      <c r="U1522" t="s">
        <v>5009</v>
      </c>
      <c r="V1522" t="s">
        <v>80</v>
      </c>
      <c r="W1522" s="1">
        <v>44905</v>
      </c>
      <c r="X1522" t="s">
        <v>5010</v>
      </c>
      <c r="Y1522" t="s">
        <v>5728</v>
      </c>
      <c r="Z1522" t="s">
        <v>83</v>
      </c>
      <c r="AA1522">
        <v>1</v>
      </c>
      <c r="AB1522" t="s">
        <v>5310</v>
      </c>
      <c r="AD1522" t="s">
        <v>112</v>
      </c>
      <c r="AE1522" t="s">
        <v>86</v>
      </c>
      <c r="AF1522" t="s">
        <v>146</v>
      </c>
      <c r="AG1522" t="s">
        <v>5730</v>
      </c>
      <c r="AH1522" t="s">
        <v>5734</v>
      </c>
      <c r="AI1522" t="s">
        <v>90</v>
      </c>
      <c r="AJ1522">
        <v>32.313409999999998</v>
      </c>
      <c r="AK1522">
        <v>-110.714251</v>
      </c>
      <c r="AL1522">
        <v>3</v>
      </c>
      <c r="AP1522">
        <v>1184.787599</v>
      </c>
      <c r="AQ1522">
        <v>1184.787599</v>
      </c>
      <c r="AT1522">
        <v>10</v>
      </c>
      <c r="AU1522">
        <v>12</v>
      </c>
      <c r="AV1522">
        <v>2022</v>
      </c>
      <c r="AW1522">
        <v>2439589</v>
      </c>
      <c r="AX1522">
        <v>2439589</v>
      </c>
      <c r="AY1522" t="s">
        <v>106</v>
      </c>
      <c r="AZ1522" t="s">
        <v>92</v>
      </c>
      <c r="BA1522" t="s">
        <v>107</v>
      </c>
      <c r="BB1522" t="s">
        <v>5741</v>
      </c>
      <c r="BC1522" t="s">
        <v>97</v>
      </c>
      <c r="BD1522" s="1">
        <v>44905</v>
      </c>
      <c r="BE1522" t="s">
        <v>96</v>
      </c>
      <c r="BG1522" t="s">
        <v>5504</v>
      </c>
      <c r="BI1522" t="s">
        <v>98</v>
      </c>
      <c r="BJ1522" t="s">
        <v>3518</v>
      </c>
      <c r="BL1522" t="s">
        <v>412</v>
      </c>
    </row>
    <row r="1523" spans="1:64" hidden="1" x14ac:dyDescent="0.2">
      <c r="A1523">
        <v>366</v>
      </c>
      <c r="B1523">
        <v>4136459625</v>
      </c>
      <c r="C1523" t="s">
        <v>101</v>
      </c>
      <c r="D1523" t="s">
        <v>5742</v>
      </c>
      <c r="E1523" t="s">
        <v>65</v>
      </c>
      <c r="F1523" t="s">
        <v>66</v>
      </c>
      <c r="G1523" t="s">
        <v>67</v>
      </c>
      <c r="H1523" t="s">
        <v>68</v>
      </c>
      <c r="I1523" t="s">
        <v>69</v>
      </c>
      <c r="J1523" t="s">
        <v>70</v>
      </c>
      <c r="K1523" t="s">
        <v>4195</v>
      </c>
      <c r="M1523" t="s">
        <v>72</v>
      </c>
      <c r="N1523" t="s">
        <v>4196</v>
      </c>
      <c r="O1523" t="s">
        <v>4195</v>
      </c>
      <c r="P1523" t="s">
        <v>4197</v>
      </c>
      <c r="Q1523" t="s">
        <v>75</v>
      </c>
      <c r="R1523" t="s">
        <v>5008</v>
      </c>
      <c r="S1523" t="s">
        <v>5727</v>
      </c>
      <c r="T1523" t="s">
        <v>78</v>
      </c>
      <c r="U1523" t="s">
        <v>5009</v>
      </c>
      <c r="V1523" t="s">
        <v>80</v>
      </c>
      <c r="W1523" s="1">
        <v>44905</v>
      </c>
      <c r="X1523" t="s">
        <v>5010</v>
      </c>
      <c r="Y1523" t="s">
        <v>5728</v>
      </c>
      <c r="Z1523" t="s">
        <v>83</v>
      </c>
      <c r="AA1523">
        <v>1</v>
      </c>
      <c r="AB1523" t="s">
        <v>5310</v>
      </c>
      <c r="AD1523" t="s">
        <v>123</v>
      </c>
      <c r="AE1523" t="s">
        <v>86</v>
      </c>
      <c r="AF1523" t="s">
        <v>146</v>
      </c>
      <c r="AG1523" t="s">
        <v>5730</v>
      </c>
      <c r="AH1523" t="s">
        <v>5734</v>
      </c>
      <c r="AI1523" t="s">
        <v>90</v>
      </c>
      <c r="AJ1523">
        <v>32.313409999999998</v>
      </c>
      <c r="AK1523">
        <v>-110.714251</v>
      </c>
      <c r="AL1523">
        <v>3</v>
      </c>
      <c r="AP1523">
        <v>1184.787599</v>
      </c>
      <c r="AQ1523">
        <v>1184.787599</v>
      </c>
      <c r="AT1523">
        <v>10</v>
      </c>
      <c r="AU1523">
        <v>12</v>
      </c>
      <c r="AV1523">
        <v>2022</v>
      </c>
      <c r="AW1523">
        <v>2439589</v>
      </c>
      <c r="AX1523">
        <v>2439589</v>
      </c>
      <c r="AY1523" t="s">
        <v>106</v>
      </c>
      <c r="AZ1523" t="s">
        <v>92</v>
      </c>
      <c r="BA1523" t="s">
        <v>107</v>
      </c>
      <c r="BB1523" t="s">
        <v>5743</v>
      </c>
      <c r="BC1523" t="s">
        <v>97</v>
      </c>
      <c r="BD1523" s="1">
        <v>44905</v>
      </c>
      <c r="BE1523" t="s">
        <v>96</v>
      </c>
      <c r="BG1523" t="s">
        <v>5504</v>
      </c>
      <c r="BI1523" t="s">
        <v>98</v>
      </c>
      <c r="BJ1523" t="s">
        <v>3518</v>
      </c>
      <c r="BL1523" t="s">
        <v>412</v>
      </c>
    </row>
    <row r="1524" spans="1:64" hidden="1" x14ac:dyDescent="0.2">
      <c r="A1524">
        <v>363</v>
      </c>
      <c r="B1524">
        <v>4136459628</v>
      </c>
      <c r="C1524" t="s">
        <v>101</v>
      </c>
      <c r="D1524" t="s">
        <v>5744</v>
      </c>
      <c r="E1524" t="s">
        <v>65</v>
      </c>
      <c r="F1524" t="s">
        <v>66</v>
      </c>
      <c r="G1524" t="s">
        <v>67</v>
      </c>
      <c r="H1524" t="s">
        <v>68</v>
      </c>
      <c r="I1524" t="s">
        <v>69</v>
      </c>
      <c r="J1524" t="s">
        <v>70</v>
      </c>
      <c r="K1524" t="s">
        <v>4195</v>
      </c>
      <c r="M1524" t="s">
        <v>72</v>
      </c>
      <c r="N1524" t="s">
        <v>4196</v>
      </c>
      <c r="O1524" t="s">
        <v>4195</v>
      </c>
      <c r="P1524" t="s">
        <v>4197</v>
      </c>
      <c r="Q1524" t="s">
        <v>75</v>
      </c>
      <c r="R1524" t="s">
        <v>5008</v>
      </c>
      <c r="S1524" t="s">
        <v>5727</v>
      </c>
      <c r="T1524" t="s">
        <v>78</v>
      </c>
      <c r="U1524" t="s">
        <v>5009</v>
      </c>
      <c r="V1524" t="s">
        <v>80</v>
      </c>
      <c r="W1524" s="1">
        <v>44905</v>
      </c>
      <c r="X1524" t="s">
        <v>5010</v>
      </c>
      <c r="Y1524" t="s">
        <v>5728</v>
      </c>
      <c r="Z1524" t="s">
        <v>83</v>
      </c>
      <c r="AA1524">
        <v>1</v>
      </c>
      <c r="AB1524" t="s">
        <v>5310</v>
      </c>
      <c r="AD1524" t="s">
        <v>104</v>
      </c>
      <c r="AE1524" t="s">
        <v>86</v>
      </c>
      <c r="AF1524" t="s">
        <v>146</v>
      </c>
      <c r="AG1524" t="s">
        <v>5730</v>
      </c>
      <c r="AH1524" t="s">
        <v>5734</v>
      </c>
      <c r="AI1524" t="s">
        <v>90</v>
      </c>
      <c r="AJ1524">
        <v>32.313409999999998</v>
      </c>
      <c r="AK1524">
        <v>-110.714251</v>
      </c>
      <c r="AL1524">
        <v>3</v>
      </c>
      <c r="AP1524">
        <v>1184.787599</v>
      </c>
      <c r="AQ1524">
        <v>1184.787599</v>
      </c>
      <c r="AT1524">
        <v>10</v>
      </c>
      <c r="AU1524">
        <v>12</v>
      </c>
      <c r="AV1524">
        <v>2022</v>
      </c>
      <c r="AW1524">
        <v>2439589</v>
      </c>
      <c r="AX1524">
        <v>2439589</v>
      </c>
      <c r="AY1524" t="s">
        <v>106</v>
      </c>
      <c r="AZ1524" t="s">
        <v>92</v>
      </c>
      <c r="BA1524" t="s">
        <v>107</v>
      </c>
      <c r="BB1524" t="s">
        <v>5745</v>
      </c>
      <c r="BC1524" t="s">
        <v>97</v>
      </c>
      <c r="BD1524" s="1">
        <v>44905</v>
      </c>
      <c r="BE1524" t="s">
        <v>96</v>
      </c>
      <c r="BG1524" t="s">
        <v>5504</v>
      </c>
      <c r="BI1524" t="s">
        <v>98</v>
      </c>
      <c r="BJ1524" t="s">
        <v>3518</v>
      </c>
      <c r="BL1524" t="s">
        <v>412</v>
      </c>
    </row>
    <row r="1525" spans="1:64" hidden="1" x14ac:dyDescent="0.2">
      <c r="A1525">
        <v>364</v>
      </c>
      <c r="B1525">
        <v>4136459627</v>
      </c>
      <c r="C1525" t="s">
        <v>101</v>
      </c>
      <c r="D1525" t="s">
        <v>5746</v>
      </c>
      <c r="E1525" t="s">
        <v>65</v>
      </c>
      <c r="F1525" t="s">
        <v>66</v>
      </c>
      <c r="G1525" t="s">
        <v>67</v>
      </c>
      <c r="H1525" t="s">
        <v>68</v>
      </c>
      <c r="I1525" t="s">
        <v>69</v>
      </c>
      <c r="J1525" t="s">
        <v>70</v>
      </c>
      <c r="K1525" t="s">
        <v>4195</v>
      </c>
      <c r="M1525" t="s">
        <v>72</v>
      </c>
      <c r="N1525" t="s">
        <v>4196</v>
      </c>
      <c r="O1525" t="s">
        <v>4195</v>
      </c>
      <c r="P1525" t="s">
        <v>4197</v>
      </c>
      <c r="Q1525" t="s">
        <v>75</v>
      </c>
      <c r="R1525" t="s">
        <v>5008</v>
      </c>
      <c r="S1525" t="s">
        <v>5727</v>
      </c>
      <c r="T1525" t="s">
        <v>78</v>
      </c>
      <c r="U1525" t="s">
        <v>5009</v>
      </c>
      <c r="V1525" t="s">
        <v>80</v>
      </c>
      <c r="W1525" s="1">
        <v>44905</v>
      </c>
      <c r="X1525" t="s">
        <v>5010</v>
      </c>
      <c r="Y1525" t="s">
        <v>5728</v>
      </c>
      <c r="Z1525" t="s">
        <v>83</v>
      </c>
      <c r="AA1525">
        <v>1</v>
      </c>
      <c r="AB1525" t="s">
        <v>5310</v>
      </c>
      <c r="AD1525" t="s">
        <v>116</v>
      </c>
      <c r="AE1525" t="s">
        <v>86</v>
      </c>
      <c r="AF1525" t="s">
        <v>146</v>
      </c>
      <c r="AG1525" t="s">
        <v>5730</v>
      </c>
      <c r="AH1525" t="s">
        <v>5734</v>
      </c>
      <c r="AI1525" t="s">
        <v>90</v>
      </c>
      <c r="AJ1525">
        <v>32.313409999999998</v>
      </c>
      <c r="AK1525">
        <v>-110.714251</v>
      </c>
      <c r="AL1525">
        <v>3</v>
      </c>
      <c r="AP1525">
        <v>1184.787599</v>
      </c>
      <c r="AQ1525">
        <v>1184.787599</v>
      </c>
      <c r="AT1525">
        <v>10</v>
      </c>
      <c r="AU1525">
        <v>12</v>
      </c>
      <c r="AV1525">
        <v>2022</v>
      </c>
      <c r="AW1525">
        <v>2439589</v>
      </c>
      <c r="AX1525">
        <v>2439589</v>
      </c>
      <c r="AY1525" t="s">
        <v>106</v>
      </c>
      <c r="AZ1525" t="s">
        <v>92</v>
      </c>
      <c r="BA1525" t="s">
        <v>107</v>
      </c>
      <c r="BB1525" t="s">
        <v>5747</v>
      </c>
      <c r="BC1525" t="s">
        <v>97</v>
      </c>
      <c r="BD1525" s="1">
        <v>44905</v>
      </c>
      <c r="BE1525" t="s">
        <v>96</v>
      </c>
      <c r="BG1525" t="s">
        <v>5504</v>
      </c>
      <c r="BI1525" t="s">
        <v>98</v>
      </c>
      <c r="BJ1525" t="s">
        <v>4695</v>
      </c>
      <c r="BL1525" t="s">
        <v>412</v>
      </c>
    </row>
    <row r="1526" spans="1:64" x14ac:dyDescent="0.2">
      <c r="A1526">
        <v>318</v>
      </c>
      <c r="B1526">
        <v>4403382320</v>
      </c>
      <c r="C1526" t="s">
        <v>101</v>
      </c>
      <c r="D1526" t="s">
        <v>1505</v>
      </c>
      <c r="E1526" t="s">
        <v>65</v>
      </c>
      <c r="F1526" t="s">
        <v>66</v>
      </c>
      <c r="G1526" t="s">
        <v>67</v>
      </c>
      <c r="H1526" t="s">
        <v>68</v>
      </c>
      <c r="I1526" t="s">
        <v>176</v>
      </c>
      <c r="J1526" t="s">
        <v>177</v>
      </c>
      <c r="K1526" t="s">
        <v>178</v>
      </c>
      <c r="M1526" t="s">
        <v>72</v>
      </c>
      <c r="N1526" t="s">
        <v>179</v>
      </c>
      <c r="O1526" t="s">
        <v>178</v>
      </c>
      <c r="P1526" t="s">
        <v>180</v>
      </c>
      <c r="Q1526" t="s">
        <v>75</v>
      </c>
      <c r="R1526" t="s">
        <v>1177</v>
      </c>
      <c r="S1526" t="s">
        <v>469</v>
      </c>
      <c r="T1526" t="s">
        <v>78</v>
      </c>
      <c r="U1526" t="s">
        <v>646</v>
      </c>
      <c r="V1526" t="s">
        <v>1179</v>
      </c>
      <c r="W1526" s="1">
        <v>45108</v>
      </c>
      <c r="X1526" t="s">
        <v>1180</v>
      </c>
      <c r="Y1526" t="s">
        <v>1481</v>
      </c>
      <c r="Z1526" t="s">
        <v>83</v>
      </c>
      <c r="AA1526">
        <v>1</v>
      </c>
      <c r="AB1526" t="s">
        <v>385</v>
      </c>
      <c r="AC1526">
        <v>1</v>
      </c>
      <c r="AD1526" t="s">
        <v>119</v>
      </c>
      <c r="AE1526" t="s">
        <v>86</v>
      </c>
      <c r="AF1526" t="s">
        <v>402</v>
      </c>
      <c r="AG1526" t="s">
        <v>1483</v>
      </c>
      <c r="AH1526" t="s">
        <v>1506</v>
      </c>
      <c r="AI1526" t="s">
        <v>90</v>
      </c>
      <c r="AJ1526">
        <v>32.449679000000003</v>
      </c>
      <c r="AK1526">
        <v>-110.736582</v>
      </c>
      <c r="AL1526">
        <v>3</v>
      </c>
      <c r="AN1526">
        <v>2075</v>
      </c>
      <c r="AP1526">
        <v>2075</v>
      </c>
      <c r="AQ1526">
        <v>2083.6500510000001</v>
      </c>
      <c r="AT1526">
        <v>1</v>
      </c>
      <c r="AU1526">
        <v>7</v>
      </c>
      <c r="AV1526">
        <v>2023</v>
      </c>
      <c r="AW1526">
        <v>2438038</v>
      </c>
      <c r="AX1526">
        <v>2438038</v>
      </c>
      <c r="AY1526" t="s">
        <v>106</v>
      </c>
      <c r="AZ1526" t="s">
        <v>92</v>
      </c>
      <c r="BA1526" t="s">
        <v>107</v>
      </c>
      <c r="BB1526" t="s">
        <v>1507</v>
      </c>
      <c r="BC1526" t="s">
        <v>1186</v>
      </c>
      <c r="BD1526" s="1">
        <v>45108</v>
      </c>
      <c r="BE1526" t="s">
        <v>96</v>
      </c>
      <c r="BG1526" t="s">
        <v>1187</v>
      </c>
      <c r="BI1526" t="s">
        <v>98</v>
      </c>
      <c r="BJ1526" t="s">
        <v>812</v>
      </c>
      <c r="BL1526" t="s">
        <v>412</v>
      </c>
    </row>
    <row r="1527" spans="1:64" x14ac:dyDescent="0.2">
      <c r="A1527">
        <v>22</v>
      </c>
      <c r="B1527">
        <v>4403382618</v>
      </c>
      <c r="C1527" t="s">
        <v>101</v>
      </c>
      <c r="D1527" t="s">
        <v>1708</v>
      </c>
      <c r="E1527" t="s">
        <v>65</v>
      </c>
      <c r="F1527" t="s">
        <v>66</v>
      </c>
      <c r="G1527" t="s">
        <v>67</v>
      </c>
      <c r="H1527" t="s">
        <v>68</v>
      </c>
      <c r="I1527" t="s">
        <v>176</v>
      </c>
      <c r="J1527" t="s">
        <v>773</v>
      </c>
      <c r="K1527" t="s">
        <v>774</v>
      </c>
      <c r="M1527" t="s">
        <v>72</v>
      </c>
      <c r="N1527" t="s">
        <v>775</v>
      </c>
      <c r="O1527" t="s">
        <v>774</v>
      </c>
      <c r="P1527" t="s">
        <v>776</v>
      </c>
      <c r="Q1527" t="s">
        <v>75</v>
      </c>
      <c r="R1527" t="s">
        <v>1177</v>
      </c>
      <c r="S1527" t="s">
        <v>1674</v>
      </c>
      <c r="T1527" t="s">
        <v>78</v>
      </c>
      <c r="U1527" t="s">
        <v>646</v>
      </c>
      <c r="V1527" t="s">
        <v>1179</v>
      </c>
      <c r="W1527" s="1">
        <v>45109</v>
      </c>
      <c r="X1527" t="s">
        <v>1180</v>
      </c>
      <c r="Y1527" t="s">
        <v>1675</v>
      </c>
      <c r="Z1527" t="s">
        <v>83</v>
      </c>
      <c r="AA1527">
        <v>1</v>
      </c>
      <c r="AB1527" t="s">
        <v>385</v>
      </c>
      <c r="AC1527">
        <v>1</v>
      </c>
      <c r="AD1527" t="s">
        <v>119</v>
      </c>
      <c r="AE1527" t="s">
        <v>86</v>
      </c>
      <c r="AF1527" t="s">
        <v>359</v>
      </c>
      <c r="AG1527" t="s">
        <v>1677</v>
      </c>
      <c r="AH1527" t="s">
        <v>1709</v>
      </c>
      <c r="AI1527" t="s">
        <v>90</v>
      </c>
      <c r="AJ1527">
        <v>32.450713999999998</v>
      </c>
      <c r="AK1527">
        <v>-110.73682599999999</v>
      </c>
      <c r="AL1527">
        <v>3</v>
      </c>
      <c r="AN1527">
        <v>2063</v>
      </c>
      <c r="AP1527">
        <v>2063</v>
      </c>
      <c r="AQ1527">
        <v>2064.604855</v>
      </c>
      <c r="AT1527">
        <v>2</v>
      </c>
      <c r="AU1527">
        <v>7</v>
      </c>
      <c r="AV1527">
        <v>2023</v>
      </c>
      <c r="AW1527">
        <v>2438447</v>
      </c>
      <c r="AX1527">
        <v>2438447</v>
      </c>
      <c r="AY1527" t="s">
        <v>106</v>
      </c>
      <c r="AZ1527" t="s">
        <v>92</v>
      </c>
      <c r="BA1527" t="s">
        <v>107</v>
      </c>
      <c r="BB1527" t="s">
        <v>1710</v>
      </c>
      <c r="BC1527" t="s">
        <v>1186</v>
      </c>
      <c r="BD1527" s="1">
        <v>45109</v>
      </c>
      <c r="BE1527" t="s">
        <v>96</v>
      </c>
      <c r="BG1527" t="s">
        <v>1649</v>
      </c>
      <c r="BI1527" t="s">
        <v>98</v>
      </c>
      <c r="BJ1527" t="s">
        <v>1691</v>
      </c>
      <c r="BL1527" t="s">
        <v>412</v>
      </c>
    </row>
    <row r="1528" spans="1:64" x14ac:dyDescent="0.2">
      <c r="A1528">
        <v>50</v>
      </c>
      <c r="B1528">
        <v>4403382590</v>
      </c>
      <c r="C1528" t="s">
        <v>101</v>
      </c>
      <c r="D1528" t="s">
        <v>1745</v>
      </c>
      <c r="E1528" t="s">
        <v>65</v>
      </c>
      <c r="F1528" t="s">
        <v>66</v>
      </c>
      <c r="G1528" t="s">
        <v>67</v>
      </c>
      <c r="H1528" t="s">
        <v>68</v>
      </c>
      <c r="I1528" t="s">
        <v>176</v>
      </c>
      <c r="J1528" t="s">
        <v>773</v>
      </c>
      <c r="K1528" t="s">
        <v>1347</v>
      </c>
      <c r="M1528" t="s">
        <v>72</v>
      </c>
      <c r="N1528" t="s">
        <v>1348</v>
      </c>
      <c r="O1528" t="s">
        <v>1347</v>
      </c>
      <c r="P1528" t="s">
        <v>1349</v>
      </c>
      <c r="Q1528" t="s">
        <v>75</v>
      </c>
      <c r="R1528" t="s">
        <v>1177</v>
      </c>
      <c r="S1528" t="s">
        <v>1715</v>
      </c>
      <c r="T1528" t="s">
        <v>78</v>
      </c>
      <c r="U1528" t="s">
        <v>646</v>
      </c>
      <c r="V1528" t="s">
        <v>1179</v>
      </c>
      <c r="W1528" s="1">
        <v>45109</v>
      </c>
      <c r="X1528" t="s">
        <v>1180</v>
      </c>
      <c r="Y1528" t="s">
        <v>1716</v>
      </c>
      <c r="Z1528" t="s">
        <v>83</v>
      </c>
      <c r="AA1528">
        <v>1</v>
      </c>
      <c r="AB1528" t="s">
        <v>385</v>
      </c>
      <c r="AC1528">
        <v>1</v>
      </c>
      <c r="AD1528" t="s">
        <v>119</v>
      </c>
      <c r="AE1528" t="s">
        <v>145</v>
      </c>
      <c r="AF1528" t="s">
        <v>610</v>
      </c>
      <c r="AG1528" t="s">
        <v>1718</v>
      </c>
      <c r="AH1528" t="s">
        <v>1746</v>
      </c>
      <c r="AI1528" t="s">
        <v>90</v>
      </c>
      <c r="AJ1528">
        <v>32.449168999999998</v>
      </c>
      <c r="AK1528">
        <v>-110.737905</v>
      </c>
      <c r="AL1528">
        <v>3</v>
      </c>
      <c r="AN1528">
        <v>2071</v>
      </c>
      <c r="AP1528">
        <v>2071</v>
      </c>
      <c r="AQ1528">
        <v>2087.5710469999999</v>
      </c>
      <c r="AT1528">
        <v>2</v>
      </c>
      <c r="AU1528">
        <v>7</v>
      </c>
      <c r="AV1528">
        <v>2023</v>
      </c>
      <c r="AW1528">
        <v>2438454</v>
      </c>
      <c r="AX1528">
        <v>2438454</v>
      </c>
      <c r="AY1528" t="s">
        <v>106</v>
      </c>
      <c r="AZ1528" t="s">
        <v>92</v>
      </c>
      <c r="BA1528" t="s">
        <v>107</v>
      </c>
      <c r="BB1528" t="s">
        <v>1747</v>
      </c>
      <c r="BC1528" t="s">
        <v>1186</v>
      </c>
      <c r="BD1528" s="1">
        <v>45109</v>
      </c>
      <c r="BE1528" t="s">
        <v>96</v>
      </c>
      <c r="BG1528" t="s">
        <v>1649</v>
      </c>
      <c r="BI1528" t="s">
        <v>98</v>
      </c>
      <c r="BJ1528" t="s">
        <v>1732</v>
      </c>
      <c r="BL1528" t="s">
        <v>412</v>
      </c>
    </row>
    <row r="1529" spans="1:64" hidden="1" x14ac:dyDescent="0.2">
      <c r="A1529">
        <v>522</v>
      </c>
      <c r="B1529">
        <v>4136459437</v>
      </c>
      <c r="C1529" t="s">
        <v>101</v>
      </c>
      <c r="D1529" t="s">
        <v>5756</v>
      </c>
      <c r="E1529" t="s">
        <v>65</v>
      </c>
      <c r="F1529" t="s">
        <v>66</v>
      </c>
      <c r="G1529" t="s">
        <v>67</v>
      </c>
      <c r="H1529" t="s">
        <v>68</v>
      </c>
      <c r="I1529" t="s">
        <v>69</v>
      </c>
      <c r="J1529" t="s">
        <v>70</v>
      </c>
      <c r="K1529" t="s">
        <v>4195</v>
      </c>
      <c r="M1529" t="s">
        <v>72</v>
      </c>
      <c r="N1529" t="s">
        <v>4196</v>
      </c>
      <c r="O1529" t="s">
        <v>4195</v>
      </c>
      <c r="P1529" t="s">
        <v>4197</v>
      </c>
      <c r="Q1529" t="s">
        <v>75</v>
      </c>
      <c r="R1529" t="s">
        <v>5008</v>
      </c>
      <c r="S1529" t="s">
        <v>5727</v>
      </c>
      <c r="T1529" t="s">
        <v>78</v>
      </c>
      <c r="U1529" t="s">
        <v>5009</v>
      </c>
      <c r="V1529" t="s">
        <v>80</v>
      </c>
      <c r="W1529" s="1">
        <v>44905</v>
      </c>
      <c r="X1529" t="s">
        <v>5010</v>
      </c>
      <c r="Y1529" t="s">
        <v>5728</v>
      </c>
      <c r="Z1529" t="s">
        <v>83</v>
      </c>
      <c r="AA1529">
        <v>1</v>
      </c>
      <c r="AB1529" t="s">
        <v>5634</v>
      </c>
      <c r="AD1529" t="s">
        <v>2435</v>
      </c>
      <c r="AE1529" t="s">
        <v>86</v>
      </c>
      <c r="AF1529" t="s">
        <v>146</v>
      </c>
      <c r="AG1529" t="s">
        <v>5730</v>
      </c>
      <c r="AH1529" t="s">
        <v>5734</v>
      </c>
      <c r="AI1529" t="s">
        <v>90</v>
      </c>
      <c r="AJ1529">
        <v>32.313409999999998</v>
      </c>
      <c r="AK1529">
        <v>-110.714251</v>
      </c>
      <c r="AL1529">
        <v>3</v>
      </c>
      <c r="AP1529">
        <v>1184.787599</v>
      </c>
      <c r="AQ1529">
        <v>1184.787599</v>
      </c>
      <c r="AT1529">
        <v>10</v>
      </c>
      <c r="AU1529">
        <v>12</v>
      </c>
      <c r="AV1529">
        <v>2022</v>
      </c>
      <c r="AW1529">
        <v>2439589</v>
      </c>
      <c r="AX1529">
        <v>2439589</v>
      </c>
      <c r="AY1529" t="s">
        <v>106</v>
      </c>
      <c r="AZ1529" t="s">
        <v>92</v>
      </c>
      <c r="BA1529" t="s">
        <v>107</v>
      </c>
      <c r="BB1529" t="s">
        <v>5757</v>
      </c>
      <c r="BC1529" t="s">
        <v>97</v>
      </c>
      <c r="BD1529" s="1">
        <v>44905</v>
      </c>
      <c r="BE1529" t="s">
        <v>96</v>
      </c>
      <c r="BG1529" t="s">
        <v>5504</v>
      </c>
      <c r="BI1529" t="s">
        <v>98</v>
      </c>
      <c r="BJ1529" t="s">
        <v>5725</v>
      </c>
      <c r="BL1529" t="s">
        <v>412</v>
      </c>
    </row>
    <row r="1530" spans="1:64" hidden="1" x14ac:dyDescent="0.2">
      <c r="A1530">
        <v>578</v>
      </c>
      <c r="B1530">
        <v>4136459379</v>
      </c>
      <c r="C1530" t="s">
        <v>101</v>
      </c>
      <c r="D1530" t="s">
        <v>5758</v>
      </c>
      <c r="E1530" t="s">
        <v>65</v>
      </c>
      <c r="F1530" t="s">
        <v>66</v>
      </c>
      <c r="G1530" t="s">
        <v>67</v>
      </c>
      <c r="H1530" t="s">
        <v>68</v>
      </c>
      <c r="I1530" t="s">
        <v>69</v>
      </c>
      <c r="J1530" t="s">
        <v>70</v>
      </c>
      <c r="K1530" t="s">
        <v>4195</v>
      </c>
      <c r="M1530" t="s">
        <v>72</v>
      </c>
      <c r="N1530" t="s">
        <v>4196</v>
      </c>
      <c r="O1530" t="s">
        <v>4195</v>
      </c>
      <c r="P1530" t="s">
        <v>4197</v>
      </c>
      <c r="Q1530" t="s">
        <v>75</v>
      </c>
      <c r="R1530" t="s">
        <v>5008</v>
      </c>
      <c r="S1530" t="s">
        <v>5727</v>
      </c>
      <c r="T1530" t="s">
        <v>78</v>
      </c>
      <c r="U1530" t="s">
        <v>5009</v>
      </c>
      <c r="V1530" t="s">
        <v>80</v>
      </c>
      <c r="W1530" s="1">
        <v>44905</v>
      </c>
      <c r="X1530" t="s">
        <v>5010</v>
      </c>
      <c r="Y1530" t="s">
        <v>5728</v>
      </c>
      <c r="Z1530" t="s">
        <v>83</v>
      </c>
      <c r="AA1530">
        <v>1</v>
      </c>
      <c r="AB1530" t="s">
        <v>5522</v>
      </c>
      <c r="AD1530" t="s">
        <v>134</v>
      </c>
      <c r="AE1530" t="s">
        <v>86</v>
      </c>
      <c r="AF1530" t="s">
        <v>146</v>
      </c>
      <c r="AG1530" t="s">
        <v>5730</v>
      </c>
      <c r="AH1530" t="s">
        <v>5759</v>
      </c>
      <c r="AI1530" t="s">
        <v>90</v>
      </c>
      <c r="AJ1530">
        <v>32.313409999999998</v>
      </c>
      <c r="AK1530">
        <v>-110.714251</v>
      </c>
      <c r="AL1530">
        <v>3</v>
      </c>
      <c r="AP1530">
        <v>1184.787599</v>
      </c>
      <c r="AQ1530">
        <v>1184.787599</v>
      </c>
      <c r="AT1530">
        <v>10</v>
      </c>
      <c r="AU1530">
        <v>12</v>
      </c>
      <c r="AV1530">
        <v>2022</v>
      </c>
      <c r="AW1530">
        <v>2439589</v>
      </c>
      <c r="AX1530">
        <v>2439589</v>
      </c>
      <c r="AY1530" t="s">
        <v>106</v>
      </c>
      <c r="AZ1530" t="s">
        <v>92</v>
      </c>
      <c r="BA1530" t="s">
        <v>107</v>
      </c>
      <c r="BB1530" t="s">
        <v>5760</v>
      </c>
      <c r="BC1530" t="s">
        <v>97</v>
      </c>
      <c r="BD1530" s="1">
        <v>44905</v>
      </c>
      <c r="BE1530" t="s">
        <v>96</v>
      </c>
      <c r="BG1530" t="s">
        <v>5504</v>
      </c>
      <c r="BI1530" t="s">
        <v>98</v>
      </c>
      <c r="BJ1530" t="s">
        <v>3039</v>
      </c>
      <c r="BL1530" t="s">
        <v>412</v>
      </c>
    </row>
    <row r="1531" spans="1:64" hidden="1" x14ac:dyDescent="0.2">
      <c r="A1531">
        <v>378</v>
      </c>
      <c r="B1531">
        <v>4136459591</v>
      </c>
      <c r="C1531" t="s">
        <v>101</v>
      </c>
      <c r="D1531" t="s">
        <v>5768</v>
      </c>
      <c r="E1531" t="s">
        <v>65</v>
      </c>
      <c r="F1531" t="s">
        <v>66</v>
      </c>
      <c r="G1531" t="s">
        <v>67</v>
      </c>
      <c r="H1531" t="s">
        <v>68</v>
      </c>
      <c r="I1531" t="s">
        <v>69</v>
      </c>
      <c r="J1531" t="s">
        <v>70</v>
      </c>
      <c r="K1531" t="s">
        <v>4195</v>
      </c>
      <c r="M1531" t="s">
        <v>72</v>
      </c>
      <c r="N1531" t="s">
        <v>4196</v>
      </c>
      <c r="O1531" t="s">
        <v>4195</v>
      </c>
      <c r="P1531" t="s">
        <v>4197</v>
      </c>
      <c r="Q1531" t="s">
        <v>75</v>
      </c>
      <c r="R1531" t="s">
        <v>5008</v>
      </c>
      <c r="S1531" t="s">
        <v>1769</v>
      </c>
      <c r="T1531" t="s">
        <v>78</v>
      </c>
      <c r="U1531" t="s">
        <v>5009</v>
      </c>
      <c r="V1531" t="s">
        <v>80</v>
      </c>
      <c r="W1531" s="1">
        <v>44905</v>
      </c>
      <c r="X1531" t="s">
        <v>5010</v>
      </c>
      <c r="Y1531" t="s">
        <v>5762</v>
      </c>
      <c r="Z1531" t="s">
        <v>83</v>
      </c>
      <c r="AA1531">
        <v>1</v>
      </c>
      <c r="AB1531" t="s">
        <v>5700</v>
      </c>
      <c r="AD1531" t="s">
        <v>139</v>
      </c>
      <c r="AE1531" t="s">
        <v>145</v>
      </c>
      <c r="AF1531" t="s">
        <v>146</v>
      </c>
      <c r="AG1531" t="s">
        <v>5764</v>
      </c>
      <c r="AH1531" t="s">
        <v>5769</v>
      </c>
      <c r="AI1531" t="s">
        <v>90</v>
      </c>
      <c r="AJ1531">
        <v>32.314051999999997</v>
      </c>
      <c r="AK1531">
        <v>-110.713517</v>
      </c>
      <c r="AL1531">
        <v>3</v>
      </c>
      <c r="AN1531">
        <v>1173</v>
      </c>
      <c r="AP1531">
        <v>1173</v>
      </c>
      <c r="AQ1531">
        <v>1196.6700800000001</v>
      </c>
      <c r="AT1531">
        <v>10</v>
      </c>
      <c r="AU1531">
        <v>12</v>
      </c>
      <c r="AV1531">
        <v>2022</v>
      </c>
      <c r="AW1531">
        <v>2439589</v>
      </c>
      <c r="AX1531">
        <v>2439589</v>
      </c>
      <c r="AY1531" t="s">
        <v>106</v>
      </c>
      <c r="AZ1531" t="s">
        <v>92</v>
      </c>
      <c r="BA1531" t="s">
        <v>107</v>
      </c>
      <c r="BB1531" t="s">
        <v>5770</v>
      </c>
      <c r="BC1531" t="s">
        <v>97</v>
      </c>
      <c r="BD1531" s="1">
        <v>44905</v>
      </c>
      <c r="BE1531" t="s">
        <v>96</v>
      </c>
      <c r="BG1531" t="s">
        <v>5504</v>
      </c>
      <c r="BI1531" t="s">
        <v>98</v>
      </c>
      <c r="BJ1531" t="s">
        <v>5651</v>
      </c>
      <c r="BL1531" t="s">
        <v>110</v>
      </c>
    </row>
    <row r="1532" spans="1:64" hidden="1" x14ac:dyDescent="0.2">
      <c r="A1532">
        <v>379</v>
      </c>
      <c r="B1532">
        <v>4136459590</v>
      </c>
      <c r="C1532" t="s">
        <v>101</v>
      </c>
      <c r="D1532" t="s">
        <v>5771</v>
      </c>
      <c r="E1532" t="s">
        <v>65</v>
      </c>
      <c r="F1532" t="s">
        <v>66</v>
      </c>
      <c r="G1532" t="s">
        <v>67</v>
      </c>
      <c r="H1532" t="s">
        <v>68</v>
      </c>
      <c r="I1532" t="s">
        <v>69</v>
      </c>
      <c r="J1532" t="s">
        <v>70</v>
      </c>
      <c r="K1532" t="s">
        <v>4195</v>
      </c>
      <c r="M1532" t="s">
        <v>72</v>
      </c>
      <c r="N1532" t="s">
        <v>4196</v>
      </c>
      <c r="O1532" t="s">
        <v>4195</v>
      </c>
      <c r="P1532" t="s">
        <v>4197</v>
      </c>
      <c r="Q1532" t="s">
        <v>75</v>
      </c>
      <c r="R1532" t="s">
        <v>5008</v>
      </c>
      <c r="S1532" t="s">
        <v>1769</v>
      </c>
      <c r="T1532" t="s">
        <v>78</v>
      </c>
      <c r="U1532" t="s">
        <v>5009</v>
      </c>
      <c r="V1532" t="s">
        <v>80</v>
      </c>
      <c r="W1532" s="1">
        <v>44905</v>
      </c>
      <c r="X1532" t="s">
        <v>5010</v>
      </c>
      <c r="Y1532" t="s">
        <v>5762</v>
      </c>
      <c r="Z1532" t="s">
        <v>83</v>
      </c>
      <c r="AA1532">
        <v>1</v>
      </c>
      <c r="AB1532" t="s">
        <v>5700</v>
      </c>
      <c r="AD1532" t="s">
        <v>104</v>
      </c>
      <c r="AE1532" t="s">
        <v>145</v>
      </c>
      <c r="AF1532" t="s">
        <v>146</v>
      </c>
      <c r="AG1532" t="s">
        <v>5764</v>
      </c>
      <c r="AH1532" t="s">
        <v>5769</v>
      </c>
      <c r="AI1532" t="s">
        <v>90</v>
      </c>
      <c r="AJ1532">
        <v>32.314051999999997</v>
      </c>
      <c r="AK1532">
        <v>-110.713517</v>
      </c>
      <c r="AL1532">
        <v>3</v>
      </c>
      <c r="AN1532">
        <v>1173</v>
      </c>
      <c r="AP1532">
        <v>1173</v>
      </c>
      <c r="AQ1532">
        <v>1196.6700800000001</v>
      </c>
      <c r="AT1532">
        <v>10</v>
      </c>
      <c r="AU1532">
        <v>12</v>
      </c>
      <c r="AV1532">
        <v>2022</v>
      </c>
      <c r="AW1532">
        <v>2439589</v>
      </c>
      <c r="AX1532">
        <v>2439589</v>
      </c>
      <c r="AY1532" t="s">
        <v>106</v>
      </c>
      <c r="AZ1532" t="s">
        <v>92</v>
      </c>
      <c r="BA1532" t="s">
        <v>107</v>
      </c>
      <c r="BB1532" t="s">
        <v>5772</v>
      </c>
      <c r="BC1532" t="s">
        <v>97</v>
      </c>
      <c r="BD1532" s="1">
        <v>44905</v>
      </c>
      <c r="BE1532" t="s">
        <v>96</v>
      </c>
      <c r="BG1532" t="s">
        <v>5504</v>
      </c>
      <c r="BI1532" t="s">
        <v>98</v>
      </c>
      <c r="BJ1532" t="s">
        <v>5672</v>
      </c>
      <c r="BL1532" t="s">
        <v>110</v>
      </c>
    </row>
    <row r="1533" spans="1:64" hidden="1" x14ac:dyDescent="0.2">
      <c r="A1533">
        <v>376</v>
      </c>
      <c r="B1533">
        <v>4136459604</v>
      </c>
      <c r="C1533" t="s">
        <v>101</v>
      </c>
      <c r="D1533" t="s">
        <v>5773</v>
      </c>
      <c r="E1533" t="s">
        <v>65</v>
      </c>
      <c r="F1533" t="s">
        <v>66</v>
      </c>
      <c r="G1533" t="s">
        <v>67</v>
      </c>
      <c r="H1533" t="s">
        <v>68</v>
      </c>
      <c r="I1533" t="s">
        <v>69</v>
      </c>
      <c r="J1533" t="s">
        <v>70</v>
      </c>
      <c r="K1533" t="s">
        <v>4195</v>
      </c>
      <c r="M1533" t="s">
        <v>72</v>
      </c>
      <c r="N1533" t="s">
        <v>4196</v>
      </c>
      <c r="O1533" t="s">
        <v>4195</v>
      </c>
      <c r="P1533" t="s">
        <v>4197</v>
      </c>
      <c r="Q1533" t="s">
        <v>75</v>
      </c>
      <c r="R1533" t="s">
        <v>5008</v>
      </c>
      <c r="S1533" t="s">
        <v>1769</v>
      </c>
      <c r="T1533" t="s">
        <v>78</v>
      </c>
      <c r="U1533" t="s">
        <v>5009</v>
      </c>
      <c r="V1533" t="s">
        <v>80</v>
      </c>
      <c r="W1533" s="1">
        <v>44905</v>
      </c>
      <c r="X1533" t="s">
        <v>5010</v>
      </c>
      <c r="Y1533" t="s">
        <v>5762</v>
      </c>
      <c r="Z1533" t="s">
        <v>83</v>
      </c>
      <c r="AA1533">
        <v>1</v>
      </c>
      <c r="AB1533" t="s">
        <v>5310</v>
      </c>
      <c r="AD1533" t="s">
        <v>112</v>
      </c>
      <c r="AE1533" t="s">
        <v>145</v>
      </c>
      <c r="AF1533" t="s">
        <v>146</v>
      </c>
      <c r="AG1533" t="s">
        <v>5764</v>
      </c>
      <c r="AH1533" t="s">
        <v>5769</v>
      </c>
      <c r="AI1533" t="s">
        <v>90</v>
      </c>
      <c r="AJ1533">
        <v>32.314051999999997</v>
      </c>
      <c r="AK1533">
        <v>-110.713517</v>
      </c>
      <c r="AL1533">
        <v>3</v>
      </c>
      <c r="AN1533">
        <v>1173</v>
      </c>
      <c r="AP1533">
        <v>1173</v>
      </c>
      <c r="AQ1533">
        <v>1196.6700800000001</v>
      </c>
      <c r="AT1533">
        <v>10</v>
      </c>
      <c r="AU1533">
        <v>12</v>
      </c>
      <c r="AV1533">
        <v>2022</v>
      </c>
      <c r="AW1533">
        <v>2439589</v>
      </c>
      <c r="AX1533">
        <v>2439589</v>
      </c>
      <c r="AY1533" t="s">
        <v>106</v>
      </c>
      <c r="AZ1533" t="s">
        <v>92</v>
      </c>
      <c r="BA1533" t="s">
        <v>107</v>
      </c>
      <c r="BB1533" t="s">
        <v>5774</v>
      </c>
      <c r="BC1533" t="s">
        <v>97</v>
      </c>
      <c r="BD1533" s="1">
        <v>44905</v>
      </c>
      <c r="BE1533" t="s">
        <v>96</v>
      </c>
      <c r="BG1533" t="s">
        <v>5504</v>
      </c>
      <c r="BI1533" t="s">
        <v>98</v>
      </c>
      <c r="BJ1533" t="s">
        <v>5675</v>
      </c>
      <c r="BL1533" t="s">
        <v>110</v>
      </c>
    </row>
    <row r="1534" spans="1:64" hidden="1" x14ac:dyDescent="0.2">
      <c r="A1534">
        <v>377</v>
      </c>
      <c r="B1534">
        <v>4136459603</v>
      </c>
      <c r="C1534" t="s">
        <v>101</v>
      </c>
      <c r="D1534" t="s">
        <v>5775</v>
      </c>
      <c r="E1534" t="s">
        <v>65</v>
      </c>
      <c r="F1534" t="s">
        <v>66</v>
      </c>
      <c r="G1534" t="s">
        <v>67</v>
      </c>
      <c r="H1534" t="s">
        <v>68</v>
      </c>
      <c r="I1534" t="s">
        <v>69</v>
      </c>
      <c r="J1534" t="s">
        <v>70</v>
      </c>
      <c r="K1534" t="s">
        <v>4195</v>
      </c>
      <c r="M1534" t="s">
        <v>72</v>
      </c>
      <c r="N1534" t="s">
        <v>4196</v>
      </c>
      <c r="O1534" t="s">
        <v>4195</v>
      </c>
      <c r="P1534" t="s">
        <v>4197</v>
      </c>
      <c r="Q1534" t="s">
        <v>75</v>
      </c>
      <c r="R1534" t="s">
        <v>5008</v>
      </c>
      <c r="S1534" t="s">
        <v>1769</v>
      </c>
      <c r="T1534" t="s">
        <v>78</v>
      </c>
      <c r="U1534" t="s">
        <v>5009</v>
      </c>
      <c r="V1534" t="s">
        <v>80</v>
      </c>
      <c r="W1534" s="1">
        <v>44905</v>
      </c>
      <c r="X1534" t="s">
        <v>5010</v>
      </c>
      <c r="Y1534" t="s">
        <v>5762</v>
      </c>
      <c r="Z1534" t="s">
        <v>83</v>
      </c>
      <c r="AA1534">
        <v>1</v>
      </c>
      <c r="AB1534" t="s">
        <v>5310</v>
      </c>
      <c r="AD1534" t="s">
        <v>123</v>
      </c>
      <c r="AE1534" t="s">
        <v>145</v>
      </c>
      <c r="AF1534" t="s">
        <v>146</v>
      </c>
      <c r="AG1534" t="s">
        <v>5764</v>
      </c>
      <c r="AH1534" t="s">
        <v>5769</v>
      </c>
      <c r="AI1534" t="s">
        <v>90</v>
      </c>
      <c r="AJ1534">
        <v>32.314051999999997</v>
      </c>
      <c r="AK1534">
        <v>-110.713517</v>
      </c>
      <c r="AL1534">
        <v>3</v>
      </c>
      <c r="AN1534">
        <v>1173</v>
      </c>
      <c r="AP1534">
        <v>1173</v>
      </c>
      <c r="AQ1534">
        <v>1196.6700800000001</v>
      </c>
      <c r="AT1534">
        <v>10</v>
      </c>
      <c r="AU1534">
        <v>12</v>
      </c>
      <c r="AV1534">
        <v>2022</v>
      </c>
      <c r="AW1534">
        <v>2439589</v>
      </c>
      <c r="AX1534">
        <v>2439589</v>
      </c>
      <c r="AY1534" t="s">
        <v>106</v>
      </c>
      <c r="AZ1534" t="s">
        <v>92</v>
      </c>
      <c r="BA1534" t="s">
        <v>107</v>
      </c>
      <c r="BB1534" t="s">
        <v>5776</v>
      </c>
      <c r="BC1534" t="s">
        <v>97</v>
      </c>
      <c r="BD1534" s="1">
        <v>44905</v>
      </c>
      <c r="BE1534" t="s">
        <v>96</v>
      </c>
      <c r="BG1534" t="s">
        <v>5504</v>
      </c>
      <c r="BI1534" t="s">
        <v>98</v>
      </c>
      <c r="BJ1534" t="s">
        <v>2251</v>
      </c>
      <c r="BL1534" t="s">
        <v>110</v>
      </c>
    </row>
    <row r="1535" spans="1:64" hidden="1" x14ac:dyDescent="0.2">
      <c r="A1535">
        <v>374</v>
      </c>
      <c r="B1535">
        <v>4136459606</v>
      </c>
      <c r="C1535" t="s">
        <v>101</v>
      </c>
      <c r="D1535" t="s">
        <v>5777</v>
      </c>
      <c r="E1535" t="s">
        <v>65</v>
      </c>
      <c r="F1535" t="s">
        <v>66</v>
      </c>
      <c r="G1535" t="s">
        <v>67</v>
      </c>
      <c r="H1535" t="s">
        <v>68</v>
      </c>
      <c r="I1535" t="s">
        <v>69</v>
      </c>
      <c r="J1535" t="s">
        <v>70</v>
      </c>
      <c r="K1535" t="s">
        <v>4195</v>
      </c>
      <c r="M1535" t="s">
        <v>72</v>
      </c>
      <c r="N1535" t="s">
        <v>4196</v>
      </c>
      <c r="O1535" t="s">
        <v>4195</v>
      </c>
      <c r="P1535" t="s">
        <v>4197</v>
      </c>
      <c r="Q1535" t="s">
        <v>75</v>
      </c>
      <c r="R1535" t="s">
        <v>5008</v>
      </c>
      <c r="S1535" t="s">
        <v>1769</v>
      </c>
      <c r="T1535" t="s">
        <v>78</v>
      </c>
      <c r="U1535" t="s">
        <v>5009</v>
      </c>
      <c r="V1535" t="s">
        <v>80</v>
      </c>
      <c r="W1535" s="1">
        <v>44905</v>
      </c>
      <c r="X1535" t="s">
        <v>5010</v>
      </c>
      <c r="Y1535" t="s">
        <v>5762</v>
      </c>
      <c r="Z1535" t="s">
        <v>83</v>
      </c>
      <c r="AA1535">
        <v>1</v>
      </c>
      <c r="AB1535" t="s">
        <v>5310</v>
      </c>
      <c r="AD1535" t="s">
        <v>104</v>
      </c>
      <c r="AE1535" t="s">
        <v>145</v>
      </c>
      <c r="AF1535" t="s">
        <v>146</v>
      </c>
      <c r="AG1535" t="s">
        <v>5764</v>
      </c>
      <c r="AH1535" t="s">
        <v>5769</v>
      </c>
      <c r="AI1535" t="s">
        <v>90</v>
      </c>
      <c r="AJ1535">
        <v>32.314051999999997</v>
      </c>
      <c r="AK1535">
        <v>-110.713517</v>
      </c>
      <c r="AL1535">
        <v>3</v>
      </c>
      <c r="AN1535">
        <v>1173</v>
      </c>
      <c r="AP1535">
        <v>1173</v>
      </c>
      <c r="AQ1535">
        <v>1196.6700800000001</v>
      </c>
      <c r="AT1535">
        <v>10</v>
      </c>
      <c r="AU1535">
        <v>12</v>
      </c>
      <c r="AV1535">
        <v>2022</v>
      </c>
      <c r="AW1535">
        <v>2439589</v>
      </c>
      <c r="AX1535">
        <v>2439589</v>
      </c>
      <c r="AY1535" t="s">
        <v>106</v>
      </c>
      <c r="AZ1535" t="s">
        <v>92</v>
      </c>
      <c r="BA1535" t="s">
        <v>107</v>
      </c>
      <c r="BB1535" t="s">
        <v>5778</v>
      </c>
      <c r="BC1535" t="s">
        <v>97</v>
      </c>
      <c r="BD1535" s="1">
        <v>44905</v>
      </c>
      <c r="BE1535" t="s">
        <v>96</v>
      </c>
      <c r="BG1535" t="s">
        <v>5504</v>
      </c>
      <c r="BI1535" t="s">
        <v>98</v>
      </c>
      <c r="BJ1535" t="s">
        <v>5718</v>
      </c>
      <c r="BL1535" t="s">
        <v>110</v>
      </c>
    </row>
    <row r="1536" spans="1:64" hidden="1" x14ac:dyDescent="0.2">
      <c r="A1536">
        <v>375</v>
      </c>
      <c r="B1536">
        <v>4136459605</v>
      </c>
      <c r="C1536" t="s">
        <v>101</v>
      </c>
      <c r="D1536" t="s">
        <v>5779</v>
      </c>
      <c r="E1536" t="s">
        <v>65</v>
      </c>
      <c r="F1536" t="s">
        <v>66</v>
      </c>
      <c r="G1536" t="s">
        <v>67</v>
      </c>
      <c r="H1536" t="s">
        <v>68</v>
      </c>
      <c r="I1536" t="s">
        <v>69</v>
      </c>
      <c r="J1536" t="s">
        <v>70</v>
      </c>
      <c r="K1536" t="s">
        <v>4195</v>
      </c>
      <c r="M1536" t="s">
        <v>72</v>
      </c>
      <c r="N1536" t="s">
        <v>4196</v>
      </c>
      <c r="O1536" t="s">
        <v>4195</v>
      </c>
      <c r="P1536" t="s">
        <v>4197</v>
      </c>
      <c r="Q1536" t="s">
        <v>75</v>
      </c>
      <c r="R1536" t="s">
        <v>5008</v>
      </c>
      <c r="S1536" t="s">
        <v>1769</v>
      </c>
      <c r="T1536" t="s">
        <v>78</v>
      </c>
      <c r="U1536" t="s">
        <v>5009</v>
      </c>
      <c r="V1536" t="s">
        <v>80</v>
      </c>
      <c r="W1536" s="1">
        <v>44905</v>
      </c>
      <c r="X1536" t="s">
        <v>5010</v>
      </c>
      <c r="Y1536" t="s">
        <v>5762</v>
      </c>
      <c r="Z1536" t="s">
        <v>83</v>
      </c>
      <c r="AA1536">
        <v>1</v>
      </c>
      <c r="AB1536" t="s">
        <v>5310</v>
      </c>
      <c r="AD1536" t="s">
        <v>116</v>
      </c>
      <c r="AE1536" t="s">
        <v>145</v>
      </c>
      <c r="AF1536" t="s">
        <v>146</v>
      </c>
      <c r="AG1536" t="s">
        <v>5764</v>
      </c>
      <c r="AH1536" t="s">
        <v>5769</v>
      </c>
      <c r="AI1536" t="s">
        <v>90</v>
      </c>
      <c r="AJ1536">
        <v>32.314051999999997</v>
      </c>
      <c r="AK1536">
        <v>-110.713517</v>
      </c>
      <c r="AL1536">
        <v>3</v>
      </c>
      <c r="AN1536">
        <v>1173</v>
      </c>
      <c r="AP1536">
        <v>1173</v>
      </c>
      <c r="AQ1536">
        <v>1196.6700800000001</v>
      </c>
      <c r="AT1536">
        <v>10</v>
      </c>
      <c r="AU1536">
        <v>12</v>
      </c>
      <c r="AV1536">
        <v>2022</v>
      </c>
      <c r="AW1536">
        <v>2439589</v>
      </c>
      <c r="AX1536">
        <v>2439589</v>
      </c>
      <c r="AY1536" t="s">
        <v>106</v>
      </c>
      <c r="AZ1536" t="s">
        <v>92</v>
      </c>
      <c r="BA1536" t="s">
        <v>107</v>
      </c>
      <c r="BB1536" t="s">
        <v>5780</v>
      </c>
      <c r="BC1536" t="s">
        <v>97</v>
      </c>
      <c r="BD1536" s="1">
        <v>44905</v>
      </c>
      <c r="BE1536" t="s">
        <v>96</v>
      </c>
      <c r="BG1536" t="s">
        <v>5504</v>
      </c>
      <c r="BI1536" t="s">
        <v>98</v>
      </c>
      <c r="BJ1536" t="s">
        <v>5675</v>
      </c>
      <c r="BL1536" t="s">
        <v>110</v>
      </c>
    </row>
    <row r="1537" spans="1:64" x14ac:dyDescent="0.2">
      <c r="A1537">
        <v>252</v>
      </c>
      <c r="B1537">
        <v>4403382386</v>
      </c>
      <c r="C1537" t="s">
        <v>101</v>
      </c>
      <c r="D1537" t="s">
        <v>3200</v>
      </c>
      <c r="E1537" t="s">
        <v>65</v>
      </c>
      <c r="F1537" t="s">
        <v>66</v>
      </c>
      <c r="G1537" t="s">
        <v>67</v>
      </c>
      <c r="H1537" t="s">
        <v>68</v>
      </c>
      <c r="I1537" t="s">
        <v>176</v>
      </c>
      <c r="J1537" t="s">
        <v>773</v>
      </c>
      <c r="K1537" t="s">
        <v>774</v>
      </c>
      <c r="M1537" t="s">
        <v>72</v>
      </c>
      <c r="N1537" t="s">
        <v>775</v>
      </c>
      <c r="O1537" t="s">
        <v>774</v>
      </c>
      <c r="P1537" t="s">
        <v>776</v>
      </c>
      <c r="Q1537" t="s">
        <v>75</v>
      </c>
      <c r="R1537" t="s">
        <v>3174</v>
      </c>
      <c r="S1537" t="s">
        <v>1584</v>
      </c>
      <c r="T1537" t="s">
        <v>78</v>
      </c>
      <c r="U1537" t="s">
        <v>1822</v>
      </c>
      <c r="V1537" t="s">
        <v>80</v>
      </c>
      <c r="W1537" s="1">
        <v>45110</v>
      </c>
      <c r="X1537" t="s">
        <v>1859</v>
      </c>
      <c r="Y1537" t="s">
        <v>3175</v>
      </c>
      <c r="Z1537" t="s">
        <v>83</v>
      </c>
      <c r="AA1537">
        <v>1</v>
      </c>
      <c r="AB1537" t="s">
        <v>385</v>
      </c>
      <c r="AC1537">
        <v>1</v>
      </c>
      <c r="AD1537" t="s">
        <v>119</v>
      </c>
      <c r="AE1537" t="s">
        <v>145</v>
      </c>
      <c r="AF1537" t="s">
        <v>402</v>
      </c>
      <c r="AG1537" t="s">
        <v>3177</v>
      </c>
      <c r="AH1537" t="s">
        <v>3201</v>
      </c>
      <c r="AI1537" t="s">
        <v>90</v>
      </c>
      <c r="AJ1537">
        <v>32.422648000000002</v>
      </c>
      <c r="AK1537">
        <v>-110.734174</v>
      </c>
      <c r="AL1537">
        <v>3</v>
      </c>
      <c r="AN1537">
        <v>2407</v>
      </c>
      <c r="AP1537">
        <v>2407</v>
      </c>
      <c r="AQ1537">
        <v>2430.4372669999998</v>
      </c>
      <c r="AT1537">
        <v>3</v>
      </c>
      <c r="AU1537">
        <v>7</v>
      </c>
      <c r="AV1537">
        <v>2023</v>
      </c>
      <c r="AW1537">
        <v>2438447</v>
      </c>
      <c r="AX1537">
        <v>2438447</v>
      </c>
      <c r="AY1537" t="s">
        <v>106</v>
      </c>
      <c r="AZ1537" t="s">
        <v>92</v>
      </c>
      <c r="BA1537" t="s">
        <v>107</v>
      </c>
      <c r="BB1537" t="s">
        <v>3202</v>
      </c>
      <c r="BC1537" t="s">
        <v>1186</v>
      </c>
      <c r="BD1537" s="1">
        <v>45110</v>
      </c>
      <c r="BE1537" t="s">
        <v>96</v>
      </c>
      <c r="BG1537" t="s">
        <v>1187</v>
      </c>
      <c r="BI1537" t="s">
        <v>98</v>
      </c>
      <c r="BJ1537" t="s">
        <v>2932</v>
      </c>
      <c r="BL1537" t="s">
        <v>412</v>
      </c>
    </row>
    <row r="1538" spans="1:64" hidden="1" x14ac:dyDescent="0.2">
      <c r="A1538">
        <v>577</v>
      </c>
      <c r="B1538">
        <v>4136459380</v>
      </c>
      <c r="C1538" t="s">
        <v>101</v>
      </c>
      <c r="D1538" t="s">
        <v>5784</v>
      </c>
      <c r="E1538" t="s">
        <v>65</v>
      </c>
      <c r="F1538" t="s">
        <v>66</v>
      </c>
      <c r="G1538" t="s">
        <v>67</v>
      </c>
      <c r="H1538" t="s">
        <v>68</v>
      </c>
      <c r="I1538" t="s">
        <v>69</v>
      </c>
      <c r="J1538" t="s">
        <v>70</v>
      </c>
      <c r="K1538" t="s">
        <v>4195</v>
      </c>
      <c r="M1538" t="s">
        <v>72</v>
      </c>
      <c r="N1538" t="s">
        <v>4196</v>
      </c>
      <c r="O1538" t="s">
        <v>4195</v>
      </c>
      <c r="P1538" t="s">
        <v>4197</v>
      </c>
      <c r="Q1538" t="s">
        <v>75</v>
      </c>
      <c r="R1538" t="s">
        <v>5008</v>
      </c>
      <c r="S1538" t="s">
        <v>1769</v>
      </c>
      <c r="T1538" t="s">
        <v>78</v>
      </c>
      <c r="U1538" t="s">
        <v>5009</v>
      </c>
      <c r="V1538" t="s">
        <v>80</v>
      </c>
      <c r="W1538" s="1">
        <v>44905</v>
      </c>
      <c r="X1538" t="s">
        <v>5010</v>
      </c>
      <c r="Y1538" t="s">
        <v>5762</v>
      </c>
      <c r="Z1538" t="s">
        <v>83</v>
      </c>
      <c r="AA1538">
        <v>1</v>
      </c>
      <c r="AB1538" t="s">
        <v>5522</v>
      </c>
      <c r="AD1538" t="s">
        <v>134</v>
      </c>
      <c r="AE1538" t="s">
        <v>145</v>
      </c>
      <c r="AF1538" t="s">
        <v>146</v>
      </c>
      <c r="AG1538" t="s">
        <v>5764</v>
      </c>
      <c r="AH1538" t="s">
        <v>5785</v>
      </c>
      <c r="AI1538" t="s">
        <v>90</v>
      </c>
      <c r="AJ1538">
        <v>32.314051999999997</v>
      </c>
      <c r="AK1538">
        <v>-110.713517</v>
      </c>
      <c r="AL1538">
        <v>3</v>
      </c>
      <c r="AN1538">
        <v>1173</v>
      </c>
      <c r="AP1538">
        <v>1173</v>
      </c>
      <c r="AQ1538">
        <v>1196.6700800000001</v>
      </c>
      <c r="AT1538">
        <v>10</v>
      </c>
      <c r="AU1538">
        <v>12</v>
      </c>
      <c r="AV1538">
        <v>2022</v>
      </c>
      <c r="AW1538">
        <v>2439589</v>
      </c>
      <c r="AX1538">
        <v>2439589</v>
      </c>
      <c r="AY1538" t="s">
        <v>106</v>
      </c>
      <c r="AZ1538" t="s">
        <v>92</v>
      </c>
      <c r="BA1538" t="s">
        <v>107</v>
      </c>
      <c r="BB1538" t="s">
        <v>5786</v>
      </c>
      <c r="BC1538" t="s">
        <v>97</v>
      </c>
      <c r="BD1538" s="1">
        <v>44905</v>
      </c>
      <c r="BE1538" t="s">
        <v>96</v>
      </c>
      <c r="BG1538" t="s">
        <v>5504</v>
      </c>
      <c r="BI1538" t="s">
        <v>98</v>
      </c>
      <c r="BJ1538" t="s">
        <v>2657</v>
      </c>
      <c r="BL1538" t="s">
        <v>110</v>
      </c>
    </row>
    <row r="1539" spans="1:64" x14ac:dyDescent="0.2">
      <c r="A1539">
        <v>245</v>
      </c>
      <c r="B1539">
        <v>4403382393</v>
      </c>
      <c r="C1539" t="s">
        <v>101</v>
      </c>
      <c r="D1539" t="s">
        <v>3227</v>
      </c>
      <c r="E1539" t="s">
        <v>65</v>
      </c>
      <c r="F1539" t="s">
        <v>66</v>
      </c>
      <c r="G1539" t="s">
        <v>67</v>
      </c>
      <c r="H1539" t="s">
        <v>68</v>
      </c>
      <c r="I1539" t="s">
        <v>176</v>
      </c>
      <c r="J1539" t="s">
        <v>177</v>
      </c>
      <c r="K1539" t="s">
        <v>1817</v>
      </c>
      <c r="M1539" t="s">
        <v>72</v>
      </c>
      <c r="N1539" t="s">
        <v>1818</v>
      </c>
      <c r="O1539" t="s">
        <v>1817</v>
      </c>
      <c r="P1539" t="s">
        <v>1819</v>
      </c>
      <c r="Q1539" t="s">
        <v>75</v>
      </c>
      <c r="R1539" t="s">
        <v>3174</v>
      </c>
      <c r="S1539" t="s">
        <v>3221</v>
      </c>
      <c r="T1539" t="s">
        <v>78</v>
      </c>
      <c r="U1539" t="s">
        <v>1822</v>
      </c>
      <c r="V1539" t="s">
        <v>80</v>
      </c>
      <c r="W1539" s="1">
        <v>45110</v>
      </c>
      <c r="X1539" t="s">
        <v>1859</v>
      </c>
      <c r="Y1539" t="s">
        <v>3213</v>
      </c>
      <c r="Z1539" t="s">
        <v>83</v>
      </c>
      <c r="AA1539">
        <v>1</v>
      </c>
      <c r="AB1539" t="s">
        <v>385</v>
      </c>
      <c r="AC1539">
        <v>1</v>
      </c>
      <c r="AD1539" t="s">
        <v>119</v>
      </c>
      <c r="AE1539" t="s">
        <v>145</v>
      </c>
      <c r="AF1539" t="s">
        <v>359</v>
      </c>
      <c r="AG1539" t="s">
        <v>3217</v>
      </c>
      <c r="AH1539" t="s">
        <v>3228</v>
      </c>
      <c r="AI1539" t="s">
        <v>90</v>
      </c>
      <c r="AJ1539">
        <v>32.424909</v>
      </c>
      <c r="AK1539">
        <v>-110.73885</v>
      </c>
      <c r="AN1539">
        <v>2368</v>
      </c>
      <c r="AP1539">
        <v>2368</v>
      </c>
      <c r="AQ1539">
        <v>2386.7331989999998</v>
      </c>
      <c r="AT1539">
        <v>3</v>
      </c>
      <c r="AU1539">
        <v>7</v>
      </c>
      <c r="AV1539">
        <v>2023</v>
      </c>
      <c r="AW1539">
        <v>2437967</v>
      </c>
      <c r="AX1539">
        <v>2437967</v>
      </c>
      <c r="AY1539" t="s">
        <v>106</v>
      </c>
      <c r="AZ1539" t="s">
        <v>92</v>
      </c>
      <c r="BA1539" t="s">
        <v>107</v>
      </c>
      <c r="BB1539" t="s">
        <v>3229</v>
      </c>
      <c r="BC1539" t="s">
        <v>1186</v>
      </c>
      <c r="BD1539" s="1">
        <v>45110</v>
      </c>
      <c r="BE1539" t="s">
        <v>96</v>
      </c>
      <c r="BG1539" t="s">
        <v>1187</v>
      </c>
      <c r="BI1539" t="s">
        <v>98</v>
      </c>
      <c r="BJ1539" t="s">
        <v>2896</v>
      </c>
      <c r="BL1539" t="s">
        <v>110</v>
      </c>
    </row>
    <row r="1540" spans="1:64" hidden="1" x14ac:dyDescent="0.2">
      <c r="A1540">
        <v>514</v>
      </c>
      <c r="B1540">
        <v>4136459445</v>
      </c>
      <c r="C1540" t="s">
        <v>101</v>
      </c>
      <c r="D1540" t="s">
        <v>5791</v>
      </c>
      <c r="E1540" t="s">
        <v>65</v>
      </c>
      <c r="F1540" t="s">
        <v>66</v>
      </c>
      <c r="G1540" t="s">
        <v>67</v>
      </c>
      <c r="H1540" t="s">
        <v>68</v>
      </c>
      <c r="I1540" t="s">
        <v>69</v>
      </c>
      <c r="J1540" t="s">
        <v>70</v>
      </c>
      <c r="K1540" t="s">
        <v>4195</v>
      </c>
      <c r="M1540" t="s">
        <v>72</v>
      </c>
      <c r="N1540" t="s">
        <v>4196</v>
      </c>
      <c r="O1540" t="s">
        <v>4195</v>
      </c>
      <c r="P1540" t="s">
        <v>4197</v>
      </c>
      <c r="Q1540" t="s">
        <v>75</v>
      </c>
      <c r="R1540" t="s">
        <v>5008</v>
      </c>
      <c r="S1540" t="s">
        <v>1769</v>
      </c>
      <c r="T1540" t="s">
        <v>78</v>
      </c>
      <c r="U1540" t="s">
        <v>5009</v>
      </c>
      <c r="V1540" t="s">
        <v>80</v>
      </c>
      <c r="W1540" s="1">
        <v>44905</v>
      </c>
      <c r="X1540" t="s">
        <v>5010</v>
      </c>
      <c r="Y1540" t="s">
        <v>5762</v>
      </c>
      <c r="Z1540" t="s">
        <v>83</v>
      </c>
      <c r="AA1540">
        <v>1</v>
      </c>
      <c r="AB1540" t="s">
        <v>5700</v>
      </c>
      <c r="AD1540" t="s">
        <v>116</v>
      </c>
      <c r="AE1540" t="s">
        <v>145</v>
      </c>
      <c r="AF1540" t="s">
        <v>146</v>
      </c>
      <c r="AG1540" t="s">
        <v>5764</v>
      </c>
      <c r="AH1540" t="s">
        <v>5769</v>
      </c>
      <c r="AI1540" t="s">
        <v>90</v>
      </c>
      <c r="AJ1540">
        <v>32.314051999999997</v>
      </c>
      <c r="AK1540">
        <v>-110.713517</v>
      </c>
      <c r="AL1540">
        <v>3</v>
      </c>
      <c r="AN1540">
        <v>1173</v>
      </c>
      <c r="AP1540">
        <v>1173</v>
      </c>
      <c r="AQ1540">
        <v>1196.6700800000001</v>
      </c>
      <c r="AT1540">
        <v>10</v>
      </c>
      <c r="AU1540">
        <v>12</v>
      </c>
      <c r="AV1540">
        <v>2022</v>
      </c>
      <c r="AW1540">
        <v>2439589</v>
      </c>
      <c r="AX1540">
        <v>2439589</v>
      </c>
      <c r="AY1540" t="s">
        <v>106</v>
      </c>
      <c r="AZ1540" t="s">
        <v>92</v>
      </c>
      <c r="BA1540" t="s">
        <v>107</v>
      </c>
      <c r="BB1540" t="s">
        <v>5792</v>
      </c>
      <c r="BC1540" t="s">
        <v>97</v>
      </c>
      <c r="BD1540" s="1">
        <v>44905</v>
      </c>
      <c r="BE1540" t="s">
        <v>96</v>
      </c>
      <c r="BG1540" t="s">
        <v>5504</v>
      </c>
      <c r="BI1540" t="s">
        <v>98</v>
      </c>
      <c r="BJ1540" t="s">
        <v>5793</v>
      </c>
      <c r="BL1540" t="s">
        <v>110</v>
      </c>
    </row>
    <row r="1541" spans="1:64" hidden="1" x14ac:dyDescent="0.2">
      <c r="A1541">
        <v>575</v>
      </c>
      <c r="B1541">
        <v>4136459383</v>
      </c>
      <c r="C1541" t="s">
        <v>101</v>
      </c>
      <c r="D1541" t="s">
        <v>5800</v>
      </c>
      <c r="E1541" t="s">
        <v>65</v>
      </c>
      <c r="F1541" t="s">
        <v>66</v>
      </c>
      <c r="G1541" t="s">
        <v>67</v>
      </c>
      <c r="H1541" t="s">
        <v>68</v>
      </c>
      <c r="I1541" t="s">
        <v>69</v>
      </c>
      <c r="J1541" t="s">
        <v>70</v>
      </c>
      <c r="K1541" t="s">
        <v>71</v>
      </c>
      <c r="M1541" t="s">
        <v>72</v>
      </c>
      <c r="N1541" t="s">
        <v>73</v>
      </c>
      <c r="O1541" t="s">
        <v>71</v>
      </c>
      <c r="P1541" t="s">
        <v>74</v>
      </c>
      <c r="Q1541" t="s">
        <v>75</v>
      </c>
      <c r="R1541" t="s">
        <v>5008</v>
      </c>
      <c r="S1541" t="s">
        <v>576</v>
      </c>
      <c r="T1541" t="s">
        <v>78</v>
      </c>
      <c r="U1541" t="s">
        <v>5009</v>
      </c>
      <c r="V1541" t="s">
        <v>80</v>
      </c>
      <c r="W1541" s="1">
        <v>44905</v>
      </c>
      <c r="X1541" t="s">
        <v>5010</v>
      </c>
      <c r="Y1541" t="s">
        <v>5795</v>
      </c>
      <c r="Z1541" t="s">
        <v>83</v>
      </c>
      <c r="AA1541">
        <v>1</v>
      </c>
      <c r="AB1541" t="s">
        <v>5522</v>
      </c>
      <c r="AD1541" t="s">
        <v>134</v>
      </c>
      <c r="AE1541" t="s">
        <v>145</v>
      </c>
      <c r="AF1541" t="s">
        <v>146</v>
      </c>
      <c r="AG1541" t="s">
        <v>3217</v>
      </c>
      <c r="AH1541" t="s">
        <v>5801</v>
      </c>
      <c r="AI1541" t="s">
        <v>90</v>
      </c>
      <c r="AJ1541">
        <v>32.313102999999998</v>
      </c>
      <c r="AK1541">
        <v>-110.712616</v>
      </c>
      <c r="AL1541">
        <v>3</v>
      </c>
      <c r="AN1541">
        <v>1169</v>
      </c>
      <c r="AP1541">
        <v>1169</v>
      </c>
      <c r="AQ1541">
        <v>1167.017998</v>
      </c>
      <c r="AT1541">
        <v>10</v>
      </c>
      <c r="AU1541">
        <v>12</v>
      </c>
      <c r="AV1541">
        <v>2022</v>
      </c>
      <c r="AW1541">
        <v>2439581</v>
      </c>
      <c r="AX1541">
        <v>2439581</v>
      </c>
      <c r="AY1541" t="s">
        <v>106</v>
      </c>
      <c r="AZ1541" t="s">
        <v>92</v>
      </c>
      <c r="BA1541" t="s">
        <v>107</v>
      </c>
      <c r="BB1541" t="s">
        <v>5802</v>
      </c>
      <c r="BC1541" t="s">
        <v>97</v>
      </c>
      <c r="BD1541" s="1">
        <v>44905</v>
      </c>
      <c r="BE1541" t="s">
        <v>96</v>
      </c>
      <c r="BG1541" t="s">
        <v>5504</v>
      </c>
      <c r="BI1541" t="s">
        <v>98</v>
      </c>
      <c r="BJ1541" t="s">
        <v>911</v>
      </c>
      <c r="BL1541" t="s">
        <v>110</v>
      </c>
    </row>
    <row r="1542" spans="1:64" hidden="1" x14ac:dyDescent="0.2">
      <c r="A1542">
        <v>1712</v>
      </c>
      <c r="B1542">
        <v>3744741421</v>
      </c>
      <c r="C1542" t="s">
        <v>101</v>
      </c>
      <c r="D1542" t="s">
        <v>3611</v>
      </c>
      <c r="E1542" t="s">
        <v>65</v>
      </c>
      <c r="F1542" t="s">
        <v>66</v>
      </c>
      <c r="G1542" t="s">
        <v>67</v>
      </c>
      <c r="H1542" t="s">
        <v>68</v>
      </c>
      <c r="I1542" t="s">
        <v>176</v>
      </c>
      <c r="J1542" t="s">
        <v>773</v>
      </c>
      <c r="K1542" t="s">
        <v>774</v>
      </c>
      <c r="M1542" t="s">
        <v>72</v>
      </c>
      <c r="N1542" t="s">
        <v>775</v>
      </c>
      <c r="O1542" t="s">
        <v>774</v>
      </c>
      <c r="P1542" t="s">
        <v>776</v>
      </c>
      <c r="Q1542" t="s">
        <v>75</v>
      </c>
      <c r="R1542" t="s">
        <v>3564</v>
      </c>
      <c r="S1542" t="s">
        <v>3604</v>
      </c>
      <c r="T1542" t="s">
        <v>78</v>
      </c>
      <c r="U1542" t="s">
        <v>1822</v>
      </c>
      <c r="V1542" t="s">
        <v>80</v>
      </c>
      <c r="W1542" s="1">
        <v>44508</v>
      </c>
      <c r="X1542" t="s">
        <v>1823</v>
      </c>
      <c r="Y1542" t="s">
        <v>3605</v>
      </c>
      <c r="Z1542" t="s">
        <v>83</v>
      </c>
      <c r="AA1542">
        <v>1</v>
      </c>
      <c r="AB1542" t="s">
        <v>127</v>
      </c>
      <c r="AC1542">
        <v>1</v>
      </c>
      <c r="AD1542" t="s">
        <v>128</v>
      </c>
      <c r="AE1542" t="s">
        <v>86</v>
      </c>
      <c r="AF1542" t="s">
        <v>146</v>
      </c>
      <c r="AG1542" t="s">
        <v>3607</v>
      </c>
      <c r="AH1542" t="s">
        <v>3612</v>
      </c>
      <c r="AI1542" t="s">
        <v>90</v>
      </c>
      <c r="AJ1542">
        <v>32.440997000000003</v>
      </c>
      <c r="AK1542">
        <v>-110.78562700000001</v>
      </c>
      <c r="AL1542">
        <v>3</v>
      </c>
      <c r="AN1542">
        <v>2795</v>
      </c>
      <c r="AP1542">
        <v>2795</v>
      </c>
      <c r="AQ1542">
        <v>2780.5704580000001</v>
      </c>
      <c r="AT1542">
        <v>8</v>
      </c>
      <c r="AU1542">
        <v>11</v>
      </c>
      <c r="AV1542">
        <v>2021</v>
      </c>
      <c r="AW1542">
        <v>2438447</v>
      </c>
      <c r="AX1542">
        <v>2438447</v>
      </c>
      <c r="AY1542" t="s">
        <v>106</v>
      </c>
      <c r="AZ1542" t="s">
        <v>92</v>
      </c>
      <c r="BA1542" t="s">
        <v>107</v>
      </c>
      <c r="BB1542" t="s">
        <v>3613</v>
      </c>
      <c r="BC1542" t="s">
        <v>95</v>
      </c>
      <c r="BD1542" s="1">
        <v>44635</v>
      </c>
      <c r="BE1542" t="s">
        <v>96</v>
      </c>
      <c r="BG1542" t="s">
        <v>1186</v>
      </c>
      <c r="BI1542" t="s">
        <v>98</v>
      </c>
      <c r="BJ1542" t="s">
        <v>2348</v>
      </c>
      <c r="BL1542" t="s">
        <v>110</v>
      </c>
    </row>
    <row r="1543" spans="1:64" hidden="1" x14ac:dyDescent="0.2">
      <c r="A1543">
        <v>546</v>
      </c>
      <c r="B1543">
        <v>4136459412</v>
      </c>
      <c r="C1543" t="s">
        <v>101</v>
      </c>
      <c r="D1543" t="s">
        <v>5807</v>
      </c>
      <c r="E1543" t="s">
        <v>65</v>
      </c>
      <c r="F1543" t="s">
        <v>66</v>
      </c>
      <c r="G1543" t="s">
        <v>67</v>
      </c>
      <c r="H1543" t="s">
        <v>68</v>
      </c>
      <c r="I1543" t="s">
        <v>69</v>
      </c>
      <c r="J1543" t="s">
        <v>70</v>
      </c>
      <c r="K1543" t="s">
        <v>71</v>
      </c>
      <c r="M1543" t="s">
        <v>72</v>
      </c>
      <c r="N1543" t="s">
        <v>73</v>
      </c>
      <c r="O1543" t="s">
        <v>71</v>
      </c>
      <c r="P1543" t="s">
        <v>74</v>
      </c>
      <c r="Q1543" t="s">
        <v>75</v>
      </c>
      <c r="R1543" t="s">
        <v>5008</v>
      </c>
      <c r="S1543" t="s">
        <v>576</v>
      </c>
      <c r="T1543" t="s">
        <v>78</v>
      </c>
      <c r="U1543" t="s">
        <v>5009</v>
      </c>
      <c r="V1543" t="s">
        <v>80</v>
      </c>
      <c r="W1543" s="1">
        <v>44905</v>
      </c>
      <c r="X1543" t="s">
        <v>5010</v>
      </c>
      <c r="Y1543" t="s">
        <v>5795</v>
      </c>
      <c r="Z1543" t="s">
        <v>83</v>
      </c>
      <c r="AA1543">
        <v>1</v>
      </c>
      <c r="AB1543" t="s">
        <v>5634</v>
      </c>
      <c r="AD1543" t="s">
        <v>104</v>
      </c>
      <c r="AE1543" t="s">
        <v>145</v>
      </c>
      <c r="AF1543" t="s">
        <v>146</v>
      </c>
      <c r="AG1543" t="s">
        <v>3217</v>
      </c>
      <c r="AH1543" t="s">
        <v>5808</v>
      </c>
      <c r="AI1543" t="s">
        <v>90</v>
      </c>
      <c r="AJ1543">
        <v>32.313102999999998</v>
      </c>
      <c r="AK1543">
        <v>-110.712616</v>
      </c>
      <c r="AL1543">
        <v>3</v>
      </c>
      <c r="AN1543">
        <v>1169</v>
      </c>
      <c r="AP1543">
        <v>1169</v>
      </c>
      <c r="AQ1543">
        <v>1167.017998</v>
      </c>
      <c r="AT1543">
        <v>10</v>
      </c>
      <c r="AU1543">
        <v>12</v>
      </c>
      <c r="AV1543">
        <v>2022</v>
      </c>
      <c r="AW1543">
        <v>2439581</v>
      </c>
      <c r="AX1543">
        <v>2439581</v>
      </c>
      <c r="AY1543" t="s">
        <v>106</v>
      </c>
      <c r="AZ1543" t="s">
        <v>92</v>
      </c>
      <c r="BA1543" t="s">
        <v>107</v>
      </c>
      <c r="BB1543" t="s">
        <v>5809</v>
      </c>
      <c r="BC1543" t="s">
        <v>97</v>
      </c>
      <c r="BD1543" s="1">
        <v>44905</v>
      </c>
      <c r="BE1543" t="s">
        <v>96</v>
      </c>
      <c r="BG1543" t="s">
        <v>5504</v>
      </c>
      <c r="BI1543" t="s">
        <v>98</v>
      </c>
      <c r="BJ1543" t="s">
        <v>4120</v>
      </c>
      <c r="BL1543" t="s">
        <v>110</v>
      </c>
    </row>
    <row r="1544" spans="1:64" hidden="1" x14ac:dyDescent="0.2">
      <c r="A1544">
        <v>564</v>
      </c>
      <c r="B1544">
        <v>4136459394</v>
      </c>
      <c r="C1544" t="s">
        <v>101</v>
      </c>
      <c r="D1544" t="s">
        <v>5810</v>
      </c>
      <c r="E1544" t="s">
        <v>65</v>
      </c>
      <c r="F1544" t="s">
        <v>66</v>
      </c>
      <c r="G1544" t="s">
        <v>67</v>
      </c>
      <c r="H1544" t="s">
        <v>68</v>
      </c>
      <c r="I1544" t="s">
        <v>69</v>
      </c>
      <c r="J1544" t="s">
        <v>70</v>
      </c>
      <c r="K1544" t="s">
        <v>71</v>
      </c>
      <c r="M1544" t="s">
        <v>72</v>
      </c>
      <c r="N1544" t="s">
        <v>73</v>
      </c>
      <c r="O1544" t="s">
        <v>71</v>
      </c>
      <c r="P1544" t="s">
        <v>74</v>
      </c>
      <c r="Q1544" t="s">
        <v>75</v>
      </c>
      <c r="R1544" t="s">
        <v>5008</v>
      </c>
      <c r="S1544" t="s">
        <v>576</v>
      </c>
      <c r="T1544" t="s">
        <v>78</v>
      </c>
      <c r="U1544" t="s">
        <v>5009</v>
      </c>
      <c r="V1544" t="s">
        <v>80</v>
      </c>
      <c r="W1544" s="1">
        <v>44905</v>
      </c>
      <c r="X1544" t="s">
        <v>5010</v>
      </c>
      <c r="Y1544" t="s">
        <v>5795</v>
      </c>
      <c r="Z1544" t="s">
        <v>83</v>
      </c>
      <c r="AA1544">
        <v>1</v>
      </c>
      <c r="AB1544" t="s">
        <v>5634</v>
      </c>
      <c r="AD1544" t="s">
        <v>2435</v>
      </c>
      <c r="AE1544" t="s">
        <v>145</v>
      </c>
      <c r="AF1544" t="s">
        <v>146</v>
      </c>
      <c r="AG1544" t="s">
        <v>3217</v>
      </c>
      <c r="AH1544" t="s">
        <v>5808</v>
      </c>
      <c r="AI1544" t="s">
        <v>90</v>
      </c>
      <c r="AJ1544">
        <v>32.313102999999998</v>
      </c>
      <c r="AK1544">
        <v>-110.712616</v>
      </c>
      <c r="AL1544">
        <v>3</v>
      </c>
      <c r="AN1544">
        <v>1169</v>
      </c>
      <c r="AP1544">
        <v>1169</v>
      </c>
      <c r="AQ1544">
        <v>1167.017998</v>
      </c>
      <c r="AT1544">
        <v>10</v>
      </c>
      <c r="AU1544">
        <v>12</v>
      </c>
      <c r="AV1544">
        <v>2022</v>
      </c>
      <c r="AW1544">
        <v>2439581</v>
      </c>
      <c r="AX1544">
        <v>2439581</v>
      </c>
      <c r="AY1544" t="s">
        <v>106</v>
      </c>
      <c r="AZ1544" t="s">
        <v>92</v>
      </c>
      <c r="BA1544" t="s">
        <v>107</v>
      </c>
      <c r="BB1544" t="s">
        <v>5811</v>
      </c>
      <c r="BC1544" t="s">
        <v>97</v>
      </c>
      <c r="BD1544" s="1">
        <v>44905</v>
      </c>
      <c r="BE1544" t="s">
        <v>96</v>
      </c>
      <c r="BG1544" t="s">
        <v>5504</v>
      </c>
      <c r="BI1544" t="s">
        <v>98</v>
      </c>
      <c r="BJ1544" t="s">
        <v>5812</v>
      </c>
      <c r="BL1544" t="s">
        <v>110</v>
      </c>
    </row>
    <row r="1545" spans="1:64" hidden="1" x14ac:dyDescent="0.2">
      <c r="A1545">
        <v>560</v>
      </c>
      <c r="B1545">
        <v>4136459398</v>
      </c>
      <c r="C1545" t="s">
        <v>101</v>
      </c>
      <c r="D1545" t="s">
        <v>5813</v>
      </c>
      <c r="E1545" t="s">
        <v>65</v>
      </c>
      <c r="F1545" t="s">
        <v>66</v>
      </c>
      <c r="G1545" t="s">
        <v>67</v>
      </c>
      <c r="H1545" t="s">
        <v>68</v>
      </c>
      <c r="I1545" t="s">
        <v>69</v>
      </c>
      <c r="J1545" t="s">
        <v>70</v>
      </c>
      <c r="K1545" t="s">
        <v>71</v>
      </c>
      <c r="M1545" t="s">
        <v>72</v>
      </c>
      <c r="N1545" t="s">
        <v>73</v>
      </c>
      <c r="O1545" t="s">
        <v>71</v>
      </c>
      <c r="P1545" t="s">
        <v>74</v>
      </c>
      <c r="Q1545" t="s">
        <v>75</v>
      </c>
      <c r="R1545" t="s">
        <v>5008</v>
      </c>
      <c r="S1545" t="s">
        <v>576</v>
      </c>
      <c r="T1545" t="s">
        <v>78</v>
      </c>
      <c r="U1545" t="s">
        <v>5009</v>
      </c>
      <c r="V1545" t="s">
        <v>80</v>
      </c>
      <c r="W1545" s="1">
        <v>44905</v>
      </c>
      <c r="X1545" t="s">
        <v>5010</v>
      </c>
      <c r="Y1545" t="s">
        <v>5795</v>
      </c>
      <c r="Z1545" t="s">
        <v>83</v>
      </c>
      <c r="AA1545">
        <v>1</v>
      </c>
      <c r="AB1545" t="s">
        <v>5634</v>
      </c>
      <c r="AD1545" t="s">
        <v>123</v>
      </c>
      <c r="AE1545" t="s">
        <v>145</v>
      </c>
      <c r="AF1545" t="s">
        <v>146</v>
      </c>
      <c r="AG1545" t="s">
        <v>3217</v>
      </c>
      <c r="AH1545" t="s">
        <v>5808</v>
      </c>
      <c r="AI1545" t="s">
        <v>90</v>
      </c>
      <c r="AJ1545">
        <v>32.313102999999998</v>
      </c>
      <c r="AK1545">
        <v>-110.712616</v>
      </c>
      <c r="AL1545">
        <v>3</v>
      </c>
      <c r="AN1545">
        <v>1169</v>
      </c>
      <c r="AP1545">
        <v>1169</v>
      </c>
      <c r="AQ1545">
        <v>1167.017998</v>
      </c>
      <c r="AT1545">
        <v>10</v>
      </c>
      <c r="AU1545">
        <v>12</v>
      </c>
      <c r="AV1545">
        <v>2022</v>
      </c>
      <c r="AW1545">
        <v>2439581</v>
      </c>
      <c r="AX1545">
        <v>2439581</v>
      </c>
      <c r="AY1545" t="s">
        <v>106</v>
      </c>
      <c r="AZ1545" t="s">
        <v>92</v>
      </c>
      <c r="BA1545" t="s">
        <v>107</v>
      </c>
      <c r="BB1545" t="s">
        <v>5814</v>
      </c>
      <c r="BC1545" t="s">
        <v>97</v>
      </c>
      <c r="BD1545" s="1">
        <v>44905</v>
      </c>
      <c r="BE1545" t="s">
        <v>96</v>
      </c>
      <c r="BG1545" t="s">
        <v>5504</v>
      </c>
      <c r="BI1545" t="s">
        <v>98</v>
      </c>
      <c r="BJ1545" t="s">
        <v>2304</v>
      </c>
      <c r="BL1545" t="s">
        <v>110</v>
      </c>
    </row>
    <row r="1546" spans="1:64" hidden="1" x14ac:dyDescent="0.2">
      <c r="A1546">
        <v>562</v>
      </c>
      <c r="B1546">
        <v>4136459396</v>
      </c>
      <c r="C1546" t="s">
        <v>101</v>
      </c>
      <c r="D1546" t="s">
        <v>5815</v>
      </c>
      <c r="E1546" t="s">
        <v>65</v>
      </c>
      <c r="F1546" t="s">
        <v>66</v>
      </c>
      <c r="G1546" t="s">
        <v>67</v>
      </c>
      <c r="H1546" t="s">
        <v>68</v>
      </c>
      <c r="I1546" t="s">
        <v>69</v>
      </c>
      <c r="J1546" t="s">
        <v>70</v>
      </c>
      <c r="K1546" t="s">
        <v>71</v>
      </c>
      <c r="M1546" t="s">
        <v>72</v>
      </c>
      <c r="N1546" t="s">
        <v>73</v>
      </c>
      <c r="O1546" t="s">
        <v>71</v>
      </c>
      <c r="P1546" t="s">
        <v>74</v>
      </c>
      <c r="Q1546" t="s">
        <v>75</v>
      </c>
      <c r="R1546" t="s">
        <v>5008</v>
      </c>
      <c r="S1546" t="s">
        <v>576</v>
      </c>
      <c r="T1546" t="s">
        <v>78</v>
      </c>
      <c r="U1546" t="s">
        <v>5009</v>
      </c>
      <c r="V1546" t="s">
        <v>80</v>
      </c>
      <c r="W1546" s="1">
        <v>44905</v>
      </c>
      <c r="X1546" t="s">
        <v>5010</v>
      </c>
      <c r="Y1546" t="s">
        <v>5795</v>
      </c>
      <c r="Z1546" t="s">
        <v>83</v>
      </c>
      <c r="AA1546">
        <v>1</v>
      </c>
      <c r="AB1546" t="s">
        <v>5634</v>
      </c>
      <c r="AD1546" t="s">
        <v>139</v>
      </c>
      <c r="AE1546" t="s">
        <v>145</v>
      </c>
      <c r="AF1546" t="s">
        <v>146</v>
      </c>
      <c r="AG1546" t="s">
        <v>3217</v>
      </c>
      <c r="AH1546" t="s">
        <v>5808</v>
      </c>
      <c r="AI1546" t="s">
        <v>90</v>
      </c>
      <c r="AJ1546">
        <v>32.313102999999998</v>
      </c>
      <c r="AK1546">
        <v>-110.712616</v>
      </c>
      <c r="AL1546">
        <v>3</v>
      </c>
      <c r="AN1546">
        <v>1169</v>
      </c>
      <c r="AP1546">
        <v>1169</v>
      </c>
      <c r="AQ1546">
        <v>1167.017998</v>
      </c>
      <c r="AT1546">
        <v>10</v>
      </c>
      <c r="AU1546">
        <v>12</v>
      </c>
      <c r="AV1546">
        <v>2022</v>
      </c>
      <c r="AW1546">
        <v>2439581</v>
      </c>
      <c r="AX1546">
        <v>2439581</v>
      </c>
      <c r="AY1546" t="s">
        <v>106</v>
      </c>
      <c r="AZ1546" t="s">
        <v>92</v>
      </c>
      <c r="BA1546" t="s">
        <v>107</v>
      </c>
      <c r="BB1546" t="s">
        <v>5816</v>
      </c>
      <c r="BC1546" t="s">
        <v>97</v>
      </c>
      <c r="BD1546" s="1">
        <v>44905</v>
      </c>
      <c r="BE1546" t="s">
        <v>96</v>
      </c>
      <c r="BG1546" t="s">
        <v>5504</v>
      </c>
      <c r="BI1546" t="s">
        <v>98</v>
      </c>
      <c r="BJ1546" t="s">
        <v>4627</v>
      </c>
      <c r="BL1546" t="s">
        <v>110</v>
      </c>
    </row>
    <row r="1547" spans="1:64" hidden="1" x14ac:dyDescent="0.2">
      <c r="A1547">
        <v>556</v>
      </c>
      <c r="B1547">
        <v>4136459402</v>
      </c>
      <c r="C1547" t="s">
        <v>101</v>
      </c>
      <c r="D1547" t="s">
        <v>5817</v>
      </c>
      <c r="E1547" t="s">
        <v>65</v>
      </c>
      <c r="F1547" t="s">
        <v>66</v>
      </c>
      <c r="G1547" t="s">
        <v>67</v>
      </c>
      <c r="H1547" t="s">
        <v>68</v>
      </c>
      <c r="I1547" t="s">
        <v>69</v>
      </c>
      <c r="J1547" t="s">
        <v>70</v>
      </c>
      <c r="K1547" t="s">
        <v>71</v>
      </c>
      <c r="M1547" t="s">
        <v>72</v>
      </c>
      <c r="N1547" t="s">
        <v>73</v>
      </c>
      <c r="O1547" t="s">
        <v>71</v>
      </c>
      <c r="P1547" t="s">
        <v>74</v>
      </c>
      <c r="Q1547" t="s">
        <v>75</v>
      </c>
      <c r="R1547" t="s">
        <v>5008</v>
      </c>
      <c r="S1547" t="s">
        <v>576</v>
      </c>
      <c r="T1547" t="s">
        <v>78</v>
      </c>
      <c r="U1547" t="s">
        <v>5009</v>
      </c>
      <c r="V1547" t="s">
        <v>80</v>
      </c>
      <c r="W1547" s="1">
        <v>44905</v>
      </c>
      <c r="X1547" t="s">
        <v>5010</v>
      </c>
      <c r="Y1547" t="s">
        <v>5795</v>
      </c>
      <c r="Z1547" t="s">
        <v>83</v>
      </c>
      <c r="AA1547">
        <v>1</v>
      </c>
      <c r="AB1547" t="s">
        <v>5634</v>
      </c>
      <c r="AD1547" t="s">
        <v>116</v>
      </c>
      <c r="AE1547" t="s">
        <v>145</v>
      </c>
      <c r="AF1547" t="s">
        <v>146</v>
      </c>
      <c r="AG1547" t="s">
        <v>3217</v>
      </c>
      <c r="AH1547" t="s">
        <v>5808</v>
      </c>
      <c r="AI1547" t="s">
        <v>90</v>
      </c>
      <c r="AJ1547">
        <v>32.313102999999998</v>
      </c>
      <c r="AK1547">
        <v>-110.712616</v>
      </c>
      <c r="AL1547">
        <v>3</v>
      </c>
      <c r="AN1547">
        <v>1169</v>
      </c>
      <c r="AP1547">
        <v>1169</v>
      </c>
      <c r="AQ1547">
        <v>1167.017998</v>
      </c>
      <c r="AT1547">
        <v>10</v>
      </c>
      <c r="AU1547">
        <v>12</v>
      </c>
      <c r="AV1547">
        <v>2022</v>
      </c>
      <c r="AW1547">
        <v>2439581</v>
      </c>
      <c r="AX1547">
        <v>2439581</v>
      </c>
      <c r="AY1547" t="s">
        <v>106</v>
      </c>
      <c r="AZ1547" t="s">
        <v>92</v>
      </c>
      <c r="BA1547" t="s">
        <v>107</v>
      </c>
      <c r="BB1547" t="s">
        <v>5818</v>
      </c>
      <c r="BC1547" t="s">
        <v>97</v>
      </c>
      <c r="BD1547" s="1">
        <v>44905</v>
      </c>
      <c r="BE1547" t="s">
        <v>96</v>
      </c>
      <c r="BG1547" t="s">
        <v>5504</v>
      </c>
      <c r="BI1547" t="s">
        <v>98</v>
      </c>
      <c r="BJ1547" t="s">
        <v>2304</v>
      </c>
      <c r="BL1547" t="s">
        <v>110</v>
      </c>
    </row>
    <row r="1548" spans="1:64" hidden="1" x14ac:dyDescent="0.2">
      <c r="A1548">
        <v>559</v>
      </c>
      <c r="B1548">
        <v>4136459399</v>
      </c>
      <c r="C1548" t="s">
        <v>101</v>
      </c>
      <c r="D1548" t="s">
        <v>5819</v>
      </c>
      <c r="E1548" t="s">
        <v>65</v>
      </c>
      <c r="F1548" t="s">
        <v>66</v>
      </c>
      <c r="G1548" t="s">
        <v>67</v>
      </c>
      <c r="H1548" t="s">
        <v>68</v>
      </c>
      <c r="I1548" t="s">
        <v>69</v>
      </c>
      <c r="J1548" t="s">
        <v>70</v>
      </c>
      <c r="K1548" t="s">
        <v>71</v>
      </c>
      <c r="M1548" t="s">
        <v>72</v>
      </c>
      <c r="N1548" t="s">
        <v>73</v>
      </c>
      <c r="O1548" t="s">
        <v>71</v>
      </c>
      <c r="P1548" t="s">
        <v>74</v>
      </c>
      <c r="Q1548" t="s">
        <v>75</v>
      </c>
      <c r="R1548" t="s">
        <v>5008</v>
      </c>
      <c r="S1548" t="s">
        <v>576</v>
      </c>
      <c r="T1548" t="s">
        <v>78</v>
      </c>
      <c r="U1548" t="s">
        <v>5009</v>
      </c>
      <c r="V1548" t="s">
        <v>80</v>
      </c>
      <c r="W1548" s="1">
        <v>44905</v>
      </c>
      <c r="X1548" t="s">
        <v>5010</v>
      </c>
      <c r="Y1548" t="s">
        <v>5795</v>
      </c>
      <c r="Z1548" t="s">
        <v>83</v>
      </c>
      <c r="AA1548">
        <v>1</v>
      </c>
      <c r="AB1548" t="s">
        <v>5634</v>
      </c>
      <c r="AD1548" t="s">
        <v>112</v>
      </c>
      <c r="AE1548" t="s">
        <v>145</v>
      </c>
      <c r="AF1548" t="s">
        <v>146</v>
      </c>
      <c r="AG1548" t="s">
        <v>3217</v>
      </c>
      <c r="AH1548" t="s">
        <v>5808</v>
      </c>
      <c r="AI1548" t="s">
        <v>90</v>
      </c>
      <c r="AJ1548">
        <v>32.313102999999998</v>
      </c>
      <c r="AK1548">
        <v>-110.712616</v>
      </c>
      <c r="AL1548">
        <v>3</v>
      </c>
      <c r="AN1548">
        <v>1169</v>
      </c>
      <c r="AP1548">
        <v>1169</v>
      </c>
      <c r="AQ1548">
        <v>1167.017998</v>
      </c>
      <c r="AT1548">
        <v>10</v>
      </c>
      <c r="AU1548">
        <v>12</v>
      </c>
      <c r="AV1548">
        <v>2022</v>
      </c>
      <c r="AW1548">
        <v>2439581</v>
      </c>
      <c r="AX1548">
        <v>2439581</v>
      </c>
      <c r="AY1548" t="s">
        <v>106</v>
      </c>
      <c r="AZ1548" t="s">
        <v>92</v>
      </c>
      <c r="BA1548" t="s">
        <v>107</v>
      </c>
      <c r="BB1548" t="s">
        <v>5820</v>
      </c>
      <c r="BC1548" t="s">
        <v>97</v>
      </c>
      <c r="BD1548" s="1">
        <v>44905</v>
      </c>
      <c r="BE1548" t="s">
        <v>96</v>
      </c>
      <c r="BG1548" t="s">
        <v>5504</v>
      </c>
      <c r="BI1548" t="s">
        <v>98</v>
      </c>
      <c r="BJ1548" t="s">
        <v>2267</v>
      </c>
      <c r="BL1548" t="s">
        <v>110</v>
      </c>
    </row>
    <row r="1549" spans="1:64" hidden="1" x14ac:dyDescent="0.2">
      <c r="A1549">
        <v>589</v>
      </c>
      <c r="B1549">
        <v>4136459367</v>
      </c>
      <c r="C1549" t="s">
        <v>101</v>
      </c>
      <c r="D1549" t="s">
        <v>5827</v>
      </c>
      <c r="E1549" t="s">
        <v>65</v>
      </c>
      <c r="F1549" t="s">
        <v>66</v>
      </c>
      <c r="G1549" t="s">
        <v>67</v>
      </c>
      <c r="H1549" t="s">
        <v>68</v>
      </c>
      <c r="I1549" t="s">
        <v>69</v>
      </c>
      <c r="J1549" t="s">
        <v>70</v>
      </c>
      <c r="K1549" t="s">
        <v>71</v>
      </c>
      <c r="M1549" t="s">
        <v>72</v>
      </c>
      <c r="N1549" t="s">
        <v>73</v>
      </c>
      <c r="O1549" t="s">
        <v>71</v>
      </c>
      <c r="P1549" t="s">
        <v>74</v>
      </c>
      <c r="Q1549" t="s">
        <v>75</v>
      </c>
      <c r="R1549" t="s">
        <v>5008</v>
      </c>
      <c r="S1549" t="s">
        <v>598</v>
      </c>
      <c r="T1549" t="s">
        <v>78</v>
      </c>
      <c r="U1549" t="s">
        <v>5009</v>
      </c>
      <c r="V1549" t="s">
        <v>80</v>
      </c>
      <c r="W1549" s="1">
        <v>44905</v>
      </c>
      <c r="X1549" t="s">
        <v>5010</v>
      </c>
      <c r="Y1549" t="s">
        <v>5822</v>
      </c>
      <c r="Z1549" t="s">
        <v>83</v>
      </c>
      <c r="AA1549">
        <v>1</v>
      </c>
      <c r="AB1549" t="s">
        <v>5634</v>
      </c>
      <c r="AD1549" t="s">
        <v>139</v>
      </c>
      <c r="AE1549" t="s">
        <v>86</v>
      </c>
      <c r="AF1549" t="s">
        <v>146</v>
      </c>
      <c r="AG1549" t="s">
        <v>1257</v>
      </c>
      <c r="AH1549" t="s">
        <v>5828</v>
      </c>
      <c r="AI1549" t="s">
        <v>90</v>
      </c>
      <c r="AJ1549">
        <v>32.313523000000004</v>
      </c>
      <c r="AK1549">
        <v>-110.71329799999999</v>
      </c>
      <c r="AL1549">
        <v>3</v>
      </c>
      <c r="AN1549">
        <v>1153</v>
      </c>
      <c r="AP1549">
        <v>1153</v>
      </c>
      <c r="AQ1549">
        <v>1179.987789</v>
      </c>
      <c r="AT1549">
        <v>10</v>
      </c>
      <c r="AU1549">
        <v>12</v>
      </c>
      <c r="AV1549">
        <v>2022</v>
      </c>
      <c r="AW1549">
        <v>2439581</v>
      </c>
      <c r="AX1549">
        <v>2439581</v>
      </c>
      <c r="AY1549" t="s">
        <v>106</v>
      </c>
      <c r="AZ1549" t="s">
        <v>92</v>
      </c>
      <c r="BA1549" t="s">
        <v>107</v>
      </c>
      <c r="BB1549" t="s">
        <v>5829</v>
      </c>
      <c r="BC1549" t="s">
        <v>97</v>
      </c>
      <c r="BD1549" s="1">
        <v>44905</v>
      </c>
      <c r="BE1549" t="s">
        <v>96</v>
      </c>
      <c r="BG1549" t="s">
        <v>5504</v>
      </c>
      <c r="BI1549" t="s">
        <v>98</v>
      </c>
      <c r="BJ1549" t="s">
        <v>2553</v>
      </c>
      <c r="BL1549" t="s">
        <v>110</v>
      </c>
    </row>
    <row r="1550" spans="1:64" hidden="1" x14ac:dyDescent="0.2">
      <c r="A1550">
        <v>1742</v>
      </c>
      <c r="B1550">
        <v>3744741391</v>
      </c>
      <c r="C1550" t="s">
        <v>101</v>
      </c>
      <c r="D1550" t="s">
        <v>3653</v>
      </c>
      <c r="E1550" t="s">
        <v>65</v>
      </c>
      <c r="F1550" t="s">
        <v>66</v>
      </c>
      <c r="G1550" t="s">
        <v>67</v>
      </c>
      <c r="H1550" t="s">
        <v>68</v>
      </c>
      <c r="I1550" t="s">
        <v>176</v>
      </c>
      <c r="J1550" t="s">
        <v>773</v>
      </c>
      <c r="K1550" t="s">
        <v>774</v>
      </c>
      <c r="M1550" t="s">
        <v>72</v>
      </c>
      <c r="N1550" t="s">
        <v>775</v>
      </c>
      <c r="O1550" t="s">
        <v>774</v>
      </c>
      <c r="P1550" t="s">
        <v>776</v>
      </c>
      <c r="Q1550" t="s">
        <v>75</v>
      </c>
      <c r="R1550" t="s">
        <v>3564</v>
      </c>
      <c r="S1550" t="s">
        <v>3635</v>
      </c>
      <c r="T1550" t="s">
        <v>78</v>
      </c>
      <c r="U1550" t="s">
        <v>1822</v>
      </c>
      <c r="V1550" t="s">
        <v>80</v>
      </c>
      <c r="W1550" s="1">
        <v>44508</v>
      </c>
      <c r="X1550" t="s">
        <v>1823</v>
      </c>
      <c r="Y1550" t="s">
        <v>3636</v>
      </c>
      <c r="Z1550" t="s">
        <v>83</v>
      </c>
      <c r="AA1550">
        <v>1</v>
      </c>
      <c r="AB1550" t="s">
        <v>127</v>
      </c>
      <c r="AC1550">
        <v>1</v>
      </c>
      <c r="AD1550" t="s">
        <v>128</v>
      </c>
      <c r="AE1550" t="s">
        <v>86</v>
      </c>
      <c r="AF1550" t="s">
        <v>146</v>
      </c>
      <c r="AG1550" t="s">
        <v>3638</v>
      </c>
      <c r="AH1550" t="s">
        <v>3654</v>
      </c>
      <c r="AI1550" t="s">
        <v>90</v>
      </c>
      <c r="AJ1550">
        <v>32.441079000000002</v>
      </c>
      <c r="AK1550">
        <v>-110.785821</v>
      </c>
      <c r="AL1550">
        <v>3</v>
      </c>
      <c r="AN1550">
        <v>2776</v>
      </c>
      <c r="AP1550">
        <v>2776</v>
      </c>
      <c r="AQ1550">
        <v>2778.8040679999999</v>
      </c>
      <c r="AT1550">
        <v>8</v>
      </c>
      <c r="AU1550">
        <v>11</v>
      </c>
      <c r="AV1550">
        <v>2021</v>
      </c>
      <c r="AW1550">
        <v>2438447</v>
      </c>
      <c r="AX1550">
        <v>2438447</v>
      </c>
      <c r="AY1550" t="s">
        <v>106</v>
      </c>
      <c r="AZ1550" t="s">
        <v>92</v>
      </c>
      <c r="BA1550" t="s">
        <v>107</v>
      </c>
      <c r="BB1550" t="s">
        <v>3655</v>
      </c>
      <c r="BC1550" t="s">
        <v>1186</v>
      </c>
      <c r="BE1550" t="s">
        <v>96</v>
      </c>
      <c r="BG1550" t="s">
        <v>1186</v>
      </c>
      <c r="BI1550" t="s">
        <v>98</v>
      </c>
      <c r="BJ1550" t="s">
        <v>3656</v>
      </c>
      <c r="BL1550" t="s">
        <v>110</v>
      </c>
    </row>
    <row r="1551" spans="1:64" hidden="1" x14ac:dyDescent="0.2">
      <c r="A1551">
        <v>572</v>
      </c>
      <c r="B1551">
        <v>4136459386</v>
      </c>
      <c r="C1551" t="s">
        <v>101</v>
      </c>
      <c r="D1551" t="s">
        <v>5833</v>
      </c>
      <c r="E1551" t="s">
        <v>65</v>
      </c>
      <c r="F1551" t="s">
        <v>66</v>
      </c>
      <c r="G1551" t="s">
        <v>67</v>
      </c>
      <c r="H1551" t="s">
        <v>68</v>
      </c>
      <c r="I1551" t="s">
        <v>69</v>
      </c>
      <c r="J1551" t="s">
        <v>70</v>
      </c>
      <c r="K1551" t="s">
        <v>71</v>
      </c>
      <c r="M1551" t="s">
        <v>72</v>
      </c>
      <c r="N1551" t="s">
        <v>73</v>
      </c>
      <c r="O1551" t="s">
        <v>71</v>
      </c>
      <c r="P1551" t="s">
        <v>74</v>
      </c>
      <c r="Q1551" t="s">
        <v>75</v>
      </c>
      <c r="R1551" t="s">
        <v>5008</v>
      </c>
      <c r="S1551" t="s">
        <v>598</v>
      </c>
      <c r="T1551" t="s">
        <v>78</v>
      </c>
      <c r="U1551" t="s">
        <v>5009</v>
      </c>
      <c r="V1551" t="s">
        <v>80</v>
      </c>
      <c r="W1551" s="1">
        <v>44905</v>
      </c>
      <c r="X1551" t="s">
        <v>5010</v>
      </c>
      <c r="Y1551" t="s">
        <v>5822</v>
      </c>
      <c r="Z1551" t="s">
        <v>83</v>
      </c>
      <c r="AA1551">
        <v>1</v>
      </c>
      <c r="AB1551" t="s">
        <v>5634</v>
      </c>
      <c r="AD1551" t="s">
        <v>104</v>
      </c>
      <c r="AE1551" t="s">
        <v>86</v>
      </c>
      <c r="AF1551" t="s">
        <v>146</v>
      </c>
      <c r="AG1551" t="s">
        <v>1257</v>
      </c>
      <c r="AH1551" t="s">
        <v>5828</v>
      </c>
      <c r="AI1551" t="s">
        <v>90</v>
      </c>
      <c r="AJ1551">
        <v>32.313523000000004</v>
      </c>
      <c r="AK1551">
        <v>-110.71329799999999</v>
      </c>
      <c r="AL1551">
        <v>3</v>
      </c>
      <c r="AN1551">
        <v>1153</v>
      </c>
      <c r="AP1551">
        <v>1153</v>
      </c>
      <c r="AQ1551">
        <v>1179.987789</v>
      </c>
      <c r="AT1551">
        <v>10</v>
      </c>
      <c r="AU1551">
        <v>12</v>
      </c>
      <c r="AV1551">
        <v>2022</v>
      </c>
      <c r="AW1551">
        <v>2439581</v>
      </c>
      <c r="AX1551">
        <v>2439581</v>
      </c>
      <c r="AY1551" t="s">
        <v>106</v>
      </c>
      <c r="AZ1551" t="s">
        <v>92</v>
      </c>
      <c r="BA1551" t="s">
        <v>107</v>
      </c>
      <c r="BB1551" t="s">
        <v>5834</v>
      </c>
      <c r="BC1551" t="s">
        <v>97</v>
      </c>
      <c r="BD1551" s="1">
        <v>44905</v>
      </c>
      <c r="BE1551" t="s">
        <v>96</v>
      </c>
      <c r="BG1551" t="s">
        <v>5504</v>
      </c>
      <c r="BI1551" t="s">
        <v>98</v>
      </c>
      <c r="BJ1551" t="s">
        <v>3050</v>
      </c>
      <c r="BL1551" t="s">
        <v>110</v>
      </c>
    </row>
    <row r="1552" spans="1:64" hidden="1" x14ac:dyDescent="0.2">
      <c r="A1552">
        <v>574</v>
      </c>
      <c r="B1552">
        <v>4136459384</v>
      </c>
      <c r="C1552" t="s">
        <v>101</v>
      </c>
      <c r="D1552" t="s">
        <v>5835</v>
      </c>
      <c r="E1552" t="s">
        <v>65</v>
      </c>
      <c r="F1552" t="s">
        <v>66</v>
      </c>
      <c r="G1552" t="s">
        <v>67</v>
      </c>
      <c r="H1552" t="s">
        <v>68</v>
      </c>
      <c r="I1552" t="s">
        <v>69</v>
      </c>
      <c r="J1552" t="s">
        <v>70</v>
      </c>
      <c r="K1552" t="s">
        <v>71</v>
      </c>
      <c r="M1552" t="s">
        <v>72</v>
      </c>
      <c r="N1552" t="s">
        <v>73</v>
      </c>
      <c r="O1552" t="s">
        <v>71</v>
      </c>
      <c r="P1552" t="s">
        <v>74</v>
      </c>
      <c r="Q1552" t="s">
        <v>75</v>
      </c>
      <c r="R1552" t="s">
        <v>5008</v>
      </c>
      <c r="S1552" t="s">
        <v>598</v>
      </c>
      <c r="T1552" t="s">
        <v>78</v>
      </c>
      <c r="U1552" t="s">
        <v>5009</v>
      </c>
      <c r="V1552" t="s">
        <v>80</v>
      </c>
      <c r="W1552" s="1">
        <v>44905</v>
      </c>
      <c r="X1552" t="s">
        <v>5010</v>
      </c>
      <c r="Y1552" t="s">
        <v>5822</v>
      </c>
      <c r="Z1552" t="s">
        <v>83</v>
      </c>
      <c r="AA1552">
        <v>1</v>
      </c>
      <c r="AB1552" t="s">
        <v>5634</v>
      </c>
      <c r="AD1552" t="s">
        <v>116</v>
      </c>
      <c r="AE1552" t="s">
        <v>86</v>
      </c>
      <c r="AF1552" t="s">
        <v>146</v>
      </c>
      <c r="AG1552" t="s">
        <v>1257</v>
      </c>
      <c r="AH1552" t="s">
        <v>5828</v>
      </c>
      <c r="AI1552" t="s">
        <v>90</v>
      </c>
      <c r="AJ1552">
        <v>32.313523000000004</v>
      </c>
      <c r="AK1552">
        <v>-110.71329799999999</v>
      </c>
      <c r="AL1552">
        <v>3</v>
      </c>
      <c r="AN1552">
        <v>1153</v>
      </c>
      <c r="AP1552">
        <v>1153</v>
      </c>
      <c r="AQ1552">
        <v>1179.987789</v>
      </c>
      <c r="AT1552">
        <v>10</v>
      </c>
      <c r="AU1552">
        <v>12</v>
      </c>
      <c r="AV1552">
        <v>2022</v>
      </c>
      <c r="AW1552">
        <v>2439581</v>
      </c>
      <c r="AX1552">
        <v>2439581</v>
      </c>
      <c r="AY1552" t="s">
        <v>106</v>
      </c>
      <c r="AZ1552" t="s">
        <v>92</v>
      </c>
      <c r="BA1552" t="s">
        <v>107</v>
      </c>
      <c r="BB1552" t="s">
        <v>5836</v>
      </c>
      <c r="BC1552" t="s">
        <v>97</v>
      </c>
      <c r="BD1552" s="1">
        <v>44905</v>
      </c>
      <c r="BE1552" t="s">
        <v>96</v>
      </c>
      <c r="BG1552" t="s">
        <v>5504</v>
      </c>
      <c r="BI1552" t="s">
        <v>98</v>
      </c>
      <c r="BJ1552" t="s">
        <v>3050</v>
      </c>
      <c r="BL1552" t="s">
        <v>110</v>
      </c>
    </row>
    <row r="1553" spans="1:64" hidden="1" x14ac:dyDescent="0.2">
      <c r="A1553">
        <v>588</v>
      </c>
      <c r="B1553">
        <v>4136459368</v>
      </c>
      <c r="C1553" t="s">
        <v>101</v>
      </c>
      <c r="D1553" t="s">
        <v>5837</v>
      </c>
      <c r="E1553" t="s">
        <v>65</v>
      </c>
      <c r="F1553" t="s">
        <v>66</v>
      </c>
      <c r="G1553" t="s">
        <v>67</v>
      </c>
      <c r="H1553" t="s">
        <v>68</v>
      </c>
      <c r="I1553" t="s">
        <v>69</v>
      </c>
      <c r="J1553" t="s">
        <v>70</v>
      </c>
      <c r="K1553" t="s">
        <v>71</v>
      </c>
      <c r="M1553" t="s">
        <v>72</v>
      </c>
      <c r="N1553" t="s">
        <v>73</v>
      </c>
      <c r="O1553" t="s">
        <v>71</v>
      </c>
      <c r="P1553" t="s">
        <v>74</v>
      </c>
      <c r="Q1553" t="s">
        <v>75</v>
      </c>
      <c r="R1553" t="s">
        <v>5008</v>
      </c>
      <c r="S1553" t="s">
        <v>598</v>
      </c>
      <c r="T1553" t="s">
        <v>78</v>
      </c>
      <c r="U1553" t="s">
        <v>5009</v>
      </c>
      <c r="V1553" t="s">
        <v>80</v>
      </c>
      <c r="W1553" s="1">
        <v>44905</v>
      </c>
      <c r="X1553" t="s">
        <v>5010</v>
      </c>
      <c r="Y1553" t="s">
        <v>5822</v>
      </c>
      <c r="Z1553" t="s">
        <v>83</v>
      </c>
      <c r="AA1553">
        <v>1</v>
      </c>
      <c r="AB1553" t="s">
        <v>5634</v>
      </c>
      <c r="AD1553" t="s">
        <v>123</v>
      </c>
      <c r="AE1553" t="s">
        <v>86</v>
      </c>
      <c r="AF1553" t="s">
        <v>146</v>
      </c>
      <c r="AG1553" t="s">
        <v>1257</v>
      </c>
      <c r="AH1553" t="s">
        <v>5828</v>
      </c>
      <c r="AI1553" t="s">
        <v>90</v>
      </c>
      <c r="AJ1553">
        <v>32.313523000000004</v>
      </c>
      <c r="AK1553">
        <v>-110.71329799999999</v>
      </c>
      <c r="AL1553">
        <v>3</v>
      </c>
      <c r="AN1553">
        <v>1153</v>
      </c>
      <c r="AP1553">
        <v>1153</v>
      </c>
      <c r="AQ1553">
        <v>1179.987789</v>
      </c>
      <c r="AT1553">
        <v>10</v>
      </c>
      <c r="AU1553">
        <v>12</v>
      </c>
      <c r="AV1553">
        <v>2022</v>
      </c>
      <c r="AW1553">
        <v>2439581</v>
      </c>
      <c r="AX1553">
        <v>2439581</v>
      </c>
      <c r="AY1553" t="s">
        <v>106</v>
      </c>
      <c r="AZ1553" t="s">
        <v>92</v>
      </c>
      <c r="BA1553" t="s">
        <v>107</v>
      </c>
      <c r="BB1553" t="s">
        <v>5838</v>
      </c>
      <c r="BC1553" t="s">
        <v>97</v>
      </c>
      <c r="BD1553" s="1">
        <v>44905</v>
      </c>
      <c r="BE1553" t="s">
        <v>96</v>
      </c>
      <c r="BG1553" t="s">
        <v>5504</v>
      </c>
      <c r="BI1553" t="s">
        <v>98</v>
      </c>
      <c r="BJ1553" t="s">
        <v>3065</v>
      </c>
      <c r="BL1553" t="s">
        <v>110</v>
      </c>
    </row>
    <row r="1554" spans="1:64" hidden="1" x14ac:dyDescent="0.2">
      <c r="A1554">
        <v>590</v>
      </c>
      <c r="B1554">
        <v>4136459366</v>
      </c>
      <c r="C1554" t="s">
        <v>101</v>
      </c>
      <c r="D1554" t="s">
        <v>5839</v>
      </c>
      <c r="E1554" t="s">
        <v>65</v>
      </c>
      <c r="F1554" t="s">
        <v>66</v>
      </c>
      <c r="G1554" t="s">
        <v>67</v>
      </c>
      <c r="H1554" t="s">
        <v>68</v>
      </c>
      <c r="I1554" t="s">
        <v>69</v>
      </c>
      <c r="J1554" t="s">
        <v>70</v>
      </c>
      <c r="K1554" t="s">
        <v>71</v>
      </c>
      <c r="M1554" t="s">
        <v>72</v>
      </c>
      <c r="N1554" t="s">
        <v>73</v>
      </c>
      <c r="O1554" t="s">
        <v>71</v>
      </c>
      <c r="P1554" t="s">
        <v>74</v>
      </c>
      <c r="Q1554" t="s">
        <v>75</v>
      </c>
      <c r="R1554" t="s">
        <v>5008</v>
      </c>
      <c r="S1554" t="s">
        <v>598</v>
      </c>
      <c r="T1554" t="s">
        <v>78</v>
      </c>
      <c r="U1554" t="s">
        <v>5009</v>
      </c>
      <c r="V1554" t="s">
        <v>80</v>
      </c>
      <c r="W1554" s="1">
        <v>44905</v>
      </c>
      <c r="X1554" t="s">
        <v>5010</v>
      </c>
      <c r="Y1554" t="s">
        <v>5822</v>
      </c>
      <c r="Z1554" t="s">
        <v>83</v>
      </c>
      <c r="AA1554">
        <v>1</v>
      </c>
      <c r="AB1554" t="s">
        <v>5522</v>
      </c>
      <c r="AD1554" t="s">
        <v>134</v>
      </c>
      <c r="AE1554" t="s">
        <v>86</v>
      </c>
      <c r="AF1554" t="s">
        <v>146</v>
      </c>
      <c r="AG1554" t="s">
        <v>1257</v>
      </c>
      <c r="AH1554" t="s">
        <v>5840</v>
      </c>
      <c r="AI1554" t="s">
        <v>90</v>
      </c>
      <c r="AJ1554">
        <v>32.313523000000004</v>
      </c>
      <c r="AK1554">
        <v>-110.71329799999999</v>
      </c>
      <c r="AL1554">
        <v>3</v>
      </c>
      <c r="AN1554">
        <v>1153</v>
      </c>
      <c r="AP1554">
        <v>1153</v>
      </c>
      <c r="AQ1554">
        <v>1179.987789</v>
      </c>
      <c r="AT1554">
        <v>10</v>
      </c>
      <c r="AU1554">
        <v>12</v>
      </c>
      <c r="AV1554">
        <v>2022</v>
      </c>
      <c r="AW1554">
        <v>2439581</v>
      </c>
      <c r="AX1554">
        <v>2439581</v>
      </c>
      <c r="AY1554" t="s">
        <v>106</v>
      </c>
      <c r="AZ1554" t="s">
        <v>92</v>
      </c>
      <c r="BA1554" t="s">
        <v>107</v>
      </c>
      <c r="BB1554" t="s">
        <v>5841</v>
      </c>
      <c r="BC1554" t="s">
        <v>97</v>
      </c>
      <c r="BD1554" s="1">
        <v>44905</v>
      </c>
      <c r="BE1554" t="s">
        <v>96</v>
      </c>
      <c r="BG1554" t="s">
        <v>5504</v>
      </c>
      <c r="BI1554" t="s">
        <v>98</v>
      </c>
      <c r="BJ1554" t="s">
        <v>3062</v>
      </c>
      <c r="BL1554" t="s">
        <v>110</v>
      </c>
    </row>
    <row r="1555" spans="1:64" hidden="1" x14ac:dyDescent="0.2">
      <c r="A1555">
        <v>584</v>
      </c>
      <c r="B1555">
        <v>4136459372</v>
      </c>
      <c r="C1555" t="s">
        <v>101</v>
      </c>
      <c r="D1555" t="s">
        <v>5842</v>
      </c>
      <c r="E1555" t="s">
        <v>65</v>
      </c>
      <c r="F1555" t="s">
        <v>66</v>
      </c>
      <c r="G1555" t="s">
        <v>67</v>
      </c>
      <c r="H1555" t="s">
        <v>68</v>
      </c>
      <c r="I1555" t="s">
        <v>69</v>
      </c>
      <c r="J1555" t="s">
        <v>70</v>
      </c>
      <c r="K1555" t="s">
        <v>71</v>
      </c>
      <c r="M1555" t="s">
        <v>72</v>
      </c>
      <c r="N1555" t="s">
        <v>73</v>
      </c>
      <c r="O1555" t="s">
        <v>71</v>
      </c>
      <c r="P1555" t="s">
        <v>74</v>
      </c>
      <c r="Q1555" t="s">
        <v>75</v>
      </c>
      <c r="R1555" t="s">
        <v>5008</v>
      </c>
      <c r="S1555" t="s">
        <v>598</v>
      </c>
      <c r="T1555" t="s">
        <v>78</v>
      </c>
      <c r="U1555" t="s">
        <v>5009</v>
      </c>
      <c r="V1555" t="s">
        <v>80</v>
      </c>
      <c r="W1555" s="1">
        <v>44905</v>
      </c>
      <c r="X1555" t="s">
        <v>5010</v>
      </c>
      <c r="Y1555" t="s">
        <v>5822</v>
      </c>
      <c r="Z1555" t="s">
        <v>83</v>
      </c>
      <c r="AA1555">
        <v>1</v>
      </c>
      <c r="AB1555" t="s">
        <v>5634</v>
      </c>
      <c r="AD1555" t="s">
        <v>112</v>
      </c>
      <c r="AE1555" t="s">
        <v>86</v>
      </c>
      <c r="AF1555" t="s">
        <v>146</v>
      </c>
      <c r="AG1555" t="s">
        <v>1257</v>
      </c>
      <c r="AH1555" t="s">
        <v>5828</v>
      </c>
      <c r="AI1555" t="s">
        <v>90</v>
      </c>
      <c r="AJ1555">
        <v>32.313523000000004</v>
      </c>
      <c r="AK1555">
        <v>-110.71329799999999</v>
      </c>
      <c r="AL1555">
        <v>3</v>
      </c>
      <c r="AN1555">
        <v>1153</v>
      </c>
      <c r="AP1555">
        <v>1153</v>
      </c>
      <c r="AQ1555">
        <v>1179.987789</v>
      </c>
      <c r="AT1555">
        <v>10</v>
      </c>
      <c r="AU1555">
        <v>12</v>
      </c>
      <c r="AV1555">
        <v>2022</v>
      </c>
      <c r="AW1555">
        <v>2439581</v>
      </c>
      <c r="AX1555">
        <v>2439581</v>
      </c>
      <c r="AY1555" t="s">
        <v>106</v>
      </c>
      <c r="AZ1555" t="s">
        <v>92</v>
      </c>
      <c r="BA1555" t="s">
        <v>107</v>
      </c>
      <c r="BB1555" t="s">
        <v>5843</v>
      </c>
      <c r="BC1555" t="s">
        <v>97</v>
      </c>
      <c r="BD1555" s="1">
        <v>44905</v>
      </c>
      <c r="BE1555" t="s">
        <v>96</v>
      </c>
      <c r="BG1555" t="s">
        <v>5504</v>
      </c>
      <c r="BI1555" t="s">
        <v>98</v>
      </c>
      <c r="BJ1555" t="s">
        <v>4219</v>
      </c>
      <c r="BL1555" t="s">
        <v>110</v>
      </c>
    </row>
    <row r="1556" spans="1:64" hidden="1" x14ac:dyDescent="0.2">
      <c r="A1556">
        <v>438</v>
      </c>
      <c r="B1556">
        <v>4136459521</v>
      </c>
      <c r="C1556" t="s">
        <v>101</v>
      </c>
      <c r="D1556" t="s">
        <v>5851</v>
      </c>
      <c r="E1556" t="s">
        <v>65</v>
      </c>
      <c r="F1556" t="s">
        <v>66</v>
      </c>
      <c r="G1556" t="s">
        <v>67</v>
      </c>
      <c r="H1556" t="s">
        <v>68</v>
      </c>
      <c r="I1556" t="s">
        <v>69</v>
      </c>
      <c r="J1556" t="s">
        <v>70</v>
      </c>
      <c r="K1556" t="s">
        <v>71</v>
      </c>
      <c r="M1556" t="s">
        <v>72</v>
      </c>
      <c r="N1556" t="s">
        <v>73</v>
      </c>
      <c r="O1556" t="s">
        <v>71</v>
      </c>
      <c r="P1556" t="s">
        <v>74</v>
      </c>
      <c r="Q1556" t="s">
        <v>75</v>
      </c>
      <c r="R1556" t="s">
        <v>5008</v>
      </c>
      <c r="S1556" t="s">
        <v>437</v>
      </c>
      <c r="T1556" t="s">
        <v>78</v>
      </c>
      <c r="U1556" t="s">
        <v>5009</v>
      </c>
      <c r="V1556" t="s">
        <v>80</v>
      </c>
      <c r="W1556" s="1">
        <v>44905</v>
      </c>
      <c r="X1556" t="s">
        <v>5010</v>
      </c>
      <c r="Y1556" t="s">
        <v>5845</v>
      </c>
      <c r="Z1556" t="s">
        <v>83</v>
      </c>
      <c r="AA1556">
        <v>1</v>
      </c>
      <c r="AB1556" t="s">
        <v>5634</v>
      </c>
      <c r="AD1556" t="s">
        <v>104</v>
      </c>
      <c r="AE1556" t="s">
        <v>145</v>
      </c>
      <c r="AF1556" t="s">
        <v>146</v>
      </c>
      <c r="AG1556" t="s">
        <v>5847</v>
      </c>
      <c r="AH1556" t="s">
        <v>5852</v>
      </c>
      <c r="AI1556" t="s">
        <v>90</v>
      </c>
      <c r="AJ1556">
        <v>32.313406000000001</v>
      </c>
      <c r="AK1556">
        <v>-110.71286499999999</v>
      </c>
      <c r="AL1556">
        <v>3</v>
      </c>
      <c r="AN1556">
        <v>1171</v>
      </c>
      <c r="AP1556">
        <v>1171</v>
      </c>
      <c r="AQ1556">
        <v>1174.0014839999999</v>
      </c>
      <c r="AT1556">
        <v>10</v>
      </c>
      <c r="AU1556">
        <v>12</v>
      </c>
      <c r="AV1556">
        <v>2022</v>
      </c>
      <c r="AW1556">
        <v>2439581</v>
      </c>
      <c r="AX1556">
        <v>2439581</v>
      </c>
      <c r="AY1556" t="s">
        <v>106</v>
      </c>
      <c r="AZ1556" t="s">
        <v>92</v>
      </c>
      <c r="BA1556" t="s">
        <v>107</v>
      </c>
      <c r="BB1556" t="s">
        <v>5853</v>
      </c>
      <c r="BC1556" t="s">
        <v>97</v>
      </c>
      <c r="BD1556" s="1">
        <v>44905</v>
      </c>
      <c r="BE1556" t="s">
        <v>96</v>
      </c>
      <c r="BG1556" t="s">
        <v>5504</v>
      </c>
      <c r="BI1556" t="s">
        <v>98</v>
      </c>
      <c r="BJ1556" t="s">
        <v>5854</v>
      </c>
      <c r="BL1556" t="s">
        <v>110</v>
      </c>
    </row>
    <row r="1557" spans="1:64" hidden="1" x14ac:dyDescent="0.2">
      <c r="A1557">
        <v>552</v>
      </c>
      <c r="B1557">
        <v>4136459406</v>
      </c>
      <c r="C1557" t="s">
        <v>101</v>
      </c>
      <c r="D1557" t="s">
        <v>5855</v>
      </c>
      <c r="E1557" t="s">
        <v>65</v>
      </c>
      <c r="F1557" t="s">
        <v>66</v>
      </c>
      <c r="G1557" t="s">
        <v>67</v>
      </c>
      <c r="H1557" t="s">
        <v>68</v>
      </c>
      <c r="I1557" t="s">
        <v>69</v>
      </c>
      <c r="J1557" t="s">
        <v>70</v>
      </c>
      <c r="K1557" t="s">
        <v>71</v>
      </c>
      <c r="M1557" t="s">
        <v>72</v>
      </c>
      <c r="N1557" t="s">
        <v>73</v>
      </c>
      <c r="O1557" t="s">
        <v>71</v>
      </c>
      <c r="P1557" t="s">
        <v>74</v>
      </c>
      <c r="Q1557" t="s">
        <v>75</v>
      </c>
      <c r="R1557" t="s">
        <v>5008</v>
      </c>
      <c r="S1557" t="s">
        <v>437</v>
      </c>
      <c r="T1557" t="s">
        <v>78</v>
      </c>
      <c r="U1557" t="s">
        <v>5009</v>
      </c>
      <c r="V1557" t="s">
        <v>80</v>
      </c>
      <c r="W1557" s="1">
        <v>44905</v>
      </c>
      <c r="X1557" t="s">
        <v>5010</v>
      </c>
      <c r="Y1557" t="s">
        <v>5845</v>
      </c>
      <c r="Z1557" t="s">
        <v>83</v>
      </c>
      <c r="AA1557">
        <v>1</v>
      </c>
      <c r="AB1557" t="s">
        <v>5634</v>
      </c>
      <c r="AD1557" t="s">
        <v>116</v>
      </c>
      <c r="AE1557" t="s">
        <v>145</v>
      </c>
      <c r="AF1557" t="s">
        <v>146</v>
      </c>
      <c r="AG1557" t="s">
        <v>5847</v>
      </c>
      <c r="AH1557" t="s">
        <v>5852</v>
      </c>
      <c r="AI1557" t="s">
        <v>90</v>
      </c>
      <c r="AJ1557">
        <v>32.313406000000001</v>
      </c>
      <c r="AK1557">
        <v>-110.71286499999999</v>
      </c>
      <c r="AL1557">
        <v>3</v>
      </c>
      <c r="AN1557">
        <v>1171</v>
      </c>
      <c r="AP1557">
        <v>1171</v>
      </c>
      <c r="AQ1557">
        <v>1174.0014839999999</v>
      </c>
      <c r="AT1557">
        <v>10</v>
      </c>
      <c r="AU1557">
        <v>12</v>
      </c>
      <c r="AV1557">
        <v>2022</v>
      </c>
      <c r="AW1557">
        <v>2439581</v>
      </c>
      <c r="AX1557">
        <v>2439581</v>
      </c>
      <c r="AY1557" t="s">
        <v>106</v>
      </c>
      <c r="AZ1557" t="s">
        <v>92</v>
      </c>
      <c r="BA1557" t="s">
        <v>107</v>
      </c>
      <c r="BB1557" t="s">
        <v>5856</v>
      </c>
      <c r="BC1557" t="s">
        <v>97</v>
      </c>
      <c r="BD1557" s="1">
        <v>44905</v>
      </c>
      <c r="BE1557" t="s">
        <v>96</v>
      </c>
      <c r="BG1557" t="s">
        <v>5504</v>
      </c>
      <c r="BI1557" t="s">
        <v>98</v>
      </c>
      <c r="BJ1557" t="s">
        <v>4120</v>
      </c>
      <c r="BL1557" t="s">
        <v>110</v>
      </c>
    </row>
    <row r="1558" spans="1:64" hidden="1" x14ac:dyDescent="0.2">
      <c r="A1558">
        <v>554</v>
      </c>
      <c r="B1558">
        <v>4136459404</v>
      </c>
      <c r="C1558" t="s">
        <v>101</v>
      </c>
      <c r="D1558" t="s">
        <v>5857</v>
      </c>
      <c r="E1558" t="s">
        <v>65</v>
      </c>
      <c r="F1558" t="s">
        <v>66</v>
      </c>
      <c r="G1558" t="s">
        <v>67</v>
      </c>
      <c r="H1558" t="s">
        <v>68</v>
      </c>
      <c r="I1558" t="s">
        <v>69</v>
      </c>
      <c r="J1558" t="s">
        <v>70</v>
      </c>
      <c r="K1558" t="s">
        <v>71</v>
      </c>
      <c r="M1558" t="s">
        <v>72</v>
      </c>
      <c r="N1558" t="s">
        <v>73</v>
      </c>
      <c r="O1558" t="s">
        <v>71</v>
      </c>
      <c r="P1558" t="s">
        <v>74</v>
      </c>
      <c r="Q1558" t="s">
        <v>75</v>
      </c>
      <c r="R1558" t="s">
        <v>5008</v>
      </c>
      <c r="S1558" t="s">
        <v>437</v>
      </c>
      <c r="T1558" t="s">
        <v>78</v>
      </c>
      <c r="U1558" t="s">
        <v>5009</v>
      </c>
      <c r="V1558" t="s">
        <v>80</v>
      </c>
      <c r="W1558" s="1">
        <v>44905</v>
      </c>
      <c r="X1558" t="s">
        <v>5010</v>
      </c>
      <c r="Y1558" t="s">
        <v>5845</v>
      </c>
      <c r="Z1558" t="s">
        <v>83</v>
      </c>
      <c r="AA1558">
        <v>1</v>
      </c>
      <c r="AB1558" t="s">
        <v>5634</v>
      </c>
      <c r="AD1558" t="s">
        <v>112</v>
      </c>
      <c r="AE1558" t="s">
        <v>145</v>
      </c>
      <c r="AF1558" t="s">
        <v>146</v>
      </c>
      <c r="AG1558" t="s">
        <v>5847</v>
      </c>
      <c r="AH1558" t="s">
        <v>5852</v>
      </c>
      <c r="AI1558" t="s">
        <v>90</v>
      </c>
      <c r="AJ1558">
        <v>32.313406000000001</v>
      </c>
      <c r="AK1558">
        <v>-110.71286499999999</v>
      </c>
      <c r="AL1558">
        <v>3</v>
      </c>
      <c r="AN1558">
        <v>1171</v>
      </c>
      <c r="AP1558">
        <v>1171</v>
      </c>
      <c r="AQ1558">
        <v>1174.0014839999999</v>
      </c>
      <c r="AT1558">
        <v>10</v>
      </c>
      <c r="AU1558">
        <v>12</v>
      </c>
      <c r="AV1558">
        <v>2022</v>
      </c>
      <c r="AW1558">
        <v>2439581</v>
      </c>
      <c r="AX1558">
        <v>2439581</v>
      </c>
      <c r="AY1558" t="s">
        <v>106</v>
      </c>
      <c r="AZ1558" t="s">
        <v>92</v>
      </c>
      <c r="BA1558" t="s">
        <v>107</v>
      </c>
      <c r="BB1558" t="s">
        <v>5858</v>
      </c>
      <c r="BC1558" t="s">
        <v>97</v>
      </c>
      <c r="BD1558" s="1">
        <v>44905</v>
      </c>
      <c r="BE1558" t="s">
        <v>96</v>
      </c>
      <c r="BG1558" t="s">
        <v>5504</v>
      </c>
      <c r="BI1558" t="s">
        <v>98</v>
      </c>
      <c r="BJ1558" t="s">
        <v>2304</v>
      </c>
      <c r="BL1558" t="s">
        <v>110</v>
      </c>
    </row>
    <row r="1559" spans="1:64" hidden="1" x14ac:dyDescent="0.2">
      <c r="A1559">
        <v>568</v>
      </c>
      <c r="B1559">
        <v>4136459390</v>
      </c>
      <c r="C1559" t="s">
        <v>101</v>
      </c>
      <c r="D1559" t="s">
        <v>5859</v>
      </c>
      <c r="E1559" t="s">
        <v>65</v>
      </c>
      <c r="F1559" t="s">
        <v>66</v>
      </c>
      <c r="G1559" t="s">
        <v>67</v>
      </c>
      <c r="H1559" t="s">
        <v>68</v>
      </c>
      <c r="I1559" t="s">
        <v>69</v>
      </c>
      <c r="J1559" t="s">
        <v>70</v>
      </c>
      <c r="K1559" t="s">
        <v>71</v>
      </c>
      <c r="M1559" t="s">
        <v>72</v>
      </c>
      <c r="N1559" t="s">
        <v>73</v>
      </c>
      <c r="O1559" t="s">
        <v>71</v>
      </c>
      <c r="P1559" t="s">
        <v>74</v>
      </c>
      <c r="Q1559" t="s">
        <v>75</v>
      </c>
      <c r="R1559" t="s">
        <v>5008</v>
      </c>
      <c r="S1559" t="s">
        <v>437</v>
      </c>
      <c r="T1559" t="s">
        <v>78</v>
      </c>
      <c r="U1559" t="s">
        <v>5009</v>
      </c>
      <c r="V1559" t="s">
        <v>80</v>
      </c>
      <c r="W1559" s="1">
        <v>44905</v>
      </c>
      <c r="X1559" t="s">
        <v>5010</v>
      </c>
      <c r="Y1559" t="s">
        <v>5845</v>
      </c>
      <c r="Z1559" t="s">
        <v>83</v>
      </c>
      <c r="AA1559">
        <v>1</v>
      </c>
      <c r="AB1559" t="s">
        <v>5634</v>
      </c>
      <c r="AD1559" t="s">
        <v>139</v>
      </c>
      <c r="AE1559" t="s">
        <v>145</v>
      </c>
      <c r="AF1559" t="s">
        <v>146</v>
      </c>
      <c r="AG1559" t="s">
        <v>5847</v>
      </c>
      <c r="AH1559" t="s">
        <v>5852</v>
      </c>
      <c r="AI1559" t="s">
        <v>90</v>
      </c>
      <c r="AJ1559">
        <v>32.313406000000001</v>
      </c>
      <c r="AK1559">
        <v>-110.71286499999999</v>
      </c>
      <c r="AL1559">
        <v>3</v>
      </c>
      <c r="AN1559">
        <v>1171</v>
      </c>
      <c r="AP1559">
        <v>1171</v>
      </c>
      <c r="AQ1559">
        <v>1174.0014839999999</v>
      </c>
      <c r="AT1559">
        <v>10</v>
      </c>
      <c r="AU1559">
        <v>12</v>
      </c>
      <c r="AV1559">
        <v>2022</v>
      </c>
      <c r="AW1559">
        <v>2439581</v>
      </c>
      <c r="AX1559">
        <v>2439581</v>
      </c>
      <c r="AY1559" t="s">
        <v>106</v>
      </c>
      <c r="AZ1559" t="s">
        <v>92</v>
      </c>
      <c r="BA1559" t="s">
        <v>107</v>
      </c>
      <c r="BB1559" t="s">
        <v>5860</v>
      </c>
      <c r="BC1559" t="s">
        <v>97</v>
      </c>
      <c r="BD1559" s="1">
        <v>44905</v>
      </c>
      <c r="BE1559" t="s">
        <v>96</v>
      </c>
      <c r="BG1559" t="s">
        <v>5504</v>
      </c>
      <c r="BI1559" t="s">
        <v>98</v>
      </c>
      <c r="BJ1559" t="s">
        <v>5861</v>
      </c>
      <c r="BL1559" t="s">
        <v>110</v>
      </c>
    </row>
    <row r="1560" spans="1:64" hidden="1" x14ac:dyDescent="0.2">
      <c r="A1560">
        <v>570</v>
      </c>
      <c r="B1560">
        <v>4136459388</v>
      </c>
      <c r="C1560" t="s">
        <v>101</v>
      </c>
      <c r="D1560" t="s">
        <v>5862</v>
      </c>
      <c r="E1560" t="s">
        <v>65</v>
      </c>
      <c r="F1560" t="s">
        <v>66</v>
      </c>
      <c r="G1560" t="s">
        <v>67</v>
      </c>
      <c r="H1560" t="s">
        <v>68</v>
      </c>
      <c r="I1560" t="s">
        <v>69</v>
      </c>
      <c r="J1560" t="s">
        <v>70</v>
      </c>
      <c r="K1560" t="s">
        <v>71</v>
      </c>
      <c r="M1560" t="s">
        <v>72</v>
      </c>
      <c r="N1560" t="s">
        <v>73</v>
      </c>
      <c r="O1560" t="s">
        <v>71</v>
      </c>
      <c r="P1560" t="s">
        <v>74</v>
      </c>
      <c r="Q1560" t="s">
        <v>75</v>
      </c>
      <c r="R1560" t="s">
        <v>5008</v>
      </c>
      <c r="S1560" t="s">
        <v>437</v>
      </c>
      <c r="T1560" t="s">
        <v>78</v>
      </c>
      <c r="U1560" t="s">
        <v>5009</v>
      </c>
      <c r="V1560" t="s">
        <v>80</v>
      </c>
      <c r="W1560" s="1">
        <v>44905</v>
      </c>
      <c r="X1560" t="s">
        <v>5010</v>
      </c>
      <c r="Y1560" t="s">
        <v>5845</v>
      </c>
      <c r="Z1560" t="s">
        <v>83</v>
      </c>
      <c r="AA1560">
        <v>1</v>
      </c>
      <c r="AB1560" t="s">
        <v>5522</v>
      </c>
      <c r="AD1560" t="s">
        <v>134</v>
      </c>
      <c r="AE1560" t="s">
        <v>145</v>
      </c>
      <c r="AF1560" t="s">
        <v>146</v>
      </c>
      <c r="AG1560" t="s">
        <v>5847</v>
      </c>
      <c r="AH1560" t="s">
        <v>5863</v>
      </c>
      <c r="AI1560" t="s">
        <v>90</v>
      </c>
      <c r="AJ1560">
        <v>32.313406000000001</v>
      </c>
      <c r="AK1560">
        <v>-110.71286499999999</v>
      </c>
      <c r="AL1560">
        <v>3</v>
      </c>
      <c r="AN1560">
        <v>1171</v>
      </c>
      <c r="AP1560">
        <v>1171</v>
      </c>
      <c r="AQ1560">
        <v>1174.0014839999999</v>
      </c>
      <c r="AT1560">
        <v>10</v>
      </c>
      <c r="AU1560">
        <v>12</v>
      </c>
      <c r="AV1560">
        <v>2022</v>
      </c>
      <c r="AW1560">
        <v>2439581</v>
      </c>
      <c r="AX1560">
        <v>2439581</v>
      </c>
      <c r="AY1560" t="s">
        <v>106</v>
      </c>
      <c r="AZ1560" t="s">
        <v>92</v>
      </c>
      <c r="BA1560" t="s">
        <v>107</v>
      </c>
      <c r="BB1560" t="s">
        <v>5864</v>
      </c>
      <c r="BC1560" t="s">
        <v>97</v>
      </c>
      <c r="BD1560" s="1">
        <v>44905</v>
      </c>
      <c r="BE1560" t="s">
        <v>96</v>
      </c>
      <c r="BG1560" t="s">
        <v>5504</v>
      </c>
      <c r="BI1560" t="s">
        <v>98</v>
      </c>
      <c r="BJ1560" t="s">
        <v>5861</v>
      </c>
      <c r="BL1560" t="s">
        <v>110</v>
      </c>
    </row>
    <row r="1561" spans="1:64" hidden="1" x14ac:dyDescent="0.2">
      <c r="A1561">
        <v>565</v>
      </c>
      <c r="B1561">
        <v>4136459393</v>
      </c>
      <c r="C1561" t="s">
        <v>101</v>
      </c>
      <c r="D1561" t="s">
        <v>5865</v>
      </c>
      <c r="E1561" t="s">
        <v>65</v>
      </c>
      <c r="F1561" t="s">
        <v>66</v>
      </c>
      <c r="G1561" t="s">
        <v>67</v>
      </c>
      <c r="H1561" t="s">
        <v>68</v>
      </c>
      <c r="I1561" t="s">
        <v>69</v>
      </c>
      <c r="J1561" t="s">
        <v>70</v>
      </c>
      <c r="K1561" t="s">
        <v>71</v>
      </c>
      <c r="M1561" t="s">
        <v>72</v>
      </c>
      <c r="N1561" t="s">
        <v>73</v>
      </c>
      <c r="O1561" t="s">
        <v>71</v>
      </c>
      <c r="P1561" t="s">
        <v>74</v>
      </c>
      <c r="Q1561" t="s">
        <v>75</v>
      </c>
      <c r="R1561" t="s">
        <v>5008</v>
      </c>
      <c r="S1561" t="s">
        <v>437</v>
      </c>
      <c r="T1561" t="s">
        <v>78</v>
      </c>
      <c r="U1561" t="s">
        <v>5009</v>
      </c>
      <c r="V1561" t="s">
        <v>80</v>
      </c>
      <c r="W1561" s="1">
        <v>44905</v>
      </c>
      <c r="X1561" t="s">
        <v>5010</v>
      </c>
      <c r="Y1561" t="s">
        <v>5845</v>
      </c>
      <c r="Z1561" t="s">
        <v>83</v>
      </c>
      <c r="AA1561">
        <v>1</v>
      </c>
      <c r="AB1561" t="s">
        <v>5634</v>
      </c>
      <c r="AD1561" t="s">
        <v>123</v>
      </c>
      <c r="AE1561" t="s">
        <v>145</v>
      </c>
      <c r="AF1561" t="s">
        <v>146</v>
      </c>
      <c r="AG1561" t="s">
        <v>5847</v>
      </c>
      <c r="AH1561" t="s">
        <v>5852</v>
      </c>
      <c r="AI1561" t="s">
        <v>90</v>
      </c>
      <c r="AJ1561">
        <v>32.313406000000001</v>
      </c>
      <c r="AK1561">
        <v>-110.71286499999999</v>
      </c>
      <c r="AL1561">
        <v>3</v>
      </c>
      <c r="AN1561">
        <v>1171</v>
      </c>
      <c r="AP1561">
        <v>1171</v>
      </c>
      <c r="AQ1561">
        <v>1174.0014839999999</v>
      </c>
      <c r="AT1561">
        <v>10</v>
      </c>
      <c r="AU1561">
        <v>12</v>
      </c>
      <c r="AV1561">
        <v>2022</v>
      </c>
      <c r="AW1561">
        <v>2439581</v>
      </c>
      <c r="AX1561">
        <v>2439581</v>
      </c>
      <c r="AY1561" t="s">
        <v>106</v>
      </c>
      <c r="AZ1561" t="s">
        <v>92</v>
      </c>
      <c r="BA1561" t="s">
        <v>107</v>
      </c>
      <c r="BB1561" t="s">
        <v>5866</v>
      </c>
      <c r="BC1561" t="s">
        <v>97</v>
      </c>
      <c r="BD1561" s="1">
        <v>44905</v>
      </c>
      <c r="BE1561" t="s">
        <v>96</v>
      </c>
      <c r="BG1561" t="s">
        <v>5504</v>
      </c>
      <c r="BI1561" t="s">
        <v>98</v>
      </c>
      <c r="BJ1561" t="s">
        <v>5861</v>
      </c>
      <c r="BL1561" t="s">
        <v>110</v>
      </c>
    </row>
    <row r="1562" spans="1:64" hidden="1" x14ac:dyDescent="0.2">
      <c r="A1562">
        <v>591</v>
      </c>
      <c r="B1562">
        <v>4136459365</v>
      </c>
      <c r="C1562" t="s">
        <v>101</v>
      </c>
      <c r="D1562" t="s">
        <v>5873</v>
      </c>
      <c r="E1562" t="s">
        <v>65</v>
      </c>
      <c r="F1562" t="s">
        <v>66</v>
      </c>
      <c r="G1562" t="s">
        <v>67</v>
      </c>
      <c r="H1562" t="s">
        <v>68</v>
      </c>
      <c r="I1562" t="s">
        <v>69</v>
      </c>
      <c r="J1562" t="s">
        <v>70</v>
      </c>
      <c r="K1562" t="s">
        <v>71</v>
      </c>
      <c r="M1562" t="s">
        <v>72</v>
      </c>
      <c r="N1562" t="s">
        <v>73</v>
      </c>
      <c r="O1562" t="s">
        <v>71</v>
      </c>
      <c r="P1562" t="s">
        <v>74</v>
      </c>
      <c r="Q1562" t="s">
        <v>75</v>
      </c>
      <c r="R1562" t="s">
        <v>5008</v>
      </c>
      <c r="S1562" t="s">
        <v>1624</v>
      </c>
      <c r="T1562" t="s">
        <v>78</v>
      </c>
      <c r="U1562" t="s">
        <v>5009</v>
      </c>
      <c r="V1562" t="s">
        <v>80</v>
      </c>
      <c r="W1562" s="1">
        <v>44905</v>
      </c>
      <c r="X1562" t="s">
        <v>5010</v>
      </c>
      <c r="Y1562" t="s">
        <v>5868</v>
      </c>
      <c r="Z1562" t="s">
        <v>83</v>
      </c>
      <c r="AA1562">
        <v>1</v>
      </c>
      <c r="AB1562" t="s">
        <v>5634</v>
      </c>
      <c r="AD1562" t="s">
        <v>123</v>
      </c>
      <c r="AE1562" t="s">
        <v>145</v>
      </c>
      <c r="AF1562" t="s">
        <v>87</v>
      </c>
      <c r="AG1562" t="s">
        <v>360</v>
      </c>
      <c r="AH1562" t="s">
        <v>5874</v>
      </c>
      <c r="AI1562" t="s">
        <v>90</v>
      </c>
      <c r="AJ1562">
        <v>32.313580999999999</v>
      </c>
      <c r="AK1562">
        <v>-110.713356</v>
      </c>
      <c r="AL1562">
        <v>3</v>
      </c>
      <c r="AN1562">
        <v>1153</v>
      </c>
      <c r="AP1562">
        <v>1153</v>
      </c>
      <c r="AQ1562">
        <v>1182.368753</v>
      </c>
      <c r="AT1562">
        <v>10</v>
      </c>
      <c r="AU1562">
        <v>12</v>
      </c>
      <c r="AV1562">
        <v>2022</v>
      </c>
      <c r="AW1562">
        <v>2439581</v>
      </c>
      <c r="AX1562">
        <v>2439581</v>
      </c>
      <c r="AY1562" t="s">
        <v>106</v>
      </c>
      <c r="AZ1562" t="s">
        <v>92</v>
      </c>
      <c r="BA1562" t="s">
        <v>107</v>
      </c>
      <c r="BB1562" t="s">
        <v>5875</v>
      </c>
      <c r="BC1562" t="s">
        <v>97</v>
      </c>
      <c r="BD1562" s="1">
        <v>44905</v>
      </c>
      <c r="BE1562" t="s">
        <v>96</v>
      </c>
      <c r="BG1562" t="s">
        <v>5504</v>
      </c>
      <c r="BI1562" t="s">
        <v>98</v>
      </c>
      <c r="BJ1562" t="s">
        <v>1827</v>
      </c>
      <c r="BL1562" t="s">
        <v>110</v>
      </c>
    </row>
    <row r="1563" spans="1:64" hidden="1" x14ac:dyDescent="0.2">
      <c r="A1563">
        <v>1578</v>
      </c>
      <c r="B1563">
        <v>3744741555</v>
      </c>
      <c r="C1563" t="s">
        <v>101</v>
      </c>
      <c r="D1563" t="s">
        <v>3832</v>
      </c>
      <c r="E1563" t="s">
        <v>65</v>
      </c>
      <c r="F1563" t="s">
        <v>66</v>
      </c>
      <c r="G1563" t="s">
        <v>67</v>
      </c>
      <c r="H1563" t="s">
        <v>68</v>
      </c>
      <c r="I1563" t="s">
        <v>69</v>
      </c>
      <c r="J1563" t="s">
        <v>70</v>
      </c>
      <c r="K1563" t="s">
        <v>71</v>
      </c>
      <c r="M1563" t="s">
        <v>72</v>
      </c>
      <c r="N1563" t="s">
        <v>73</v>
      </c>
      <c r="O1563" t="s">
        <v>71</v>
      </c>
      <c r="P1563" t="s">
        <v>74</v>
      </c>
      <c r="Q1563" t="s">
        <v>75</v>
      </c>
      <c r="R1563" t="s">
        <v>3816</v>
      </c>
      <c r="S1563" t="s">
        <v>3762</v>
      </c>
      <c r="T1563" t="s">
        <v>78</v>
      </c>
      <c r="U1563" t="s">
        <v>3817</v>
      </c>
      <c r="V1563" t="s">
        <v>80</v>
      </c>
      <c r="W1563" s="1">
        <v>44519</v>
      </c>
      <c r="X1563" t="s">
        <v>3818</v>
      </c>
      <c r="Y1563" t="s">
        <v>3819</v>
      </c>
      <c r="Z1563" t="s">
        <v>83</v>
      </c>
      <c r="AA1563">
        <v>1</v>
      </c>
      <c r="AB1563" t="s">
        <v>127</v>
      </c>
      <c r="AC1563">
        <v>1</v>
      </c>
      <c r="AD1563" t="s">
        <v>128</v>
      </c>
      <c r="AE1563" t="s">
        <v>86</v>
      </c>
      <c r="AF1563" t="s">
        <v>146</v>
      </c>
      <c r="AG1563" t="s">
        <v>3821</v>
      </c>
      <c r="AH1563" t="s">
        <v>3833</v>
      </c>
      <c r="AI1563" t="s">
        <v>90</v>
      </c>
      <c r="AJ1563">
        <v>32.515846000000003</v>
      </c>
      <c r="AK1563">
        <v>-110.688399</v>
      </c>
      <c r="AL1563">
        <v>3</v>
      </c>
      <c r="AN1563">
        <v>1356</v>
      </c>
      <c r="AP1563">
        <v>1356</v>
      </c>
      <c r="AQ1563">
        <v>1364.8739800000001</v>
      </c>
      <c r="AT1563">
        <v>19</v>
      </c>
      <c r="AU1563">
        <v>11</v>
      </c>
      <c r="AV1563">
        <v>2021</v>
      </c>
      <c r="AW1563">
        <v>2439581</v>
      </c>
      <c r="AX1563">
        <v>2439581</v>
      </c>
      <c r="AY1563" t="s">
        <v>106</v>
      </c>
      <c r="AZ1563" t="s">
        <v>92</v>
      </c>
      <c r="BA1563" t="s">
        <v>107</v>
      </c>
      <c r="BB1563" t="s">
        <v>3834</v>
      </c>
      <c r="BC1563" t="s">
        <v>97</v>
      </c>
      <c r="BE1563" t="s">
        <v>96</v>
      </c>
      <c r="BG1563" t="s">
        <v>97</v>
      </c>
      <c r="BI1563" t="s">
        <v>98</v>
      </c>
      <c r="BJ1563" t="s">
        <v>2361</v>
      </c>
      <c r="BL1563" t="s">
        <v>110</v>
      </c>
    </row>
    <row r="1564" spans="1:64" hidden="1" x14ac:dyDescent="0.2">
      <c r="A1564">
        <v>586</v>
      </c>
      <c r="B1564">
        <v>4136459370</v>
      </c>
      <c r="C1564" t="s">
        <v>101</v>
      </c>
      <c r="D1564" t="s">
        <v>5880</v>
      </c>
      <c r="E1564" t="s">
        <v>65</v>
      </c>
      <c r="F1564" t="s">
        <v>66</v>
      </c>
      <c r="G1564" t="s">
        <v>67</v>
      </c>
      <c r="H1564" t="s">
        <v>68</v>
      </c>
      <c r="I1564" t="s">
        <v>69</v>
      </c>
      <c r="J1564" t="s">
        <v>70</v>
      </c>
      <c r="K1564" t="s">
        <v>71</v>
      </c>
      <c r="M1564" t="s">
        <v>72</v>
      </c>
      <c r="N1564" t="s">
        <v>73</v>
      </c>
      <c r="O1564" t="s">
        <v>71</v>
      </c>
      <c r="P1564" t="s">
        <v>74</v>
      </c>
      <c r="Q1564" t="s">
        <v>75</v>
      </c>
      <c r="R1564" t="s">
        <v>5008</v>
      </c>
      <c r="S1564" t="s">
        <v>1624</v>
      </c>
      <c r="T1564" t="s">
        <v>78</v>
      </c>
      <c r="U1564" t="s">
        <v>5009</v>
      </c>
      <c r="V1564" t="s">
        <v>80</v>
      </c>
      <c r="W1564" s="1">
        <v>44905</v>
      </c>
      <c r="X1564" t="s">
        <v>5010</v>
      </c>
      <c r="Y1564" t="s">
        <v>5868</v>
      </c>
      <c r="Z1564" t="s">
        <v>83</v>
      </c>
      <c r="AA1564">
        <v>1</v>
      </c>
      <c r="AB1564" t="s">
        <v>5634</v>
      </c>
      <c r="AD1564" t="s">
        <v>112</v>
      </c>
      <c r="AE1564" t="s">
        <v>145</v>
      </c>
      <c r="AF1564" t="s">
        <v>87</v>
      </c>
      <c r="AG1564" t="s">
        <v>360</v>
      </c>
      <c r="AH1564" t="s">
        <v>5874</v>
      </c>
      <c r="AI1564" t="s">
        <v>90</v>
      </c>
      <c r="AJ1564">
        <v>32.313580999999999</v>
      </c>
      <c r="AK1564">
        <v>-110.713356</v>
      </c>
      <c r="AL1564">
        <v>3</v>
      </c>
      <c r="AN1564">
        <v>1153</v>
      </c>
      <c r="AP1564">
        <v>1153</v>
      </c>
      <c r="AQ1564">
        <v>1182.368753</v>
      </c>
      <c r="AT1564">
        <v>10</v>
      </c>
      <c r="AU1564">
        <v>12</v>
      </c>
      <c r="AV1564">
        <v>2022</v>
      </c>
      <c r="AW1564">
        <v>2439581</v>
      </c>
      <c r="AX1564">
        <v>2439581</v>
      </c>
      <c r="AY1564" t="s">
        <v>106</v>
      </c>
      <c r="AZ1564" t="s">
        <v>92</v>
      </c>
      <c r="BA1564" t="s">
        <v>107</v>
      </c>
      <c r="BB1564" t="s">
        <v>5881</v>
      </c>
      <c r="BC1564" t="s">
        <v>97</v>
      </c>
      <c r="BD1564" s="1">
        <v>44905</v>
      </c>
      <c r="BE1564" t="s">
        <v>96</v>
      </c>
      <c r="BG1564" t="s">
        <v>5504</v>
      </c>
      <c r="BI1564" t="s">
        <v>98</v>
      </c>
      <c r="BJ1564" t="s">
        <v>3070</v>
      </c>
      <c r="BL1564" t="s">
        <v>110</v>
      </c>
    </row>
    <row r="1565" spans="1:64" hidden="1" x14ac:dyDescent="0.2">
      <c r="A1565">
        <v>580</v>
      </c>
      <c r="B1565">
        <v>4136459376</v>
      </c>
      <c r="C1565" t="s">
        <v>101</v>
      </c>
      <c r="D1565" t="s">
        <v>5882</v>
      </c>
      <c r="E1565" t="s">
        <v>65</v>
      </c>
      <c r="F1565" t="s">
        <v>66</v>
      </c>
      <c r="G1565" t="s">
        <v>67</v>
      </c>
      <c r="H1565" t="s">
        <v>68</v>
      </c>
      <c r="I1565" t="s">
        <v>69</v>
      </c>
      <c r="J1565" t="s">
        <v>70</v>
      </c>
      <c r="K1565" t="s">
        <v>71</v>
      </c>
      <c r="M1565" t="s">
        <v>72</v>
      </c>
      <c r="N1565" t="s">
        <v>73</v>
      </c>
      <c r="O1565" t="s">
        <v>71</v>
      </c>
      <c r="P1565" t="s">
        <v>74</v>
      </c>
      <c r="Q1565" t="s">
        <v>75</v>
      </c>
      <c r="R1565" t="s">
        <v>5008</v>
      </c>
      <c r="S1565" t="s">
        <v>1624</v>
      </c>
      <c r="T1565" t="s">
        <v>78</v>
      </c>
      <c r="U1565" t="s">
        <v>5009</v>
      </c>
      <c r="V1565" t="s">
        <v>80</v>
      </c>
      <c r="W1565" s="1">
        <v>44905</v>
      </c>
      <c r="X1565" t="s">
        <v>5010</v>
      </c>
      <c r="Y1565" t="s">
        <v>5868</v>
      </c>
      <c r="Z1565" t="s">
        <v>83</v>
      </c>
      <c r="AA1565">
        <v>1</v>
      </c>
      <c r="AB1565" t="s">
        <v>5634</v>
      </c>
      <c r="AD1565" t="s">
        <v>104</v>
      </c>
      <c r="AE1565" t="s">
        <v>145</v>
      </c>
      <c r="AF1565" t="s">
        <v>87</v>
      </c>
      <c r="AG1565" t="s">
        <v>360</v>
      </c>
      <c r="AH1565" t="s">
        <v>5874</v>
      </c>
      <c r="AI1565" t="s">
        <v>90</v>
      </c>
      <c r="AJ1565">
        <v>32.313580999999999</v>
      </c>
      <c r="AK1565">
        <v>-110.713356</v>
      </c>
      <c r="AL1565">
        <v>3</v>
      </c>
      <c r="AN1565">
        <v>1153</v>
      </c>
      <c r="AP1565">
        <v>1153</v>
      </c>
      <c r="AQ1565">
        <v>1182.368753</v>
      </c>
      <c r="AT1565">
        <v>10</v>
      </c>
      <c r="AU1565">
        <v>12</v>
      </c>
      <c r="AV1565">
        <v>2022</v>
      </c>
      <c r="AW1565">
        <v>2439581</v>
      </c>
      <c r="AX1565">
        <v>2439581</v>
      </c>
      <c r="AY1565" t="s">
        <v>106</v>
      </c>
      <c r="AZ1565" t="s">
        <v>92</v>
      </c>
      <c r="BA1565" t="s">
        <v>107</v>
      </c>
      <c r="BB1565" t="s">
        <v>5883</v>
      </c>
      <c r="BC1565" t="s">
        <v>97</v>
      </c>
      <c r="BD1565" s="1">
        <v>44905</v>
      </c>
      <c r="BE1565" t="s">
        <v>96</v>
      </c>
      <c r="BG1565" t="s">
        <v>5504</v>
      </c>
      <c r="BI1565" t="s">
        <v>98</v>
      </c>
      <c r="BJ1565" t="s">
        <v>3042</v>
      </c>
      <c r="BL1565" t="s">
        <v>110</v>
      </c>
    </row>
    <row r="1566" spans="1:64" hidden="1" x14ac:dyDescent="0.2">
      <c r="A1566">
        <v>582</v>
      </c>
      <c r="B1566">
        <v>4136459374</v>
      </c>
      <c r="C1566" t="s">
        <v>101</v>
      </c>
      <c r="D1566" t="s">
        <v>5884</v>
      </c>
      <c r="E1566" t="s">
        <v>65</v>
      </c>
      <c r="F1566" t="s">
        <v>66</v>
      </c>
      <c r="G1566" t="s">
        <v>67</v>
      </c>
      <c r="H1566" t="s">
        <v>68</v>
      </c>
      <c r="I1566" t="s">
        <v>69</v>
      </c>
      <c r="J1566" t="s">
        <v>70</v>
      </c>
      <c r="K1566" t="s">
        <v>71</v>
      </c>
      <c r="M1566" t="s">
        <v>72</v>
      </c>
      <c r="N1566" t="s">
        <v>73</v>
      </c>
      <c r="O1566" t="s">
        <v>71</v>
      </c>
      <c r="P1566" t="s">
        <v>74</v>
      </c>
      <c r="Q1566" t="s">
        <v>75</v>
      </c>
      <c r="R1566" t="s">
        <v>5008</v>
      </c>
      <c r="S1566" t="s">
        <v>1624</v>
      </c>
      <c r="T1566" t="s">
        <v>78</v>
      </c>
      <c r="U1566" t="s">
        <v>5009</v>
      </c>
      <c r="V1566" t="s">
        <v>80</v>
      </c>
      <c r="W1566" s="1">
        <v>44905</v>
      </c>
      <c r="X1566" t="s">
        <v>5010</v>
      </c>
      <c r="Y1566" t="s">
        <v>5868</v>
      </c>
      <c r="Z1566" t="s">
        <v>83</v>
      </c>
      <c r="AA1566">
        <v>1</v>
      </c>
      <c r="AB1566" t="s">
        <v>5634</v>
      </c>
      <c r="AD1566" t="s">
        <v>116</v>
      </c>
      <c r="AE1566" t="s">
        <v>145</v>
      </c>
      <c r="AF1566" t="s">
        <v>87</v>
      </c>
      <c r="AG1566" t="s">
        <v>360</v>
      </c>
      <c r="AH1566" t="s">
        <v>5874</v>
      </c>
      <c r="AI1566" t="s">
        <v>90</v>
      </c>
      <c r="AJ1566">
        <v>32.313580999999999</v>
      </c>
      <c r="AK1566">
        <v>-110.713356</v>
      </c>
      <c r="AL1566">
        <v>3</v>
      </c>
      <c r="AN1566">
        <v>1153</v>
      </c>
      <c r="AP1566">
        <v>1153</v>
      </c>
      <c r="AQ1566">
        <v>1182.368753</v>
      </c>
      <c r="AT1566">
        <v>10</v>
      </c>
      <c r="AU1566">
        <v>12</v>
      </c>
      <c r="AV1566">
        <v>2022</v>
      </c>
      <c r="AW1566">
        <v>2439581</v>
      </c>
      <c r="AX1566">
        <v>2439581</v>
      </c>
      <c r="AY1566" t="s">
        <v>106</v>
      </c>
      <c r="AZ1566" t="s">
        <v>92</v>
      </c>
      <c r="BA1566" t="s">
        <v>107</v>
      </c>
      <c r="BB1566" t="s">
        <v>5885</v>
      </c>
      <c r="BC1566" t="s">
        <v>97</v>
      </c>
      <c r="BD1566" s="1">
        <v>44905</v>
      </c>
      <c r="BE1566" t="s">
        <v>96</v>
      </c>
      <c r="BG1566" t="s">
        <v>5504</v>
      </c>
      <c r="BI1566" t="s">
        <v>98</v>
      </c>
      <c r="BJ1566" t="s">
        <v>3122</v>
      </c>
      <c r="BL1566" t="s">
        <v>110</v>
      </c>
    </row>
    <row r="1567" spans="1:64" hidden="1" x14ac:dyDescent="0.2">
      <c r="A1567">
        <v>600</v>
      </c>
      <c r="B1567">
        <v>4136459353</v>
      </c>
      <c r="C1567" t="s">
        <v>101</v>
      </c>
      <c r="D1567" t="s">
        <v>5886</v>
      </c>
      <c r="E1567" t="s">
        <v>65</v>
      </c>
      <c r="F1567" t="s">
        <v>66</v>
      </c>
      <c r="G1567" t="s">
        <v>67</v>
      </c>
      <c r="H1567" t="s">
        <v>68</v>
      </c>
      <c r="I1567" t="s">
        <v>69</v>
      </c>
      <c r="J1567" t="s">
        <v>70</v>
      </c>
      <c r="K1567" t="s">
        <v>71</v>
      </c>
      <c r="M1567" t="s">
        <v>72</v>
      </c>
      <c r="N1567" t="s">
        <v>73</v>
      </c>
      <c r="O1567" t="s">
        <v>71</v>
      </c>
      <c r="P1567" t="s">
        <v>74</v>
      </c>
      <c r="Q1567" t="s">
        <v>75</v>
      </c>
      <c r="R1567" t="s">
        <v>5008</v>
      </c>
      <c r="S1567" t="s">
        <v>1624</v>
      </c>
      <c r="T1567" t="s">
        <v>78</v>
      </c>
      <c r="U1567" t="s">
        <v>5009</v>
      </c>
      <c r="V1567" t="s">
        <v>80</v>
      </c>
      <c r="W1567" s="1">
        <v>44905</v>
      </c>
      <c r="X1567" t="s">
        <v>5010</v>
      </c>
      <c r="Y1567" t="s">
        <v>5868</v>
      </c>
      <c r="Z1567" t="s">
        <v>83</v>
      </c>
      <c r="AA1567">
        <v>1</v>
      </c>
      <c r="AB1567" t="s">
        <v>5522</v>
      </c>
      <c r="AD1567" t="s">
        <v>134</v>
      </c>
      <c r="AE1567" t="s">
        <v>145</v>
      </c>
      <c r="AF1567" t="s">
        <v>87</v>
      </c>
      <c r="AG1567" t="s">
        <v>360</v>
      </c>
      <c r="AH1567" t="s">
        <v>5887</v>
      </c>
      <c r="AI1567" t="s">
        <v>90</v>
      </c>
      <c r="AJ1567">
        <v>32.313580999999999</v>
      </c>
      <c r="AK1567">
        <v>-110.713356</v>
      </c>
      <c r="AL1567">
        <v>3</v>
      </c>
      <c r="AN1567">
        <v>1153</v>
      </c>
      <c r="AP1567">
        <v>1153</v>
      </c>
      <c r="AQ1567">
        <v>1182.368753</v>
      </c>
      <c r="AT1567">
        <v>10</v>
      </c>
      <c r="AU1567">
        <v>12</v>
      </c>
      <c r="AV1567">
        <v>2022</v>
      </c>
      <c r="AW1567">
        <v>2439581</v>
      </c>
      <c r="AX1567">
        <v>2439581</v>
      </c>
      <c r="AY1567" t="s">
        <v>106</v>
      </c>
      <c r="AZ1567" t="s">
        <v>92</v>
      </c>
      <c r="BA1567" t="s">
        <v>107</v>
      </c>
      <c r="BB1567" t="s">
        <v>5888</v>
      </c>
      <c r="BC1567" t="s">
        <v>97</v>
      </c>
      <c r="BD1567" s="1">
        <v>44905</v>
      </c>
      <c r="BE1567" t="s">
        <v>96</v>
      </c>
      <c r="BG1567" t="s">
        <v>5504</v>
      </c>
      <c r="BI1567" t="s">
        <v>98</v>
      </c>
      <c r="BJ1567" t="s">
        <v>5889</v>
      </c>
      <c r="BL1567" t="s">
        <v>110</v>
      </c>
    </row>
    <row r="1568" spans="1:64" hidden="1" x14ac:dyDescent="0.2">
      <c r="A1568">
        <v>596</v>
      </c>
      <c r="B1568">
        <v>4136459357</v>
      </c>
      <c r="C1568" t="s">
        <v>101</v>
      </c>
      <c r="D1568" t="s">
        <v>5890</v>
      </c>
      <c r="E1568" t="s">
        <v>65</v>
      </c>
      <c r="F1568" t="s">
        <v>66</v>
      </c>
      <c r="G1568" t="s">
        <v>67</v>
      </c>
      <c r="H1568" t="s">
        <v>68</v>
      </c>
      <c r="I1568" t="s">
        <v>69</v>
      </c>
      <c r="J1568" t="s">
        <v>70</v>
      </c>
      <c r="K1568" t="s">
        <v>71</v>
      </c>
      <c r="M1568" t="s">
        <v>72</v>
      </c>
      <c r="N1568" t="s">
        <v>73</v>
      </c>
      <c r="O1568" t="s">
        <v>71</v>
      </c>
      <c r="P1568" t="s">
        <v>74</v>
      </c>
      <c r="Q1568" t="s">
        <v>75</v>
      </c>
      <c r="R1568" t="s">
        <v>5008</v>
      </c>
      <c r="S1568" t="s">
        <v>1624</v>
      </c>
      <c r="T1568" t="s">
        <v>78</v>
      </c>
      <c r="U1568" t="s">
        <v>5009</v>
      </c>
      <c r="V1568" t="s">
        <v>80</v>
      </c>
      <c r="W1568" s="1">
        <v>44905</v>
      </c>
      <c r="X1568" t="s">
        <v>5010</v>
      </c>
      <c r="Y1568" t="s">
        <v>5868</v>
      </c>
      <c r="Z1568" t="s">
        <v>83</v>
      </c>
      <c r="AA1568">
        <v>1</v>
      </c>
      <c r="AB1568" t="s">
        <v>5634</v>
      </c>
      <c r="AD1568" t="s">
        <v>139</v>
      </c>
      <c r="AE1568" t="s">
        <v>145</v>
      </c>
      <c r="AF1568" t="s">
        <v>87</v>
      </c>
      <c r="AG1568" t="s">
        <v>360</v>
      </c>
      <c r="AH1568" t="s">
        <v>5874</v>
      </c>
      <c r="AI1568" t="s">
        <v>90</v>
      </c>
      <c r="AJ1568">
        <v>32.313580999999999</v>
      </c>
      <c r="AK1568">
        <v>-110.713356</v>
      </c>
      <c r="AL1568">
        <v>3</v>
      </c>
      <c r="AN1568">
        <v>1153</v>
      </c>
      <c r="AP1568">
        <v>1153</v>
      </c>
      <c r="AQ1568">
        <v>1182.368753</v>
      </c>
      <c r="AT1568">
        <v>10</v>
      </c>
      <c r="AU1568">
        <v>12</v>
      </c>
      <c r="AV1568">
        <v>2022</v>
      </c>
      <c r="AW1568">
        <v>2439581</v>
      </c>
      <c r="AX1568">
        <v>2439581</v>
      </c>
      <c r="AY1568" t="s">
        <v>106</v>
      </c>
      <c r="AZ1568" t="s">
        <v>92</v>
      </c>
      <c r="BA1568" t="s">
        <v>107</v>
      </c>
      <c r="BB1568" t="s">
        <v>5891</v>
      </c>
      <c r="BC1568" t="s">
        <v>97</v>
      </c>
      <c r="BD1568" s="1">
        <v>44905</v>
      </c>
      <c r="BE1568" t="s">
        <v>96</v>
      </c>
      <c r="BG1568" t="s">
        <v>5504</v>
      </c>
      <c r="BI1568" t="s">
        <v>98</v>
      </c>
      <c r="BJ1568" t="s">
        <v>2999</v>
      </c>
      <c r="BL1568" t="s">
        <v>110</v>
      </c>
    </row>
    <row r="1569" spans="1:64" hidden="1" x14ac:dyDescent="0.2">
      <c r="A1569">
        <v>585</v>
      </c>
      <c r="B1569">
        <v>4136459371</v>
      </c>
      <c r="C1569" t="s">
        <v>101</v>
      </c>
      <c r="D1569" t="s">
        <v>5897</v>
      </c>
      <c r="E1569" t="s">
        <v>65</v>
      </c>
      <c r="F1569" t="s">
        <v>66</v>
      </c>
      <c r="G1569" t="s">
        <v>67</v>
      </c>
      <c r="H1569" t="s">
        <v>68</v>
      </c>
      <c r="I1569" t="s">
        <v>69</v>
      </c>
      <c r="J1569" t="s">
        <v>70</v>
      </c>
      <c r="K1569" t="s">
        <v>71</v>
      </c>
      <c r="M1569" t="s">
        <v>72</v>
      </c>
      <c r="N1569" t="s">
        <v>73</v>
      </c>
      <c r="O1569" t="s">
        <v>71</v>
      </c>
      <c r="P1569" t="s">
        <v>74</v>
      </c>
      <c r="Q1569" t="s">
        <v>75</v>
      </c>
      <c r="R1569" t="s">
        <v>5008</v>
      </c>
      <c r="S1569" t="s">
        <v>632</v>
      </c>
      <c r="T1569" t="s">
        <v>78</v>
      </c>
      <c r="U1569" t="s">
        <v>5009</v>
      </c>
      <c r="V1569" t="s">
        <v>80</v>
      </c>
      <c r="W1569" s="1">
        <v>44905</v>
      </c>
      <c r="X1569" t="s">
        <v>5010</v>
      </c>
      <c r="Y1569" t="s">
        <v>5893</v>
      </c>
      <c r="Z1569" t="s">
        <v>83</v>
      </c>
      <c r="AA1569">
        <v>1</v>
      </c>
      <c r="AB1569" t="s">
        <v>5634</v>
      </c>
      <c r="AD1569" t="s">
        <v>104</v>
      </c>
      <c r="AE1569" t="s">
        <v>86</v>
      </c>
      <c r="AF1569" t="s">
        <v>87</v>
      </c>
      <c r="AG1569" t="s">
        <v>1257</v>
      </c>
      <c r="AH1569" t="s">
        <v>5898</v>
      </c>
      <c r="AI1569" t="s">
        <v>90</v>
      </c>
      <c r="AJ1569">
        <v>32.313274999999997</v>
      </c>
      <c r="AK1569">
        <v>-110.71270699999999</v>
      </c>
      <c r="AL1569">
        <v>3</v>
      </c>
      <c r="AN1569">
        <v>1168</v>
      </c>
      <c r="AP1569">
        <v>1168</v>
      </c>
      <c r="AQ1569">
        <v>1170.8411980000001</v>
      </c>
      <c r="AT1569">
        <v>10</v>
      </c>
      <c r="AU1569">
        <v>12</v>
      </c>
      <c r="AV1569">
        <v>2022</v>
      </c>
      <c r="AW1569">
        <v>2439581</v>
      </c>
      <c r="AX1569">
        <v>2439581</v>
      </c>
      <c r="AY1569" t="s">
        <v>106</v>
      </c>
      <c r="AZ1569" t="s">
        <v>92</v>
      </c>
      <c r="BA1569" t="s">
        <v>107</v>
      </c>
      <c r="BB1569" t="s">
        <v>5899</v>
      </c>
      <c r="BC1569" t="s">
        <v>97</v>
      </c>
      <c r="BD1569" s="1">
        <v>44905</v>
      </c>
      <c r="BE1569" t="s">
        <v>96</v>
      </c>
      <c r="BG1569" t="s">
        <v>5504</v>
      </c>
      <c r="BI1569" t="s">
        <v>98</v>
      </c>
      <c r="BJ1569" t="s">
        <v>2553</v>
      </c>
      <c r="BL1569" t="s">
        <v>110</v>
      </c>
    </row>
    <row r="1570" spans="1:64" hidden="1" x14ac:dyDescent="0.2">
      <c r="A1570">
        <v>1588</v>
      </c>
      <c r="B1570">
        <v>3744741545</v>
      </c>
      <c r="C1570" t="s">
        <v>101</v>
      </c>
      <c r="D1570" t="s">
        <v>3866</v>
      </c>
      <c r="E1570" t="s">
        <v>65</v>
      </c>
      <c r="F1570" t="s">
        <v>66</v>
      </c>
      <c r="G1570" t="s">
        <v>67</v>
      </c>
      <c r="H1570" t="s">
        <v>68</v>
      </c>
      <c r="I1570" t="s">
        <v>176</v>
      </c>
      <c r="J1570" t="s">
        <v>3844</v>
      </c>
      <c r="K1570" t="s">
        <v>3845</v>
      </c>
      <c r="M1570" t="s">
        <v>72</v>
      </c>
      <c r="N1570" t="s">
        <v>3846</v>
      </c>
      <c r="O1570" t="s">
        <v>3845</v>
      </c>
      <c r="P1570" t="s">
        <v>3847</v>
      </c>
      <c r="Q1570" t="s">
        <v>75</v>
      </c>
      <c r="R1570" t="s">
        <v>3816</v>
      </c>
      <c r="S1570" t="s">
        <v>3734</v>
      </c>
      <c r="T1570" t="s">
        <v>78</v>
      </c>
      <c r="U1570" t="s">
        <v>3817</v>
      </c>
      <c r="V1570" t="s">
        <v>80</v>
      </c>
      <c r="W1570" s="1">
        <v>44519</v>
      </c>
      <c r="X1570" t="s">
        <v>3818</v>
      </c>
      <c r="Y1570" t="s">
        <v>3848</v>
      </c>
      <c r="Z1570" t="s">
        <v>83</v>
      </c>
      <c r="AA1570">
        <v>1</v>
      </c>
      <c r="AB1570" t="s">
        <v>127</v>
      </c>
      <c r="AC1570">
        <v>1</v>
      </c>
      <c r="AD1570" t="s">
        <v>128</v>
      </c>
      <c r="AE1570" t="s">
        <v>86</v>
      </c>
      <c r="AF1570" t="s">
        <v>146</v>
      </c>
      <c r="AG1570" t="s">
        <v>3850</v>
      </c>
      <c r="AH1570" t="s">
        <v>3867</v>
      </c>
      <c r="AI1570" t="s">
        <v>90</v>
      </c>
      <c r="AJ1570">
        <v>32.516151999999998</v>
      </c>
      <c r="AK1570">
        <v>-110.688148</v>
      </c>
      <c r="AL1570">
        <v>3</v>
      </c>
      <c r="AN1570">
        <v>1356</v>
      </c>
      <c r="AP1570">
        <v>1356</v>
      </c>
      <c r="AQ1570">
        <v>1363.5597660000001</v>
      </c>
      <c r="AT1570">
        <v>19</v>
      </c>
      <c r="AU1570">
        <v>11</v>
      </c>
      <c r="AV1570">
        <v>2021</v>
      </c>
      <c r="AW1570">
        <v>2438516</v>
      </c>
      <c r="AX1570">
        <v>2438516</v>
      </c>
      <c r="AY1570" t="s">
        <v>106</v>
      </c>
      <c r="AZ1570" t="s">
        <v>92</v>
      </c>
      <c r="BA1570" t="s">
        <v>107</v>
      </c>
      <c r="BB1570" t="s">
        <v>3868</v>
      </c>
      <c r="BC1570" t="s">
        <v>97</v>
      </c>
      <c r="BE1570" t="s">
        <v>96</v>
      </c>
      <c r="BG1570" t="s">
        <v>97</v>
      </c>
      <c r="BI1570" t="s">
        <v>98</v>
      </c>
      <c r="BJ1570" t="s">
        <v>2505</v>
      </c>
      <c r="BL1570" t="s">
        <v>110</v>
      </c>
    </row>
    <row r="1571" spans="1:64" hidden="1" x14ac:dyDescent="0.2">
      <c r="A1571">
        <v>599</v>
      </c>
      <c r="B1571">
        <v>4136459354</v>
      </c>
      <c r="C1571" t="s">
        <v>101</v>
      </c>
      <c r="D1571" t="s">
        <v>5903</v>
      </c>
      <c r="E1571" t="s">
        <v>65</v>
      </c>
      <c r="F1571" t="s">
        <v>66</v>
      </c>
      <c r="G1571" t="s">
        <v>67</v>
      </c>
      <c r="H1571" t="s">
        <v>68</v>
      </c>
      <c r="I1571" t="s">
        <v>69</v>
      </c>
      <c r="J1571" t="s">
        <v>70</v>
      </c>
      <c r="K1571" t="s">
        <v>71</v>
      </c>
      <c r="M1571" t="s">
        <v>72</v>
      </c>
      <c r="N1571" t="s">
        <v>73</v>
      </c>
      <c r="O1571" t="s">
        <v>71</v>
      </c>
      <c r="P1571" t="s">
        <v>74</v>
      </c>
      <c r="Q1571" t="s">
        <v>75</v>
      </c>
      <c r="R1571" t="s">
        <v>5008</v>
      </c>
      <c r="S1571" t="s">
        <v>632</v>
      </c>
      <c r="T1571" t="s">
        <v>78</v>
      </c>
      <c r="U1571" t="s">
        <v>5009</v>
      </c>
      <c r="V1571" t="s">
        <v>80</v>
      </c>
      <c r="W1571" s="1">
        <v>44905</v>
      </c>
      <c r="X1571" t="s">
        <v>5010</v>
      </c>
      <c r="Y1571" t="s">
        <v>5893</v>
      </c>
      <c r="Z1571" t="s">
        <v>83</v>
      </c>
      <c r="AA1571">
        <v>1</v>
      </c>
      <c r="AB1571" t="s">
        <v>5634</v>
      </c>
      <c r="AD1571" t="s">
        <v>123</v>
      </c>
      <c r="AE1571" t="s">
        <v>86</v>
      </c>
      <c r="AF1571" t="s">
        <v>87</v>
      </c>
      <c r="AG1571" t="s">
        <v>1257</v>
      </c>
      <c r="AH1571" t="s">
        <v>5898</v>
      </c>
      <c r="AI1571" t="s">
        <v>90</v>
      </c>
      <c r="AJ1571">
        <v>32.313274999999997</v>
      </c>
      <c r="AK1571">
        <v>-110.71270699999999</v>
      </c>
      <c r="AL1571">
        <v>3</v>
      </c>
      <c r="AN1571">
        <v>1168</v>
      </c>
      <c r="AP1571">
        <v>1168</v>
      </c>
      <c r="AQ1571">
        <v>1170.8411980000001</v>
      </c>
      <c r="AT1571">
        <v>10</v>
      </c>
      <c r="AU1571">
        <v>12</v>
      </c>
      <c r="AV1571">
        <v>2022</v>
      </c>
      <c r="AW1571">
        <v>2439581</v>
      </c>
      <c r="AX1571">
        <v>2439581</v>
      </c>
      <c r="AY1571" t="s">
        <v>106</v>
      </c>
      <c r="AZ1571" t="s">
        <v>92</v>
      </c>
      <c r="BA1571" t="s">
        <v>107</v>
      </c>
      <c r="BB1571" t="s">
        <v>5904</v>
      </c>
      <c r="BC1571" t="s">
        <v>97</v>
      </c>
      <c r="BD1571" s="1">
        <v>44905</v>
      </c>
      <c r="BE1571" t="s">
        <v>96</v>
      </c>
      <c r="BG1571" t="s">
        <v>5504</v>
      </c>
      <c r="BI1571" t="s">
        <v>98</v>
      </c>
      <c r="BJ1571" t="s">
        <v>5889</v>
      </c>
      <c r="BL1571" t="s">
        <v>110</v>
      </c>
    </row>
    <row r="1572" spans="1:64" hidden="1" x14ac:dyDescent="0.2">
      <c r="A1572">
        <v>592</v>
      </c>
      <c r="B1572">
        <v>4136459361</v>
      </c>
      <c r="C1572" t="s">
        <v>101</v>
      </c>
      <c r="D1572" t="s">
        <v>5905</v>
      </c>
      <c r="E1572" t="s">
        <v>65</v>
      </c>
      <c r="F1572" t="s">
        <v>66</v>
      </c>
      <c r="G1572" t="s">
        <v>67</v>
      </c>
      <c r="H1572" t="s">
        <v>68</v>
      </c>
      <c r="I1572" t="s">
        <v>69</v>
      </c>
      <c r="J1572" t="s">
        <v>70</v>
      </c>
      <c r="K1572" t="s">
        <v>71</v>
      </c>
      <c r="M1572" t="s">
        <v>72</v>
      </c>
      <c r="N1572" t="s">
        <v>73</v>
      </c>
      <c r="O1572" t="s">
        <v>71</v>
      </c>
      <c r="P1572" t="s">
        <v>74</v>
      </c>
      <c r="Q1572" t="s">
        <v>75</v>
      </c>
      <c r="R1572" t="s">
        <v>5008</v>
      </c>
      <c r="S1572" t="s">
        <v>632</v>
      </c>
      <c r="T1572" t="s">
        <v>78</v>
      </c>
      <c r="U1572" t="s">
        <v>5009</v>
      </c>
      <c r="V1572" t="s">
        <v>80</v>
      </c>
      <c r="W1572" s="1">
        <v>44905</v>
      </c>
      <c r="X1572" t="s">
        <v>5010</v>
      </c>
      <c r="Y1572" t="s">
        <v>5893</v>
      </c>
      <c r="Z1572" t="s">
        <v>83</v>
      </c>
      <c r="AA1572">
        <v>1</v>
      </c>
      <c r="AB1572" t="s">
        <v>5634</v>
      </c>
      <c r="AD1572" t="s">
        <v>116</v>
      </c>
      <c r="AE1572" t="s">
        <v>86</v>
      </c>
      <c r="AF1572" t="s">
        <v>87</v>
      </c>
      <c r="AG1572" t="s">
        <v>1257</v>
      </c>
      <c r="AH1572" t="s">
        <v>5898</v>
      </c>
      <c r="AI1572" t="s">
        <v>90</v>
      </c>
      <c r="AJ1572">
        <v>32.313274999999997</v>
      </c>
      <c r="AK1572">
        <v>-110.71270699999999</v>
      </c>
      <c r="AL1572">
        <v>3</v>
      </c>
      <c r="AN1572">
        <v>1168</v>
      </c>
      <c r="AP1572">
        <v>1168</v>
      </c>
      <c r="AQ1572">
        <v>1170.8411980000001</v>
      </c>
      <c r="AT1572">
        <v>10</v>
      </c>
      <c r="AU1572">
        <v>12</v>
      </c>
      <c r="AV1572">
        <v>2022</v>
      </c>
      <c r="AW1572">
        <v>2439581</v>
      </c>
      <c r="AX1572">
        <v>2439581</v>
      </c>
      <c r="AY1572" t="s">
        <v>106</v>
      </c>
      <c r="AZ1572" t="s">
        <v>92</v>
      </c>
      <c r="BA1572" t="s">
        <v>107</v>
      </c>
      <c r="BB1572" t="s">
        <v>5906</v>
      </c>
      <c r="BC1572" t="s">
        <v>97</v>
      </c>
      <c r="BD1572" s="1">
        <v>44905</v>
      </c>
      <c r="BE1572" t="s">
        <v>96</v>
      </c>
      <c r="BG1572" t="s">
        <v>5504</v>
      </c>
      <c r="BI1572" t="s">
        <v>98</v>
      </c>
      <c r="BJ1572" t="s">
        <v>3058</v>
      </c>
      <c r="BL1572" t="s">
        <v>110</v>
      </c>
    </row>
    <row r="1573" spans="1:64" hidden="1" x14ac:dyDescent="0.2">
      <c r="A1573">
        <v>594</v>
      </c>
      <c r="B1573">
        <v>4136459359</v>
      </c>
      <c r="C1573" t="s">
        <v>101</v>
      </c>
      <c r="D1573" t="s">
        <v>5907</v>
      </c>
      <c r="E1573" t="s">
        <v>65</v>
      </c>
      <c r="F1573" t="s">
        <v>66</v>
      </c>
      <c r="G1573" t="s">
        <v>67</v>
      </c>
      <c r="H1573" t="s">
        <v>68</v>
      </c>
      <c r="I1573" t="s">
        <v>69</v>
      </c>
      <c r="J1573" t="s">
        <v>70</v>
      </c>
      <c r="K1573" t="s">
        <v>71</v>
      </c>
      <c r="M1573" t="s">
        <v>72</v>
      </c>
      <c r="N1573" t="s">
        <v>73</v>
      </c>
      <c r="O1573" t="s">
        <v>71</v>
      </c>
      <c r="P1573" t="s">
        <v>74</v>
      </c>
      <c r="Q1573" t="s">
        <v>75</v>
      </c>
      <c r="R1573" t="s">
        <v>5008</v>
      </c>
      <c r="S1573" t="s">
        <v>632</v>
      </c>
      <c r="T1573" t="s">
        <v>78</v>
      </c>
      <c r="U1573" t="s">
        <v>5009</v>
      </c>
      <c r="V1573" t="s">
        <v>80</v>
      </c>
      <c r="W1573" s="1">
        <v>44905</v>
      </c>
      <c r="X1573" t="s">
        <v>5010</v>
      </c>
      <c r="Y1573" t="s">
        <v>5893</v>
      </c>
      <c r="Z1573" t="s">
        <v>83</v>
      </c>
      <c r="AA1573">
        <v>1</v>
      </c>
      <c r="AB1573" t="s">
        <v>5634</v>
      </c>
      <c r="AD1573" t="s">
        <v>112</v>
      </c>
      <c r="AE1573" t="s">
        <v>86</v>
      </c>
      <c r="AF1573" t="s">
        <v>87</v>
      </c>
      <c r="AG1573" t="s">
        <v>1257</v>
      </c>
      <c r="AH1573" t="s">
        <v>5898</v>
      </c>
      <c r="AI1573" t="s">
        <v>90</v>
      </c>
      <c r="AJ1573">
        <v>32.313274999999997</v>
      </c>
      <c r="AK1573">
        <v>-110.71270699999999</v>
      </c>
      <c r="AL1573">
        <v>3</v>
      </c>
      <c r="AN1573">
        <v>1168</v>
      </c>
      <c r="AP1573">
        <v>1168</v>
      </c>
      <c r="AQ1573">
        <v>1170.8411980000001</v>
      </c>
      <c r="AT1573">
        <v>10</v>
      </c>
      <c r="AU1573">
        <v>12</v>
      </c>
      <c r="AV1573">
        <v>2022</v>
      </c>
      <c r="AW1573">
        <v>2439581</v>
      </c>
      <c r="AX1573">
        <v>2439581</v>
      </c>
      <c r="AY1573" t="s">
        <v>106</v>
      </c>
      <c r="AZ1573" t="s">
        <v>92</v>
      </c>
      <c r="BA1573" t="s">
        <v>107</v>
      </c>
      <c r="BB1573" t="s">
        <v>5908</v>
      </c>
      <c r="BC1573" t="s">
        <v>97</v>
      </c>
      <c r="BD1573" s="1">
        <v>44905</v>
      </c>
      <c r="BE1573" t="s">
        <v>96</v>
      </c>
      <c r="BG1573" t="s">
        <v>5504</v>
      </c>
      <c r="BI1573" t="s">
        <v>98</v>
      </c>
      <c r="BJ1573" t="s">
        <v>5889</v>
      </c>
      <c r="BL1573" t="s">
        <v>110</v>
      </c>
    </row>
    <row r="1574" spans="1:64" hidden="1" x14ac:dyDescent="0.2">
      <c r="A1574">
        <v>1630</v>
      </c>
      <c r="B1574">
        <v>3744741503</v>
      </c>
      <c r="C1574" t="s">
        <v>101</v>
      </c>
      <c r="D1574" t="s">
        <v>3910</v>
      </c>
      <c r="E1574" t="s">
        <v>65</v>
      </c>
      <c r="F1574" t="s">
        <v>66</v>
      </c>
      <c r="G1574" t="s">
        <v>67</v>
      </c>
      <c r="H1574" t="s">
        <v>68</v>
      </c>
      <c r="I1574" t="s">
        <v>176</v>
      </c>
      <c r="J1574" t="s">
        <v>773</v>
      </c>
      <c r="K1574" t="s">
        <v>1347</v>
      </c>
      <c r="M1574" t="s">
        <v>72</v>
      </c>
      <c r="N1574" t="s">
        <v>1348</v>
      </c>
      <c r="O1574" t="s">
        <v>1347</v>
      </c>
      <c r="P1574" t="s">
        <v>1349</v>
      </c>
      <c r="Q1574" t="s">
        <v>75</v>
      </c>
      <c r="R1574" t="s">
        <v>3816</v>
      </c>
      <c r="S1574" t="s">
        <v>3767</v>
      </c>
      <c r="T1574" t="s">
        <v>78</v>
      </c>
      <c r="U1574" t="s">
        <v>3817</v>
      </c>
      <c r="V1574" t="s">
        <v>80</v>
      </c>
      <c r="W1574" s="1">
        <v>44519</v>
      </c>
      <c r="X1574" t="s">
        <v>3818</v>
      </c>
      <c r="Y1574" t="s">
        <v>3895</v>
      </c>
      <c r="Z1574" t="s">
        <v>83</v>
      </c>
      <c r="AA1574">
        <v>1</v>
      </c>
      <c r="AB1574" t="s">
        <v>127</v>
      </c>
      <c r="AC1574">
        <v>1</v>
      </c>
      <c r="AD1574" t="s">
        <v>128</v>
      </c>
      <c r="AE1574" t="s">
        <v>86</v>
      </c>
      <c r="AF1574" t="s">
        <v>146</v>
      </c>
      <c r="AG1574" t="s">
        <v>3897</v>
      </c>
      <c r="AH1574" t="s">
        <v>3911</v>
      </c>
      <c r="AI1574" t="s">
        <v>90</v>
      </c>
      <c r="AJ1574">
        <v>32.515863000000003</v>
      </c>
      <c r="AK1574">
        <v>-110.68825200000001</v>
      </c>
      <c r="AL1574">
        <v>3</v>
      </c>
      <c r="AN1574">
        <v>1361</v>
      </c>
      <c r="AP1574">
        <v>1361</v>
      </c>
      <c r="AQ1574">
        <v>1366.3425890000001</v>
      </c>
      <c r="AT1574">
        <v>19</v>
      </c>
      <c r="AU1574">
        <v>11</v>
      </c>
      <c r="AV1574">
        <v>2021</v>
      </c>
      <c r="AW1574">
        <v>2438454</v>
      </c>
      <c r="AX1574">
        <v>2438454</v>
      </c>
      <c r="AY1574" t="s">
        <v>106</v>
      </c>
      <c r="AZ1574" t="s">
        <v>92</v>
      </c>
      <c r="BA1574" t="s">
        <v>107</v>
      </c>
      <c r="BB1574" t="s">
        <v>3912</v>
      </c>
      <c r="BC1574" t="s">
        <v>97</v>
      </c>
      <c r="BE1574" t="s">
        <v>96</v>
      </c>
      <c r="BG1574" t="s">
        <v>97</v>
      </c>
      <c r="BI1574" t="s">
        <v>98</v>
      </c>
      <c r="BJ1574" t="s">
        <v>3913</v>
      </c>
      <c r="BL1574" t="s">
        <v>110</v>
      </c>
    </row>
    <row r="1575" spans="1:64" hidden="1" x14ac:dyDescent="0.2">
      <c r="A1575">
        <v>610</v>
      </c>
      <c r="B1575">
        <v>4136459336</v>
      </c>
      <c r="C1575" t="s">
        <v>101</v>
      </c>
      <c r="D1575" t="s">
        <v>5911</v>
      </c>
      <c r="E1575" t="s">
        <v>65</v>
      </c>
      <c r="F1575" t="s">
        <v>66</v>
      </c>
      <c r="G1575" t="s">
        <v>67</v>
      </c>
      <c r="H1575" t="s">
        <v>68</v>
      </c>
      <c r="I1575" t="s">
        <v>69</v>
      </c>
      <c r="J1575" t="s">
        <v>70</v>
      </c>
      <c r="K1575" t="s">
        <v>71</v>
      </c>
      <c r="M1575" t="s">
        <v>72</v>
      </c>
      <c r="N1575" t="s">
        <v>73</v>
      </c>
      <c r="O1575" t="s">
        <v>71</v>
      </c>
      <c r="P1575" t="s">
        <v>74</v>
      </c>
      <c r="Q1575" t="s">
        <v>75</v>
      </c>
      <c r="R1575" t="s">
        <v>5008</v>
      </c>
      <c r="S1575" t="s">
        <v>632</v>
      </c>
      <c r="T1575" t="s">
        <v>78</v>
      </c>
      <c r="U1575" t="s">
        <v>5009</v>
      </c>
      <c r="V1575" t="s">
        <v>80</v>
      </c>
      <c r="W1575" s="1">
        <v>44905</v>
      </c>
      <c r="X1575" t="s">
        <v>5010</v>
      </c>
      <c r="Y1575" t="s">
        <v>5893</v>
      </c>
      <c r="Z1575" t="s">
        <v>83</v>
      </c>
      <c r="AA1575">
        <v>1</v>
      </c>
      <c r="AB1575" t="s">
        <v>5522</v>
      </c>
      <c r="AD1575" t="s">
        <v>134</v>
      </c>
      <c r="AE1575" t="s">
        <v>86</v>
      </c>
      <c r="AF1575" t="s">
        <v>87</v>
      </c>
      <c r="AG1575" t="s">
        <v>1257</v>
      </c>
      <c r="AH1575" t="s">
        <v>5912</v>
      </c>
      <c r="AI1575" t="s">
        <v>90</v>
      </c>
      <c r="AJ1575">
        <v>32.313274999999997</v>
      </c>
      <c r="AK1575">
        <v>-110.71270699999999</v>
      </c>
      <c r="AL1575">
        <v>3</v>
      </c>
      <c r="AN1575">
        <v>1168</v>
      </c>
      <c r="AP1575">
        <v>1168</v>
      </c>
      <c r="AQ1575">
        <v>1170.8411980000001</v>
      </c>
      <c r="AT1575">
        <v>10</v>
      </c>
      <c r="AU1575">
        <v>12</v>
      </c>
      <c r="AV1575">
        <v>2022</v>
      </c>
      <c r="AW1575">
        <v>2439581</v>
      </c>
      <c r="AX1575">
        <v>2439581</v>
      </c>
      <c r="AY1575" t="s">
        <v>106</v>
      </c>
      <c r="AZ1575" t="s">
        <v>92</v>
      </c>
      <c r="BA1575" t="s">
        <v>107</v>
      </c>
      <c r="BB1575" t="s">
        <v>5913</v>
      </c>
      <c r="BC1575" t="s">
        <v>97</v>
      </c>
      <c r="BD1575" s="1">
        <v>44905</v>
      </c>
      <c r="BE1575" t="s">
        <v>96</v>
      </c>
      <c r="BG1575" t="s">
        <v>5504</v>
      </c>
      <c r="BI1575" t="s">
        <v>98</v>
      </c>
      <c r="BJ1575" t="s">
        <v>5914</v>
      </c>
      <c r="BL1575" t="s">
        <v>110</v>
      </c>
    </row>
    <row r="1576" spans="1:64" hidden="1" x14ac:dyDescent="0.2">
      <c r="A1576">
        <v>604</v>
      </c>
      <c r="B1576">
        <v>4136459344</v>
      </c>
      <c r="C1576" t="s">
        <v>101</v>
      </c>
      <c r="D1576" t="s">
        <v>5915</v>
      </c>
      <c r="E1576" t="s">
        <v>65</v>
      </c>
      <c r="F1576" t="s">
        <v>66</v>
      </c>
      <c r="G1576" t="s">
        <v>67</v>
      </c>
      <c r="H1576" t="s">
        <v>68</v>
      </c>
      <c r="I1576" t="s">
        <v>69</v>
      </c>
      <c r="J1576" t="s">
        <v>70</v>
      </c>
      <c r="K1576" t="s">
        <v>71</v>
      </c>
      <c r="M1576" t="s">
        <v>72</v>
      </c>
      <c r="N1576" t="s">
        <v>73</v>
      </c>
      <c r="O1576" t="s">
        <v>71</v>
      </c>
      <c r="P1576" t="s">
        <v>74</v>
      </c>
      <c r="Q1576" t="s">
        <v>75</v>
      </c>
      <c r="R1576" t="s">
        <v>5008</v>
      </c>
      <c r="S1576" t="s">
        <v>632</v>
      </c>
      <c r="T1576" t="s">
        <v>78</v>
      </c>
      <c r="U1576" t="s">
        <v>5009</v>
      </c>
      <c r="V1576" t="s">
        <v>80</v>
      </c>
      <c r="W1576" s="1">
        <v>44905</v>
      </c>
      <c r="X1576" t="s">
        <v>5010</v>
      </c>
      <c r="Y1576" t="s">
        <v>5893</v>
      </c>
      <c r="Z1576" t="s">
        <v>83</v>
      </c>
      <c r="AA1576">
        <v>1</v>
      </c>
      <c r="AB1576" t="s">
        <v>5634</v>
      </c>
      <c r="AD1576" t="s">
        <v>139</v>
      </c>
      <c r="AE1576" t="s">
        <v>86</v>
      </c>
      <c r="AF1576" t="s">
        <v>87</v>
      </c>
      <c r="AG1576" t="s">
        <v>1257</v>
      </c>
      <c r="AH1576" t="s">
        <v>5898</v>
      </c>
      <c r="AI1576" t="s">
        <v>90</v>
      </c>
      <c r="AJ1576">
        <v>32.313274999999997</v>
      </c>
      <c r="AK1576">
        <v>-110.71270699999999</v>
      </c>
      <c r="AL1576">
        <v>3</v>
      </c>
      <c r="AN1576">
        <v>1168</v>
      </c>
      <c r="AP1576">
        <v>1168</v>
      </c>
      <c r="AQ1576">
        <v>1170.8411980000001</v>
      </c>
      <c r="AT1576">
        <v>10</v>
      </c>
      <c r="AU1576">
        <v>12</v>
      </c>
      <c r="AV1576">
        <v>2022</v>
      </c>
      <c r="AW1576">
        <v>2439581</v>
      </c>
      <c r="AX1576">
        <v>2439581</v>
      </c>
      <c r="AY1576" t="s">
        <v>106</v>
      </c>
      <c r="AZ1576" t="s">
        <v>92</v>
      </c>
      <c r="BA1576" t="s">
        <v>107</v>
      </c>
      <c r="BB1576" t="s">
        <v>5916</v>
      </c>
      <c r="BC1576" t="s">
        <v>97</v>
      </c>
      <c r="BD1576" s="1">
        <v>44905</v>
      </c>
      <c r="BE1576" t="s">
        <v>96</v>
      </c>
      <c r="BG1576" t="s">
        <v>5504</v>
      </c>
      <c r="BI1576" t="s">
        <v>98</v>
      </c>
      <c r="BJ1576" t="s">
        <v>4255</v>
      </c>
      <c r="BL1576" t="s">
        <v>110</v>
      </c>
    </row>
    <row r="1577" spans="1:64" hidden="1" x14ac:dyDescent="0.2">
      <c r="A1577">
        <v>587</v>
      </c>
      <c r="B1577">
        <v>4136459369</v>
      </c>
      <c r="C1577" t="s">
        <v>101</v>
      </c>
      <c r="D1577" t="s">
        <v>5924</v>
      </c>
      <c r="E1577" t="s">
        <v>65</v>
      </c>
      <c r="F1577" t="s">
        <v>66</v>
      </c>
      <c r="G1577" t="s">
        <v>67</v>
      </c>
      <c r="H1577" t="s">
        <v>68</v>
      </c>
      <c r="I1577" t="s">
        <v>176</v>
      </c>
      <c r="J1577" t="s">
        <v>773</v>
      </c>
      <c r="K1577" t="s">
        <v>1347</v>
      </c>
      <c r="M1577" t="s">
        <v>72</v>
      </c>
      <c r="N1577" t="s">
        <v>1348</v>
      </c>
      <c r="O1577" t="s">
        <v>1347</v>
      </c>
      <c r="P1577" t="s">
        <v>1349</v>
      </c>
      <c r="Q1577" t="s">
        <v>75</v>
      </c>
      <c r="R1577" t="s">
        <v>5008</v>
      </c>
      <c r="S1577" t="s">
        <v>5918</v>
      </c>
      <c r="T1577" t="s">
        <v>78</v>
      </c>
      <c r="U1577" t="s">
        <v>5009</v>
      </c>
      <c r="V1577" t="s">
        <v>80</v>
      </c>
      <c r="W1577" s="1">
        <v>44905</v>
      </c>
      <c r="X1577" t="s">
        <v>5010</v>
      </c>
      <c r="Y1577" t="s">
        <v>5919</v>
      </c>
      <c r="Z1577" t="s">
        <v>83</v>
      </c>
      <c r="AA1577">
        <v>1</v>
      </c>
      <c r="AB1577" t="s">
        <v>5634</v>
      </c>
      <c r="AD1577" t="s">
        <v>123</v>
      </c>
      <c r="AE1577" t="s">
        <v>86</v>
      </c>
      <c r="AF1577" t="s">
        <v>87</v>
      </c>
      <c r="AG1577" t="s">
        <v>5921</v>
      </c>
      <c r="AH1577" t="s">
        <v>5925</v>
      </c>
      <c r="AI1577" t="s">
        <v>90</v>
      </c>
      <c r="AJ1577">
        <v>32.314751999999999</v>
      </c>
      <c r="AK1577">
        <v>-110.71243800000001</v>
      </c>
      <c r="AL1577">
        <v>3</v>
      </c>
      <c r="AN1577">
        <v>1184</v>
      </c>
      <c r="AP1577">
        <v>1184</v>
      </c>
      <c r="AQ1577">
        <v>1199.071997</v>
      </c>
      <c r="AT1577">
        <v>10</v>
      </c>
      <c r="AU1577">
        <v>12</v>
      </c>
      <c r="AV1577">
        <v>2022</v>
      </c>
      <c r="AW1577">
        <v>2438454</v>
      </c>
      <c r="AX1577">
        <v>2438454</v>
      </c>
      <c r="AY1577" t="s">
        <v>106</v>
      </c>
      <c r="AZ1577" t="s">
        <v>92</v>
      </c>
      <c r="BA1577" t="s">
        <v>107</v>
      </c>
      <c r="BB1577" t="s">
        <v>5926</v>
      </c>
      <c r="BC1577" t="s">
        <v>97</v>
      </c>
      <c r="BD1577" s="1">
        <v>44905</v>
      </c>
      <c r="BE1577" t="s">
        <v>96</v>
      </c>
      <c r="BG1577" t="s">
        <v>5504</v>
      </c>
      <c r="BI1577" t="s">
        <v>98</v>
      </c>
      <c r="BJ1577" t="s">
        <v>2553</v>
      </c>
      <c r="BL1577" t="s">
        <v>412</v>
      </c>
    </row>
    <row r="1578" spans="1:64" hidden="1" x14ac:dyDescent="0.2">
      <c r="A1578">
        <v>581</v>
      </c>
      <c r="B1578">
        <v>4136459375</v>
      </c>
      <c r="C1578" t="s">
        <v>101</v>
      </c>
      <c r="D1578" t="s">
        <v>5927</v>
      </c>
      <c r="E1578" t="s">
        <v>65</v>
      </c>
      <c r="F1578" t="s">
        <v>66</v>
      </c>
      <c r="G1578" t="s">
        <v>67</v>
      </c>
      <c r="H1578" t="s">
        <v>68</v>
      </c>
      <c r="I1578" t="s">
        <v>176</v>
      </c>
      <c r="J1578" t="s">
        <v>773</v>
      </c>
      <c r="K1578" t="s">
        <v>1347</v>
      </c>
      <c r="M1578" t="s">
        <v>72</v>
      </c>
      <c r="N1578" t="s">
        <v>1348</v>
      </c>
      <c r="O1578" t="s">
        <v>1347</v>
      </c>
      <c r="P1578" t="s">
        <v>1349</v>
      </c>
      <c r="Q1578" t="s">
        <v>75</v>
      </c>
      <c r="R1578" t="s">
        <v>5008</v>
      </c>
      <c r="S1578" t="s">
        <v>5918</v>
      </c>
      <c r="T1578" t="s">
        <v>78</v>
      </c>
      <c r="U1578" t="s">
        <v>5009</v>
      </c>
      <c r="V1578" t="s">
        <v>80</v>
      </c>
      <c r="W1578" s="1">
        <v>44905</v>
      </c>
      <c r="X1578" t="s">
        <v>5010</v>
      </c>
      <c r="Y1578" t="s">
        <v>5919</v>
      </c>
      <c r="Z1578" t="s">
        <v>83</v>
      </c>
      <c r="AA1578">
        <v>1</v>
      </c>
      <c r="AB1578" t="s">
        <v>5634</v>
      </c>
      <c r="AD1578" t="s">
        <v>116</v>
      </c>
      <c r="AE1578" t="s">
        <v>86</v>
      </c>
      <c r="AF1578" t="s">
        <v>87</v>
      </c>
      <c r="AG1578" t="s">
        <v>5921</v>
      </c>
      <c r="AH1578" t="s">
        <v>5925</v>
      </c>
      <c r="AI1578" t="s">
        <v>90</v>
      </c>
      <c r="AJ1578">
        <v>32.314751999999999</v>
      </c>
      <c r="AK1578">
        <v>-110.71243800000001</v>
      </c>
      <c r="AL1578">
        <v>3</v>
      </c>
      <c r="AN1578">
        <v>1184</v>
      </c>
      <c r="AP1578">
        <v>1184</v>
      </c>
      <c r="AQ1578">
        <v>1199.071997</v>
      </c>
      <c r="AT1578">
        <v>10</v>
      </c>
      <c r="AU1578">
        <v>12</v>
      </c>
      <c r="AV1578">
        <v>2022</v>
      </c>
      <c r="AW1578">
        <v>2438454</v>
      </c>
      <c r="AX1578">
        <v>2438454</v>
      </c>
      <c r="AY1578" t="s">
        <v>106</v>
      </c>
      <c r="AZ1578" t="s">
        <v>92</v>
      </c>
      <c r="BA1578" t="s">
        <v>107</v>
      </c>
      <c r="BB1578" t="s">
        <v>5928</v>
      </c>
      <c r="BC1578" t="s">
        <v>97</v>
      </c>
      <c r="BD1578" s="1">
        <v>44905</v>
      </c>
      <c r="BE1578" t="s">
        <v>96</v>
      </c>
      <c r="BG1578" t="s">
        <v>5504</v>
      </c>
      <c r="BI1578" t="s">
        <v>98</v>
      </c>
      <c r="BJ1578" t="s">
        <v>5929</v>
      </c>
      <c r="BL1578" t="s">
        <v>412</v>
      </c>
    </row>
    <row r="1579" spans="1:64" hidden="1" x14ac:dyDescent="0.2">
      <c r="A1579">
        <v>583</v>
      </c>
      <c r="B1579">
        <v>4136459373</v>
      </c>
      <c r="C1579" t="s">
        <v>101</v>
      </c>
      <c r="D1579" s="2" t="s">
        <v>5930</v>
      </c>
      <c r="E1579" t="s">
        <v>65</v>
      </c>
      <c r="F1579" t="s">
        <v>66</v>
      </c>
      <c r="G1579" t="s">
        <v>67</v>
      </c>
      <c r="H1579" t="s">
        <v>68</v>
      </c>
      <c r="I1579" t="s">
        <v>176</v>
      </c>
      <c r="J1579" t="s">
        <v>773</v>
      </c>
      <c r="K1579" t="s">
        <v>1347</v>
      </c>
      <c r="M1579" t="s">
        <v>72</v>
      </c>
      <c r="N1579" t="s">
        <v>1348</v>
      </c>
      <c r="O1579" t="s">
        <v>1347</v>
      </c>
      <c r="P1579" t="s">
        <v>1349</v>
      </c>
      <c r="Q1579" t="s">
        <v>75</v>
      </c>
      <c r="R1579" t="s">
        <v>5008</v>
      </c>
      <c r="S1579" t="s">
        <v>5918</v>
      </c>
      <c r="T1579" t="s">
        <v>78</v>
      </c>
      <c r="U1579" t="s">
        <v>5009</v>
      </c>
      <c r="V1579" t="s">
        <v>80</v>
      </c>
      <c r="W1579" s="1">
        <v>44905</v>
      </c>
      <c r="X1579" t="s">
        <v>5010</v>
      </c>
      <c r="Y1579" t="s">
        <v>5919</v>
      </c>
      <c r="Z1579" t="s">
        <v>83</v>
      </c>
      <c r="AA1579">
        <v>1</v>
      </c>
      <c r="AB1579" t="s">
        <v>5634</v>
      </c>
      <c r="AD1579" t="s">
        <v>112</v>
      </c>
      <c r="AE1579" t="s">
        <v>86</v>
      </c>
      <c r="AF1579" t="s">
        <v>87</v>
      </c>
      <c r="AG1579" t="s">
        <v>5921</v>
      </c>
      <c r="AH1579" t="s">
        <v>5925</v>
      </c>
      <c r="AI1579" t="s">
        <v>90</v>
      </c>
      <c r="AJ1579">
        <v>32.314751999999999</v>
      </c>
      <c r="AK1579">
        <v>-110.71243800000001</v>
      </c>
      <c r="AL1579">
        <v>3</v>
      </c>
      <c r="AN1579">
        <v>1184</v>
      </c>
      <c r="AP1579">
        <v>1184</v>
      </c>
      <c r="AQ1579">
        <v>1199.071997</v>
      </c>
      <c r="AT1579">
        <v>10</v>
      </c>
      <c r="AU1579">
        <v>12</v>
      </c>
      <c r="AV1579">
        <v>2022</v>
      </c>
      <c r="AW1579">
        <v>2438454</v>
      </c>
      <c r="AX1579">
        <v>2438454</v>
      </c>
      <c r="AY1579" t="s">
        <v>106</v>
      </c>
      <c r="AZ1579" t="s">
        <v>92</v>
      </c>
      <c r="BA1579" t="s">
        <v>107</v>
      </c>
      <c r="BB1579" t="s">
        <v>5931</v>
      </c>
      <c r="BC1579" t="s">
        <v>97</v>
      </c>
      <c r="BD1579" s="1">
        <v>44905</v>
      </c>
      <c r="BE1579" t="s">
        <v>96</v>
      </c>
      <c r="BG1579" t="s">
        <v>5504</v>
      </c>
      <c r="BI1579" t="s">
        <v>98</v>
      </c>
      <c r="BJ1579" t="s">
        <v>2550</v>
      </c>
      <c r="BL1579" t="s">
        <v>412</v>
      </c>
    </row>
    <row r="1580" spans="1:64" x14ac:dyDescent="0.2">
      <c r="A1580">
        <v>230</v>
      </c>
      <c r="B1580">
        <v>4403382410</v>
      </c>
      <c r="C1580" t="s">
        <v>101</v>
      </c>
      <c r="D1580" t="s">
        <v>3299</v>
      </c>
      <c r="E1580" t="s">
        <v>65</v>
      </c>
      <c r="F1580" t="s">
        <v>66</v>
      </c>
      <c r="G1580" t="s">
        <v>67</v>
      </c>
      <c r="H1580" t="s">
        <v>68</v>
      </c>
      <c r="I1580" t="s">
        <v>176</v>
      </c>
      <c r="J1580" t="s">
        <v>177</v>
      </c>
      <c r="K1580" t="s">
        <v>178</v>
      </c>
      <c r="M1580" t="s">
        <v>72</v>
      </c>
      <c r="N1580" t="s">
        <v>179</v>
      </c>
      <c r="O1580" t="s">
        <v>178</v>
      </c>
      <c r="P1580" t="s">
        <v>180</v>
      </c>
      <c r="Q1580" t="s">
        <v>75</v>
      </c>
      <c r="R1580" t="s">
        <v>3174</v>
      </c>
      <c r="S1580" t="s">
        <v>3274</v>
      </c>
      <c r="T1580" t="s">
        <v>78</v>
      </c>
      <c r="U1580" t="s">
        <v>1822</v>
      </c>
      <c r="V1580" t="s">
        <v>80</v>
      </c>
      <c r="W1580" s="1">
        <v>45110</v>
      </c>
      <c r="X1580" t="s">
        <v>1859</v>
      </c>
      <c r="Y1580" t="s">
        <v>3275</v>
      </c>
      <c r="Z1580" t="s">
        <v>83</v>
      </c>
      <c r="AA1580">
        <v>1</v>
      </c>
      <c r="AB1580" t="s">
        <v>385</v>
      </c>
      <c r="AC1580">
        <v>1</v>
      </c>
      <c r="AD1580" t="s">
        <v>119</v>
      </c>
      <c r="AE1580" t="s">
        <v>145</v>
      </c>
      <c r="AF1580" t="s">
        <v>402</v>
      </c>
      <c r="AG1580" t="s">
        <v>3277</v>
      </c>
      <c r="AH1580" t="s">
        <v>3300</v>
      </c>
      <c r="AI1580" t="s">
        <v>90</v>
      </c>
      <c r="AJ1580">
        <v>32.424762000000001</v>
      </c>
      <c r="AK1580">
        <v>-110.738646</v>
      </c>
      <c r="AN1580">
        <v>2367</v>
      </c>
      <c r="AP1580">
        <v>2367</v>
      </c>
      <c r="AQ1580">
        <v>2387.4999990000001</v>
      </c>
      <c r="AT1580">
        <v>3</v>
      </c>
      <c r="AU1580">
        <v>7</v>
      </c>
      <c r="AV1580">
        <v>2023</v>
      </c>
      <c r="AW1580">
        <v>2438038</v>
      </c>
      <c r="AX1580">
        <v>2438038</v>
      </c>
      <c r="AY1580" t="s">
        <v>106</v>
      </c>
      <c r="AZ1580" t="s">
        <v>92</v>
      </c>
      <c r="BA1580" t="s">
        <v>107</v>
      </c>
      <c r="BB1580" t="s">
        <v>3301</v>
      </c>
      <c r="BC1580" t="s">
        <v>1186</v>
      </c>
      <c r="BD1580" s="1">
        <v>45110</v>
      </c>
      <c r="BE1580" t="s">
        <v>96</v>
      </c>
      <c r="BG1580" t="s">
        <v>1187</v>
      </c>
      <c r="BI1580" t="s">
        <v>98</v>
      </c>
      <c r="BJ1580" t="s">
        <v>3283</v>
      </c>
      <c r="BL1580" t="s">
        <v>110</v>
      </c>
    </row>
    <row r="1581" spans="1:64" hidden="1" x14ac:dyDescent="0.2">
      <c r="A1581">
        <v>606</v>
      </c>
      <c r="B1581">
        <v>4136459341</v>
      </c>
      <c r="C1581" t="s">
        <v>101</v>
      </c>
      <c r="D1581" t="s">
        <v>5936</v>
      </c>
      <c r="E1581" t="s">
        <v>65</v>
      </c>
      <c r="F1581" t="s">
        <v>66</v>
      </c>
      <c r="G1581" t="s">
        <v>67</v>
      </c>
      <c r="H1581" t="s">
        <v>68</v>
      </c>
      <c r="I1581" t="s">
        <v>176</v>
      </c>
      <c r="J1581" t="s">
        <v>773</v>
      </c>
      <c r="K1581" t="s">
        <v>1347</v>
      </c>
      <c r="M1581" t="s">
        <v>72</v>
      </c>
      <c r="N1581" t="s">
        <v>1348</v>
      </c>
      <c r="O1581" t="s">
        <v>1347</v>
      </c>
      <c r="P1581" t="s">
        <v>1349</v>
      </c>
      <c r="Q1581" t="s">
        <v>75</v>
      </c>
      <c r="R1581" t="s">
        <v>5008</v>
      </c>
      <c r="S1581" t="s">
        <v>5918</v>
      </c>
      <c r="T1581" t="s">
        <v>78</v>
      </c>
      <c r="U1581" t="s">
        <v>5009</v>
      </c>
      <c r="V1581" t="s">
        <v>80</v>
      </c>
      <c r="W1581" s="1">
        <v>44905</v>
      </c>
      <c r="X1581" t="s">
        <v>5010</v>
      </c>
      <c r="Y1581" t="s">
        <v>5919</v>
      </c>
      <c r="Z1581" t="s">
        <v>83</v>
      </c>
      <c r="AA1581">
        <v>1</v>
      </c>
      <c r="AB1581" t="s">
        <v>5522</v>
      </c>
      <c r="AD1581" t="s">
        <v>134</v>
      </c>
      <c r="AE1581" t="s">
        <v>86</v>
      </c>
      <c r="AF1581" t="s">
        <v>87</v>
      </c>
      <c r="AG1581" t="s">
        <v>5921</v>
      </c>
      <c r="AH1581" t="s">
        <v>5937</v>
      </c>
      <c r="AI1581" t="s">
        <v>90</v>
      </c>
      <c r="AJ1581">
        <v>32.314751999999999</v>
      </c>
      <c r="AK1581">
        <v>-110.71243800000001</v>
      </c>
      <c r="AL1581">
        <v>3</v>
      </c>
      <c r="AN1581">
        <v>1184</v>
      </c>
      <c r="AP1581">
        <v>1184</v>
      </c>
      <c r="AQ1581">
        <v>1199.071997</v>
      </c>
      <c r="AT1581">
        <v>10</v>
      </c>
      <c r="AU1581">
        <v>12</v>
      </c>
      <c r="AV1581">
        <v>2022</v>
      </c>
      <c r="AW1581">
        <v>2438454</v>
      </c>
      <c r="AX1581">
        <v>2438454</v>
      </c>
      <c r="AY1581" t="s">
        <v>106</v>
      </c>
      <c r="AZ1581" t="s">
        <v>92</v>
      </c>
      <c r="BA1581" t="s">
        <v>107</v>
      </c>
      <c r="BB1581" t="s">
        <v>5938</v>
      </c>
      <c r="BC1581" t="s">
        <v>97</v>
      </c>
      <c r="BD1581" s="1">
        <v>44905</v>
      </c>
      <c r="BE1581" t="s">
        <v>96</v>
      </c>
      <c r="BG1581" t="s">
        <v>5504</v>
      </c>
      <c r="BI1581" t="s">
        <v>98</v>
      </c>
      <c r="BJ1581" t="s">
        <v>4262</v>
      </c>
      <c r="BL1581" t="s">
        <v>412</v>
      </c>
    </row>
    <row r="1582" spans="1:64" hidden="1" x14ac:dyDescent="0.2">
      <c r="A1582">
        <v>601</v>
      </c>
      <c r="B1582">
        <v>4136459349</v>
      </c>
      <c r="C1582" t="s">
        <v>101</v>
      </c>
      <c r="D1582" t="s">
        <v>5939</v>
      </c>
      <c r="E1582" t="s">
        <v>65</v>
      </c>
      <c r="F1582" t="s">
        <v>66</v>
      </c>
      <c r="G1582" t="s">
        <v>67</v>
      </c>
      <c r="H1582" t="s">
        <v>68</v>
      </c>
      <c r="I1582" t="s">
        <v>176</v>
      </c>
      <c r="J1582" t="s">
        <v>773</v>
      </c>
      <c r="K1582" t="s">
        <v>1347</v>
      </c>
      <c r="M1582" t="s">
        <v>72</v>
      </c>
      <c r="N1582" t="s">
        <v>1348</v>
      </c>
      <c r="O1582" t="s">
        <v>1347</v>
      </c>
      <c r="P1582" t="s">
        <v>1349</v>
      </c>
      <c r="Q1582" t="s">
        <v>75</v>
      </c>
      <c r="R1582" t="s">
        <v>5008</v>
      </c>
      <c r="S1582" t="s">
        <v>5918</v>
      </c>
      <c r="T1582" t="s">
        <v>78</v>
      </c>
      <c r="U1582" t="s">
        <v>5009</v>
      </c>
      <c r="V1582" t="s">
        <v>80</v>
      </c>
      <c r="W1582" s="1">
        <v>44905</v>
      </c>
      <c r="X1582" t="s">
        <v>5010</v>
      </c>
      <c r="Y1582" t="s">
        <v>5919</v>
      </c>
      <c r="Z1582" t="s">
        <v>83</v>
      </c>
      <c r="AA1582">
        <v>1</v>
      </c>
      <c r="AB1582" t="s">
        <v>5634</v>
      </c>
      <c r="AD1582" t="s">
        <v>139</v>
      </c>
      <c r="AE1582" t="s">
        <v>86</v>
      </c>
      <c r="AF1582" t="s">
        <v>87</v>
      </c>
      <c r="AG1582" t="s">
        <v>5921</v>
      </c>
      <c r="AH1582" t="s">
        <v>5925</v>
      </c>
      <c r="AI1582" t="s">
        <v>90</v>
      </c>
      <c r="AJ1582">
        <v>32.314751999999999</v>
      </c>
      <c r="AK1582">
        <v>-110.71243800000001</v>
      </c>
      <c r="AL1582">
        <v>3</v>
      </c>
      <c r="AN1582">
        <v>1184</v>
      </c>
      <c r="AP1582">
        <v>1184</v>
      </c>
      <c r="AQ1582">
        <v>1199.071997</v>
      </c>
      <c r="AT1582">
        <v>10</v>
      </c>
      <c r="AU1582">
        <v>12</v>
      </c>
      <c r="AV1582">
        <v>2022</v>
      </c>
      <c r="AW1582">
        <v>2438454</v>
      </c>
      <c r="AX1582">
        <v>2438454</v>
      </c>
      <c r="AY1582" t="s">
        <v>106</v>
      </c>
      <c r="AZ1582" t="s">
        <v>92</v>
      </c>
      <c r="BA1582" t="s">
        <v>107</v>
      </c>
      <c r="BB1582" t="s">
        <v>5940</v>
      </c>
      <c r="BC1582" t="s">
        <v>97</v>
      </c>
      <c r="BD1582" s="1">
        <v>44905</v>
      </c>
      <c r="BE1582" t="s">
        <v>96</v>
      </c>
      <c r="BG1582" t="s">
        <v>5504</v>
      </c>
      <c r="BI1582" t="s">
        <v>98</v>
      </c>
      <c r="BJ1582" t="s">
        <v>4258</v>
      </c>
      <c r="BL1582" t="s">
        <v>412</v>
      </c>
    </row>
    <row r="1583" spans="1:64" hidden="1" x14ac:dyDescent="0.2">
      <c r="A1583">
        <v>1645</v>
      </c>
      <c r="B1583">
        <v>3744741488</v>
      </c>
      <c r="C1583" t="s">
        <v>101</v>
      </c>
      <c r="D1583" t="s">
        <v>3940</v>
      </c>
      <c r="E1583" t="s">
        <v>65</v>
      </c>
      <c r="F1583" t="s">
        <v>66</v>
      </c>
      <c r="G1583" t="s">
        <v>67</v>
      </c>
      <c r="H1583" t="s">
        <v>68</v>
      </c>
      <c r="I1583" t="s">
        <v>176</v>
      </c>
      <c r="J1583" t="s">
        <v>177</v>
      </c>
      <c r="K1583" t="s">
        <v>3925</v>
      </c>
      <c r="M1583" t="s">
        <v>72</v>
      </c>
      <c r="N1583" t="s">
        <v>3926</v>
      </c>
      <c r="O1583" t="s">
        <v>3925</v>
      </c>
      <c r="P1583" t="s">
        <v>1176</v>
      </c>
      <c r="Q1583" t="s">
        <v>75</v>
      </c>
      <c r="R1583" t="s">
        <v>3816</v>
      </c>
      <c r="S1583" t="s">
        <v>3804</v>
      </c>
      <c r="T1583" t="s">
        <v>78</v>
      </c>
      <c r="U1583" t="s">
        <v>3817</v>
      </c>
      <c r="V1583" t="s">
        <v>80</v>
      </c>
      <c r="W1583" s="1">
        <v>44519</v>
      </c>
      <c r="X1583" t="s">
        <v>3818</v>
      </c>
      <c r="Y1583" t="s">
        <v>3927</v>
      </c>
      <c r="Z1583" t="s">
        <v>83</v>
      </c>
      <c r="AA1583">
        <v>1</v>
      </c>
      <c r="AB1583" t="s">
        <v>127</v>
      </c>
      <c r="AC1583">
        <v>1</v>
      </c>
      <c r="AD1583" t="s">
        <v>128</v>
      </c>
      <c r="AE1583" t="s">
        <v>86</v>
      </c>
      <c r="AF1583" t="s">
        <v>146</v>
      </c>
      <c r="AG1583" t="s">
        <v>3929</v>
      </c>
      <c r="AH1583" t="s">
        <v>3941</v>
      </c>
      <c r="AI1583" t="s">
        <v>90</v>
      </c>
      <c r="AJ1583">
        <v>32.516367000000002</v>
      </c>
      <c r="AK1583">
        <v>-110.68760399999999</v>
      </c>
      <c r="AL1583">
        <v>3</v>
      </c>
      <c r="AN1583">
        <v>1343</v>
      </c>
      <c r="AP1583">
        <v>1343</v>
      </c>
      <c r="AQ1583">
        <v>1364.783201</v>
      </c>
      <c r="AT1583">
        <v>19</v>
      </c>
      <c r="AU1583">
        <v>11</v>
      </c>
      <c r="AV1583">
        <v>2021</v>
      </c>
      <c r="AW1583">
        <v>2437981</v>
      </c>
      <c r="AX1583">
        <v>2437981</v>
      </c>
      <c r="AY1583" t="s">
        <v>106</v>
      </c>
      <c r="AZ1583" t="s">
        <v>92</v>
      </c>
      <c r="BA1583" t="s">
        <v>107</v>
      </c>
      <c r="BB1583" t="s">
        <v>3942</v>
      </c>
      <c r="BC1583" t="s">
        <v>95</v>
      </c>
      <c r="BD1583" s="1">
        <v>44722</v>
      </c>
      <c r="BE1583" t="s">
        <v>96</v>
      </c>
      <c r="BG1583" t="s">
        <v>97</v>
      </c>
      <c r="BI1583" t="s">
        <v>98</v>
      </c>
      <c r="BJ1583" t="s">
        <v>3943</v>
      </c>
      <c r="BL1583" t="s">
        <v>110</v>
      </c>
    </row>
    <row r="1584" spans="1:64" hidden="1" x14ac:dyDescent="0.2">
      <c r="A1584">
        <v>541</v>
      </c>
      <c r="B1584">
        <v>4136459418</v>
      </c>
      <c r="C1584" t="s">
        <v>101</v>
      </c>
      <c r="D1584" t="s">
        <v>5944</v>
      </c>
      <c r="E1584" t="s">
        <v>65</v>
      </c>
      <c r="F1584" t="s">
        <v>66</v>
      </c>
      <c r="G1584" t="s">
        <v>67</v>
      </c>
      <c r="H1584" t="s">
        <v>68</v>
      </c>
      <c r="I1584" t="s">
        <v>176</v>
      </c>
      <c r="J1584" t="s">
        <v>773</v>
      </c>
      <c r="K1584" t="s">
        <v>1347</v>
      </c>
      <c r="M1584" t="s">
        <v>72</v>
      </c>
      <c r="N1584" t="s">
        <v>1348</v>
      </c>
      <c r="O1584" t="s">
        <v>1347</v>
      </c>
      <c r="P1584" t="s">
        <v>1349</v>
      </c>
      <c r="Q1584" t="s">
        <v>75</v>
      </c>
      <c r="R1584" t="s">
        <v>5008</v>
      </c>
      <c r="S1584" t="s">
        <v>5918</v>
      </c>
      <c r="T1584" t="s">
        <v>78</v>
      </c>
      <c r="U1584" t="s">
        <v>5009</v>
      </c>
      <c r="V1584" t="s">
        <v>80</v>
      </c>
      <c r="W1584" s="1">
        <v>44905</v>
      </c>
      <c r="X1584" t="s">
        <v>5010</v>
      </c>
      <c r="Y1584" t="s">
        <v>5919</v>
      </c>
      <c r="Z1584" t="s">
        <v>83</v>
      </c>
      <c r="AA1584">
        <v>1</v>
      </c>
      <c r="AB1584" t="s">
        <v>5634</v>
      </c>
      <c r="AD1584" t="s">
        <v>104</v>
      </c>
      <c r="AE1584" t="s">
        <v>86</v>
      </c>
      <c r="AF1584" t="s">
        <v>87</v>
      </c>
      <c r="AG1584" t="s">
        <v>5921</v>
      </c>
      <c r="AH1584" t="s">
        <v>5925</v>
      </c>
      <c r="AI1584" t="s">
        <v>90</v>
      </c>
      <c r="AJ1584">
        <v>32.314751999999999</v>
      </c>
      <c r="AK1584">
        <v>-110.71243800000001</v>
      </c>
      <c r="AL1584">
        <v>3</v>
      </c>
      <c r="AN1584">
        <v>1184</v>
      </c>
      <c r="AP1584">
        <v>1184</v>
      </c>
      <c r="AQ1584">
        <v>1199.071997</v>
      </c>
      <c r="AT1584">
        <v>10</v>
      </c>
      <c r="AU1584">
        <v>12</v>
      </c>
      <c r="AV1584">
        <v>2022</v>
      </c>
      <c r="AW1584">
        <v>2438454</v>
      </c>
      <c r="AX1584">
        <v>2438454</v>
      </c>
      <c r="AY1584" t="s">
        <v>106</v>
      </c>
      <c r="AZ1584" t="s">
        <v>92</v>
      </c>
      <c r="BA1584" t="s">
        <v>107</v>
      </c>
      <c r="BB1584" t="s">
        <v>5945</v>
      </c>
      <c r="BC1584" t="s">
        <v>97</v>
      </c>
      <c r="BD1584" s="1">
        <v>44905</v>
      </c>
      <c r="BE1584" t="s">
        <v>96</v>
      </c>
      <c r="BG1584" t="s">
        <v>5504</v>
      </c>
      <c r="BI1584" t="s">
        <v>98</v>
      </c>
      <c r="BJ1584" t="s">
        <v>2307</v>
      </c>
      <c r="BL1584" t="s">
        <v>412</v>
      </c>
    </row>
    <row r="1585" spans="1:64" x14ac:dyDescent="0.2">
      <c r="A1585">
        <v>143</v>
      </c>
      <c r="B1585">
        <v>4403382497</v>
      </c>
      <c r="C1585" t="s">
        <v>101</v>
      </c>
      <c r="D1585" t="s">
        <v>3414</v>
      </c>
      <c r="E1585" t="s">
        <v>65</v>
      </c>
      <c r="F1585" t="s">
        <v>66</v>
      </c>
      <c r="G1585" t="s">
        <v>67</v>
      </c>
      <c r="H1585" t="s">
        <v>68</v>
      </c>
      <c r="I1585" t="s">
        <v>176</v>
      </c>
      <c r="J1585" t="s">
        <v>177</v>
      </c>
      <c r="K1585" t="s">
        <v>178</v>
      </c>
      <c r="M1585" t="s">
        <v>72</v>
      </c>
      <c r="N1585" t="s">
        <v>179</v>
      </c>
      <c r="O1585" t="s">
        <v>178</v>
      </c>
      <c r="P1585" t="s">
        <v>180</v>
      </c>
      <c r="Q1585" t="s">
        <v>75</v>
      </c>
      <c r="R1585" t="s">
        <v>3174</v>
      </c>
      <c r="S1585" t="s">
        <v>3391</v>
      </c>
      <c r="T1585" t="s">
        <v>78</v>
      </c>
      <c r="U1585" t="s">
        <v>1822</v>
      </c>
      <c r="V1585" t="s">
        <v>80</v>
      </c>
      <c r="W1585" s="1">
        <v>45110</v>
      </c>
      <c r="X1585" t="s">
        <v>1859</v>
      </c>
      <c r="Y1585" t="s">
        <v>3392</v>
      </c>
      <c r="Z1585" t="s">
        <v>83</v>
      </c>
      <c r="AA1585">
        <v>1</v>
      </c>
      <c r="AB1585" t="s">
        <v>385</v>
      </c>
      <c r="AC1585">
        <v>1</v>
      </c>
      <c r="AD1585" t="s">
        <v>119</v>
      </c>
      <c r="AE1585" t="s">
        <v>145</v>
      </c>
      <c r="AF1585" t="s">
        <v>402</v>
      </c>
      <c r="AG1585" t="s">
        <v>1937</v>
      </c>
      <c r="AH1585" t="s">
        <v>3415</v>
      </c>
      <c r="AI1585" t="s">
        <v>90</v>
      </c>
      <c r="AJ1585">
        <v>32.424565999999999</v>
      </c>
      <c r="AK1585">
        <v>-110.738364</v>
      </c>
      <c r="AN1585">
        <v>2372</v>
      </c>
      <c r="AP1585">
        <v>2372</v>
      </c>
      <c r="AQ1585">
        <v>2394.5947120000001</v>
      </c>
      <c r="AT1585">
        <v>3</v>
      </c>
      <c r="AU1585">
        <v>7</v>
      </c>
      <c r="AV1585">
        <v>2023</v>
      </c>
      <c r="AW1585">
        <v>2438038</v>
      </c>
      <c r="AX1585">
        <v>2438038</v>
      </c>
      <c r="AY1585" t="s">
        <v>106</v>
      </c>
      <c r="AZ1585" t="s">
        <v>92</v>
      </c>
      <c r="BA1585" t="s">
        <v>107</v>
      </c>
      <c r="BB1585" t="s">
        <v>3416</v>
      </c>
      <c r="BC1585" t="s">
        <v>1186</v>
      </c>
      <c r="BD1585" s="1">
        <v>45110</v>
      </c>
      <c r="BE1585" t="s">
        <v>96</v>
      </c>
      <c r="BG1585" t="s">
        <v>1187</v>
      </c>
      <c r="BI1585" t="s">
        <v>98</v>
      </c>
      <c r="BJ1585" t="s">
        <v>3417</v>
      </c>
      <c r="BL1585" t="s">
        <v>110</v>
      </c>
    </row>
    <row r="1586" spans="1:64" hidden="1" x14ac:dyDescent="0.2">
      <c r="A1586">
        <v>579</v>
      </c>
      <c r="B1586">
        <v>4136459378</v>
      </c>
      <c r="C1586" t="s">
        <v>101</v>
      </c>
      <c r="D1586" t="s">
        <v>5955</v>
      </c>
      <c r="E1586" t="s">
        <v>65</v>
      </c>
      <c r="F1586" t="s">
        <v>66</v>
      </c>
      <c r="G1586" t="s">
        <v>67</v>
      </c>
      <c r="H1586" t="s">
        <v>68</v>
      </c>
      <c r="I1586" t="s">
        <v>176</v>
      </c>
      <c r="J1586" t="s">
        <v>773</v>
      </c>
      <c r="K1586" t="s">
        <v>1347</v>
      </c>
      <c r="M1586" t="s">
        <v>72</v>
      </c>
      <c r="N1586" t="s">
        <v>1348</v>
      </c>
      <c r="O1586" t="s">
        <v>1347</v>
      </c>
      <c r="P1586" t="s">
        <v>1349</v>
      </c>
      <c r="Q1586" t="s">
        <v>75</v>
      </c>
      <c r="R1586" t="s">
        <v>5008</v>
      </c>
      <c r="S1586" t="s">
        <v>5949</v>
      </c>
      <c r="T1586" t="s">
        <v>78</v>
      </c>
      <c r="U1586" t="s">
        <v>5009</v>
      </c>
      <c r="V1586" t="s">
        <v>80</v>
      </c>
      <c r="W1586" s="1">
        <v>44905</v>
      </c>
      <c r="X1586" t="s">
        <v>5010</v>
      </c>
      <c r="Y1586" t="s">
        <v>5950</v>
      </c>
      <c r="Z1586" t="s">
        <v>83</v>
      </c>
      <c r="AA1586">
        <v>1</v>
      </c>
      <c r="AB1586" t="s">
        <v>5310</v>
      </c>
      <c r="AD1586" t="s">
        <v>116</v>
      </c>
      <c r="AE1586" t="s">
        <v>86</v>
      </c>
      <c r="AF1586" t="s">
        <v>146</v>
      </c>
      <c r="AG1586" t="s">
        <v>5921</v>
      </c>
      <c r="AH1586" t="s">
        <v>5956</v>
      </c>
      <c r="AI1586" t="s">
        <v>90</v>
      </c>
      <c r="AJ1586">
        <v>32.314033999999999</v>
      </c>
      <c r="AK1586">
        <v>-110.71266</v>
      </c>
      <c r="AL1586">
        <v>3</v>
      </c>
      <c r="AN1586">
        <v>1178</v>
      </c>
      <c r="AP1586">
        <v>1178</v>
      </c>
      <c r="AQ1586">
        <v>1181.191096</v>
      </c>
      <c r="AT1586">
        <v>10</v>
      </c>
      <c r="AU1586">
        <v>12</v>
      </c>
      <c r="AV1586">
        <v>2022</v>
      </c>
      <c r="AW1586">
        <v>2438454</v>
      </c>
      <c r="AX1586">
        <v>2438454</v>
      </c>
      <c r="AY1586" t="s">
        <v>106</v>
      </c>
      <c r="AZ1586" t="s">
        <v>92</v>
      </c>
      <c r="BA1586" t="s">
        <v>107</v>
      </c>
      <c r="BB1586" t="s">
        <v>5957</v>
      </c>
      <c r="BC1586" t="s">
        <v>97</v>
      </c>
      <c r="BD1586" s="1">
        <v>44905</v>
      </c>
      <c r="BE1586" t="s">
        <v>96</v>
      </c>
      <c r="BG1586" t="s">
        <v>5504</v>
      </c>
      <c r="BI1586" t="s">
        <v>98</v>
      </c>
      <c r="BJ1586" t="s">
        <v>2511</v>
      </c>
      <c r="BL1586" t="s">
        <v>110</v>
      </c>
    </row>
    <row r="1587" spans="1:64" hidden="1" x14ac:dyDescent="0.2">
      <c r="A1587">
        <v>597</v>
      </c>
      <c r="B1587">
        <v>4136459356</v>
      </c>
      <c r="C1587" t="s">
        <v>101</v>
      </c>
      <c r="D1587" t="s">
        <v>5958</v>
      </c>
      <c r="E1587" t="s">
        <v>65</v>
      </c>
      <c r="F1587" t="s">
        <v>66</v>
      </c>
      <c r="G1587" t="s">
        <v>67</v>
      </c>
      <c r="H1587" t="s">
        <v>68</v>
      </c>
      <c r="I1587" t="s">
        <v>176</v>
      </c>
      <c r="J1587" t="s">
        <v>773</v>
      </c>
      <c r="K1587" t="s">
        <v>1347</v>
      </c>
      <c r="M1587" t="s">
        <v>72</v>
      </c>
      <c r="N1587" t="s">
        <v>1348</v>
      </c>
      <c r="O1587" t="s">
        <v>1347</v>
      </c>
      <c r="P1587" t="s">
        <v>1349</v>
      </c>
      <c r="Q1587" t="s">
        <v>75</v>
      </c>
      <c r="R1587" t="s">
        <v>5008</v>
      </c>
      <c r="S1587" t="s">
        <v>5949</v>
      </c>
      <c r="T1587" t="s">
        <v>78</v>
      </c>
      <c r="U1587" t="s">
        <v>5009</v>
      </c>
      <c r="V1587" t="s">
        <v>80</v>
      </c>
      <c r="W1587" s="1">
        <v>44905</v>
      </c>
      <c r="X1587" t="s">
        <v>5010</v>
      </c>
      <c r="Y1587" t="s">
        <v>5950</v>
      </c>
      <c r="Z1587" t="s">
        <v>83</v>
      </c>
      <c r="AA1587">
        <v>1</v>
      </c>
      <c r="AB1587" t="s">
        <v>5700</v>
      </c>
      <c r="AD1587" t="s">
        <v>139</v>
      </c>
      <c r="AE1587" t="s">
        <v>86</v>
      </c>
      <c r="AF1587" t="s">
        <v>146</v>
      </c>
      <c r="AG1587" t="s">
        <v>5921</v>
      </c>
      <c r="AH1587" t="s">
        <v>5956</v>
      </c>
      <c r="AI1587" t="s">
        <v>90</v>
      </c>
      <c r="AJ1587">
        <v>32.314033999999999</v>
      </c>
      <c r="AK1587">
        <v>-110.71266</v>
      </c>
      <c r="AL1587">
        <v>3</v>
      </c>
      <c r="AN1587">
        <v>1178</v>
      </c>
      <c r="AP1587">
        <v>1178</v>
      </c>
      <c r="AQ1587">
        <v>1181.191096</v>
      </c>
      <c r="AT1587">
        <v>10</v>
      </c>
      <c r="AU1587">
        <v>12</v>
      </c>
      <c r="AV1587">
        <v>2022</v>
      </c>
      <c r="AW1587">
        <v>2438454</v>
      </c>
      <c r="AX1587">
        <v>2438454</v>
      </c>
      <c r="AY1587" t="s">
        <v>106</v>
      </c>
      <c r="AZ1587" t="s">
        <v>92</v>
      </c>
      <c r="BA1587" t="s">
        <v>107</v>
      </c>
      <c r="BB1587" t="s">
        <v>5959</v>
      </c>
      <c r="BC1587" t="s">
        <v>97</v>
      </c>
      <c r="BD1587" s="1">
        <v>44905</v>
      </c>
      <c r="BE1587" t="s">
        <v>96</v>
      </c>
      <c r="BG1587" t="s">
        <v>5504</v>
      </c>
      <c r="BI1587" t="s">
        <v>98</v>
      </c>
      <c r="BJ1587" t="s">
        <v>1837</v>
      </c>
      <c r="BL1587" t="s">
        <v>110</v>
      </c>
    </row>
    <row r="1588" spans="1:64" hidden="1" x14ac:dyDescent="0.2">
      <c r="A1588">
        <v>598</v>
      </c>
      <c r="B1588">
        <v>4136459355</v>
      </c>
      <c r="C1588" t="s">
        <v>101</v>
      </c>
      <c r="D1588" t="s">
        <v>5960</v>
      </c>
      <c r="E1588" t="s">
        <v>65</v>
      </c>
      <c r="F1588" t="s">
        <v>66</v>
      </c>
      <c r="G1588" t="s">
        <v>67</v>
      </c>
      <c r="H1588" t="s">
        <v>68</v>
      </c>
      <c r="I1588" t="s">
        <v>176</v>
      </c>
      <c r="J1588" t="s">
        <v>773</v>
      </c>
      <c r="K1588" t="s">
        <v>1347</v>
      </c>
      <c r="M1588" t="s">
        <v>72</v>
      </c>
      <c r="N1588" t="s">
        <v>1348</v>
      </c>
      <c r="O1588" t="s">
        <v>1347</v>
      </c>
      <c r="P1588" t="s">
        <v>1349</v>
      </c>
      <c r="Q1588" t="s">
        <v>75</v>
      </c>
      <c r="R1588" t="s">
        <v>5008</v>
      </c>
      <c r="S1588" t="s">
        <v>5949</v>
      </c>
      <c r="T1588" t="s">
        <v>78</v>
      </c>
      <c r="U1588" t="s">
        <v>5009</v>
      </c>
      <c r="V1588" t="s">
        <v>80</v>
      </c>
      <c r="W1588" s="1">
        <v>44905</v>
      </c>
      <c r="X1588" t="s">
        <v>5010</v>
      </c>
      <c r="Y1588" t="s">
        <v>5950</v>
      </c>
      <c r="Z1588" t="s">
        <v>83</v>
      </c>
      <c r="AA1588">
        <v>1</v>
      </c>
      <c r="AB1588" t="s">
        <v>5700</v>
      </c>
      <c r="AD1588" t="s">
        <v>104</v>
      </c>
      <c r="AE1588" t="s">
        <v>86</v>
      </c>
      <c r="AF1588" t="s">
        <v>146</v>
      </c>
      <c r="AG1588" t="s">
        <v>5921</v>
      </c>
      <c r="AH1588" t="s">
        <v>5956</v>
      </c>
      <c r="AI1588" t="s">
        <v>90</v>
      </c>
      <c r="AJ1588">
        <v>32.314033999999999</v>
      </c>
      <c r="AK1588">
        <v>-110.71266</v>
      </c>
      <c r="AL1588">
        <v>3</v>
      </c>
      <c r="AN1588">
        <v>1178</v>
      </c>
      <c r="AP1588">
        <v>1178</v>
      </c>
      <c r="AQ1588">
        <v>1181.191096</v>
      </c>
      <c r="AT1588">
        <v>10</v>
      </c>
      <c r="AU1588">
        <v>12</v>
      </c>
      <c r="AV1588">
        <v>2022</v>
      </c>
      <c r="AW1588">
        <v>2438454</v>
      </c>
      <c r="AX1588">
        <v>2438454</v>
      </c>
      <c r="AY1588" t="s">
        <v>106</v>
      </c>
      <c r="AZ1588" t="s">
        <v>92</v>
      </c>
      <c r="BA1588" t="s">
        <v>107</v>
      </c>
      <c r="BB1588" t="s">
        <v>5961</v>
      </c>
      <c r="BC1588" t="s">
        <v>97</v>
      </c>
      <c r="BD1588" s="1">
        <v>44905</v>
      </c>
      <c r="BE1588" t="s">
        <v>96</v>
      </c>
      <c r="BG1588" t="s">
        <v>5504</v>
      </c>
      <c r="BI1588" t="s">
        <v>98</v>
      </c>
      <c r="BJ1588" t="s">
        <v>2576</v>
      </c>
      <c r="BL1588" t="s">
        <v>110</v>
      </c>
    </row>
    <row r="1589" spans="1:64" hidden="1" x14ac:dyDescent="0.2">
      <c r="A1589">
        <v>593</v>
      </c>
      <c r="B1589">
        <v>4136459360</v>
      </c>
      <c r="C1589" t="s">
        <v>101</v>
      </c>
      <c r="D1589" t="s">
        <v>5962</v>
      </c>
      <c r="E1589" t="s">
        <v>65</v>
      </c>
      <c r="F1589" t="s">
        <v>66</v>
      </c>
      <c r="G1589" t="s">
        <v>67</v>
      </c>
      <c r="H1589" t="s">
        <v>68</v>
      </c>
      <c r="I1589" t="s">
        <v>176</v>
      </c>
      <c r="J1589" t="s">
        <v>773</v>
      </c>
      <c r="K1589" t="s">
        <v>1347</v>
      </c>
      <c r="M1589" t="s">
        <v>72</v>
      </c>
      <c r="N1589" t="s">
        <v>1348</v>
      </c>
      <c r="O1589" t="s">
        <v>1347</v>
      </c>
      <c r="P1589" t="s">
        <v>1349</v>
      </c>
      <c r="Q1589" t="s">
        <v>75</v>
      </c>
      <c r="R1589" t="s">
        <v>5008</v>
      </c>
      <c r="S1589" t="s">
        <v>5949</v>
      </c>
      <c r="T1589" t="s">
        <v>78</v>
      </c>
      <c r="U1589" t="s">
        <v>5009</v>
      </c>
      <c r="V1589" t="s">
        <v>80</v>
      </c>
      <c r="W1589" s="1">
        <v>44905</v>
      </c>
      <c r="X1589" t="s">
        <v>5010</v>
      </c>
      <c r="Y1589" t="s">
        <v>5950</v>
      </c>
      <c r="Z1589" t="s">
        <v>83</v>
      </c>
      <c r="AA1589">
        <v>1</v>
      </c>
      <c r="AB1589" t="s">
        <v>5310</v>
      </c>
      <c r="AD1589" t="s">
        <v>112</v>
      </c>
      <c r="AE1589" t="s">
        <v>86</v>
      </c>
      <c r="AF1589" t="s">
        <v>146</v>
      </c>
      <c r="AG1589" t="s">
        <v>5921</v>
      </c>
      <c r="AH1589" t="s">
        <v>5956</v>
      </c>
      <c r="AI1589" t="s">
        <v>90</v>
      </c>
      <c r="AJ1589">
        <v>32.314033999999999</v>
      </c>
      <c r="AK1589">
        <v>-110.71266</v>
      </c>
      <c r="AL1589">
        <v>3</v>
      </c>
      <c r="AN1589">
        <v>1178</v>
      </c>
      <c r="AP1589">
        <v>1178</v>
      </c>
      <c r="AQ1589">
        <v>1181.191096</v>
      </c>
      <c r="AT1589">
        <v>10</v>
      </c>
      <c r="AU1589">
        <v>12</v>
      </c>
      <c r="AV1589">
        <v>2022</v>
      </c>
      <c r="AW1589">
        <v>2438454</v>
      </c>
      <c r="AX1589">
        <v>2438454</v>
      </c>
      <c r="AY1589" t="s">
        <v>106</v>
      </c>
      <c r="AZ1589" t="s">
        <v>92</v>
      </c>
      <c r="BA1589" t="s">
        <v>107</v>
      </c>
      <c r="BB1589" t="s">
        <v>5963</v>
      </c>
      <c r="BC1589" t="s">
        <v>97</v>
      </c>
      <c r="BD1589" s="1">
        <v>44905</v>
      </c>
      <c r="BE1589" t="s">
        <v>96</v>
      </c>
      <c r="BG1589" t="s">
        <v>5504</v>
      </c>
      <c r="BI1589" t="s">
        <v>98</v>
      </c>
      <c r="BJ1589" t="s">
        <v>2541</v>
      </c>
      <c r="BL1589" t="s">
        <v>110</v>
      </c>
    </row>
    <row r="1590" spans="1:64" hidden="1" x14ac:dyDescent="0.2">
      <c r="A1590">
        <v>595</v>
      </c>
      <c r="B1590">
        <v>4136459358</v>
      </c>
      <c r="C1590" t="s">
        <v>101</v>
      </c>
      <c r="D1590" t="s">
        <v>5964</v>
      </c>
      <c r="E1590" t="s">
        <v>65</v>
      </c>
      <c r="F1590" t="s">
        <v>66</v>
      </c>
      <c r="G1590" t="s">
        <v>67</v>
      </c>
      <c r="H1590" t="s">
        <v>68</v>
      </c>
      <c r="I1590" t="s">
        <v>176</v>
      </c>
      <c r="J1590" t="s">
        <v>773</v>
      </c>
      <c r="K1590" t="s">
        <v>1347</v>
      </c>
      <c r="M1590" t="s">
        <v>72</v>
      </c>
      <c r="N1590" t="s">
        <v>1348</v>
      </c>
      <c r="O1590" t="s">
        <v>1347</v>
      </c>
      <c r="P1590" t="s">
        <v>1349</v>
      </c>
      <c r="Q1590" t="s">
        <v>75</v>
      </c>
      <c r="R1590" t="s">
        <v>5008</v>
      </c>
      <c r="S1590" t="s">
        <v>5949</v>
      </c>
      <c r="T1590" t="s">
        <v>78</v>
      </c>
      <c r="U1590" t="s">
        <v>5009</v>
      </c>
      <c r="V1590" t="s">
        <v>80</v>
      </c>
      <c r="W1590" s="1">
        <v>44905</v>
      </c>
      <c r="X1590" t="s">
        <v>5010</v>
      </c>
      <c r="Y1590" t="s">
        <v>5950</v>
      </c>
      <c r="Z1590" t="s">
        <v>83</v>
      </c>
      <c r="AA1590">
        <v>1</v>
      </c>
      <c r="AB1590" t="s">
        <v>5310</v>
      </c>
      <c r="AD1590" t="s">
        <v>123</v>
      </c>
      <c r="AE1590" t="s">
        <v>86</v>
      </c>
      <c r="AF1590" t="s">
        <v>146</v>
      </c>
      <c r="AG1590" t="s">
        <v>5921</v>
      </c>
      <c r="AH1590" t="s">
        <v>5956</v>
      </c>
      <c r="AI1590" t="s">
        <v>90</v>
      </c>
      <c r="AJ1590">
        <v>32.314033999999999</v>
      </c>
      <c r="AK1590">
        <v>-110.71266</v>
      </c>
      <c r="AL1590">
        <v>3</v>
      </c>
      <c r="AN1590">
        <v>1178</v>
      </c>
      <c r="AP1590">
        <v>1178</v>
      </c>
      <c r="AQ1590">
        <v>1181.191096</v>
      </c>
      <c r="AT1590">
        <v>10</v>
      </c>
      <c r="AU1590">
        <v>12</v>
      </c>
      <c r="AV1590">
        <v>2022</v>
      </c>
      <c r="AW1590">
        <v>2438454</v>
      </c>
      <c r="AX1590">
        <v>2438454</v>
      </c>
      <c r="AY1590" t="s">
        <v>106</v>
      </c>
      <c r="AZ1590" t="s">
        <v>92</v>
      </c>
      <c r="BA1590" t="s">
        <v>107</v>
      </c>
      <c r="BB1590" t="s">
        <v>5965</v>
      </c>
      <c r="BC1590" t="s">
        <v>97</v>
      </c>
      <c r="BD1590" s="1">
        <v>44905</v>
      </c>
      <c r="BE1590" t="s">
        <v>96</v>
      </c>
      <c r="BG1590" t="s">
        <v>5504</v>
      </c>
      <c r="BI1590" t="s">
        <v>98</v>
      </c>
      <c r="BJ1590" t="s">
        <v>2576</v>
      </c>
      <c r="BL1590" t="s">
        <v>110</v>
      </c>
    </row>
    <row r="1591" spans="1:64" hidden="1" x14ac:dyDescent="0.2">
      <c r="A1591">
        <v>1665</v>
      </c>
      <c r="B1591">
        <v>3744741468</v>
      </c>
      <c r="C1591" t="s">
        <v>101</v>
      </c>
      <c r="D1591" t="s">
        <v>3978</v>
      </c>
      <c r="E1591" t="s">
        <v>65</v>
      </c>
      <c r="F1591" t="s">
        <v>66</v>
      </c>
      <c r="G1591" t="s">
        <v>67</v>
      </c>
      <c r="H1591" t="s">
        <v>68</v>
      </c>
      <c r="I1591" t="s">
        <v>176</v>
      </c>
      <c r="J1591" t="s">
        <v>773</v>
      </c>
      <c r="K1591" t="s">
        <v>1347</v>
      </c>
      <c r="M1591" t="s">
        <v>72</v>
      </c>
      <c r="N1591" t="s">
        <v>1348</v>
      </c>
      <c r="O1591" t="s">
        <v>1347</v>
      </c>
      <c r="P1591" t="s">
        <v>1349</v>
      </c>
      <c r="Q1591" t="s">
        <v>75</v>
      </c>
      <c r="R1591" t="s">
        <v>3955</v>
      </c>
      <c r="S1591" t="s">
        <v>3956</v>
      </c>
      <c r="T1591" t="s">
        <v>78</v>
      </c>
      <c r="U1591" t="s">
        <v>3817</v>
      </c>
      <c r="V1591" t="s">
        <v>80</v>
      </c>
      <c r="W1591" s="1">
        <v>44519</v>
      </c>
      <c r="X1591" t="s">
        <v>3818</v>
      </c>
      <c r="Y1591" t="s">
        <v>3957</v>
      </c>
      <c r="Z1591" t="s">
        <v>83</v>
      </c>
      <c r="AA1591">
        <v>1</v>
      </c>
      <c r="AB1591" t="s">
        <v>127</v>
      </c>
      <c r="AC1591">
        <v>1</v>
      </c>
      <c r="AD1591" t="s">
        <v>128</v>
      </c>
      <c r="AE1591" t="s">
        <v>86</v>
      </c>
      <c r="AF1591" t="s">
        <v>146</v>
      </c>
      <c r="AG1591" t="s">
        <v>3959</v>
      </c>
      <c r="AH1591" t="s">
        <v>3979</v>
      </c>
      <c r="AI1591" t="s">
        <v>90</v>
      </c>
      <c r="AJ1591">
        <v>32.516480000000001</v>
      </c>
      <c r="AK1591">
        <v>-110.685751</v>
      </c>
      <c r="AL1591">
        <v>3</v>
      </c>
      <c r="AN1591">
        <v>1358</v>
      </c>
      <c r="AP1591">
        <v>1358</v>
      </c>
      <c r="AQ1591">
        <v>1349.1764189999999</v>
      </c>
      <c r="AT1591">
        <v>19</v>
      </c>
      <c r="AU1591">
        <v>11</v>
      </c>
      <c r="AV1591">
        <v>2021</v>
      </c>
      <c r="AW1591">
        <v>2438454</v>
      </c>
      <c r="AX1591">
        <v>2438454</v>
      </c>
      <c r="AY1591" t="s">
        <v>106</v>
      </c>
      <c r="AZ1591" t="s">
        <v>92</v>
      </c>
      <c r="BA1591" t="s">
        <v>107</v>
      </c>
      <c r="BB1591" t="s">
        <v>3980</v>
      </c>
      <c r="BC1591" t="s">
        <v>97</v>
      </c>
      <c r="BE1591" t="s">
        <v>96</v>
      </c>
      <c r="BG1591" t="s">
        <v>97</v>
      </c>
      <c r="BI1591" t="s">
        <v>98</v>
      </c>
      <c r="BJ1591" t="s">
        <v>3975</v>
      </c>
      <c r="BL1591" t="s">
        <v>110</v>
      </c>
    </row>
    <row r="1592" spans="1:64" hidden="1" x14ac:dyDescent="0.2">
      <c r="A1592">
        <v>611</v>
      </c>
      <c r="B1592">
        <v>4136459335</v>
      </c>
      <c r="C1592" t="s">
        <v>101</v>
      </c>
      <c r="D1592" t="s">
        <v>5969</v>
      </c>
      <c r="E1592" t="s">
        <v>65</v>
      </c>
      <c r="F1592" t="s">
        <v>66</v>
      </c>
      <c r="G1592" t="s">
        <v>67</v>
      </c>
      <c r="H1592" t="s">
        <v>68</v>
      </c>
      <c r="I1592" t="s">
        <v>176</v>
      </c>
      <c r="J1592" t="s">
        <v>773</v>
      </c>
      <c r="K1592" t="s">
        <v>1347</v>
      </c>
      <c r="M1592" t="s">
        <v>72</v>
      </c>
      <c r="N1592" t="s">
        <v>1348</v>
      </c>
      <c r="O1592" t="s">
        <v>1347</v>
      </c>
      <c r="P1592" t="s">
        <v>1349</v>
      </c>
      <c r="Q1592" t="s">
        <v>75</v>
      </c>
      <c r="R1592" t="s">
        <v>5008</v>
      </c>
      <c r="S1592" t="s">
        <v>5949</v>
      </c>
      <c r="T1592" t="s">
        <v>78</v>
      </c>
      <c r="U1592" t="s">
        <v>5009</v>
      </c>
      <c r="V1592" t="s">
        <v>80</v>
      </c>
      <c r="W1592" s="1">
        <v>44905</v>
      </c>
      <c r="X1592" t="s">
        <v>5010</v>
      </c>
      <c r="Y1592" t="s">
        <v>5950</v>
      </c>
      <c r="Z1592" t="s">
        <v>83</v>
      </c>
      <c r="AA1592">
        <v>1</v>
      </c>
      <c r="AB1592" t="s">
        <v>5522</v>
      </c>
      <c r="AD1592" t="s">
        <v>134</v>
      </c>
      <c r="AE1592" t="s">
        <v>86</v>
      </c>
      <c r="AF1592" t="s">
        <v>146</v>
      </c>
      <c r="AG1592" t="s">
        <v>5921</v>
      </c>
      <c r="AH1592" t="s">
        <v>5970</v>
      </c>
      <c r="AI1592" t="s">
        <v>90</v>
      </c>
      <c r="AJ1592">
        <v>32.314033999999999</v>
      </c>
      <c r="AK1592">
        <v>-110.71266</v>
      </c>
      <c r="AL1592">
        <v>3</v>
      </c>
      <c r="AN1592">
        <v>1178</v>
      </c>
      <c r="AP1592">
        <v>1178</v>
      </c>
      <c r="AQ1592">
        <v>1181.191096</v>
      </c>
      <c r="AT1592">
        <v>10</v>
      </c>
      <c r="AU1592">
        <v>12</v>
      </c>
      <c r="AV1592">
        <v>2022</v>
      </c>
      <c r="AW1592">
        <v>2438454</v>
      </c>
      <c r="AX1592">
        <v>2438454</v>
      </c>
      <c r="AY1592" t="s">
        <v>106</v>
      </c>
      <c r="AZ1592" t="s">
        <v>92</v>
      </c>
      <c r="BA1592" t="s">
        <v>107</v>
      </c>
      <c r="BB1592" t="s">
        <v>5971</v>
      </c>
      <c r="BC1592" t="s">
        <v>97</v>
      </c>
      <c r="BD1592" s="1">
        <v>44905</v>
      </c>
      <c r="BE1592" t="s">
        <v>96</v>
      </c>
      <c r="BG1592" t="s">
        <v>5504</v>
      </c>
      <c r="BI1592" t="s">
        <v>98</v>
      </c>
      <c r="BJ1592" t="s">
        <v>869</v>
      </c>
      <c r="BL1592" t="s">
        <v>110</v>
      </c>
    </row>
    <row r="1593" spans="1:64" hidden="1" x14ac:dyDescent="0.2">
      <c r="A1593">
        <v>605</v>
      </c>
      <c r="B1593">
        <v>4136459343</v>
      </c>
      <c r="C1593" t="s">
        <v>101</v>
      </c>
      <c r="D1593" t="s">
        <v>5972</v>
      </c>
      <c r="E1593" t="s">
        <v>65</v>
      </c>
      <c r="F1593" t="s">
        <v>66</v>
      </c>
      <c r="G1593" t="s">
        <v>67</v>
      </c>
      <c r="H1593" t="s">
        <v>68</v>
      </c>
      <c r="I1593" t="s">
        <v>176</v>
      </c>
      <c r="J1593" t="s">
        <v>773</v>
      </c>
      <c r="K1593" t="s">
        <v>1347</v>
      </c>
      <c r="M1593" t="s">
        <v>72</v>
      </c>
      <c r="N1593" t="s">
        <v>1348</v>
      </c>
      <c r="O1593" t="s">
        <v>1347</v>
      </c>
      <c r="P1593" t="s">
        <v>1349</v>
      </c>
      <c r="Q1593" t="s">
        <v>75</v>
      </c>
      <c r="R1593" t="s">
        <v>5008</v>
      </c>
      <c r="S1593" t="s">
        <v>5949</v>
      </c>
      <c r="T1593" t="s">
        <v>78</v>
      </c>
      <c r="U1593" t="s">
        <v>5009</v>
      </c>
      <c r="V1593" t="s">
        <v>80</v>
      </c>
      <c r="W1593" s="1">
        <v>44905</v>
      </c>
      <c r="X1593" t="s">
        <v>5010</v>
      </c>
      <c r="Y1593" t="s">
        <v>5950</v>
      </c>
      <c r="Z1593" t="s">
        <v>83</v>
      </c>
      <c r="AA1593">
        <v>1</v>
      </c>
      <c r="AB1593" t="s">
        <v>5700</v>
      </c>
      <c r="AD1593" t="s">
        <v>116</v>
      </c>
      <c r="AE1593" t="s">
        <v>86</v>
      </c>
      <c r="AF1593" t="s">
        <v>146</v>
      </c>
      <c r="AG1593" t="s">
        <v>5921</v>
      </c>
      <c r="AH1593" t="s">
        <v>5956</v>
      </c>
      <c r="AI1593" t="s">
        <v>90</v>
      </c>
      <c r="AJ1593">
        <v>32.314033999999999</v>
      </c>
      <c r="AK1593">
        <v>-110.71266</v>
      </c>
      <c r="AL1593">
        <v>3</v>
      </c>
      <c r="AN1593">
        <v>1178</v>
      </c>
      <c r="AP1593">
        <v>1178</v>
      </c>
      <c r="AQ1593">
        <v>1181.191096</v>
      </c>
      <c r="AT1593">
        <v>10</v>
      </c>
      <c r="AU1593">
        <v>12</v>
      </c>
      <c r="AV1593">
        <v>2022</v>
      </c>
      <c r="AW1593">
        <v>2438454</v>
      </c>
      <c r="AX1593">
        <v>2438454</v>
      </c>
      <c r="AY1593" t="s">
        <v>106</v>
      </c>
      <c r="AZ1593" t="s">
        <v>92</v>
      </c>
      <c r="BA1593" t="s">
        <v>107</v>
      </c>
      <c r="BB1593" t="s">
        <v>5973</v>
      </c>
      <c r="BC1593" t="s">
        <v>97</v>
      </c>
      <c r="BD1593" s="1">
        <v>44905</v>
      </c>
      <c r="BE1593" t="s">
        <v>96</v>
      </c>
      <c r="BG1593" t="s">
        <v>5504</v>
      </c>
      <c r="BI1593" t="s">
        <v>98</v>
      </c>
      <c r="BJ1593" t="s">
        <v>1833</v>
      </c>
      <c r="BL1593" t="s">
        <v>110</v>
      </c>
    </row>
    <row r="1594" spans="1:64" hidden="1" x14ac:dyDescent="0.2">
      <c r="A1594">
        <v>517</v>
      </c>
      <c r="B1594">
        <v>4136459442</v>
      </c>
      <c r="C1594" t="s">
        <v>101</v>
      </c>
      <c r="D1594" t="s">
        <v>5974</v>
      </c>
      <c r="E1594" t="s">
        <v>65</v>
      </c>
      <c r="F1594" t="s">
        <v>66</v>
      </c>
      <c r="G1594" t="s">
        <v>67</v>
      </c>
      <c r="H1594" t="s">
        <v>68</v>
      </c>
      <c r="I1594" t="s">
        <v>176</v>
      </c>
      <c r="J1594" t="s">
        <v>773</v>
      </c>
      <c r="K1594" t="s">
        <v>1347</v>
      </c>
      <c r="M1594" t="s">
        <v>72</v>
      </c>
      <c r="N1594" t="s">
        <v>1348</v>
      </c>
      <c r="O1594" t="s">
        <v>1347</v>
      </c>
      <c r="P1594" t="s">
        <v>1349</v>
      </c>
      <c r="Q1594" t="s">
        <v>75</v>
      </c>
      <c r="R1594" t="s">
        <v>5008</v>
      </c>
      <c r="S1594" t="s">
        <v>5949</v>
      </c>
      <c r="T1594" t="s">
        <v>78</v>
      </c>
      <c r="U1594" t="s">
        <v>5009</v>
      </c>
      <c r="V1594" t="s">
        <v>80</v>
      </c>
      <c r="W1594" s="1">
        <v>44905</v>
      </c>
      <c r="X1594" t="s">
        <v>5010</v>
      </c>
      <c r="Y1594" t="s">
        <v>5950</v>
      </c>
      <c r="Z1594" t="s">
        <v>83</v>
      </c>
      <c r="AA1594">
        <v>1</v>
      </c>
      <c r="AB1594" t="s">
        <v>5310</v>
      </c>
      <c r="AD1594" t="s">
        <v>104</v>
      </c>
      <c r="AE1594" t="s">
        <v>86</v>
      </c>
      <c r="AF1594" t="s">
        <v>146</v>
      </c>
      <c r="AG1594" t="s">
        <v>5921</v>
      </c>
      <c r="AH1594" t="s">
        <v>5956</v>
      </c>
      <c r="AI1594" t="s">
        <v>90</v>
      </c>
      <c r="AJ1594">
        <v>32.314033999999999</v>
      </c>
      <c r="AK1594">
        <v>-110.71266</v>
      </c>
      <c r="AL1594">
        <v>3</v>
      </c>
      <c r="AN1594">
        <v>1178</v>
      </c>
      <c r="AP1594">
        <v>1178</v>
      </c>
      <c r="AQ1594">
        <v>1181.191096</v>
      </c>
      <c r="AT1594">
        <v>10</v>
      </c>
      <c r="AU1594">
        <v>12</v>
      </c>
      <c r="AV1594">
        <v>2022</v>
      </c>
      <c r="AW1594">
        <v>2438454</v>
      </c>
      <c r="AX1594">
        <v>2438454</v>
      </c>
      <c r="AY1594" t="s">
        <v>106</v>
      </c>
      <c r="AZ1594" t="s">
        <v>92</v>
      </c>
      <c r="BA1594" t="s">
        <v>107</v>
      </c>
      <c r="BB1594" t="s">
        <v>5975</v>
      </c>
      <c r="BC1594" t="s">
        <v>97</v>
      </c>
      <c r="BD1594" s="1">
        <v>44905</v>
      </c>
      <c r="BE1594" t="s">
        <v>96</v>
      </c>
      <c r="BG1594" t="s">
        <v>5504</v>
      </c>
      <c r="BI1594" t="s">
        <v>98</v>
      </c>
      <c r="BJ1594" t="s">
        <v>5976</v>
      </c>
      <c r="BL1594" t="s">
        <v>110</v>
      </c>
    </row>
    <row r="1595" spans="1:64" hidden="1" x14ac:dyDescent="0.2">
      <c r="A1595">
        <v>607</v>
      </c>
      <c r="B1595">
        <v>4136459340</v>
      </c>
      <c r="C1595" t="s">
        <v>101</v>
      </c>
      <c r="D1595" t="s">
        <v>5984</v>
      </c>
      <c r="E1595" t="s">
        <v>65</v>
      </c>
      <c r="F1595" t="s">
        <v>66</v>
      </c>
      <c r="G1595" t="s">
        <v>67</v>
      </c>
      <c r="H1595" t="s">
        <v>68</v>
      </c>
      <c r="I1595" t="s">
        <v>176</v>
      </c>
      <c r="J1595" t="s">
        <v>773</v>
      </c>
      <c r="K1595" t="s">
        <v>1347</v>
      </c>
      <c r="M1595" t="s">
        <v>72</v>
      </c>
      <c r="N1595" t="s">
        <v>1348</v>
      </c>
      <c r="O1595" t="s">
        <v>1347</v>
      </c>
      <c r="P1595" t="s">
        <v>1349</v>
      </c>
      <c r="Q1595" t="s">
        <v>75</v>
      </c>
      <c r="R1595" t="s">
        <v>5008</v>
      </c>
      <c r="S1595" t="s">
        <v>355</v>
      </c>
      <c r="T1595" t="s">
        <v>78</v>
      </c>
      <c r="U1595" t="s">
        <v>5009</v>
      </c>
      <c r="V1595" t="s">
        <v>80</v>
      </c>
      <c r="W1595" s="1">
        <v>44905</v>
      </c>
      <c r="X1595" t="s">
        <v>5010</v>
      </c>
      <c r="Y1595" t="s">
        <v>5978</v>
      </c>
      <c r="Z1595" t="s">
        <v>83</v>
      </c>
      <c r="AA1595">
        <v>1</v>
      </c>
      <c r="AB1595" t="s">
        <v>5522</v>
      </c>
      <c r="AD1595" t="s">
        <v>134</v>
      </c>
      <c r="AE1595" t="s">
        <v>86</v>
      </c>
      <c r="AF1595" t="s">
        <v>146</v>
      </c>
      <c r="AG1595" t="s">
        <v>5980</v>
      </c>
      <c r="AH1595" t="s">
        <v>5985</v>
      </c>
      <c r="AI1595" t="s">
        <v>90</v>
      </c>
      <c r="AJ1595">
        <v>32.313409999999998</v>
      </c>
      <c r="AK1595">
        <v>-110.713256</v>
      </c>
      <c r="AL1595">
        <v>3</v>
      </c>
      <c r="AN1595">
        <v>1217</v>
      </c>
      <c r="AP1595">
        <v>1217</v>
      </c>
      <c r="AQ1595">
        <v>1176.622245</v>
      </c>
      <c r="AT1595">
        <v>10</v>
      </c>
      <c r="AU1595">
        <v>12</v>
      </c>
      <c r="AV1595">
        <v>2022</v>
      </c>
      <c r="AW1595">
        <v>2438454</v>
      </c>
      <c r="AX1595">
        <v>2438454</v>
      </c>
      <c r="AY1595" t="s">
        <v>106</v>
      </c>
      <c r="AZ1595" t="s">
        <v>92</v>
      </c>
      <c r="BA1595" t="s">
        <v>107</v>
      </c>
      <c r="BB1595" t="s">
        <v>5986</v>
      </c>
      <c r="BC1595" t="s">
        <v>97</v>
      </c>
      <c r="BD1595" s="1">
        <v>44905</v>
      </c>
      <c r="BE1595" t="s">
        <v>96</v>
      </c>
      <c r="BG1595" t="s">
        <v>5504</v>
      </c>
      <c r="BI1595" t="s">
        <v>98</v>
      </c>
      <c r="BJ1595" t="s">
        <v>2576</v>
      </c>
      <c r="BL1595" t="s">
        <v>110</v>
      </c>
    </row>
    <row r="1596" spans="1:64" x14ac:dyDescent="0.2">
      <c r="A1596">
        <v>1146</v>
      </c>
      <c r="B1596">
        <v>4027014303</v>
      </c>
      <c r="C1596" t="s">
        <v>63</v>
      </c>
      <c r="D1596" t="s">
        <v>643</v>
      </c>
      <c r="E1596" t="s">
        <v>65</v>
      </c>
      <c r="F1596" t="s">
        <v>66</v>
      </c>
      <c r="G1596" t="s">
        <v>67</v>
      </c>
      <c r="H1596" t="s">
        <v>68</v>
      </c>
      <c r="I1596" t="s">
        <v>176</v>
      </c>
      <c r="J1596" t="s">
        <v>177</v>
      </c>
      <c r="K1596" t="s">
        <v>178</v>
      </c>
      <c r="M1596" t="s">
        <v>72</v>
      </c>
      <c r="N1596" t="s">
        <v>179</v>
      </c>
      <c r="O1596" t="s">
        <v>178</v>
      </c>
      <c r="P1596" t="s">
        <v>180</v>
      </c>
      <c r="Q1596" t="s">
        <v>75</v>
      </c>
      <c r="R1596" t="s">
        <v>644</v>
      </c>
      <c r="S1596" t="s">
        <v>645</v>
      </c>
      <c r="T1596" t="s">
        <v>78</v>
      </c>
      <c r="U1596" t="s">
        <v>646</v>
      </c>
      <c r="V1596" t="s">
        <v>80</v>
      </c>
      <c r="W1596" s="1">
        <v>44694</v>
      </c>
      <c r="X1596" t="s">
        <v>647</v>
      </c>
      <c r="Y1596" t="s">
        <v>648</v>
      </c>
      <c r="Z1596" t="s">
        <v>83</v>
      </c>
      <c r="AA1596">
        <v>1</v>
      </c>
      <c r="AB1596" t="s">
        <v>649</v>
      </c>
      <c r="AC1596">
        <v>1</v>
      </c>
      <c r="AD1596" s="6" t="s">
        <v>650</v>
      </c>
      <c r="AE1596" s="6" t="s">
        <v>145</v>
      </c>
      <c r="AF1596" s="6" t="s">
        <v>146</v>
      </c>
      <c r="AG1596" s="6" t="s">
        <v>651</v>
      </c>
      <c r="AH1596" s="6" t="s">
        <v>652</v>
      </c>
      <c r="AI1596" s="6" t="s">
        <v>90</v>
      </c>
      <c r="AJ1596" s="6">
        <v>32.387782999999999</v>
      </c>
      <c r="AK1596" s="6">
        <v>-110.712097</v>
      </c>
      <c r="AL1596" s="6">
        <v>3</v>
      </c>
      <c r="AM1596" s="6"/>
      <c r="AN1596" s="6">
        <v>2096</v>
      </c>
      <c r="AO1596" s="6"/>
      <c r="AP1596" s="6">
        <v>2096</v>
      </c>
      <c r="AQ1596" s="6">
        <v>2121.2476489999999</v>
      </c>
      <c r="AR1596" s="6"/>
      <c r="AS1596" s="6"/>
      <c r="AT1596" s="6">
        <v>13</v>
      </c>
      <c r="AU1596" s="6">
        <v>5</v>
      </c>
      <c r="AV1596" s="6">
        <v>2022</v>
      </c>
      <c r="AW1596" s="6">
        <v>2438038</v>
      </c>
      <c r="AX1596" s="6">
        <v>2438038</v>
      </c>
      <c r="AY1596" s="6" t="s">
        <v>91</v>
      </c>
      <c r="AZ1596" t="s">
        <v>92</v>
      </c>
      <c r="BA1596" t="s">
        <v>93</v>
      </c>
      <c r="BB1596" t="s">
        <v>653</v>
      </c>
      <c r="BC1596" t="s">
        <v>97</v>
      </c>
      <c r="BE1596" t="s">
        <v>96</v>
      </c>
      <c r="BG1596" t="s">
        <v>654</v>
      </c>
      <c r="BI1596" t="s">
        <v>98</v>
      </c>
      <c r="BJ1596" t="s">
        <v>655</v>
      </c>
      <c r="BL1596" t="s">
        <v>100</v>
      </c>
    </row>
    <row r="1597" spans="1:64" hidden="1" x14ac:dyDescent="0.2">
      <c r="A1597">
        <v>539</v>
      </c>
      <c r="B1597">
        <v>4136459420</v>
      </c>
      <c r="C1597" t="s">
        <v>101</v>
      </c>
      <c r="D1597" t="s">
        <v>5990</v>
      </c>
      <c r="E1597" t="s">
        <v>65</v>
      </c>
      <c r="F1597" t="s">
        <v>66</v>
      </c>
      <c r="G1597" t="s">
        <v>67</v>
      </c>
      <c r="H1597" t="s">
        <v>68</v>
      </c>
      <c r="I1597" t="s">
        <v>176</v>
      </c>
      <c r="J1597" t="s">
        <v>773</v>
      </c>
      <c r="K1597" t="s">
        <v>1347</v>
      </c>
      <c r="M1597" t="s">
        <v>72</v>
      </c>
      <c r="N1597" t="s">
        <v>1348</v>
      </c>
      <c r="O1597" t="s">
        <v>1347</v>
      </c>
      <c r="P1597" t="s">
        <v>1349</v>
      </c>
      <c r="Q1597" t="s">
        <v>75</v>
      </c>
      <c r="R1597" t="s">
        <v>5008</v>
      </c>
      <c r="S1597" t="s">
        <v>355</v>
      </c>
      <c r="T1597" t="s">
        <v>78</v>
      </c>
      <c r="U1597" t="s">
        <v>5009</v>
      </c>
      <c r="V1597" t="s">
        <v>80</v>
      </c>
      <c r="W1597" s="1">
        <v>44905</v>
      </c>
      <c r="X1597" t="s">
        <v>5010</v>
      </c>
      <c r="Y1597" t="s">
        <v>5978</v>
      </c>
      <c r="Z1597" t="s">
        <v>83</v>
      </c>
      <c r="AA1597">
        <v>1</v>
      </c>
      <c r="AB1597" t="s">
        <v>5634</v>
      </c>
      <c r="AD1597" t="s">
        <v>116</v>
      </c>
      <c r="AE1597" t="s">
        <v>86</v>
      </c>
      <c r="AF1597" t="s">
        <v>146</v>
      </c>
      <c r="AG1597" t="s">
        <v>5980</v>
      </c>
      <c r="AH1597" t="s">
        <v>5991</v>
      </c>
      <c r="AI1597" t="s">
        <v>90</v>
      </c>
      <c r="AJ1597">
        <v>32.313409999999998</v>
      </c>
      <c r="AK1597">
        <v>-110.713256</v>
      </c>
      <c r="AL1597">
        <v>3</v>
      </c>
      <c r="AN1597">
        <v>1217</v>
      </c>
      <c r="AP1597">
        <v>1217</v>
      </c>
      <c r="AQ1597">
        <v>1176.622245</v>
      </c>
      <c r="AT1597">
        <v>10</v>
      </c>
      <c r="AU1597">
        <v>12</v>
      </c>
      <c r="AV1597">
        <v>2022</v>
      </c>
      <c r="AW1597">
        <v>2438454</v>
      </c>
      <c r="AX1597">
        <v>2438454</v>
      </c>
      <c r="AY1597" t="s">
        <v>106</v>
      </c>
      <c r="AZ1597" t="s">
        <v>92</v>
      </c>
      <c r="BA1597" t="s">
        <v>107</v>
      </c>
      <c r="BB1597" t="s">
        <v>5992</v>
      </c>
      <c r="BC1597" t="s">
        <v>97</v>
      </c>
      <c r="BD1597" s="1">
        <v>44905</v>
      </c>
      <c r="BE1597" t="s">
        <v>96</v>
      </c>
      <c r="BG1597" t="s">
        <v>5504</v>
      </c>
      <c r="BI1597" t="s">
        <v>98</v>
      </c>
      <c r="BJ1597" t="s">
        <v>3128</v>
      </c>
      <c r="BL1597" t="s">
        <v>110</v>
      </c>
    </row>
    <row r="1598" spans="1:64" hidden="1" x14ac:dyDescent="0.2">
      <c r="A1598">
        <v>532</v>
      </c>
      <c r="B1598">
        <v>4136459427</v>
      </c>
      <c r="C1598" t="s">
        <v>101</v>
      </c>
      <c r="D1598" t="s">
        <v>5993</v>
      </c>
      <c r="E1598" t="s">
        <v>65</v>
      </c>
      <c r="F1598" t="s">
        <v>66</v>
      </c>
      <c r="G1598" t="s">
        <v>67</v>
      </c>
      <c r="H1598" t="s">
        <v>68</v>
      </c>
      <c r="I1598" t="s">
        <v>176</v>
      </c>
      <c r="J1598" t="s">
        <v>773</v>
      </c>
      <c r="K1598" t="s">
        <v>1347</v>
      </c>
      <c r="M1598" t="s">
        <v>72</v>
      </c>
      <c r="N1598" t="s">
        <v>1348</v>
      </c>
      <c r="O1598" t="s">
        <v>1347</v>
      </c>
      <c r="P1598" t="s">
        <v>1349</v>
      </c>
      <c r="Q1598" t="s">
        <v>75</v>
      </c>
      <c r="R1598" t="s">
        <v>5008</v>
      </c>
      <c r="S1598" t="s">
        <v>355</v>
      </c>
      <c r="T1598" t="s">
        <v>78</v>
      </c>
      <c r="U1598" t="s">
        <v>5009</v>
      </c>
      <c r="V1598" t="s">
        <v>80</v>
      </c>
      <c r="W1598" s="1">
        <v>44905</v>
      </c>
      <c r="X1598" t="s">
        <v>5010</v>
      </c>
      <c r="Y1598" t="s">
        <v>5978</v>
      </c>
      <c r="Z1598" t="s">
        <v>83</v>
      </c>
      <c r="AA1598">
        <v>1</v>
      </c>
      <c r="AB1598" t="s">
        <v>5634</v>
      </c>
      <c r="AD1598" t="s">
        <v>104</v>
      </c>
      <c r="AE1598" t="s">
        <v>86</v>
      </c>
      <c r="AF1598" t="s">
        <v>146</v>
      </c>
      <c r="AG1598" t="s">
        <v>5980</v>
      </c>
      <c r="AH1598" t="s">
        <v>5991</v>
      </c>
      <c r="AI1598" t="s">
        <v>90</v>
      </c>
      <c r="AJ1598">
        <v>32.313409999999998</v>
      </c>
      <c r="AK1598">
        <v>-110.713256</v>
      </c>
      <c r="AL1598">
        <v>3</v>
      </c>
      <c r="AN1598">
        <v>1217</v>
      </c>
      <c r="AP1598">
        <v>1217</v>
      </c>
      <c r="AQ1598">
        <v>1176.622245</v>
      </c>
      <c r="AT1598">
        <v>10</v>
      </c>
      <c r="AU1598">
        <v>12</v>
      </c>
      <c r="AV1598">
        <v>2022</v>
      </c>
      <c r="AW1598">
        <v>2438454</v>
      </c>
      <c r="AX1598">
        <v>2438454</v>
      </c>
      <c r="AY1598" t="s">
        <v>106</v>
      </c>
      <c r="AZ1598" t="s">
        <v>92</v>
      </c>
      <c r="BA1598" t="s">
        <v>107</v>
      </c>
      <c r="BB1598" t="s">
        <v>5994</v>
      </c>
      <c r="BC1598" t="s">
        <v>97</v>
      </c>
      <c r="BD1598" s="1">
        <v>44905</v>
      </c>
      <c r="BE1598" t="s">
        <v>96</v>
      </c>
      <c r="BG1598" t="s">
        <v>5504</v>
      </c>
      <c r="BI1598" t="s">
        <v>98</v>
      </c>
      <c r="BJ1598" t="s">
        <v>3128</v>
      </c>
      <c r="BL1598" t="s">
        <v>110</v>
      </c>
    </row>
    <row r="1599" spans="1:64" hidden="1" x14ac:dyDescent="0.2">
      <c r="A1599">
        <v>534</v>
      </c>
      <c r="B1599">
        <v>4136459425</v>
      </c>
      <c r="C1599" t="s">
        <v>101</v>
      </c>
      <c r="D1599" t="s">
        <v>5995</v>
      </c>
      <c r="E1599" t="s">
        <v>65</v>
      </c>
      <c r="F1599" t="s">
        <v>66</v>
      </c>
      <c r="G1599" t="s">
        <v>67</v>
      </c>
      <c r="H1599" t="s">
        <v>68</v>
      </c>
      <c r="I1599" t="s">
        <v>176</v>
      </c>
      <c r="J1599" t="s">
        <v>773</v>
      </c>
      <c r="K1599" t="s">
        <v>1347</v>
      </c>
      <c r="M1599" t="s">
        <v>72</v>
      </c>
      <c r="N1599" t="s">
        <v>1348</v>
      </c>
      <c r="O1599" t="s">
        <v>1347</v>
      </c>
      <c r="P1599" t="s">
        <v>1349</v>
      </c>
      <c r="Q1599" t="s">
        <v>75</v>
      </c>
      <c r="R1599" t="s">
        <v>5008</v>
      </c>
      <c r="S1599" t="s">
        <v>355</v>
      </c>
      <c r="T1599" t="s">
        <v>78</v>
      </c>
      <c r="U1599" t="s">
        <v>5009</v>
      </c>
      <c r="V1599" t="s">
        <v>80</v>
      </c>
      <c r="W1599" s="1">
        <v>44905</v>
      </c>
      <c r="X1599" t="s">
        <v>5010</v>
      </c>
      <c r="Y1599" t="s">
        <v>5978</v>
      </c>
      <c r="Z1599" t="s">
        <v>83</v>
      </c>
      <c r="AA1599">
        <v>1</v>
      </c>
      <c r="AB1599" t="s">
        <v>5634</v>
      </c>
      <c r="AD1599" t="s">
        <v>104</v>
      </c>
      <c r="AE1599" t="s">
        <v>86</v>
      </c>
      <c r="AF1599" t="s">
        <v>146</v>
      </c>
      <c r="AG1599" t="s">
        <v>5980</v>
      </c>
      <c r="AH1599" t="s">
        <v>5991</v>
      </c>
      <c r="AI1599" t="s">
        <v>90</v>
      </c>
      <c r="AJ1599">
        <v>32.313409999999998</v>
      </c>
      <c r="AK1599">
        <v>-110.713256</v>
      </c>
      <c r="AL1599">
        <v>3</v>
      </c>
      <c r="AN1599">
        <v>1217</v>
      </c>
      <c r="AP1599">
        <v>1217</v>
      </c>
      <c r="AQ1599">
        <v>1176.622245</v>
      </c>
      <c r="AT1599">
        <v>10</v>
      </c>
      <c r="AU1599">
        <v>12</v>
      </c>
      <c r="AV1599">
        <v>2022</v>
      </c>
      <c r="AW1599">
        <v>2438454</v>
      </c>
      <c r="AX1599">
        <v>2438454</v>
      </c>
      <c r="AY1599" t="s">
        <v>106</v>
      </c>
      <c r="AZ1599" t="s">
        <v>92</v>
      </c>
      <c r="BA1599" t="s">
        <v>107</v>
      </c>
      <c r="BB1599" t="s">
        <v>5996</v>
      </c>
      <c r="BC1599" t="s">
        <v>97</v>
      </c>
      <c r="BD1599" s="1">
        <v>44905</v>
      </c>
      <c r="BE1599" t="s">
        <v>96</v>
      </c>
      <c r="BG1599" t="s">
        <v>5504</v>
      </c>
      <c r="BI1599" t="s">
        <v>98</v>
      </c>
      <c r="BJ1599" t="s">
        <v>3122</v>
      </c>
      <c r="BL1599" t="s">
        <v>110</v>
      </c>
    </row>
    <row r="1600" spans="1:64" hidden="1" x14ac:dyDescent="0.2">
      <c r="A1600">
        <v>548</v>
      </c>
      <c r="B1600">
        <v>4136459410</v>
      </c>
      <c r="C1600" t="s">
        <v>101</v>
      </c>
      <c r="D1600" s="2" t="s">
        <v>5997</v>
      </c>
      <c r="E1600" t="s">
        <v>65</v>
      </c>
      <c r="F1600" t="s">
        <v>66</v>
      </c>
      <c r="G1600" t="s">
        <v>67</v>
      </c>
      <c r="H1600" t="s">
        <v>68</v>
      </c>
      <c r="I1600" t="s">
        <v>176</v>
      </c>
      <c r="J1600" t="s">
        <v>773</v>
      </c>
      <c r="K1600" t="s">
        <v>1347</v>
      </c>
      <c r="M1600" t="s">
        <v>72</v>
      </c>
      <c r="N1600" t="s">
        <v>1348</v>
      </c>
      <c r="O1600" t="s">
        <v>1347</v>
      </c>
      <c r="P1600" t="s">
        <v>1349</v>
      </c>
      <c r="Q1600" t="s">
        <v>75</v>
      </c>
      <c r="R1600" t="s">
        <v>5008</v>
      </c>
      <c r="S1600" t="s">
        <v>355</v>
      </c>
      <c r="T1600" t="s">
        <v>78</v>
      </c>
      <c r="U1600" t="s">
        <v>5009</v>
      </c>
      <c r="V1600" t="s">
        <v>80</v>
      </c>
      <c r="W1600" s="1">
        <v>44905</v>
      </c>
      <c r="X1600" t="s">
        <v>5010</v>
      </c>
      <c r="Y1600" t="s">
        <v>5978</v>
      </c>
      <c r="Z1600" t="s">
        <v>83</v>
      </c>
      <c r="AA1600">
        <v>1</v>
      </c>
      <c r="AB1600" t="s">
        <v>5634</v>
      </c>
      <c r="AD1600" t="s">
        <v>123</v>
      </c>
      <c r="AE1600" t="s">
        <v>86</v>
      </c>
      <c r="AF1600" t="s">
        <v>146</v>
      </c>
      <c r="AG1600" t="s">
        <v>5980</v>
      </c>
      <c r="AH1600" t="s">
        <v>5991</v>
      </c>
      <c r="AI1600" t="s">
        <v>90</v>
      </c>
      <c r="AJ1600">
        <v>32.313409999999998</v>
      </c>
      <c r="AK1600">
        <v>-110.713256</v>
      </c>
      <c r="AL1600">
        <v>3</v>
      </c>
      <c r="AN1600">
        <v>1217</v>
      </c>
      <c r="AP1600">
        <v>1217</v>
      </c>
      <c r="AQ1600">
        <v>1176.622245</v>
      </c>
      <c r="AT1600">
        <v>10</v>
      </c>
      <c r="AU1600">
        <v>12</v>
      </c>
      <c r="AV1600">
        <v>2022</v>
      </c>
      <c r="AW1600">
        <v>2438454</v>
      </c>
      <c r="AX1600">
        <v>2438454</v>
      </c>
      <c r="AY1600" t="s">
        <v>106</v>
      </c>
      <c r="AZ1600" t="s">
        <v>92</v>
      </c>
      <c r="BA1600" t="s">
        <v>107</v>
      </c>
      <c r="BB1600" t="s">
        <v>5998</v>
      </c>
      <c r="BC1600" t="s">
        <v>97</v>
      </c>
      <c r="BD1600" s="1">
        <v>44905</v>
      </c>
      <c r="BE1600" t="s">
        <v>96</v>
      </c>
      <c r="BG1600" t="s">
        <v>5504</v>
      </c>
      <c r="BI1600" t="s">
        <v>98</v>
      </c>
      <c r="BJ1600" t="s">
        <v>4120</v>
      </c>
      <c r="BL1600" t="s">
        <v>110</v>
      </c>
    </row>
    <row r="1601" spans="1:64" hidden="1" x14ac:dyDescent="0.2">
      <c r="A1601">
        <v>550</v>
      </c>
      <c r="B1601">
        <v>4136459408</v>
      </c>
      <c r="C1601" t="s">
        <v>101</v>
      </c>
      <c r="D1601" t="s">
        <v>5999</v>
      </c>
      <c r="E1601" t="s">
        <v>65</v>
      </c>
      <c r="F1601" t="s">
        <v>66</v>
      </c>
      <c r="G1601" t="s">
        <v>67</v>
      </c>
      <c r="H1601" t="s">
        <v>68</v>
      </c>
      <c r="I1601" t="s">
        <v>176</v>
      </c>
      <c r="J1601" t="s">
        <v>773</v>
      </c>
      <c r="K1601" t="s">
        <v>1347</v>
      </c>
      <c r="M1601" t="s">
        <v>72</v>
      </c>
      <c r="N1601" t="s">
        <v>1348</v>
      </c>
      <c r="O1601" t="s">
        <v>1347</v>
      </c>
      <c r="P1601" t="s">
        <v>1349</v>
      </c>
      <c r="Q1601" t="s">
        <v>75</v>
      </c>
      <c r="R1601" t="s">
        <v>5008</v>
      </c>
      <c r="S1601" t="s">
        <v>355</v>
      </c>
      <c r="T1601" t="s">
        <v>78</v>
      </c>
      <c r="U1601" t="s">
        <v>5009</v>
      </c>
      <c r="V1601" t="s">
        <v>80</v>
      </c>
      <c r="W1601" s="1">
        <v>44905</v>
      </c>
      <c r="X1601" t="s">
        <v>5010</v>
      </c>
      <c r="Y1601" t="s">
        <v>5978</v>
      </c>
      <c r="Z1601" t="s">
        <v>83</v>
      </c>
      <c r="AA1601">
        <v>1</v>
      </c>
      <c r="AB1601" t="s">
        <v>5634</v>
      </c>
      <c r="AD1601" t="s">
        <v>139</v>
      </c>
      <c r="AE1601" t="s">
        <v>86</v>
      </c>
      <c r="AF1601" t="s">
        <v>146</v>
      </c>
      <c r="AG1601" t="s">
        <v>5980</v>
      </c>
      <c r="AH1601" t="s">
        <v>5991</v>
      </c>
      <c r="AI1601" t="s">
        <v>90</v>
      </c>
      <c r="AJ1601">
        <v>32.313409999999998</v>
      </c>
      <c r="AK1601">
        <v>-110.713256</v>
      </c>
      <c r="AL1601">
        <v>3</v>
      </c>
      <c r="AN1601">
        <v>1217</v>
      </c>
      <c r="AP1601">
        <v>1217</v>
      </c>
      <c r="AQ1601">
        <v>1176.622245</v>
      </c>
      <c r="AT1601">
        <v>10</v>
      </c>
      <c r="AU1601">
        <v>12</v>
      </c>
      <c r="AV1601">
        <v>2022</v>
      </c>
      <c r="AW1601">
        <v>2438454</v>
      </c>
      <c r="AX1601">
        <v>2438454</v>
      </c>
      <c r="AY1601" t="s">
        <v>106</v>
      </c>
      <c r="AZ1601" t="s">
        <v>92</v>
      </c>
      <c r="BA1601" t="s">
        <v>107</v>
      </c>
      <c r="BB1601" t="s">
        <v>6000</v>
      </c>
      <c r="BC1601" t="s">
        <v>97</v>
      </c>
      <c r="BD1601" s="1">
        <v>44905</v>
      </c>
      <c r="BE1601" t="s">
        <v>96</v>
      </c>
      <c r="BG1601" t="s">
        <v>5504</v>
      </c>
      <c r="BI1601" t="s">
        <v>98</v>
      </c>
      <c r="BJ1601" t="s">
        <v>2267</v>
      </c>
      <c r="BL1601" t="s">
        <v>110</v>
      </c>
    </row>
    <row r="1602" spans="1:64" hidden="1" x14ac:dyDescent="0.2">
      <c r="A1602">
        <v>544</v>
      </c>
      <c r="B1602">
        <v>4136459414</v>
      </c>
      <c r="C1602" t="s">
        <v>101</v>
      </c>
      <c r="D1602" t="s">
        <v>6001</v>
      </c>
      <c r="E1602" t="s">
        <v>65</v>
      </c>
      <c r="F1602" t="s">
        <v>66</v>
      </c>
      <c r="G1602" t="s">
        <v>67</v>
      </c>
      <c r="H1602" t="s">
        <v>68</v>
      </c>
      <c r="I1602" t="s">
        <v>176</v>
      </c>
      <c r="J1602" t="s">
        <v>773</v>
      </c>
      <c r="K1602" t="s">
        <v>1347</v>
      </c>
      <c r="M1602" t="s">
        <v>72</v>
      </c>
      <c r="N1602" t="s">
        <v>1348</v>
      </c>
      <c r="O1602" t="s">
        <v>1347</v>
      </c>
      <c r="P1602" t="s">
        <v>1349</v>
      </c>
      <c r="Q1602" t="s">
        <v>75</v>
      </c>
      <c r="R1602" t="s">
        <v>5008</v>
      </c>
      <c r="S1602" t="s">
        <v>355</v>
      </c>
      <c r="T1602" t="s">
        <v>78</v>
      </c>
      <c r="U1602" t="s">
        <v>5009</v>
      </c>
      <c r="V1602" t="s">
        <v>80</v>
      </c>
      <c r="W1602" s="1">
        <v>44905</v>
      </c>
      <c r="X1602" t="s">
        <v>5010</v>
      </c>
      <c r="Y1602" t="s">
        <v>5978</v>
      </c>
      <c r="Z1602" t="s">
        <v>83</v>
      </c>
      <c r="AA1602">
        <v>1</v>
      </c>
      <c r="AB1602" t="s">
        <v>5634</v>
      </c>
      <c r="AD1602" t="s">
        <v>112</v>
      </c>
      <c r="AE1602" t="s">
        <v>86</v>
      </c>
      <c r="AF1602" t="s">
        <v>146</v>
      </c>
      <c r="AG1602" t="s">
        <v>5980</v>
      </c>
      <c r="AH1602" t="s">
        <v>5991</v>
      </c>
      <c r="AI1602" t="s">
        <v>90</v>
      </c>
      <c r="AJ1602">
        <v>32.313409999999998</v>
      </c>
      <c r="AK1602">
        <v>-110.713256</v>
      </c>
      <c r="AL1602">
        <v>3</v>
      </c>
      <c r="AN1602">
        <v>1217</v>
      </c>
      <c r="AP1602">
        <v>1217</v>
      </c>
      <c r="AQ1602">
        <v>1176.622245</v>
      </c>
      <c r="AT1602">
        <v>10</v>
      </c>
      <c r="AU1602">
        <v>12</v>
      </c>
      <c r="AV1602">
        <v>2022</v>
      </c>
      <c r="AW1602">
        <v>2438454</v>
      </c>
      <c r="AX1602">
        <v>2438454</v>
      </c>
      <c r="AY1602" t="s">
        <v>106</v>
      </c>
      <c r="AZ1602" t="s">
        <v>92</v>
      </c>
      <c r="BA1602" t="s">
        <v>107</v>
      </c>
      <c r="BB1602" t="s">
        <v>6002</v>
      </c>
      <c r="BC1602" t="s">
        <v>97</v>
      </c>
      <c r="BD1602" s="1">
        <v>44905</v>
      </c>
      <c r="BE1602" t="s">
        <v>96</v>
      </c>
      <c r="BG1602" t="s">
        <v>5504</v>
      </c>
      <c r="BI1602" t="s">
        <v>98</v>
      </c>
      <c r="BJ1602" t="s">
        <v>2342</v>
      </c>
      <c r="BL1602" t="s">
        <v>110</v>
      </c>
    </row>
    <row r="1603" spans="1:64" hidden="1" x14ac:dyDescent="0.2">
      <c r="A1603">
        <v>602</v>
      </c>
      <c r="B1603">
        <v>4136459348</v>
      </c>
      <c r="C1603" t="s">
        <v>101</v>
      </c>
      <c r="D1603" t="s">
        <v>6009</v>
      </c>
      <c r="E1603" t="s">
        <v>65</v>
      </c>
      <c r="F1603" t="s">
        <v>66</v>
      </c>
      <c r="G1603" t="s">
        <v>67</v>
      </c>
      <c r="H1603" t="s">
        <v>68</v>
      </c>
      <c r="I1603" t="s">
        <v>176</v>
      </c>
      <c r="J1603" t="s">
        <v>773</v>
      </c>
      <c r="K1603" t="s">
        <v>1347</v>
      </c>
      <c r="M1603" t="s">
        <v>72</v>
      </c>
      <c r="N1603" t="s">
        <v>1348</v>
      </c>
      <c r="O1603" t="s">
        <v>1347</v>
      </c>
      <c r="P1603" t="s">
        <v>1349</v>
      </c>
      <c r="Q1603" t="s">
        <v>75</v>
      </c>
      <c r="R1603" t="s">
        <v>5008</v>
      </c>
      <c r="S1603" t="s">
        <v>1390</v>
      </c>
      <c r="T1603" t="s">
        <v>78</v>
      </c>
      <c r="U1603" t="s">
        <v>5009</v>
      </c>
      <c r="V1603" t="s">
        <v>80</v>
      </c>
      <c r="W1603" s="1">
        <v>44905</v>
      </c>
      <c r="X1603" t="s">
        <v>5010</v>
      </c>
      <c r="Y1603" t="s">
        <v>6004</v>
      </c>
      <c r="Z1603" t="s">
        <v>83</v>
      </c>
      <c r="AA1603">
        <v>1</v>
      </c>
      <c r="AB1603" t="s">
        <v>5522</v>
      </c>
      <c r="AD1603" t="s">
        <v>134</v>
      </c>
      <c r="AE1603" t="s">
        <v>145</v>
      </c>
      <c r="AF1603" t="s">
        <v>146</v>
      </c>
      <c r="AG1603" t="s">
        <v>6006</v>
      </c>
      <c r="AH1603" t="s">
        <v>6010</v>
      </c>
      <c r="AI1603" t="s">
        <v>90</v>
      </c>
      <c r="AJ1603">
        <v>32.314039000000001</v>
      </c>
      <c r="AK1603">
        <v>-110.712479</v>
      </c>
      <c r="AL1603">
        <v>3</v>
      </c>
      <c r="AN1603">
        <v>1155</v>
      </c>
      <c r="AP1603">
        <v>1155</v>
      </c>
      <c r="AQ1603">
        <v>1178.283144</v>
      </c>
      <c r="AT1603">
        <v>10</v>
      </c>
      <c r="AU1603">
        <v>12</v>
      </c>
      <c r="AV1603">
        <v>2022</v>
      </c>
      <c r="AW1603">
        <v>2438454</v>
      </c>
      <c r="AX1603">
        <v>2438454</v>
      </c>
      <c r="AY1603" t="s">
        <v>106</v>
      </c>
      <c r="AZ1603" t="s">
        <v>92</v>
      </c>
      <c r="BA1603" t="s">
        <v>107</v>
      </c>
      <c r="BB1603" t="s">
        <v>6011</v>
      </c>
      <c r="BC1603" t="s">
        <v>97</v>
      </c>
      <c r="BD1603" s="1">
        <v>44905</v>
      </c>
      <c r="BE1603" t="s">
        <v>96</v>
      </c>
      <c r="BG1603" t="s">
        <v>5504</v>
      </c>
      <c r="BI1603" t="s">
        <v>98</v>
      </c>
      <c r="BJ1603" t="s">
        <v>1833</v>
      </c>
      <c r="BL1603" t="s">
        <v>412</v>
      </c>
    </row>
    <row r="1604" spans="1:64" hidden="1" x14ac:dyDescent="0.2">
      <c r="A1604">
        <v>603</v>
      </c>
      <c r="B1604">
        <v>4136459346</v>
      </c>
      <c r="C1604" t="s">
        <v>101</v>
      </c>
      <c r="D1604" t="s">
        <v>6012</v>
      </c>
      <c r="E1604" t="s">
        <v>65</v>
      </c>
      <c r="F1604" t="s">
        <v>66</v>
      </c>
      <c r="G1604" t="s">
        <v>67</v>
      </c>
      <c r="H1604" t="s">
        <v>68</v>
      </c>
      <c r="I1604" t="s">
        <v>176</v>
      </c>
      <c r="J1604" t="s">
        <v>773</v>
      </c>
      <c r="K1604" t="s">
        <v>1347</v>
      </c>
      <c r="M1604" t="s">
        <v>72</v>
      </c>
      <c r="N1604" t="s">
        <v>1348</v>
      </c>
      <c r="O1604" t="s">
        <v>1347</v>
      </c>
      <c r="P1604" t="s">
        <v>1349</v>
      </c>
      <c r="Q1604" t="s">
        <v>75</v>
      </c>
      <c r="R1604" t="s">
        <v>5008</v>
      </c>
      <c r="S1604" t="s">
        <v>1390</v>
      </c>
      <c r="T1604" t="s">
        <v>78</v>
      </c>
      <c r="U1604" t="s">
        <v>5009</v>
      </c>
      <c r="V1604" t="s">
        <v>80</v>
      </c>
      <c r="W1604" s="1">
        <v>44905</v>
      </c>
      <c r="X1604" t="s">
        <v>5010</v>
      </c>
      <c r="Y1604" t="s">
        <v>6004</v>
      </c>
      <c r="Z1604" t="s">
        <v>83</v>
      </c>
      <c r="AA1604">
        <v>1</v>
      </c>
      <c r="AB1604" t="s">
        <v>5516</v>
      </c>
      <c r="AD1604" t="s">
        <v>378</v>
      </c>
      <c r="AE1604" t="s">
        <v>145</v>
      </c>
      <c r="AF1604" t="s">
        <v>146</v>
      </c>
      <c r="AG1604" t="s">
        <v>6006</v>
      </c>
      <c r="AH1604" t="s">
        <v>6013</v>
      </c>
      <c r="AI1604" t="s">
        <v>90</v>
      </c>
      <c r="AJ1604">
        <v>32.314039000000001</v>
      </c>
      <c r="AK1604">
        <v>-110.712479</v>
      </c>
      <c r="AL1604">
        <v>3</v>
      </c>
      <c r="AN1604">
        <v>1155</v>
      </c>
      <c r="AP1604">
        <v>1155</v>
      </c>
      <c r="AQ1604">
        <v>1178.283144</v>
      </c>
      <c r="AT1604">
        <v>10</v>
      </c>
      <c r="AU1604">
        <v>12</v>
      </c>
      <c r="AV1604">
        <v>2022</v>
      </c>
      <c r="AW1604">
        <v>2438454</v>
      </c>
      <c r="AX1604">
        <v>2438454</v>
      </c>
      <c r="AY1604" t="s">
        <v>106</v>
      </c>
      <c r="AZ1604" t="s">
        <v>92</v>
      </c>
      <c r="BA1604" t="s">
        <v>107</v>
      </c>
      <c r="BB1604" t="s">
        <v>6014</v>
      </c>
      <c r="BC1604" t="s">
        <v>97</v>
      </c>
      <c r="BD1604" s="1">
        <v>44905</v>
      </c>
      <c r="BE1604" t="s">
        <v>96</v>
      </c>
      <c r="BG1604" t="s">
        <v>5504</v>
      </c>
      <c r="BI1604" t="s">
        <v>98</v>
      </c>
      <c r="BJ1604" t="s">
        <v>1837</v>
      </c>
      <c r="BL1604" t="s">
        <v>412</v>
      </c>
    </row>
    <row r="1605" spans="1:64" hidden="1" x14ac:dyDescent="0.2">
      <c r="A1605">
        <v>542</v>
      </c>
      <c r="B1605">
        <v>4136459417</v>
      </c>
      <c r="C1605" t="s">
        <v>101</v>
      </c>
      <c r="D1605" t="s">
        <v>6015</v>
      </c>
      <c r="E1605" t="s">
        <v>65</v>
      </c>
      <c r="F1605" t="s">
        <v>66</v>
      </c>
      <c r="G1605" t="s">
        <v>67</v>
      </c>
      <c r="H1605" t="s">
        <v>68</v>
      </c>
      <c r="I1605" t="s">
        <v>176</v>
      </c>
      <c r="J1605" t="s">
        <v>773</v>
      </c>
      <c r="K1605" t="s">
        <v>1347</v>
      </c>
      <c r="M1605" t="s">
        <v>72</v>
      </c>
      <c r="N1605" t="s">
        <v>1348</v>
      </c>
      <c r="O1605" t="s">
        <v>1347</v>
      </c>
      <c r="P1605" t="s">
        <v>1349</v>
      </c>
      <c r="Q1605" t="s">
        <v>75</v>
      </c>
      <c r="R1605" t="s">
        <v>5008</v>
      </c>
      <c r="S1605" t="s">
        <v>1390</v>
      </c>
      <c r="T1605" t="s">
        <v>78</v>
      </c>
      <c r="U1605" t="s">
        <v>5009</v>
      </c>
      <c r="V1605" t="s">
        <v>80</v>
      </c>
      <c r="W1605" s="1">
        <v>44905</v>
      </c>
      <c r="X1605" t="s">
        <v>5010</v>
      </c>
      <c r="Y1605" t="s">
        <v>6004</v>
      </c>
      <c r="Z1605" t="s">
        <v>83</v>
      </c>
      <c r="AA1605">
        <v>1</v>
      </c>
      <c r="AB1605" t="s">
        <v>5700</v>
      </c>
      <c r="AD1605" t="s">
        <v>116</v>
      </c>
      <c r="AE1605" t="s">
        <v>145</v>
      </c>
      <c r="AF1605" t="s">
        <v>146</v>
      </c>
      <c r="AG1605" t="s">
        <v>6006</v>
      </c>
      <c r="AH1605" t="s">
        <v>6013</v>
      </c>
      <c r="AI1605" t="s">
        <v>90</v>
      </c>
      <c r="AJ1605">
        <v>32.314039000000001</v>
      </c>
      <c r="AK1605">
        <v>-110.712479</v>
      </c>
      <c r="AL1605">
        <v>3</v>
      </c>
      <c r="AN1605">
        <v>1155</v>
      </c>
      <c r="AP1605">
        <v>1155</v>
      </c>
      <c r="AQ1605">
        <v>1178.283144</v>
      </c>
      <c r="AT1605">
        <v>10</v>
      </c>
      <c r="AU1605">
        <v>12</v>
      </c>
      <c r="AV1605">
        <v>2022</v>
      </c>
      <c r="AW1605">
        <v>2438454</v>
      </c>
      <c r="AX1605">
        <v>2438454</v>
      </c>
      <c r="AY1605" t="s">
        <v>106</v>
      </c>
      <c r="AZ1605" t="s">
        <v>92</v>
      </c>
      <c r="BA1605" t="s">
        <v>107</v>
      </c>
      <c r="BB1605" t="s">
        <v>6016</v>
      </c>
      <c r="BC1605" t="s">
        <v>97</v>
      </c>
      <c r="BD1605" s="1">
        <v>44905</v>
      </c>
      <c r="BE1605" t="s">
        <v>96</v>
      </c>
      <c r="BG1605" t="s">
        <v>5504</v>
      </c>
      <c r="BI1605" t="s">
        <v>98</v>
      </c>
      <c r="BJ1605" t="s">
        <v>2628</v>
      </c>
      <c r="BL1605" t="s">
        <v>412</v>
      </c>
    </row>
    <row r="1606" spans="1:64" hidden="1" x14ac:dyDescent="0.2">
      <c r="A1606">
        <v>537</v>
      </c>
      <c r="B1606">
        <v>4136459422</v>
      </c>
      <c r="C1606" t="s">
        <v>101</v>
      </c>
      <c r="D1606" t="s">
        <v>6017</v>
      </c>
      <c r="E1606" t="s">
        <v>65</v>
      </c>
      <c r="F1606" t="s">
        <v>66</v>
      </c>
      <c r="G1606" t="s">
        <v>67</v>
      </c>
      <c r="H1606" t="s">
        <v>68</v>
      </c>
      <c r="I1606" t="s">
        <v>176</v>
      </c>
      <c r="J1606" t="s">
        <v>773</v>
      </c>
      <c r="K1606" t="s">
        <v>1347</v>
      </c>
      <c r="M1606" t="s">
        <v>72</v>
      </c>
      <c r="N1606" t="s">
        <v>1348</v>
      </c>
      <c r="O1606" t="s">
        <v>1347</v>
      </c>
      <c r="P1606" t="s">
        <v>1349</v>
      </c>
      <c r="Q1606" t="s">
        <v>75</v>
      </c>
      <c r="R1606" t="s">
        <v>5008</v>
      </c>
      <c r="S1606" t="s">
        <v>1390</v>
      </c>
      <c r="T1606" t="s">
        <v>78</v>
      </c>
      <c r="U1606" t="s">
        <v>5009</v>
      </c>
      <c r="V1606" t="s">
        <v>80</v>
      </c>
      <c r="W1606" s="1">
        <v>44905</v>
      </c>
      <c r="X1606" t="s">
        <v>5010</v>
      </c>
      <c r="Y1606" t="s">
        <v>6004</v>
      </c>
      <c r="Z1606" t="s">
        <v>83</v>
      </c>
      <c r="AA1606">
        <v>1</v>
      </c>
      <c r="AB1606" t="s">
        <v>5700</v>
      </c>
      <c r="AD1606" t="s">
        <v>139</v>
      </c>
      <c r="AE1606" t="s">
        <v>145</v>
      </c>
      <c r="AF1606" t="s">
        <v>146</v>
      </c>
      <c r="AG1606" t="s">
        <v>6006</v>
      </c>
      <c r="AH1606" t="s">
        <v>6013</v>
      </c>
      <c r="AI1606" t="s">
        <v>90</v>
      </c>
      <c r="AJ1606">
        <v>32.314039000000001</v>
      </c>
      <c r="AK1606">
        <v>-110.712479</v>
      </c>
      <c r="AL1606">
        <v>3</v>
      </c>
      <c r="AN1606">
        <v>1155</v>
      </c>
      <c r="AP1606">
        <v>1155</v>
      </c>
      <c r="AQ1606">
        <v>1178.283144</v>
      </c>
      <c r="AT1606">
        <v>10</v>
      </c>
      <c r="AU1606">
        <v>12</v>
      </c>
      <c r="AV1606">
        <v>2022</v>
      </c>
      <c r="AW1606">
        <v>2438454</v>
      </c>
      <c r="AX1606">
        <v>2438454</v>
      </c>
      <c r="AY1606" t="s">
        <v>106</v>
      </c>
      <c r="AZ1606" t="s">
        <v>92</v>
      </c>
      <c r="BA1606" t="s">
        <v>107</v>
      </c>
      <c r="BB1606" t="s">
        <v>6018</v>
      </c>
      <c r="BC1606" t="s">
        <v>97</v>
      </c>
      <c r="BD1606" s="1">
        <v>44905</v>
      </c>
      <c r="BE1606" t="s">
        <v>96</v>
      </c>
      <c r="BG1606" t="s">
        <v>5504</v>
      </c>
      <c r="BI1606" t="s">
        <v>98</v>
      </c>
      <c r="BJ1606" t="s">
        <v>2640</v>
      </c>
      <c r="BL1606" t="s">
        <v>412</v>
      </c>
    </row>
    <row r="1607" spans="1:64" hidden="1" x14ac:dyDescent="0.2">
      <c r="A1607">
        <v>538</v>
      </c>
      <c r="B1607">
        <v>4136459421</v>
      </c>
      <c r="C1607" t="s">
        <v>101</v>
      </c>
      <c r="D1607" t="s">
        <v>6019</v>
      </c>
      <c r="E1607" t="s">
        <v>65</v>
      </c>
      <c r="F1607" t="s">
        <v>66</v>
      </c>
      <c r="G1607" t="s">
        <v>67</v>
      </c>
      <c r="H1607" t="s">
        <v>68</v>
      </c>
      <c r="I1607" t="s">
        <v>176</v>
      </c>
      <c r="J1607" t="s">
        <v>773</v>
      </c>
      <c r="K1607" t="s">
        <v>1347</v>
      </c>
      <c r="M1607" t="s">
        <v>72</v>
      </c>
      <c r="N1607" t="s">
        <v>1348</v>
      </c>
      <c r="O1607" t="s">
        <v>1347</v>
      </c>
      <c r="P1607" t="s">
        <v>1349</v>
      </c>
      <c r="Q1607" t="s">
        <v>75</v>
      </c>
      <c r="R1607" t="s">
        <v>5008</v>
      </c>
      <c r="S1607" t="s">
        <v>1390</v>
      </c>
      <c r="T1607" t="s">
        <v>78</v>
      </c>
      <c r="U1607" t="s">
        <v>5009</v>
      </c>
      <c r="V1607" t="s">
        <v>80</v>
      </c>
      <c r="W1607" s="1">
        <v>44905</v>
      </c>
      <c r="X1607" t="s">
        <v>5010</v>
      </c>
      <c r="Y1607" t="s">
        <v>6004</v>
      </c>
      <c r="Z1607" t="s">
        <v>83</v>
      </c>
      <c r="AA1607">
        <v>1</v>
      </c>
      <c r="AB1607" t="s">
        <v>5700</v>
      </c>
      <c r="AD1607" t="s">
        <v>104</v>
      </c>
      <c r="AE1607" t="s">
        <v>145</v>
      </c>
      <c r="AF1607" t="s">
        <v>146</v>
      </c>
      <c r="AG1607" t="s">
        <v>6006</v>
      </c>
      <c r="AH1607" t="s">
        <v>6013</v>
      </c>
      <c r="AI1607" t="s">
        <v>90</v>
      </c>
      <c r="AJ1607">
        <v>32.314039000000001</v>
      </c>
      <c r="AK1607">
        <v>-110.712479</v>
      </c>
      <c r="AL1607">
        <v>3</v>
      </c>
      <c r="AN1607">
        <v>1155</v>
      </c>
      <c r="AP1607">
        <v>1155</v>
      </c>
      <c r="AQ1607">
        <v>1178.283144</v>
      </c>
      <c r="AT1607">
        <v>10</v>
      </c>
      <c r="AU1607">
        <v>12</v>
      </c>
      <c r="AV1607">
        <v>2022</v>
      </c>
      <c r="AW1607">
        <v>2438454</v>
      </c>
      <c r="AX1607">
        <v>2438454</v>
      </c>
      <c r="AY1607" t="s">
        <v>106</v>
      </c>
      <c r="AZ1607" t="s">
        <v>92</v>
      </c>
      <c r="BA1607" t="s">
        <v>107</v>
      </c>
      <c r="BB1607" t="s">
        <v>6020</v>
      </c>
      <c r="BC1607" t="s">
        <v>97</v>
      </c>
      <c r="BD1607" s="1">
        <v>44905</v>
      </c>
      <c r="BE1607" t="s">
        <v>96</v>
      </c>
      <c r="BG1607" t="s">
        <v>5504</v>
      </c>
      <c r="BI1607" t="s">
        <v>98</v>
      </c>
      <c r="BJ1607" t="s">
        <v>2632</v>
      </c>
      <c r="BL1607" t="s">
        <v>412</v>
      </c>
    </row>
    <row r="1608" spans="1:64" hidden="1" x14ac:dyDescent="0.2">
      <c r="A1608">
        <v>533</v>
      </c>
      <c r="B1608">
        <v>4136459426</v>
      </c>
      <c r="C1608" t="s">
        <v>101</v>
      </c>
      <c r="D1608" t="s">
        <v>6021</v>
      </c>
      <c r="E1608" t="s">
        <v>65</v>
      </c>
      <c r="F1608" t="s">
        <v>66</v>
      </c>
      <c r="G1608" t="s">
        <v>67</v>
      </c>
      <c r="H1608" t="s">
        <v>68</v>
      </c>
      <c r="I1608" t="s">
        <v>176</v>
      </c>
      <c r="J1608" t="s">
        <v>773</v>
      </c>
      <c r="K1608" t="s">
        <v>1347</v>
      </c>
      <c r="M1608" t="s">
        <v>72</v>
      </c>
      <c r="N1608" t="s">
        <v>1348</v>
      </c>
      <c r="O1608" t="s">
        <v>1347</v>
      </c>
      <c r="P1608" t="s">
        <v>1349</v>
      </c>
      <c r="Q1608" t="s">
        <v>75</v>
      </c>
      <c r="R1608" t="s">
        <v>5008</v>
      </c>
      <c r="S1608" t="s">
        <v>1390</v>
      </c>
      <c r="T1608" t="s">
        <v>78</v>
      </c>
      <c r="U1608" t="s">
        <v>5009</v>
      </c>
      <c r="V1608" t="s">
        <v>80</v>
      </c>
      <c r="W1608" s="1">
        <v>44905</v>
      </c>
      <c r="X1608" t="s">
        <v>5010</v>
      </c>
      <c r="Y1608" t="s">
        <v>6004</v>
      </c>
      <c r="Z1608" t="s">
        <v>83</v>
      </c>
      <c r="AA1608">
        <v>1</v>
      </c>
      <c r="AB1608" t="s">
        <v>5310</v>
      </c>
      <c r="AD1608" t="s">
        <v>112</v>
      </c>
      <c r="AE1608" t="s">
        <v>145</v>
      </c>
      <c r="AF1608" t="s">
        <v>146</v>
      </c>
      <c r="AG1608" t="s">
        <v>6006</v>
      </c>
      <c r="AH1608" t="s">
        <v>6013</v>
      </c>
      <c r="AI1608" t="s">
        <v>90</v>
      </c>
      <c r="AJ1608">
        <v>32.314039000000001</v>
      </c>
      <c r="AK1608">
        <v>-110.712479</v>
      </c>
      <c r="AL1608">
        <v>3</v>
      </c>
      <c r="AN1608">
        <v>1155</v>
      </c>
      <c r="AP1608">
        <v>1155</v>
      </c>
      <c r="AQ1608">
        <v>1178.283144</v>
      </c>
      <c r="AT1608">
        <v>10</v>
      </c>
      <c r="AU1608">
        <v>12</v>
      </c>
      <c r="AV1608">
        <v>2022</v>
      </c>
      <c r="AW1608">
        <v>2438454</v>
      </c>
      <c r="AX1608">
        <v>2438454</v>
      </c>
      <c r="AY1608" t="s">
        <v>106</v>
      </c>
      <c r="AZ1608" t="s">
        <v>92</v>
      </c>
      <c r="BA1608" t="s">
        <v>107</v>
      </c>
      <c r="BB1608" t="s">
        <v>6022</v>
      </c>
      <c r="BC1608" t="s">
        <v>97</v>
      </c>
      <c r="BD1608" s="1">
        <v>44905</v>
      </c>
      <c r="BE1608" t="s">
        <v>96</v>
      </c>
      <c r="BG1608" t="s">
        <v>5504</v>
      </c>
      <c r="BI1608" t="s">
        <v>98</v>
      </c>
      <c r="BJ1608" t="s">
        <v>4789</v>
      </c>
      <c r="BL1608" t="s">
        <v>412</v>
      </c>
    </row>
    <row r="1609" spans="1:64" hidden="1" x14ac:dyDescent="0.2">
      <c r="A1609">
        <v>535</v>
      </c>
      <c r="B1609">
        <v>4136459424</v>
      </c>
      <c r="C1609" t="s">
        <v>101</v>
      </c>
      <c r="D1609" t="s">
        <v>6023</v>
      </c>
      <c r="E1609" t="s">
        <v>65</v>
      </c>
      <c r="F1609" t="s">
        <v>66</v>
      </c>
      <c r="G1609" t="s">
        <v>67</v>
      </c>
      <c r="H1609" t="s">
        <v>68</v>
      </c>
      <c r="I1609" t="s">
        <v>176</v>
      </c>
      <c r="J1609" t="s">
        <v>773</v>
      </c>
      <c r="K1609" t="s">
        <v>1347</v>
      </c>
      <c r="M1609" t="s">
        <v>72</v>
      </c>
      <c r="N1609" t="s">
        <v>1348</v>
      </c>
      <c r="O1609" t="s">
        <v>1347</v>
      </c>
      <c r="P1609" t="s">
        <v>1349</v>
      </c>
      <c r="Q1609" t="s">
        <v>75</v>
      </c>
      <c r="R1609" t="s">
        <v>5008</v>
      </c>
      <c r="S1609" t="s">
        <v>1390</v>
      </c>
      <c r="T1609" t="s">
        <v>78</v>
      </c>
      <c r="U1609" t="s">
        <v>5009</v>
      </c>
      <c r="V1609" t="s">
        <v>80</v>
      </c>
      <c r="W1609" s="1">
        <v>44905</v>
      </c>
      <c r="X1609" t="s">
        <v>5010</v>
      </c>
      <c r="Y1609" t="s">
        <v>6004</v>
      </c>
      <c r="Z1609" t="s">
        <v>83</v>
      </c>
      <c r="AA1609">
        <v>1</v>
      </c>
      <c r="AB1609" t="s">
        <v>5310</v>
      </c>
      <c r="AD1609" t="s">
        <v>123</v>
      </c>
      <c r="AE1609" t="s">
        <v>145</v>
      </c>
      <c r="AF1609" t="s">
        <v>146</v>
      </c>
      <c r="AG1609" t="s">
        <v>6006</v>
      </c>
      <c r="AH1609" t="s">
        <v>6013</v>
      </c>
      <c r="AI1609" t="s">
        <v>90</v>
      </c>
      <c r="AJ1609">
        <v>32.314039000000001</v>
      </c>
      <c r="AK1609">
        <v>-110.712479</v>
      </c>
      <c r="AL1609">
        <v>3</v>
      </c>
      <c r="AN1609">
        <v>1155</v>
      </c>
      <c r="AP1609">
        <v>1155</v>
      </c>
      <c r="AQ1609">
        <v>1178.283144</v>
      </c>
      <c r="AT1609">
        <v>10</v>
      </c>
      <c r="AU1609">
        <v>12</v>
      </c>
      <c r="AV1609">
        <v>2022</v>
      </c>
      <c r="AW1609">
        <v>2438454</v>
      </c>
      <c r="AX1609">
        <v>2438454</v>
      </c>
      <c r="AY1609" t="s">
        <v>106</v>
      </c>
      <c r="AZ1609" t="s">
        <v>92</v>
      </c>
      <c r="BA1609" t="s">
        <v>107</v>
      </c>
      <c r="BB1609" t="s">
        <v>6024</v>
      </c>
      <c r="BC1609" t="s">
        <v>97</v>
      </c>
      <c r="BD1609" s="1">
        <v>44905</v>
      </c>
      <c r="BE1609" t="s">
        <v>96</v>
      </c>
      <c r="BG1609" t="s">
        <v>5504</v>
      </c>
      <c r="BI1609" t="s">
        <v>98</v>
      </c>
      <c r="BJ1609" t="s">
        <v>2640</v>
      </c>
      <c r="BL1609" t="s">
        <v>412</v>
      </c>
    </row>
    <row r="1610" spans="1:64" x14ac:dyDescent="0.2">
      <c r="A1610">
        <v>1143</v>
      </c>
      <c r="B1610">
        <v>4027014306</v>
      </c>
      <c r="C1610" t="s">
        <v>63</v>
      </c>
      <c r="D1610" t="s">
        <v>726</v>
      </c>
      <c r="E1610" t="s">
        <v>65</v>
      </c>
      <c r="F1610" t="s">
        <v>66</v>
      </c>
      <c r="G1610" t="s">
        <v>67</v>
      </c>
      <c r="H1610" t="s">
        <v>68</v>
      </c>
      <c r="I1610" t="s">
        <v>176</v>
      </c>
      <c r="J1610" t="s">
        <v>177</v>
      </c>
      <c r="K1610" t="s">
        <v>178</v>
      </c>
      <c r="M1610" t="s">
        <v>72</v>
      </c>
      <c r="N1610" t="s">
        <v>179</v>
      </c>
      <c r="O1610" t="s">
        <v>178</v>
      </c>
      <c r="P1610" t="s">
        <v>180</v>
      </c>
      <c r="Q1610" t="s">
        <v>75</v>
      </c>
      <c r="R1610" t="s">
        <v>644</v>
      </c>
      <c r="S1610" t="s">
        <v>727</v>
      </c>
      <c r="T1610" t="s">
        <v>78</v>
      </c>
      <c r="U1610" t="s">
        <v>646</v>
      </c>
      <c r="V1610" t="s">
        <v>80</v>
      </c>
      <c r="W1610" s="1">
        <v>44694</v>
      </c>
      <c r="X1610" t="s">
        <v>647</v>
      </c>
      <c r="Y1610" t="s">
        <v>728</v>
      </c>
      <c r="Z1610" t="s">
        <v>83</v>
      </c>
      <c r="AA1610">
        <v>1</v>
      </c>
      <c r="AB1610" t="s">
        <v>729</v>
      </c>
      <c r="AC1610">
        <v>1</v>
      </c>
      <c r="AD1610" s="6" t="s">
        <v>650</v>
      </c>
      <c r="AE1610" s="6" t="s">
        <v>145</v>
      </c>
      <c r="AF1610" s="6" t="s">
        <v>146</v>
      </c>
      <c r="AG1610" s="6" t="s">
        <v>730</v>
      </c>
      <c r="AH1610" s="6" t="s">
        <v>731</v>
      </c>
      <c r="AI1610" s="6" t="s">
        <v>90</v>
      </c>
      <c r="AJ1610" s="6">
        <v>32.387706999999999</v>
      </c>
      <c r="AK1610" s="6">
        <v>-110.712655</v>
      </c>
      <c r="AL1610" s="6">
        <v>3</v>
      </c>
      <c r="AM1610" s="6"/>
      <c r="AN1610" s="6">
        <v>2113</v>
      </c>
      <c r="AO1610" s="6"/>
      <c r="AP1610" s="6">
        <v>2113</v>
      </c>
      <c r="AQ1610" s="6">
        <v>2128.17245</v>
      </c>
      <c r="AR1610" s="6"/>
      <c r="AS1610" s="6"/>
      <c r="AT1610" s="6">
        <v>13</v>
      </c>
      <c r="AU1610" s="6">
        <v>5</v>
      </c>
      <c r="AV1610" s="6">
        <v>2022</v>
      </c>
      <c r="AW1610" s="6">
        <v>2438038</v>
      </c>
      <c r="AX1610" s="6">
        <v>2438038</v>
      </c>
      <c r="AY1610" s="6" t="s">
        <v>91</v>
      </c>
      <c r="AZ1610" t="s">
        <v>92</v>
      </c>
      <c r="BA1610" t="s">
        <v>93</v>
      </c>
      <c r="BB1610" t="s">
        <v>732</v>
      </c>
      <c r="BC1610" t="s">
        <v>97</v>
      </c>
      <c r="BE1610" t="s">
        <v>96</v>
      </c>
      <c r="BG1610" t="s">
        <v>654</v>
      </c>
      <c r="BI1610" t="s">
        <v>98</v>
      </c>
      <c r="BJ1610" t="s">
        <v>733</v>
      </c>
      <c r="BL1610" t="s">
        <v>100</v>
      </c>
    </row>
    <row r="1611" spans="1:64" hidden="1" x14ac:dyDescent="0.2">
      <c r="A1611">
        <v>1681</v>
      </c>
      <c r="B1611">
        <v>3744741452</v>
      </c>
      <c r="C1611" t="s">
        <v>101</v>
      </c>
      <c r="D1611" t="s">
        <v>4006</v>
      </c>
      <c r="E1611" t="s">
        <v>65</v>
      </c>
      <c r="F1611" t="s">
        <v>66</v>
      </c>
      <c r="G1611" t="s">
        <v>67</v>
      </c>
      <c r="H1611" t="s">
        <v>68</v>
      </c>
      <c r="I1611" t="s">
        <v>176</v>
      </c>
      <c r="J1611" t="s">
        <v>177</v>
      </c>
      <c r="K1611" t="s">
        <v>3925</v>
      </c>
      <c r="M1611" t="s">
        <v>72</v>
      </c>
      <c r="N1611" t="s">
        <v>3926</v>
      </c>
      <c r="O1611" t="s">
        <v>3925</v>
      </c>
      <c r="P1611" t="s">
        <v>1176</v>
      </c>
      <c r="Q1611" t="s">
        <v>75</v>
      </c>
      <c r="R1611" t="s">
        <v>3955</v>
      </c>
      <c r="S1611" t="s">
        <v>3990</v>
      </c>
      <c r="T1611" t="s">
        <v>78</v>
      </c>
      <c r="U1611" t="s">
        <v>3817</v>
      </c>
      <c r="V1611" t="s">
        <v>80</v>
      </c>
      <c r="W1611" s="1">
        <v>44519</v>
      </c>
      <c r="X1611" t="s">
        <v>3818</v>
      </c>
      <c r="Y1611" t="s">
        <v>3991</v>
      </c>
      <c r="Z1611" t="s">
        <v>83</v>
      </c>
      <c r="AA1611">
        <v>1</v>
      </c>
      <c r="AB1611" t="s">
        <v>127</v>
      </c>
      <c r="AC1611">
        <v>1</v>
      </c>
      <c r="AD1611" t="s">
        <v>128</v>
      </c>
      <c r="AE1611" t="s">
        <v>86</v>
      </c>
      <c r="AF1611" t="s">
        <v>146</v>
      </c>
      <c r="AG1611" t="s">
        <v>996</v>
      </c>
      <c r="AH1611" t="s">
        <v>4007</v>
      </c>
      <c r="AI1611" t="s">
        <v>90</v>
      </c>
      <c r="AJ1611">
        <v>32.516362000000001</v>
      </c>
      <c r="AK1611">
        <v>-110.68627499999999</v>
      </c>
      <c r="AL1611">
        <v>3</v>
      </c>
      <c r="AN1611">
        <v>1353</v>
      </c>
      <c r="AP1611">
        <v>1353</v>
      </c>
      <c r="AQ1611">
        <v>1353.6867999999999</v>
      </c>
      <c r="AT1611">
        <v>19</v>
      </c>
      <c r="AU1611">
        <v>11</v>
      </c>
      <c r="AV1611">
        <v>2021</v>
      </c>
      <c r="AW1611">
        <v>2437981</v>
      </c>
      <c r="AX1611">
        <v>2437981</v>
      </c>
      <c r="AY1611" t="s">
        <v>106</v>
      </c>
      <c r="AZ1611" t="s">
        <v>92</v>
      </c>
      <c r="BA1611" t="s">
        <v>107</v>
      </c>
      <c r="BB1611" t="s">
        <v>4008</v>
      </c>
      <c r="BC1611" t="s">
        <v>95</v>
      </c>
      <c r="BD1611" s="1">
        <v>44722</v>
      </c>
      <c r="BE1611" t="s">
        <v>96</v>
      </c>
      <c r="BG1611" t="s">
        <v>97</v>
      </c>
      <c r="BI1611" t="s">
        <v>98</v>
      </c>
      <c r="BJ1611" t="s">
        <v>3988</v>
      </c>
      <c r="BL1611" t="s">
        <v>110</v>
      </c>
    </row>
    <row r="1612" spans="1:64" hidden="1" x14ac:dyDescent="0.2">
      <c r="A1612">
        <v>508</v>
      </c>
      <c r="B1612">
        <v>4136459451</v>
      </c>
      <c r="C1612" t="s">
        <v>101</v>
      </c>
      <c r="D1612" t="s">
        <v>6031</v>
      </c>
      <c r="E1612" t="s">
        <v>65</v>
      </c>
      <c r="F1612" t="s">
        <v>66</v>
      </c>
      <c r="G1612" t="s">
        <v>67</v>
      </c>
      <c r="H1612" t="s">
        <v>68</v>
      </c>
      <c r="I1612" t="s">
        <v>176</v>
      </c>
      <c r="J1612" t="s">
        <v>773</v>
      </c>
      <c r="K1612" t="s">
        <v>1347</v>
      </c>
      <c r="M1612" t="s">
        <v>72</v>
      </c>
      <c r="N1612" t="s">
        <v>1348</v>
      </c>
      <c r="O1612" t="s">
        <v>1347</v>
      </c>
      <c r="P1612" t="s">
        <v>1349</v>
      </c>
      <c r="Q1612" t="s">
        <v>75</v>
      </c>
      <c r="R1612" t="s">
        <v>5008</v>
      </c>
      <c r="S1612" t="s">
        <v>1390</v>
      </c>
      <c r="T1612" t="s">
        <v>78</v>
      </c>
      <c r="U1612" t="s">
        <v>5009</v>
      </c>
      <c r="V1612" t="s">
        <v>80</v>
      </c>
      <c r="W1612" s="1">
        <v>44905</v>
      </c>
      <c r="X1612" t="s">
        <v>5010</v>
      </c>
      <c r="Y1612" t="s">
        <v>6004</v>
      </c>
      <c r="Z1612" t="s">
        <v>83</v>
      </c>
      <c r="AA1612">
        <v>1</v>
      </c>
      <c r="AB1612" t="s">
        <v>5310</v>
      </c>
      <c r="AD1612" t="s">
        <v>116</v>
      </c>
      <c r="AE1612" t="s">
        <v>145</v>
      </c>
      <c r="AF1612" t="s">
        <v>146</v>
      </c>
      <c r="AG1612" t="s">
        <v>6006</v>
      </c>
      <c r="AH1612" t="s">
        <v>6013</v>
      </c>
      <c r="AI1612" t="s">
        <v>90</v>
      </c>
      <c r="AJ1612">
        <v>32.314039000000001</v>
      </c>
      <c r="AK1612">
        <v>-110.712479</v>
      </c>
      <c r="AL1612">
        <v>3</v>
      </c>
      <c r="AN1612">
        <v>1155</v>
      </c>
      <c r="AP1612">
        <v>1155</v>
      </c>
      <c r="AQ1612">
        <v>1178.283144</v>
      </c>
      <c r="AT1612">
        <v>10</v>
      </c>
      <c r="AU1612">
        <v>12</v>
      </c>
      <c r="AV1612">
        <v>2022</v>
      </c>
      <c r="AW1612">
        <v>2438454</v>
      </c>
      <c r="AX1612">
        <v>2438454</v>
      </c>
      <c r="AY1612" t="s">
        <v>106</v>
      </c>
      <c r="AZ1612" t="s">
        <v>92</v>
      </c>
      <c r="BA1612" t="s">
        <v>107</v>
      </c>
      <c r="BB1612" t="s">
        <v>6032</v>
      </c>
      <c r="BC1612" t="s">
        <v>97</v>
      </c>
      <c r="BD1612" s="1">
        <v>44905</v>
      </c>
      <c r="BE1612" t="s">
        <v>96</v>
      </c>
      <c r="BG1612" t="s">
        <v>5504</v>
      </c>
      <c r="BI1612" t="s">
        <v>98</v>
      </c>
      <c r="BJ1612" t="s">
        <v>6033</v>
      </c>
      <c r="BL1612" t="s">
        <v>412</v>
      </c>
    </row>
    <row r="1613" spans="1:64" hidden="1" x14ac:dyDescent="0.2">
      <c r="A1613">
        <v>433</v>
      </c>
      <c r="B1613">
        <v>4136459526</v>
      </c>
      <c r="C1613" t="s">
        <v>101</v>
      </c>
      <c r="D1613" t="s">
        <v>6034</v>
      </c>
      <c r="E1613" t="s">
        <v>65</v>
      </c>
      <c r="F1613" t="s">
        <v>66</v>
      </c>
      <c r="G1613" t="s">
        <v>67</v>
      </c>
      <c r="H1613" t="s">
        <v>68</v>
      </c>
      <c r="I1613" t="s">
        <v>176</v>
      </c>
      <c r="J1613" t="s">
        <v>773</v>
      </c>
      <c r="K1613" t="s">
        <v>1347</v>
      </c>
      <c r="M1613" t="s">
        <v>72</v>
      </c>
      <c r="N1613" t="s">
        <v>1348</v>
      </c>
      <c r="O1613" t="s">
        <v>1347</v>
      </c>
      <c r="P1613" t="s">
        <v>1349</v>
      </c>
      <c r="Q1613" t="s">
        <v>75</v>
      </c>
      <c r="R1613" t="s">
        <v>5008</v>
      </c>
      <c r="S1613" t="s">
        <v>1390</v>
      </c>
      <c r="T1613" t="s">
        <v>78</v>
      </c>
      <c r="U1613" t="s">
        <v>5009</v>
      </c>
      <c r="V1613" t="s">
        <v>80</v>
      </c>
      <c r="W1613" s="1">
        <v>44905</v>
      </c>
      <c r="X1613" t="s">
        <v>5010</v>
      </c>
      <c r="Y1613" t="s">
        <v>6004</v>
      </c>
      <c r="Z1613" t="s">
        <v>83</v>
      </c>
      <c r="AA1613">
        <v>1</v>
      </c>
      <c r="AB1613" t="s">
        <v>5310</v>
      </c>
      <c r="AD1613" t="s">
        <v>104</v>
      </c>
      <c r="AE1613" t="s">
        <v>145</v>
      </c>
      <c r="AF1613" t="s">
        <v>146</v>
      </c>
      <c r="AG1613" t="s">
        <v>6006</v>
      </c>
      <c r="AH1613" t="s">
        <v>6013</v>
      </c>
      <c r="AI1613" t="s">
        <v>90</v>
      </c>
      <c r="AJ1613">
        <v>32.314039000000001</v>
      </c>
      <c r="AK1613">
        <v>-110.712479</v>
      </c>
      <c r="AL1613">
        <v>3</v>
      </c>
      <c r="AN1613">
        <v>1155</v>
      </c>
      <c r="AP1613">
        <v>1155</v>
      </c>
      <c r="AQ1613">
        <v>1178.283144</v>
      </c>
      <c r="AT1613">
        <v>10</v>
      </c>
      <c r="AU1613">
        <v>12</v>
      </c>
      <c r="AV1613">
        <v>2022</v>
      </c>
      <c r="AW1613">
        <v>2438454</v>
      </c>
      <c r="AX1613">
        <v>2438454</v>
      </c>
      <c r="AY1613" t="s">
        <v>106</v>
      </c>
      <c r="AZ1613" t="s">
        <v>92</v>
      </c>
      <c r="BA1613" t="s">
        <v>107</v>
      </c>
      <c r="BB1613" t="s">
        <v>6035</v>
      </c>
      <c r="BC1613" t="s">
        <v>97</v>
      </c>
      <c r="BD1613" s="1">
        <v>44905</v>
      </c>
      <c r="BE1613" t="s">
        <v>96</v>
      </c>
      <c r="BG1613" t="s">
        <v>5504</v>
      </c>
      <c r="BI1613" t="s">
        <v>98</v>
      </c>
      <c r="BJ1613" t="s">
        <v>2473</v>
      </c>
      <c r="BL1613" t="s">
        <v>412</v>
      </c>
    </row>
    <row r="1614" spans="1:64" hidden="1" x14ac:dyDescent="0.2">
      <c r="A1614">
        <v>476</v>
      </c>
      <c r="B1614">
        <v>4136459483</v>
      </c>
      <c r="C1614" t="s">
        <v>101</v>
      </c>
      <c r="D1614" t="s">
        <v>6044</v>
      </c>
      <c r="E1614" t="s">
        <v>65</v>
      </c>
      <c r="F1614" t="s">
        <v>66</v>
      </c>
      <c r="G1614" t="s">
        <v>67</v>
      </c>
      <c r="H1614" t="s">
        <v>68</v>
      </c>
      <c r="I1614" t="s">
        <v>176</v>
      </c>
      <c r="J1614" t="s">
        <v>773</v>
      </c>
      <c r="K1614" t="s">
        <v>1347</v>
      </c>
      <c r="M1614" t="s">
        <v>72</v>
      </c>
      <c r="N1614" t="s">
        <v>1348</v>
      </c>
      <c r="O1614" t="s">
        <v>1347</v>
      </c>
      <c r="P1614" t="s">
        <v>1349</v>
      </c>
      <c r="Q1614" t="s">
        <v>75</v>
      </c>
      <c r="R1614" t="s">
        <v>5008</v>
      </c>
      <c r="S1614" t="s">
        <v>6037</v>
      </c>
      <c r="T1614" t="s">
        <v>78</v>
      </c>
      <c r="U1614" t="s">
        <v>5009</v>
      </c>
      <c r="V1614" t="s">
        <v>80</v>
      </c>
      <c r="W1614" s="1">
        <v>44905</v>
      </c>
      <c r="X1614" t="s">
        <v>5010</v>
      </c>
      <c r="Y1614" t="s">
        <v>6038</v>
      </c>
      <c r="Z1614" t="s">
        <v>83</v>
      </c>
      <c r="AA1614">
        <v>1</v>
      </c>
      <c r="AB1614" t="s">
        <v>5310</v>
      </c>
      <c r="AD1614" t="s">
        <v>104</v>
      </c>
      <c r="AE1614" t="s">
        <v>145</v>
      </c>
      <c r="AF1614" t="s">
        <v>146</v>
      </c>
      <c r="AG1614" t="s">
        <v>6040</v>
      </c>
      <c r="AH1614" t="s">
        <v>6045</v>
      </c>
      <c r="AI1614" t="s">
        <v>90</v>
      </c>
      <c r="AJ1614">
        <v>32.313867000000002</v>
      </c>
      <c r="AK1614">
        <v>-110.712791</v>
      </c>
      <c r="AL1614">
        <v>3</v>
      </c>
      <c r="AN1614">
        <v>1175</v>
      </c>
      <c r="AP1614">
        <v>1175</v>
      </c>
      <c r="AQ1614">
        <v>1180.5823009999999</v>
      </c>
      <c r="AT1614">
        <v>10</v>
      </c>
      <c r="AU1614">
        <v>12</v>
      </c>
      <c r="AV1614">
        <v>2022</v>
      </c>
      <c r="AW1614">
        <v>2438454</v>
      </c>
      <c r="AX1614">
        <v>2438454</v>
      </c>
      <c r="AY1614" t="s">
        <v>106</v>
      </c>
      <c r="AZ1614" t="s">
        <v>92</v>
      </c>
      <c r="BA1614" t="s">
        <v>107</v>
      </c>
      <c r="BB1614" t="s">
        <v>6046</v>
      </c>
      <c r="BC1614" t="s">
        <v>97</v>
      </c>
      <c r="BD1614" s="1">
        <v>44905</v>
      </c>
      <c r="BE1614" t="s">
        <v>96</v>
      </c>
      <c r="BG1614" t="s">
        <v>5504</v>
      </c>
      <c r="BI1614" t="s">
        <v>98</v>
      </c>
      <c r="BJ1614" t="s">
        <v>292</v>
      </c>
      <c r="BL1614" t="s">
        <v>110</v>
      </c>
    </row>
    <row r="1615" spans="1:64" hidden="1" x14ac:dyDescent="0.2">
      <c r="A1615">
        <v>545</v>
      </c>
      <c r="B1615">
        <v>4136459413</v>
      </c>
      <c r="C1615" t="s">
        <v>101</v>
      </c>
      <c r="D1615" t="s">
        <v>6047</v>
      </c>
      <c r="E1615" t="s">
        <v>65</v>
      </c>
      <c r="F1615" t="s">
        <v>66</v>
      </c>
      <c r="G1615" t="s">
        <v>67</v>
      </c>
      <c r="H1615" t="s">
        <v>68</v>
      </c>
      <c r="I1615" t="s">
        <v>176</v>
      </c>
      <c r="J1615" t="s">
        <v>773</v>
      </c>
      <c r="K1615" t="s">
        <v>1347</v>
      </c>
      <c r="M1615" t="s">
        <v>72</v>
      </c>
      <c r="N1615" t="s">
        <v>1348</v>
      </c>
      <c r="O1615" t="s">
        <v>1347</v>
      </c>
      <c r="P1615" t="s">
        <v>1349</v>
      </c>
      <c r="Q1615" t="s">
        <v>75</v>
      </c>
      <c r="R1615" t="s">
        <v>5008</v>
      </c>
      <c r="S1615" t="s">
        <v>6037</v>
      </c>
      <c r="T1615" t="s">
        <v>78</v>
      </c>
      <c r="U1615" t="s">
        <v>5009</v>
      </c>
      <c r="V1615" t="s">
        <v>80</v>
      </c>
      <c r="W1615" s="1">
        <v>44905</v>
      </c>
      <c r="X1615" t="s">
        <v>5010</v>
      </c>
      <c r="Y1615" t="s">
        <v>6038</v>
      </c>
      <c r="Z1615" t="s">
        <v>83</v>
      </c>
      <c r="AA1615">
        <v>1</v>
      </c>
      <c r="AB1615" t="s">
        <v>5310</v>
      </c>
      <c r="AD1615" t="s">
        <v>123</v>
      </c>
      <c r="AE1615" t="s">
        <v>145</v>
      </c>
      <c r="AF1615" t="s">
        <v>146</v>
      </c>
      <c r="AG1615" t="s">
        <v>6040</v>
      </c>
      <c r="AH1615" t="s">
        <v>6045</v>
      </c>
      <c r="AI1615" t="s">
        <v>90</v>
      </c>
      <c r="AJ1615">
        <v>32.313867000000002</v>
      </c>
      <c r="AK1615">
        <v>-110.712791</v>
      </c>
      <c r="AL1615">
        <v>3</v>
      </c>
      <c r="AN1615">
        <v>1175</v>
      </c>
      <c r="AP1615">
        <v>1175</v>
      </c>
      <c r="AQ1615">
        <v>1180.5823009999999</v>
      </c>
      <c r="AT1615">
        <v>10</v>
      </c>
      <c r="AU1615">
        <v>12</v>
      </c>
      <c r="AV1615">
        <v>2022</v>
      </c>
      <c r="AW1615">
        <v>2438454</v>
      </c>
      <c r="AX1615">
        <v>2438454</v>
      </c>
      <c r="AY1615" t="s">
        <v>106</v>
      </c>
      <c r="AZ1615" t="s">
        <v>92</v>
      </c>
      <c r="BA1615" t="s">
        <v>107</v>
      </c>
      <c r="BB1615" t="s">
        <v>6048</v>
      </c>
      <c r="BC1615" t="s">
        <v>97</v>
      </c>
      <c r="BD1615" s="1">
        <v>44905</v>
      </c>
      <c r="BE1615" t="s">
        <v>96</v>
      </c>
      <c r="BG1615" t="s">
        <v>5504</v>
      </c>
      <c r="BI1615" t="s">
        <v>98</v>
      </c>
      <c r="BJ1615" t="s">
        <v>4789</v>
      </c>
      <c r="BL1615" t="s">
        <v>110</v>
      </c>
    </row>
    <row r="1616" spans="1:64" hidden="1" x14ac:dyDescent="0.2">
      <c r="A1616">
        <v>547</v>
      </c>
      <c r="B1616">
        <v>4136459411</v>
      </c>
      <c r="C1616" t="s">
        <v>101</v>
      </c>
      <c r="D1616" t="s">
        <v>6049</v>
      </c>
      <c r="E1616" t="s">
        <v>65</v>
      </c>
      <c r="F1616" t="s">
        <v>66</v>
      </c>
      <c r="G1616" t="s">
        <v>67</v>
      </c>
      <c r="H1616" t="s">
        <v>68</v>
      </c>
      <c r="I1616" t="s">
        <v>176</v>
      </c>
      <c r="J1616" t="s">
        <v>773</v>
      </c>
      <c r="K1616" t="s">
        <v>1347</v>
      </c>
      <c r="M1616" t="s">
        <v>72</v>
      </c>
      <c r="N1616" t="s">
        <v>1348</v>
      </c>
      <c r="O1616" t="s">
        <v>1347</v>
      </c>
      <c r="P1616" t="s">
        <v>1349</v>
      </c>
      <c r="Q1616" t="s">
        <v>75</v>
      </c>
      <c r="R1616" t="s">
        <v>5008</v>
      </c>
      <c r="S1616" t="s">
        <v>6037</v>
      </c>
      <c r="T1616" t="s">
        <v>78</v>
      </c>
      <c r="U1616" t="s">
        <v>5009</v>
      </c>
      <c r="V1616" t="s">
        <v>80</v>
      </c>
      <c r="W1616" s="1">
        <v>44905</v>
      </c>
      <c r="X1616" t="s">
        <v>5010</v>
      </c>
      <c r="Y1616" t="s">
        <v>6038</v>
      </c>
      <c r="Z1616" t="s">
        <v>83</v>
      </c>
      <c r="AA1616">
        <v>1</v>
      </c>
      <c r="AB1616" t="s">
        <v>5700</v>
      </c>
      <c r="AD1616" t="s">
        <v>139</v>
      </c>
      <c r="AE1616" t="s">
        <v>145</v>
      </c>
      <c r="AF1616" t="s">
        <v>146</v>
      </c>
      <c r="AG1616" t="s">
        <v>6040</v>
      </c>
      <c r="AH1616" t="s">
        <v>6045</v>
      </c>
      <c r="AI1616" t="s">
        <v>90</v>
      </c>
      <c r="AJ1616">
        <v>32.313867000000002</v>
      </c>
      <c r="AK1616">
        <v>-110.712791</v>
      </c>
      <c r="AL1616">
        <v>3</v>
      </c>
      <c r="AN1616">
        <v>1175</v>
      </c>
      <c r="AP1616">
        <v>1175</v>
      </c>
      <c r="AQ1616">
        <v>1180.5823009999999</v>
      </c>
      <c r="AT1616">
        <v>10</v>
      </c>
      <c r="AU1616">
        <v>12</v>
      </c>
      <c r="AV1616">
        <v>2022</v>
      </c>
      <c r="AW1616">
        <v>2438454</v>
      </c>
      <c r="AX1616">
        <v>2438454</v>
      </c>
      <c r="AY1616" t="s">
        <v>106</v>
      </c>
      <c r="AZ1616" t="s">
        <v>92</v>
      </c>
      <c r="BA1616" t="s">
        <v>107</v>
      </c>
      <c r="BB1616" t="s">
        <v>6050</v>
      </c>
      <c r="BC1616" t="s">
        <v>97</v>
      </c>
      <c r="BD1616" s="1">
        <v>44905</v>
      </c>
      <c r="BE1616" t="s">
        <v>96</v>
      </c>
      <c r="BG1616" t="s">
        <v>5504</v>
      </c>
      <c r="BI1616" t="s">
        <v>98</v>
      </c>
      <c r="BJ1616" t="s">
        <v>807</v>
      </c>
      <c r="BL1616" t="s">
        <v>110</v>
      </c>
    </row>
    <row r="1617" spans="1:64" hidden="1" x14ac:dyDescent="0.2">
      <c r="A1617">
        <v>543</v>
      </c>
      <c r="B1617">
        <v>4136459416</v>
      </c>
      <c r="C1617" t="s">
        <v>101</v>
      </c>
      <c r="D1617" t="s">
        <v>6051</v>
      </c>
      <c r="E1617" t="s">
        <v>65</v>
      </c>
      <c r="F1617" t="s">
        <v>66</v>
      </c>
      <c r="G1617" t="s">
        <v>67</v>
      </c>
      <c r="H1617" t="s">
        <v>68</v>
      </c>
      <c r="I1617" t="s">
        <v>176</v>
      </c>
      <c r="J1617" t="s">
        <v>773</v>
      </c>
      <c r="K1617" t="s">
        <v>1347</v>
      </c>
      <c r="M1617" t="s">
        <v>72</v>
      </c>
      <c r="N1617" t="s">
        <v>1348</v>
      </c>
      <c r="O1617" t="s">
        <v>1347</v>
      </c>
      <c r="P1617" t="s">
        <v>1349</v>
      </c>
      <c r="Q1617" t="s">
        <v>75</v>
      </c>
      <c r="R1617" t="s">
        <v>5008</v>
      </c>
      <c r="S1617" t="s">
        <v>6037</v>
      </c>
      <c r="T1617" t="s">
        <v>78</v>
      </c>
      <c r="U1617" t="s">
        <v>5009</v>
      </c>
      <c r="V1617" t="s">
        <v>80</v>
      </c>
      <c r="W1617" s="1">
        <v>44905</v>
      </c>
      <c r="X1617" t="s">
        <v>5010</v>
      </c>
      <c r="Y1617" t="s">
        <v>6038</v>
      </c>
      <c r="Z1617" t="s">
        <v>83</v>
      </c>
      <c r="AA1617">
        <v>1</v>
      </c>
      <c r="AB1617" t="s">
        <v>5310</v>
      </c>
      <c r="AD1617" t="s">
        <v>112</v>
      </c>
      <c r="AE1617" t="s">
        <v>145</v>
      </c>
      <c r="AF1617" t="s">
        <v>146</v>
      </c>
      <c r="AG1617" t="s">
        <v>6040</v>
      </c>
      <c r="AH1617" t="s">
        <v>6045</v>
      </c>
      <c r="AI1617" t="s">
        <v>90</v>
      </c>
      <c r="AJ1617">
        <v>32.313867000000002</v>
      </c>
      <c r="AK1617">
        <v>-110.712791</v>
      </c>
      <c r="AL1617">
        <v>3</v>
      </c>
      <c r="AN1617">
        <v>1175</v>
      </c>
      <c r="AP1617">
        <v>1175</v>
      </c>
      <c r="AQ1617">
        <v>1180.5823009999999</v>
      </c>
      <c r="AT1617">
        <v>10</v>
      </c>
      <c r="AU1617">
        <v>12</v>
      </c>
      <c r="AV1617">
        <v>2022</v>
      </c>
      <c r="AW1617">
        <v>2438454</v>
      </c>
      <c r="AX1617">
        <v>2438454</v>
      </c>
      <c r="AY1617" t="s">
        <v>106</v>
      </c>
      <c r="AZ1617" t="s">
        <v>92</v>
      </c>
      <c r="BA1617" t="s">
        <v>107</v>
      </c>
      <c r="BB1617" t="s">
        <v>6052</v>
      </c>
      <c r="BC1617" t="s">
        <v>97</v>
      </c>
      <c r="BD1617" s="1">
        <v>44905</v>
      </c>
      <c r="BE1617" t="s">
        <v>96</v>
      </c>
      <c r="BG1617" t="s">
        <v>5504</v>
      </c>
      <c r="BI1617" t="s">
        <v>98</v>
      </c>
      <c r="BJ1617" t="s">
        <v>2632</v>
      </c>
      <c r="BL1617" t="s">
        <v>110</v>
      </c>
    </row>
    <row r="1618" spans="1:64" x14ac:dyDescent="0.2">
      <c r="A1618">
        <v>1139</v>
      </c>
      <c r="B1618">
        <v>4027014310</v>
      </c>
      <c r="C1618" t="s">
        <v>63</v>
      </c>
      <c r="D1618" t="s">
        <v>837</v>
      </c>
      <c r="E1618" t="s">
        <v>65</v>
      </c>
      <c r="F1618" t="s">
        <v>66</v>
      </c>
      <c r="G1618" t="s">
        <v>67</v>
      </c>
      <c r="H1618" t="s">
        <v>68</v>
      </c>
      <c r="I1618" t="s">
        <v>350</v>
      </c>
      <c r="J1618" t="s">
        <v>351</v>
      </c>
      <c r="K1618" t="s">
        <v>352</v>
      </c>
      <c r="M1618" t="s">
        <v>72</v>
      </c>
      <c r="N1618" t="s">
        <v>353</v>
      </c>
      <c r="O1618" t="s">
        <v>352</v>
      </c>
      <c r="P1618" t="s">
        <v>180</v>
      </c>
      <c r="Q1618" t="s">
        <v>75</v>
      </c>
      <c r="R1618" t="s">
        <v>814</v>
      </c>
      <c r="S1618" t="s">
        <v>838</v>
      </c>
      <c r="T1618" t="s">
        <v>78</v>
      </c>
      <c r="U1618" t="s">
        <v>646</v>
      </c>
      <c r="V1618" t="s">
        <v>80</v>
      </c>
      <c r="W1618" s="1">
        <v>44694</v>
      </c>
      <c r="X1618" t="s">
        <v>647</v>
      </c>
      <c r="Y1618" t="s">
        <v>839</v>
      </c>
      <c r="Z1618" t="s">
        <v>83</v>
      </c>
      <c r="AA1618">
        <v>1</v>
      </c>
      <c r="AB1618" t="s">
        <v>840</v>
      </c>
      <c r="AC1618">
        <v>1</v>
      </c>
      <c r="AD1618" s="6" t="s">
        <v>650</v>
      </c>
      <c r="AE1618" s="6" t="s">
        <v>145</v>
      </c>
      <c r="AF1618" s="6" t="s">
        <v>146</v>
      </c>
      <c r="AG1618" s="6" t="s">
        <v>214</v>
      </c>
      <c r="AH1618" s="6" t="s">
        <v>841</v>
      </c>
      <c r="AI1618" s="6" t="s">
        <v>90</v>
      </c>
      <c r="AJ1618" s="6">
        <v>32.388458</v>
      </c>
      <c r="AK1618" s="6">
        <v>-110.711341</v>
      </c>
      <c r="AL1618" s="6">
        <v>3</v>
      </c>
      <c r="AM1618" s="6"/>
      <c r="AN1618" s="6">
        <v>2130</v>
      </c>
      <c r="AO1618" s="6"/>
      <c r="AP1618" s="6">
        <v>2130</v>
      </c>
      <c r="AQ1618" s="6">
        <v>2146.5412510000001</v>
      </c>
      <c r="AR1618" s="6"/>
      <c r="AS1618" s="6"/>
      <c r="AT1618" s="6">
        <v>13</v>
      </c>
      <c r="AU1618" s="6">
        <v>5</v>
      </c>
      <c r="AV1618" s="6">
        <v>2022</v>
      </c>
      <c r="AW1618" s="6">
        <v>4972385</v>
      </c>
      <c r="AX1618" s="6">
        <v>2437431</v>
      </c>
      <c r="AY1618" s="6" t="s">
        <v>91</v>
      </c>
      <c r="AZ1618" t="s">
        <v>92</v>
      </c>
      <c r="BA1618" t="s">
        <v>93</v>
      </c>
      <c r="BB1618" t="s">
        <v>842</v>
      </c>
      <c r="BC1618" t="s">
        <v>97</v>
      </c>
      <c r="BE1618" t="s">
        <v>96</v>
      </c>
      <c r="BG1618" t="s">
        <v>654</v>
      </c>
      <c r="BI1618" t="s">
        <v>98</v>
      </c>
      <c r="BJ1618" t="s">
        <v>843</v>
      </c>
      <c r="BL1618" t="s">
        <v>407</v>
      </c>
    </row>
    <row r="1619" spans="1:64" hidden="1" x14ac:dyDescent="0.2">
      <c r="A1619">
        <v>1717</v>
      </c>
      <c r="B1619">
        <v>3744741416</v>
      </c>
      <c r="C1619" t="s">
        <v>101</v>
      </c>
      <c r="D1619" t="s">
        <v>4040</v>
      </c>
      <c r="E1619" t="s">
        <v>65</v>
      </c>
      <c r="F1619" t="s">
        <v>66</v>
      </c>
      <c r="G1619" t="s">
        <v>67</v>
      </c>
      <c r="H1619" t="s">
        <v>68</v>
      </c>
      <c r="I1619" t="s">
        <v>176</v>
      </c>
      <c r="J1619" t="s">
        <v>773</v>
      </c>
      <c r="K1619" t="s">
        <v>1347</v>
      </c>
      <c r="M1619" t="s">
        <v>72</v>
      </c>
      <c r="N1619" t="s">
        <v>1348</v>
      </c>
      <c r="O1619" t="s">
        <v>1347</v>
      </c>
      <c r="P1619" t="s">
        <v>1349</v>
      </c>
      <c r="Q1619" t="s">
        <v>75</v>
      </c>
      <c r="R1619" t="s">
        <v>3955</v>
      </c>
      <c r="S1619" t="s">
        <v>4016</v>
      </c>
      <c r="T1619" t="s">
        <v>78</v>
      </c>
      <c r="U1619" t="s">
        <v>3817</v>
      </c>
      <c r="V1619" t="s">
        <v>80</v>
      </c>
      <c r="W1619" s="1">
        <v>44519</v>
      </c>
      <c r="X1619" t="s">
        <v>3818</v>
      </c>
      <c r="Y1619" t="s">
        <v>4017</v>
      </c>
      <c r="Z1619" t="s">
        <v>83</v>
      </c>
      <c r="AA1619">
        <v>1</v>
      </c>
      <c r="AB1619" t="s">
        <v>127</v>
      </c>
      <c r="AC1619">
        <v>1</v>
      </c>
      <c r="AD1619" t="s">
        <v>128</v>
      </c>
      <c r="AE1619" t="s">
        <v>86</v>
      </c>
      <c r="AF1619" t="s">
        <v>146</v>
      </c>
      <c r="AG1619" t="s">
        <v>4019</v>
      </c>
      <c r="AH1619" t="s">
        <v>4041</v>
      </c>
      <c r="AI1619" t="s">
        <v>90</v>
      </c>
      <c r="AJ1619">
        <v>32.516331000000001</v>
      </c>
      <c r="AK1619">
        <v>-110.686217</v>
      </c>
      <c r="AL1619">
        <v>3</v>
      </c>
      <c r="AN1619">
        <v>1348</v>
      </c>
      <c r="AP1619">
        <v>1348</v>
      </c>
      <c r="AQ1619">
        <v>1353.5896</v>
      </c>
      <c r="AT1619">
        <v>19</v>
      </c>
      <c r="AU1619">
        <v>11</v>
      </c>
      <c r="AV1619">
        <v>2021</v>
      </c>
      <c r="AW1619">
        <v>2438454</v>
      </c>
      <c r="AX1619">
        <v>2438454</v>
      </c>
      <c r="AY1619" t="s">
        <v>106</v>
      </c>
      <c r="AZ1619" t="s">
        <v>92</v>
      </c>
      <c r="BA1619" t="s">
        <v>107</v>
      </c>
      <c r="BB1619" t="s">
        <v>4042</v>
      </c>
      <c r="BC1619" t="s">
        <v>97</v>
      </c>
      <c r="BE1619" t="s">
        <v>96</v>
      </c>
      <c r="BG1619" t="s">
        <v>97</v>
      </c>
      <c r="BI1619" t="s">
        <v>98</v>
      </c>
      <c r="BJ1619" t="s">
        <v>1572</v>
      </c>
      <c r="BL1619" t="s">
        <v>110</v>
      </c>
    </row>
    <row r="1620" spans="1:64" x14ac:dyDescent="0.2">
      <c r="A1620">
        <v>1137</v>
      </c>
      <c r="B1620">
        <v>4027014312</v>
      </c>
      <c r="C1620" t="s">
        <v>63</v>
      </c>
      <c r="D1620" t="s">
        <v>886</v>
      </c>
      <c r="E1620" t="s">
        <v>65</v>
      </c>
      <c r="F1620" t="s">
        <v>66</v>
      </c>
      <c r="G1620" t="s">
        <v>67</v>
      </c>
      <c r="H1620" t="s">
        <v>68</v>
      </c>
      <c r="I1620" t="s">
        <v>350</v>
      </c>
      <c r="J1620" t="s">
        <v>351</v>
      </c>
      <c r="K1620" t="s">
        <v>352</v>
      </c>
      <c r="M1620" t="s">
        <v>72</v>
      </c>
      <c r="N1620" t="s">
        <v>353</v>
      </c>
      <c r="O1620" t="s">
        <v>352</v>
      </c>
      <c r="P1620" t="s">
        <v>180</v>
      </c>
      <c r="Q1620" t="s">
        <v>75</v>
      </c>
      <c r="R1620" t="s">
        <v>814</v>
      </c>
      <c r="S1620" t="s">
        <v>887</v>
      </c>
      <c r="T1620" t="s">
        <v>78</v>
      </c>
      <c r="U1620" t="s">
        <v>646</v>
      </c>
      <c r="V1620" t="s">
        <v>80</v>
      </c>
      <c r="W1620" s="1">
        <v>44694</v>
      </c>
      <c r="X1620" t="s">
        <v>647</v>
      </c>
      <c r="Y1620" t="s">
        <v>888</v>
      </c>
      <c r="Z1620" t="s">
        <v>83</v>
      </c>
      <c r="AA1620">
        <v>1</v>
      </c>
      <c r="AB1620" t="s">
        <v>889</v>
      </c>
      <c r="AC1620">
        <v>1</v>
      </c>
      <c r="AD1620" s="6" t="s">
        <v>650</v>
      </c>
      <c r="AE1620" s="6" t="s">
        <v>145</v>
      </c>
      <c r="AF1620" s="6" t="s">
        <v>146</v>
      </c>
      <c r="AG1620" s="6" t="s">
        <v>890</v>
      </c>
      <c r="AH1620" s="6" t="s">
        <v>891</v>
      </c>
      <c r="AI1620" s="6" t="s">
        <v>90</v>
      </c>
      <c r="AJ1620" s="6">
        <v>32.389521999999999</v>
      </c>
      <c r="AK1620" s="6">
        <v>-110.710368</v>
      </c>
      <c r="AL1620" s="6">
        <v>3</v>
      </c>
      <c r="AM1620" s="6"/>
      <c r="AN1620" s="6">
        <v>2114</v>
      </c>
      <c r="AO1620" s="6"/>
      <c r="AP1620" s="6">
        <v>2114</v>
      </c>
      <c r="AQ1620" s="6">
        <v>2141.6962279999998</v>
      </c>
      <c r="AR1620" s="6"/>
      <c r="AS1620" s="6"/>
      <c r="AT1620" s="6">
        <v>13</v>
      </c>
      <c r="AU1620" s="6">
        <v>5</v>
      </c>
      <c r="AV1620" s="6">
        <v>2022</v>
      </c>
      <c r="AW1620" s="6">
        <v>4972385</v>
      </c>
      <c r="AX1620" s="6">
        <v>2437431</v>
      </c>
      <c r="AY1620" s="6" t="s">
        <v>91</v>
      </c>
      <c r="AZ1620" t="s">
        <v>92</v>
      </c>
      <c r="BA1620" t="s">
        <v>93</v>
      </c>
      <c r="BB1620" t="s">
        <v>892</v>
      </c>
      <c r="BC1620" t="s">
        <v>97</v>
      </c>
      <c r="BE1620" t="s">
        <v>96</v>
      </c>
      <c r="BG1620" t="s">
        <v>654</v>
      </c>
      <c r="BI1620" t="s">
        <v>98</v>
      </c>
      <c r="BJ1620" t="s">
        <v>893</v>
      </c>
      <c r="BL1620" t="s">
        <v>407</v>
      </c>
    </row>
    <row r="1621" spans="1:64" x14ac:dyDescent="0.2">
      <c r="A1621">
        <v>639</v>
      </c>
      <c r="B1621">
        <v>4126336321</v>
      </c>
      <c r="C1621" t="s">
        <v>63</v>
      </c>
      <c r="D1621" t="s">
        <v>6076</v>
      </c>
      <c r="E1621" t="s">
        <v>65</v>
      </c>
      <c r="F1621" t="s">
        <v>66</v>
      </c>
      <c r="G1621" t="s">
        <v>67</v>
      </c>
      <c r="H1621" t="s">
        <v>68</v>
      </c>
      <c r="I1621" t="s">
        <v>176</v>
      </c>
      <c r="J1621" t="s">
        <v>1251</v>
      </c>
      <c r="K1621" t="s">
        <v>1252</v>
      </c>
      <c r="M1621" t="s">
        <v>72</v>
      </c>
      <c r="N1621" t="s">
        <v>1253</v>
      </c>
      <c r="O1621" t="s">
        <v>1252</v>
      </c>
      <c r="P1621" t="s">
        <v>1254</v>
      </c>
      <c r="Q1621" t="s">
        <v>75</v>
      </c>
      <c r="R1621" t="s">
        <v>5008</v>
      </c>
      <c r="S1621" t="s">
        <v>569</v>
      </c>
      <c r="T1621" t="s">
        <v>78</v>
      </c>
      <c r="U1621" t="s">
        <v>5009</v>
      </c>
      <c r="V1621" t="s">
        <v>80</v>
      </c>
      <c r="W1621" s="1">
        <v>44905</v>
      </c>
      <c r="X1621" t="s">
        <v>5010</v>
      </c>
      <c r="Y1621" t="s">
        <v>6077</v>
      </c>
      <c r="Z1621" t="s">
        <v>83</v>
      </c>
      <c r="AA1621">
        <v>1</v>
      </c>
      <c r="AB1621" t="s">
        <v>6078</v>
      </c>
      <c r="AC1621">
        <v>1</v>
      </c>
      <c r="AD1621" s="6" t="s">
        <v>650</v>
      </c>
      <c r="AE1621" s="6" t="s">
        <v>145</v>
      </c>
      <c r="AF1621" s="6" t="s">
        <v>146</v>
      </c>
      <c r="AG1621" s="6" t="s">
        <v>6079</v>
      </c>
      <c r="AH1621" s="6" t="s">
        <v>6080</v>
      </c>
      <c r="AI1621" s="6" t="s">
        <v>90</v>
      </c>
      <c r="AJ1621" s="6">
        <v>32.313378999999998</v>
      </c>
      <c r="AK1621" s="6">
        <v>-110.712829</v>
      </c>
      <c r="AL1621" s="6">
        <v>3</v>
      </c>
      <c r="AM1621" s="6"/>
      <c r="AN1621" s="6">
        <v>1170</v>
      </c>
      <c r="AO1621" s="6"/>
      <c r="AP1621" s="6">
        <v>1170</v>
      </c>
      <c r="AQ1621" s="6">
        <v>1173.57383</v>
      </c>
      <c r="AR1621" s="6"/>
      <c r="AS1621" s="6"/>
      <c r="AT1621" s="6">
        <v>10</v>
      </c>
      <c r="AU1621" s="6">
        <v>12</v>
      </c>
      <c r="AV1621" s="6">
        <v>2022</v>
      </c>
      <c r="AW1621" s="6">
        <v>2438156</v>
      </c>
      <c r="AX1621" s="6">
        <v>2438156</v>
      </c>
      <c r="AY1621" s="6" t="s">
        <v>91</v>
      </c>
      <c r="AZ1621" t="s">
        <v>92</v>
      </c>
      <c r="BA1621" t="s">
        <v>93</v>
      </c>
      <c r="BB1621" t="s">
        <v>6081</v>
      </c>
      <c r="BC1621" t="s">
        <v>97</v>
      </c>
      <c r="BE1621" t="s">
        <v>96</v>
      </c>
      <c r="BG1621" t="s">
        <v>5499</v>
      </c>
      <c r="BI1621" t="s">
        <v>98</v>
      </c>
      <c r="BJ1621" t="s">
        <v>6082</v>
      </c>
      <c r="BK1621" t="s">
        <v>365</v>
      </c>
      <c r="BL1621" t="s">
        <v>5540</v>
      </c>
    </row>
    <row r="1622" spans="1:64" hidden="1" x14ac:dyDescent="0.2">
      <c r="A1622">
        <v>553</v>
      </c>
      <c r="B1622">
        <v>4136459405</v>
      </c>
      <c r="C1622" t="s">
        <v>101</v>
      </c>
      <c r="D1622" t="s">
        <v>6063</v>
      </c>
      <c r="E1622" t="s">
        <v>65</v>
      </c>
      <c r="F1622" t="s">
        <v>66</v>
      </c>
      <c r="G1622" t="s">
        <v>67</v>
      </c>
      <c r="H1622" t="s">
        <v>68</v>
      </c>
      <c r="I1622" t="s">
        <v>176</v>
      </c>
      <c r="J1622" t="s">
        <v>773</v>
      </c>
      <c r="K1622" t="s">
        <v>1347</v>
      </c>
      <c r="M1622" t="s">
        <v>72</v>
      </c>
      <c r="N1622" t="s">
        <v>1348</v>
      </c>
      <c r="O1622" t="s">
        <v>1347</v>
      </c>
      <c r="P1622" t="s">
        <v>1349</v>
      </c>
      <c r="Q1622" t="s">
        <v>75</v>
      </c>
      <c r="R1622" t="s">
        <v>5008</v>
      </c>
      <c r="S1622" t="s">
        <v>6037</v>
      </c>
      <c r="T1622" t="s">
        <v>78</v>
      </c>
      <c r="U1622" t="s">
        <v>5009</v>
      </c>
      <c r="V1622" t="s">
        <v>80</v>
      </c>
      <c r="W1622" s="1">
        <v>44905</v>
      </c>
      <c r="X1622" t="s">
        <v>5010</v>
      </c>
      <c r="Y1622" t="s">
        <v>6038</v>
      </c>
      <c r="Z1622" t="s">
        <v>83</v>
      </c>
      <c r="AA1622">
        <v>1</v>
      </c>
      <c r="AB1622" t="s">
        <v>5700</v>
      </c>
      <c r="AD1622" t="s">
        <v>104</v>
      </c>
      <c r="AE1622" t="s">
        <v>145</v>
      </c>
      <c r="AF1622" t="s">
        <v>146</v>
      </c>
      <c r="AG1622" t="s">
        <v>6040</v>
      </c>
      <c r="AH1622" t="s">
        <v>6045</v>
      </c>
      <c r="AI1622" t="s">
        <v>90</v>
      </c>
      <c r="AJ1622">
        <v>32.313867000000002</v>
      </c>
      <c r="AK1622">
        <v>-110.712791</v>
      </c>
      <c r="AL1622">
        <v>3</v>
      </c>
      <c r="AN1622">
        <v>1175</v>
      </c>
      <c r="AP1622">
        <v>1175</v>
      </c>
      <c r="AQ1622">
        <v>1180.5823009999999</v>
      </c>
      <c r="AT1622">
        <v>10</v>
      </c>
      <c r="AU1622">
        <v>12</v>
      </c>
      <c r="AV1622">
        <v>2022</v>
      </c>
      <c r="AW1622">
        <v>2438454</v>
      </c>
      <c r="AX1622">
        <v>2438454</v>
      </c>
      <c r="AY1622" t="s">
        <v>106</v>
      </c>
      <c r="AZ1622" t="s">
        <v>92</v>
      </c>
      <c r="BA1622" t="s">
        <v>107</v>
      </c>
      <c r="BB1622" t="s">
        <v>6064</v>
      </c>
      <c r="BC1622" t="s">
        <v>97</v>
      </c>
      <c r="BD1622" s="1">
        <v>44905</v>
      </c>
      <c r="BE1622" t="s">
        <v>96</v>
      </c>
      <c r="BG1622" t="s">
        <v>5504</v>
      </c>
      <c r="BI1622" t="s">
        <v>98</v>
      </c>
      <c r="BJ1622" t="s">
        <v>864</v>
      </c>
      <c r="BL1622" t="s">
        <v>110</v>
      </c>
    </row>
    <row r="1623" spans="1:64" hidden="1" x14ac:dyDescent="0.2">
      <c r="A1623">
        <v>555</v>
      </c>
      <c r="B1623">
        <v>4136459403</v>
      </c>
      <c r="C1623" t="s">
        <v>101</v>
      </c>
      <c r="D1623" t="s">
        <v>6065</v>
      </c>
      <c r="E1623" t="s">
        <v>65</v>
      </c>
      <c r="F1623" t="s">
        <v>66</v>
      </c>
      <c r="G1623" t="s">
        <v>67</v>
      </c>
      <c r="H1623" t="s">
        <v>68</v>
      </c>
      <c r="I1623" t="s">
        <v>176</v>
      </c>
      <c r="J1623" t="s">
        <v>773</v>
      </c>
      <c r="K1623" t="s">
        <v>1347</v>
      </c>
      <c r="M1623" t="s">
        <v>72</v>
      </c>
      <c r="N1623" t="s">
        <v>1348</v>
      </c>
      <c r="O1623" t="s">
        <v>1347</v>
      </c>
      <c r="P1623" t="s">
        <v>1349</v>
      </c>
      <c r="Q1623" t="s">
        <v>75</v>
      </c>
      <c r="R1623" t="s">
        <v>5008</v>
      </c>
      <c r="S1623" t="s">
        <v>6037</v>
      </c>
      <c r="T1623" t="s">
        <v>78</v>
      </c>
      <c r="U1623" t="s">
        <v>5009</v>
      </c>
      <c r="V1623" t="s">
        <v>80</v>
      </c>
      <c r="W1623" s="1">
        <v>44905</v>
      </c>
      <c r="X1623" t="s">
        <v>5010</v>
      </c>
      <c r="Y1623" t="s">
        <v>6038</v>
      </c>
      <c r="Z1623" t="s">
        <v>83</v>
      </c>
      <c r="AA1623">
        <v>1</v>
      </c>
      <c r="AB1623" t="s">
        <v>5700</v>
      </c>
      <c r="AD1623" t="s">
        <v>116</v>
      </c>
      <c r="AE1623" t="s">
        <v>145</v>
      </c>
      <c r="AF1623" t="s">
        <v>146</v>
      </c>
      <c r="AG1623" t="s">
        <v>6040</v>
      </c>
      <c r="AH1623" t="s">
        <v>6045</v>
      </c>
      <c r="AI1623" t="s">
        <v>90</v>
      </c>
      <c r="AJ1623">
        <v>32.313867000000002</v>
      </c>
      <c r="AK1623">
        <v>-110.712791</v>
      </c>
      <c r="AL1623">
        <v>3</v>
      </c>
      <c r="AN1623">
        <v>1175</v>
      </c>
      <c r="AP1623">
        <v>1175</v>
      </c>
      <c r="AQ1623">
        <v>1180.5823009999999</v>
      </c>
      <c r="AT1623">
        <v>10</v>
      </c>
      <c r="AU1623">
        <v>12</v>
      </c>
      <c r="AV1623">
        <v>2022</v>
      </c>
      <c r="AW1623">
        <v>2438454</v>
      </c>
      <c r="AX1623">
        <v>2438454</v>
      </c>
      <c r="AY1623" t="s">
        <v>106</v>
      </c>
      <c r="AZ1623" t="s">
        <v>92</v>
      </c>
      <c r="BA1623" t="s">
        <v>107</v>
      </c>
      <c r="BB1623" t="s">
        <v>6066</v>
      </c>
      <c r="BC1623" t="s">
        <v>97</v>
      </c>
      <c r="BD1623" s="1">
        <v>44905</v>
      </c>
      <c r="BE1623" t="s">
        <v>96</v>
      </c>
      <c r="BG1623" t="s">
        <v>5504</v>
      </c>
      <c r="BI1623" t="s">
        <v>98</v>
      </c>
      <c r="BJ1623" t="s">
        <v>3731</v>
      </c>
      <c r="BL1623" t="s">
        <v>110</v>
      </c>
    </row>
    <row r="1624" spans="1:64" hidden="1" x14ac:dyDescent="0.2">
      <c r="A1624">
        <v>569</v>
      </c>
      <c r="B1624">
        <v>4136459389</v>
      </c>
      <c r="C1624" t="s">
        <v>101</v>
      </c>
      <c r="D1624" t="s">
        <v>6067</v>
      </c>
      <c r="E1624" t="s">
        <v>65</v>
      </c>
      <c r="F1624" t="s">
        <v>66</v>
      </c>
      <c r="G1624" t="s">
        <v>67</v>
      </c>
      <c r="H1624" t="s">
        <v>68</v>
      </c>
      <c r="I1624" t="s">
        <v>176</v>
      </c>
      <c r="J1624" t="s">
        <v>773</v>
      </c>
      <c r="K1624" t="s">
        <v>1347</v>
      </c>
      <c r="M1624" t="s">
        <v>72</v>
      </c>
      <c r="N1624" t="s">
        <v>1348</v>
      </c>
      <c r="O1624" t="s">
        <v>1347</v>
      </c>
      <c r="P1624" t="s">
        <v>1349</v>
      </c>
      <c r="Q1624" t="s">
        <v>75</v>
      </c>
      <c r="R1624" t="s">
        <v>5008</v>
      </c>
      <c r="S1624" t="s">
        <v>6037</v>
      </c>
      <c r="T1624" t="s">
        <v>78</v>
      </c>
      <c r="U1624" t="s">
        <v>5009</v>
      </c>
      <c r="V1624" t="s">
        <v>80</v>
      </c>
      <c r="W1624" s="1">
        <v>44905</v>
      </c>
      <c r="X1624" t="s">
        <v>5010</v>
      </c>
      <c r="Y1624" t="s">
        <v>6038</v>
      </c>
      <c r="Z1624" t="s">
        <v>83</v>
      </c>
      <c r="AA1624">
        <v>1</v>
      </c>
      <c r="AB1624" t="s">
        <v>5522</v>
      </c>
      <c r="AD1624" t="s">
        <v>134</v>
      </c>
      <c r="AE1624" t="s">
        <v>145</v>
      </c>
      <c r="AF1624" t="s">
        <v>146</v>
      </c>
      <c r="AG1624" t="s">
        <v>6040</v>
      </c>
      <c r="AH1624" t="s">
        <v>6068</v>
      </c>
      <c r="AI1624" t="s">
        <v>90</v>
      </c>
      <c r="AJ1624">
        <v>32.313867000000002</v>
      </c>
      <c r="AK1624">
        <v>-110.712791</v>
      </c>
      <c r="AL1624">
        <v>3</v>
      </c>
      <c r="AN1624">
        <v>1175</v>
      </c>
      <c r="AP1624">
        <v>1175</v>
      </c>
      <c r="AQ1624">
        <v>1180.5823009999999</v>
      </c>
      <c r="AT1624">
        <v>10</v>
      </c>
      <c r="AU1624">
        <v>12</v>
      </c>
      <c r="AV1624">
        <v>2022</v>
      </c>
      <c r="AW1624">
        <v>2438454</v>
      </c>
      <c r="AX1624">
        <v>2438454</v>
      </c>
      <c r="AY1624" t="s">
        <v>106</v>
      </c>
      <c r="AZ1624" t="s">
        <v>92</v>
      </c>
      <c r="BA1624" t="s">
        <v>107</v>
      </c>
      <c r="BB1624" t="s">
        <v>6069</v>
      </c>
      <c r="BC1624" t="s">
        <v>97</v>
      </c>
      <c r="BD1624" s="1">
        <v>44905</v>
      </c>
      <c r="BE1624" t="s">
        <v>96</v>
      </c>
      <c r="BG1624" t="s">
        <v>5504</v>
      </c>
      <c r="BI1624" t="s">
        <v>98</v>
      </c>
      <c r="BJ1624" t="s">
        <v>914</v>
      </c>
      <c r="BL1624" t="s">
        <v>110</v>
      </c>
    </row>
    <row r="1625" spans="1:64" hidden="1" x14ac:dyDescent="0.2">
      <c r="A1625">
        <v>571</v>
      </c>
      <c r="B1625">
        <v>4136459387</v>
      </c>
      <c r="C1625" t="s">
        <v>101</v>
      </c>
      <c r="D1625" t="s">
        <v>6070</v>
      </c>
      <c r="E1625" t="s">
        <v>65</v>
      </c>
      <c r="F1625" t="s">
        <v>66</v>
      </c>
      <c r="G1625" t="s">
        <v>67</v>
      </c>
      <c r="H1625" t="s">
        <v>68</v>
      </c>
      <c r="I1625" t="s">
        <v>176</v>
      </c>
      <c r="J1625" t="s">
        <v>773</v>
      </c>
      <c r="K1625" t="s">
        <v>1347</v>
      </c>
      <c r="M1625" t="s">
        <v>72</v>
      </c>
      <c r="N1625" t="s">
        <v>1348</v>
      </c>
      <c r="O1625" t="s">
        <v>1347</v>
      </c>
      <c r="P1625" t="s">
        <v>1349</v>
      </c>
      <c r="Q1625" t="s">
        <v>75</v>
      </c>
      <c r="R1625" t="s">
        <v>5008</v>
      </c>
      <c r="S1625" t="s">
        <v>6037</v>
      </c>
      <c r="T1625" t="s">
        <v>78</v>
      </c>
      <c r="U1625" t="s">
        <v>5009</v>
      </c>
      <c r="V1625" t="s">
        <v>80</v>
      </c>
      <c r="W1625" s="1">
        <v>44905</v>
      </c>
      <c r="X1625" t="s">
        <v>5010</v>
      </c>
      <c r="Y1625" t="s">
        <v>6038</v>
      </c>
      <c r="Z1625" t="s">
        <v>83</v>
      </c>
      <c r="AA1625">
        <v>1</v>
      </c>
      <c r="AB1625" t="s">
        <v>5516</v>
      </c>
      <c r="AD1625" t="s">
        <v>6071</v>
      </c>
      <c r="AE1625" t="s">
        <v>145</v>
      </c>
      <c r="AF1625" t="s">
        <v>146</v>
      </c>
      <c r="AG1625" t="s">
        <v>6040</v>
      </c>
      <c r="AH1625" t="s">
        <v>6045</v>
      </c>
      <c r="AI1625" t="s">
        <v>90</v>
      </c>
      <c r="AJ1625">
        <v>32.313867000000002</v>
      </c>
      <c r="AK1625">
        <v>-110.712791</v>
      </c>
      <c r="AL1625">
        <v>3</v>
      </c>
      <c r="AN1625">
        <v>1175</v>
      </c>
      <c r="AP1625">
        <v>1175</v>
      </c>
      <c r="AQ1625">
        <v>1180.5823009999999</v>
      </c>
      <c r="AT1625">
        <v>10</v>
      </c>
      <c r="AU1625">
        <v>12</v>
      </c>
      <c r="AV1625">
        <v>2022</v>
      </c>
      <c r="AW1625">
        <v>2438454</v>
      </c>
      <c r="AX1625">
        <v>2438454</v>
      </c>
      <c r="AY1625" t="s">
        <v>106</v>
      </c>
      <c r="AZ1625" t="s">
        <v>92</v>
      </c>
      <c r="BA1625" t="s">
        <v>107</v>
      </c>
      <c r="BB1625" t="s">
        <v>6072</v>
      </c>
      <c r="BC1625" t="s">
        <v>97</v>
      </c>
      <c r="BD1625" s="1">
        <v>44905</v>
      </c>
      <c r="BE1625" t="s">
        <v>96</v>
      </c>
      <c r="BG1625" t="s">
        <v>5504</v>
      </c>
      <c r="BI1625" t="s">
        <v>98</v>
      </c>
      <c r="BJ1625" t="s">
        <v>911</v>
      </c>
      <c r="BL1625" t="s">
        <v>110</v>
      </c>
    </row>
    <row r="1626" spans="1:64" hidden="1" x14ac:dyDescent="0.2">
      <c r="A1626">
        <v>511</v>
      </c>
      <c r="B1626">
        <v>4136459448</v>
      </c>
      <c r="C1626" t="s">
        <v>101</v>
      </c>
      <c r="D1626" t="s">
        <v>6073</v>
      </c>
      <c r="E1626" t="s">
        <v>65</v>
      </c>
      <c r="F1626" t="s">
        <v>66</v>
      </c>
      <c r="G1626" t="s">
        <v>67</v>
      </c>
      <c r="H1626" t="s">
        <v>68</v>
      </c>
      <c r="I1626" t="s">
        <v>176</v>
      </c>
      <c r="J1626" t="s">
        <v>773</v>
      </c>
      <c r="K1626" t="s">
        <v>1347</v>
      </c>
      <c r="M1626" t="s">
        <v>72</v>
      </c>
      <c r="N1626" t="s">
        <v>1348</v>
      </c>
      <c r="O1626" t="s">
        <v>1347</v>
      </c>
      <c r="P1626" t="s">
        <v>1349</v>
      </c>
      <c r="Q1626" t="s">
        <v>75</v>
      </c>
      <c r="R1626" t="s">
        <v>5008</v>
      </c>
      <c r="S1626" t="s">
        <v>6037</v>
      </c>
      <c r="T1626" t="s">
        <v>78</v>
      </c>
      <c r="U1626" t="s">
        <v>5009</v>
      </c>
      <c r="V1626" t="s">
        <v>80</v>
      </c>
      <c r="W1626" s="1">
        <v>44905</v>
      </c>
      <c r="X1626" t="s">
        <v>5010</v>
      </c>
      <c r="Y1626" t="s">
        <v>6038</v>
      </c>
      <c r="Z1626" t="s">
        <v>83</v>
      </c>
      <c r="AA1626">
        <v>1</v>
      </c>
      <c r="AB1626" t="s">
        <v>5310</v>
      </c>
      <c r="AD1626" t="s">
        <v>116</v>
      </c>
      <c r="AE1626" t="s">
        <v>145</v>
      </c>
      <c r="AF1626" t="s">
        <v>146</v>
      </c>
      <c r="AG1626" t="s">
        <v>6040</v>
      </c>
      <c r="AH1626" t="s">
        <v>6045</v>
      </c>
      <c r="AI1626" t="s">
        <v>90</v>
      </c>
      <c r="AJ1626">
        <v>32.313867000000002</v>
      </c>
      <c r="AK1626">
        <v>-110.712791</v>
      </c>
      <c r="AL1626">
        <v>3</v>
      </c>
      <c r="AN1626">
        <v>1175</v>
      </c>
      <c r="AP1626">
        <v>1175</v>
      </c>
      <c r="AQ1626">
        <v>1180.5823009999999</v>
      </c>
      <c r="AT1626">
        <v>10</v>
      </c>
      <c r="AU1626">
        <v>12</v>
      </c>
      <c r="AV1626">
        <v>2022</v>
      </c>
      <c r="AW1626">
        <v>2438454</v>
      </c>
      <c r="AX1626">
        <v>2438454</v>
      </c>
      <c r="AY1626" t="s">
        <v>106</v>
      </c>
      <c r="AZ1626" t="s">
        <v>92</v>
      </c>
      <c r="BA1626" t="s">
        <v>107</v>
      </c>
      <c r="BB1626" t="s">
        <v>6074</v>
      </c>
      <c r="BC1626" t="s">
        <v>97</v>
      </c>
      <c r="BD1626" s="1">
        <v>44905</v>
      </c>
      <c r="BE1626" t="s">
        <v>96</v>
      </c>
      <c r="BG1626" t="s">
        <v>5504</v>
      </c>
      <c r="BI1626" t="s">
        <v>98</v>
      </c>
      <c r="BJ1626" t="s">
        <v>6075</v>
      </c>
      <c r="BL1626" t="s">
        <v>110</v>
      </c>
    </row>
    <row r="1627" spans="1:64" hidden="1" x14ac:dyDescent="0.2">
      <c r="A1627">
        <v>465</v>
      </c>
      <c r="B1627">
        <v>4136459494</v>
      </c>
      <c r="C1627" t="s">
        <v>101</v>
      </c>
      <c r="D1627" t="s">
        <v>6083</v>
      </c>
      <c r="E1627" t="s">
        <v>65</v>
      </c>
      <c r="F1627" t="s">
        <v>66</v>
      </c>
      <c r="G1627" t="s">
        <v>67</v>
      </c>
      <c r="H1627" t="s">
        <v>68</v>
      </c>
      <c r="I1627" t="s">
        <v>176</v>
      </c>
      <c r="J1627" t="s">
        <v>1251</v>
      </c>
      <c r="K1627" t="s">
        <v>1252</v>
      </c>
      <c r="M1627" t="s">
        <v>72</v>
      </c>
      <c r="N1627" t="s">
        <v>1253</v>
      </c>
      <c r="O1627" t="s">
        <v>1252</v>
      </c>
      <c r="P1627" t="s">
        <v>1254</v>
      </c>
      <c r="Q1627" t="s">
        <v>75</v>
      </c>
      <c r="R1627" t="s">
        <v>5008</v>
      </c>
      <c r="S1627" t="s">
        <v>569</v>
      </c>
      <c r="T1627" t="s">
        <v>78</v>
      </c>
      <c r="U1627" t="s">
        <v>5009</v>
      </c>
      <c r="V1627" t="s">
        <v>80</v>
      </c>
      <c r="W1627" s="1">
        <v>44905</v>
      </c>
      <c r="X1627" t="s">
        <v>5010</v>
      </c>
      <c r="Y1627" t="s">
        <v>6077</v>
      </c>
      <c r="Z1627" t="s">
        <v>83</v>
      </c>
      <c r="AA1627">
        <v>1</v>
      </c>
      <c r="AB1627" t="s">
        <v>5310</v>
      </c>
      <c r="AD1627" t="s">
        <v>104</v>
      </c>
      <c r="AE1627" t="s">
        <v>145</v>
      </c>
      <c r="AF1627" t="s">
        <v>146</v>
      </c>
      <c r="AG1627" t="s">
        <v>6079</v>
      </c>
      <c r="AH1627" t="s">
        <v>6084</v>
      </c>
      <c r="AI1627" t="s">
        <v>90</v>
      </c>
      <c r="AJ1627">
        <v>32.313378999999998</v>
      </c>
      <c r="AK1627">
        <v>-110.712829</v>
      </c>
      <c r="AL1627">
        <v>3</v>
      </c>
      <c r="AN1627">
        <v>1170</v>
      </c>
      <c r="AP1627">
        <v>1170</v>
      </c>
      <c r="AQ1627">
        <v>1173.57383</v>
      </c>
      <c r="AT1627">
        <v>10</v>
      </c>
      <c r="AU1627">
        <v>12</v>
      </c>
      <c r="AV1627">
        <v>2022</v>
      </c>
      <c r="AW1627">
        <v>2438156</v>
      </c>
      <c r="AX1627">
        <v>2438156</v>
      </c>
      <c r="AY1627" t="s">
        <v>106</v>
      </c>
      <c r="AZ1627" t="s">
        <v>92</v>
      </c>
      <c r="BA1627" t="s">
        <v>107</v>
      </c>
      <c r="BB1627" t="s">
        <v>6085</v>
      </c>
      <c r="BC1627" t="s">
        <v>97</v>
      </c>
      <c r="BD1627" s="1">
        <v>44905</v>
      </c>
      <c r="BE1627" t="s">
        <v>96</v>
      </c>
      <c r="BG1627" t="s">
        <v>5504</v>
      </c>
      <c r="BI1627" t="s">
        <v>98</v>
      </c>
      <c r="BJ1627" t="s">
        <v>233</v>
      </c>
      <c r="BL1627" t="s">
        <v>110</v>
      </c>
    </row>
    <row r="1628" spans="1:64" hidden="1" x14ac:dyDescent="0.2">
      <c r="A1628">
        <v>566</v>
      </c>
      <c r="B1628">
        <v>4136459392</v>
      </c>
      <c r="C1628" t="s">
        <v>101</v>
      </c>
      <c r="D1628" t="s">
        <v>6086</v>
      </c>
      <c r="E1628" t="s">
        <v>65</v>
      </c>
      <c r="F1628" t="s">
        <v>66</v>
      </c>
      <c r="G1628" t="s">
        <v>67</v>
      </c>
      <c r="H1628" t="s">
        <v>68</v>
      </c>
      <c r="I1628" t="s">
        <v>176</v>
      </c>
      <c r="J1628" t="s">
        <v>1251</v>
      </c>
      <c r="K1628" t="s">
        <v>1252</v>
      </c>
      <c r="M1628" t="s">
        <v>72</v>
      </c>
      <c r="N1628" t="s">
        <v>1253</v>
      </c>
      <c r="O1628" t="s">
        <v>1252</v>
      </c>
      <c r="P1628" t="s">
        <v>1254</v>
      </c>
      <c r="Q1628" t="s">
        <v>75</v>
      </c>
      <c r="R1628" t="s">
        <v>5008</v>
      </c>
      <c r="S1628" t="s">
        <v>569</v>
      </c>
      <c r="T1628" t="s">
        <v>78</v>
      </c>
      <c r="U1628" t="s">
        <v>5009</v>
      </c>
      <c r="V1628" t="s">
        <v>80</v>
      </c>
      <c r="W1628" s="1">
        <v>44905</v>
      </c>
      <c r="X1628" t="s">
        <v>5010</v>
      </c>
      <c r="Y1628" t="s">
        <v>6077</v>
      </c>
      <c r="Z1628" t="s">
        <v>83</v>
      </c>
      <c r="AA1628">
        <v>1</v>
      </c>
      <c r="AB1628" t="s">
        <v>5522</v>
      </c>
      <c r="AD1628" t="s">
        <v>134</v>
      </c>
      <c r="AE1628" t="s">
        <v>145</v>
      </c>
      <c r="AF1628" t="s">
        <v>146</v>
      </c>
      <c r="AG1628" t="s">
        <v>6079</v>
      </c>
      <c r="AH1628" t="s">
        <v>6087</v>
      </c>
      <c r="AI1628" t="s">
        <v>90</v>
      </c>
      <c r="AJ1628">
        <v>32.313378999999998</v>
      </c>
      <c r="AK1628">
        <v>-110.712829</v>
      </c>
      <c r="AL1628">
        <v>3</v>
      </c>
      <c r="AN1628">
        <v>1170</v>
      </c>
      <c r="AP1628">
        <v>1170</v>
      </c>
      <c r="AQ1628">
        <v>1173.57383</v>
      </c>
      <c r="AT1628">
        <v>10</v>
      </c>
      <c r="AU1628">
        <v>12</v>
      </c>
      <c r="AV1628">
        <v>2022</v>
      </c>
      <c r="AW1628">
        <v>2438156</v>
      </c>
      <c r="AX1628">
        <v>2438156</v>
      </c>
      <c r="AY1628" t="s">
        <v>106</v>
      </c>
      <c r="AZ1628" t="s">
        <v>92</v>
      </c>
      <c r="BA1628" t="s">
        <v>107</v>
      </c>
      <c r="BB1628" t="s">
        <v>6088</v>
      </c>
      <c r="BC1628" t="s">
        <v>97</v>
      </c>
      <c r="BD1628" s="1">
        <v>44905</v>
      </c>
      <c r="BE1628" t="s">
        <v>96</v>
      </c>
      <c r="BG1628" t="s">
        <v>5504</v>
      </c>
      <c r="BI1628" t="s">
        <v>98</v>
      </c>
      <c r="BJ1628" t="s">
        <v>689</v>
      </c>
      <c r="BL1628" t="s">
        <v>110</v>
      </c>
    </row>
    <row r="1629" spans="1:64" hidden="1" x14ac:dyDescent="0.2">
      <c r="A1629">
        <v>567</v>
      </c>
      <c r="B1629">
        <v>4136459391</v>
      </c>
      <c r="C1629" t="s">
        <v>101</v>
      </c>
      <c r="D1629" t="s">
        <v>6089</v>
      </c>
      <c r="E1629" t="s">
        <v>65</v>
      </c>
      <c r="F1629" t="s">
        <v>66</v>
      </c>
      <c r="G1629" t="s">
        <v>67</v>
      </c>
      <c r="H1629" t="s">
        <v>68</v>
      </c>
      <c r="I1629" t="s">
        <v>176</v>
      </c>
      <c r="J1629" t="s">
        <v>1251</v>
      </c>
      <c r="K1629" t="s">
        <v>1252</v>
      </c>
      <c r="M1629" t="s">
        <v>72</v>
      </c>
      <c r="N1629" t="s">
        <v>1253</v>
      </c>
      <c r="O1629" t="s">
        <v>1252</v>
      </c>
      <c r="P1629" t="s">
        <v>1254</v>
      </c>
      <c r="Q1629" t="s">
        <v>75</v>
      </c>
      <c r="R1629" t="s">
        <v>5008</v>
      </c>
      <c r="S1629" t="s">
        <v>569</v>
      </c>
      <c r="T1629" t="s">
        <v>78</v>
      </c>
      <c r="U1629" t="s">
        <v>5009</v>
      </c>
      <c r="V1629" t="s">
        <v>80</v>
      </c>
      <c r="W1629" s="1">
        <v>44905</v>
      </c>
      <c r="X1629" t="s">
        <v>5010</v>
      </c>
      <c r="Y1629" t="s">
        <v>6077</v>
      </c>
      <c r="Z1629" t="s">
        <v>83</v>
      </c>
      <c r="AA1629">
        <v>1</v>
      </c>
      <c r="AB1629" t="s">
        <v>5516</v>
      </c>
      <c r="AD1629" t="s">
        <v>378</v>
      </c>
      <c r="AE1629" t="s">
        <v>145</v>
      </c>
      <c r="AF1629" t="s">
        <v>146</v>
      </c>
      <c r="AG1629" t="s">
        <v>6079</v>
      </c>
      <c r="AH1629" t="s">
        <v>6084</v>
      </c>
      <c r="AI1629" t="s">
        <v>90</v>
      </c>
      <c r="AJ1629">
        <v>32.313378999999998</v>
      </c>
      <c r="AK1629">
        <v>-110.712829</v>
      </c>
      <c r="AL1629">
        <v>3</v>
      </c>
      <c r="AN1629">
        <v>1170</v>
      </c>
      <c r="AP1629">
        <v>1170</v>
      </c>
      <c r="AQ1629">
        <v>1173.57383</v>
      </c>
      <c r="AT1629">
        <v>10</v>
      </c>
      <c r="AU1629">
        <v>12</v>
      </c>
      <c r="AV1629">
        <v>2022</v>
      </c>
      <c r="AW1629">
        <v>2438156</v>
      </c>
      <c r="AX1629">
        <v>2438156</v>
      </c>
      <c r="AY1629" t="s">
        <v>106</v>
      </c>
      <c r="AZ1629" t="s">
        <v>92</v>
      </c>
      <c r="BA1629" t="s">
        <v>107</v>
      </c>
      <c r="BB1629" t="s">
        <v>6090</v>
      </c>
      <c r="BC1629" t="s">
        <v>97</v>
      </c>
      <c r="BD1629" s="1">
        <v>44905</v>
      </c>
      <c r="BE1629" t="s">
        <v>96</v>
      </c>
      <c r="BG1629" t="s">
        <v>5504</v>
      </c>
      <c r="BI1629" t="s">
        <v>98</v>
      </c>
      <c r="BJ1629" t="s">
        <v>914</v>
      </c>
      <c r="BL1629" t="s">
        <v>110</v>
      </c>
    </row>
    <row r="1630" spans="1:64" hidden="1" x14ac:dyDescent="0.2">
      <c r="A1630">
        <v>492</v>
      </c>
      <c r="B1630">
        <v>4136459467</v>
      </c>
      <c r="C1630" t="s">
        <v>101</v>
      </c>
      <c r="D1630" t="s">
        <v>6091</v>
      </c>
      <c r="E1630" t="s">
        <v>65</v>
      </c>
      <c r="F1630" t="s">
        <v>66</v>
      </c>
      <c r="G1630" t="s">
        <v>67</v>
      </c>
      <c r="H1630" t="s">
        <v>68</v>
      </c>
      <c r="I1630" t="s">
        <v>176</v>
      </c>
      <c r="J1630" t="s">
        <v>1251</v>
      </c>
      <c r="K1630" t="s">
        <v>1252</v>
      </c>
      <c r="M1630" t="s">
        <v>72</v>
      </c>
      <c r="N1630" t="s">
        <v>1253</v>
      </c>
      <c r="O1630" t="s">
        <v>1252</v>
      </c>
      <c r="P1630" t="s">
        <v>1254</v>
      </c>
      <c r="Q1630" t="s">
        <v>75</v>
      </c>
      <c r="R1630" t="s">
        <v>5008</v>
      </c>
      <c r="S1630" t="s">
        <v>569</v>
      </c>
      <c r="T1630" t="s">
        <v>78</v>
      </c>
      <c r="U1630" t="s">
        <v>5009</v>
      </c>
      <c r="V1630" t="s">
        <v>80</v>
      </c>
      <c r="W1630" s="1">
        <v>44905</v>
      </c>
      <c r="X1630" t="s">
        <v>5010</v>
      </c>
      <c r="Y1630" t="s">
        <v>6077</v>
      </c>
      <c r="Z1630" t="s">
        <v>83</v>
      </c>
      <c r="AA1630">
        <v>1</v>
      </c>
      <c r="AB1630" t="s">
        <v>5700</v>
      </c>
      <c r="AD1630" t="s">
        <v>116</v>
      </c>
      <c r="AE1630" t="s">
        <v>145</v>
      </c>
      <c r="AF1630" t="s">
        <v>146</v>
      </c>
      <c r="AG1630" t="s">
        <v>6079</v>
      </c>
      <c r="AH1630" t="s">
        <v>6084</v>
      </c>
      <c r="AI1630" t="s">
        <v>90</v>
      </c>
      <c r="AJ1630">
        <v>32.313378999999998</v>
      </c>
      <c r="AK1630">
        <v>-110.712829</v>
      </c>
      <c r="AL1630">
        <v>3</v>
      </c>
      <c r="AN1630">
        <v>1170</v>
      </c>
      <c r="AP1630">
        <v>1170</v>
      </c>
      <c r="AQ1630">
        <v>1173.57383</v>
      </c>
      <c r="AT1630">
        <v>10</v>
      </c>
      <c r="AU1630">
        <v>12</v>
      </c>
      <c r="AV1630">
        <v>2022</v>
      </c>
      <c r="AW1630">
        <v>2438156</v>
      </c>
      <c r="AX1630">
        <v>2438156</v>
      </c>
      <c r="AY1630" t="s">
        <v>106</v>
      </c>
      <c r="AZ1630" t="s">
        <v>92</v>
      </c>
      <c r="BA1630" t="s">
        <v>107</v>
      </c>
      <c r="BB1630" t="s">
        <v>6092</v>
      </c>
      <c r="BC1630" t="s">
        <v>97</v>
      </c>
      <c r="BD1630" s="1">
        <v>44905</v>
      </c>
      <c r="BE1630" t="s">
        <v>96</v>
      </c>
      <c r="BG1630" t="s">
        <v>5504</v>
      </c>
      <c r="BI1630" t="s">
        <v>98</v>
      </c>
      <c r="BJ1630" t="s">
        <v>725</v>
      </c>
      <c r="BL1630" t="s">
        <v>110</v>
      </c>
    </row>
    <row r="1631" spans="1:64" hidden="1" x14ac:dyDescent="0.2">
      <c r="A1631">
        <v>487</v>
      </c>
      <c r="B1631">
        <v>4136459472</v>
      </c>
      <c r="C1631" t="s">
        <v>101</v>
      </c>
      <c r="D1631" s="2" t="s">
        <v>6093</v>
      </c>
      <c r="E1631" t="s">
        <v>65</v>
      </c>
      <c r="F1631" t="s">
        <v>66</v>
      </c>
      <c r="G1631" t="s">
        <v>67</v>
      </c>
      <c r="H1631" t="s">
        <v>68</v>
      </c>
      <c r="I1631" t="s">
        <v>176</v>
      </c>
      <c r="J1631" t="s">
        <v>1251</v>
      </c>
      <c r="K1631" t="s">
        <v>1252</v>
      </c>
      <c r="M1631" t="s">
        <v>72</v>
      </c>
      <c r="N1631" t="s">
        <v>1253</v>
      </c>
      <c r="O1631" t="s">
        <v>1252</v>
      </c>
      <c r="P1631" t="s">
        <v>1254</v>
      </c>
      <c r="Q1631" t="s">
        <v>75</v>
      </c>
      <c r="R1631" t="s">
        <v>5008</v>
      </c>
      <c r="S1631" t="s">
        <v>569</v>
      </c>
      <c r="T1631" t="s">
        <v>78</v>
      </c>
      <c r="U1631" t="s">
        <v>5009</v>
      </c>
      <c r="V1631" t="s">
        <v>80</v>
      </c>
      <c r="W1631" s="1">
        <v>44905</v>
      </c>
      <c r="X1631" t="s">
        <v>5010</v>
      </c>
      <c r="Y1631" t="s">
        <v>6077</v>
      </c>
      <c r="Z1631" t="s">
        <v>83</v>
      </c>
      <c r="AA1631">
        <v>1</v>
      </c>
      <c r="AB1631" t="s">
        <v>5700</v>
      </c>
      <c r="AD1631" t="s">
        <v>139</v>
      </c>
      <c r="AE1631" t="s">
        <v>145</v>
      </c>
      <c r="AF1631" t="s">
        <v>146</v>
      </c>
      <c r="AG1631" t="s">
        <v>6079</v>
      </c>
      <c r="AH1631" t="s">
        <v>6084</v>
      </c>
      <c r="AI1631" t="s">
        <v>90</v>
      </c>
      <c r="AJ1631">
        <v>32.313378999999998</v>
      </c>
      <c r="AK1631">
        <v>-110.712829</v>
      </c>
      <c r="AL1631">
        <v>3</v>
      </c>
      <c r="AN1631">
        <v>1170</v>
      </c>
      <c r="AP1631">
        <v>1170</v>
      </c>
      <c r="AQ1631">
        <v>1173.57383</v>
      </c>
      <c r="AT1631">
        <v>10</v>
      </c>
      <c r="AU1631">
        <v>12</v>
      </c>
      <c r="AV1631">
        <v>2022</v>
      </c>
      <c r="AW1631">
        <v>2438156</v>
      </c>
      <c r="AX1631">
        <v>2438156</v>
      </c>
      <c r="AY1631" t="s">
        <v>106</v>
      </c>
      <c r="AZ1631" t="s">
        <v>92</v>
      </c>
      <c r="BA1631" t="s">
        <v>107</v>
      </c>
      <c r="BB1631" t="s">
        <v>6094</v>
      </c>
      <c r="BC1631" t="s">
        <v>97</v>
      </c>
      <c r="BD1631" s="1">
        <v>44905</v>
      </c>
      <c r="BE1631" t="s">
        <v>96</v>
      </c>
      <c r="BG1631" t="s">
        <v>5504</v>
      </c>
      <c r="BI1631" t="s">
        <v>98</v>
      </c>
      <c r="BJ1631" t="s">
        <v>949</v>
      </c>
      <c r="BL1631" t="s">
        <v>110</v>
      </c>
    </row>
    <row r="1632" spans="1:64" hidden="1" x14ac:dyDescent="0.2">
      <c r="A1632">
        <v>489</v>
      </c>
      <c r="B1632">
        <v>4136459470</v>
      </c>
      <c r="C1632" t="s">
        <v>101</v>
      </c>
      <c r="D1632" t="s">
        <v>6095</v>
      </c>
      <c r="E1632" t="s">
        <v>65</v>
      </c>
      <c r="F1632" t="s">
        <v>66</v>
      </c>
      <c r="G1632" t="s">
        <v>67</v>
      </c>
      <c r="H1632" t="s">
        <v>68</v>
      </c>
      <c r="I1632" t="s">
        <v>176</v>
      </c>
      <c r="J1632" t="s">
        <v>1251</v>
      </c>
      <c r="K1632" t="s">
        <v>1252</v>
      </c>
      <c r="M1632" t="s">
        <v>72</v>
      </c>
      <c r="N1632" t="s">
        <v>1253</v>
      </c>
      <c r="O1632" t="s">
        <v>1252</v>
      </c>
      <c r="P1632" t="s">
        <v>1254</v>
      </c>
      <c r="Q1632" t="s">
        <v>75</v>
      </c>
      <c r="R1632" t="s">
        <v>5008</v>
      </c>
      <c r="S1632" t="s">
        <v>569</v>
      </c>
      <c r="T1632" t="s">
        <v>78</v>
      </c>
      <c r="U1632" t="s">
        <v>5009</v>
      </c>
      <c r="V1632" t="s">
        <v>80</v>
      </c>
      <c r="W1632" s="1">
        <v>44905</v>
      </c>
      <c r="X1632" t="s">
        <v>5010</v>
      </c>
      <c r="Y1632" t="s">
        <v>6077</v>
      </c>
      <c r="Z1632" t="s">
        <v>83</v>
      </c>
      <c r="AA1632">
        <v>1</v>
      </c>
      <c r="AB1632" t="s">
        <v>5700</v>
      </c>
      <c r="AD1632" t="s">
        <v>104</v>
      </c>
      <c r="AE1632" t="s">
        <v>145</v>
      </c>
      <c r="AF1632" t="s">
        <v>146</v>
      </c>
      <c r="AG1632" t="s">
        <v>6079</v>
      </c>
      <c r="AH1632" t="s">
        <v>6084</v>
      </c>
      <c r="AI1632" t="s">
        <v>90</v>
      </c>
      <c r="AJ1632">
        <v>32.313378999999998</v>
      </c>
      <c r="AK1632">
        <v>-110.712829</v>
      </c>
      <c r="AL1632">
        <v>3</v>
      </c>
      <c r="AN1632">
        <v>1170</v>
      </c>
      <c r="AP1632">
        <v>1170</v>
      </c>
      <c r="AQ1632">
        <v>1173.57383</v>
      </c>
      <c r="AT1632">
        <v>10</v>
      </c>
      <c r="AU1632">
        <v>12</v>
      </c>
      <c r="AV1632">
        <v>2022</v>
      </c>
      <c r="AW1632">
        <v>2438156</v>
      </c>
      <c r="AX1632">
        <v>2438156</v>
      </c>
      <c r="AY1632" t="s">
        <v>106</v>
      </c>
      <c r="AZ1632" t="s">
        <v>92</v>
      </c>
      <c r="BA1632" t="s">
        <v>107</v>
      </c>
      <c r="BB1632" t="s">
        <v>6096</v>
      </c>
      <c r="BC1632" t="s">
        <v>97</v>
      </c>
      <c r="BD1632" s="1">
        <v>44905</v>
      </c>
      <c r="BE1632" t="s">
        <v>96</v>
      </c>
      <c r="BG1632" t="s">
        <v>5504</v>
      </c>
      <c r="BI1632" t="s">
        <v>98</v>
      </c>
      <c r="BJ1632" t="s">
        <v>949</v>
      </c>
      <c r="BL1632" t="s">
        <v>110</v>
      </c>
    </row>
    <row r="1633" spans="1:64" hidden="1" x14ac:dyDescent="0.2">
      <c r="A1633">
        <v>483</v>
      </c>
      <c r="B1633">
        <v>4136459476</v>
      </c>
      <c r="C1633" t="s">
        <v>101</v>
      </c>
      <c r="D1633" t="s">
        <v>6097</v>
      </c>
      <c r="E1633" t="s">
        <v>65</v>
      </c>
      <c r="F1633" t="s">
        <v>66</v>
      </c>
      <c r="G1633" t="s">
        <v>67</v>
      </c>
      <c r="H1633" t="s">
        <v>68</v>
      </c>
      <c r="I1633" t="s">
        <v>176</v>
      </c>
      <c r="J1633" t="s">
        <v>1251</v>
      </c>
      <c r="K1633" t="s">
        <v>1252</v>
      </c>
      <c r="M1633" t="s">
        <v>72</v>
      </c>
      <c r="N1633" t="s">
        <v>1253</v>
      </c>
      <c r="O1633" t="s">
        <v>1252</v>
      </c>
      <c r="P1633" t="s">
        <v>1254</v>
      </c>
      <c r="Q1633" t="s">
        <v>75</v>
      </c>
      <c r="R1633" t="s">
        <v>5008</v>
      </c>
      <c r="S1633" t="s">
        <v>569</v>
      </c>
      <c r="T1633" t="s">
        <v>78</v>
      </c>
      <c r="U1633" t="s">
        <v>5009</v>
      </c>
      <c r="V1633" t="s">
        <v>80</v>
      </c>
      <c r="W1633" s="1">
        <v>44905</v>
      </c>
      <c r="X1633" t="s">
        <v>5010</v>
      </c>
      <c r="Y1633" t="s">
        <v>6077</v>
      </c>
      <c r="Z1633" t="s">
        <v>83</v>
      </c>
      <c r="AA1633">
        <v>1</v>
      </c>
      <c r="AB1633" t="s">
        <v>5310</v>
      </c>
      <c r="AD1633" t="s">
        <v>112</v>
      </c>
      <c r="AE1633" t="s">
        <v>145</v>
      </c>
      <c r="AF1633" t="s">
        <v>146</v>
      </c>
      <c r="AG1633" t="s">
        <v>6079</v>
      </c>
      <c r="AH1633" t="s">
        <v>6084</v>
      </c>
      <c r="AI1633" t="s">
        <v>90</v>
      </c>
      <c r="AJ1633">
        <v>32.313378999999998</v>
      </c>
      <c r="AK1633">
        <v>-110.712829</v>
      </c>
      <c r="AL1633">
        <v>3</v>
      </c>
      <c r="AN1633">
        <v>1170</v>
      </c>
      <c r="AP1633">
        <v>1170</v>
      </c>
      <c r="AQ1633">
        <v>1173.57383</v>
      </c>
      <c r="AT1633">
        <v>10</v>
      </c>
      <c r="AU1633">
        <v>12</v>
      </c>
      <c r="AV1633">
        <v>2022</v>
      </c>
      <c r="AW1633">
        <v>2438156</v>
      </c>
      <c r="AX1633">
        <v>2438156</v>
      </c>
      <c r="AY1633" t="s">
        <v>106</v>
      </c>
      <c r="AZ1633" t="s">
        <v>92</v>
      </c>
      <c r="BA1633" t="s">
        <v>107</v>
      </c>
      <c r="BB1633" t="s">
        <v>6098</v>
      </c>
      <c r="BC1633" t="s">
        <v>97</v>
      </c>
      <c r="BD1633" s="1">
        <v>44905</v>
      </c>
      <c r="BE1633" t="s">
        <v>96</v>
      </c>
      <c r="BG1633" t="s">
        <v>5504</v>
      </c>
      <c r="BI1633" t="s">
        <v>98</v>
      </c>
      <c r="BJ1633" t="s">
        <v>1633</v>
      </c>
      <c r="BL1633" t="s">
        <v>110</v>
      </c>
    </row>
    <row r="1634" spans="1:64" hidden="1" x14ac:dyDescent="0.2">
      <c r="A1634">
        <v>485</v>
      </c>
      <c r="B1634">
        <v>4136459474</v>
      </c>
      <c r="C1634" t="s">
        <v>101</v>
      </c>
      <c r="D1634" t="s">
        <v>6099</v>
      </c>
      <c r="E1634" t="s">
        <v>65</v>
      </c>
      <c r="F1634" t="s">
        <v>66</v>
      </c>
      <c r="G1634" t="s">
        <v>67</v>
      </c>
      <c r="H1634" t="s">
        <v>68</v>
      </c>
      <c r="I1634" t="s">
        <v>176</v>
      </c>
      <c r="J1634" t="s">
        <v>1251</v>
      </c>
      <c r="K1634" t="s">
        <v>1252</v>
      </c>
      <c r="M1634" t="s">
        <v>72</v>
      </c>
      <c r="N1634" t="s">
        <v>1253</v>
      </c>
      <c r="O1634" t="s">
        <v>1252</v>
      </c>
      <c r="P1634" t="s">
        <v>1254</v>
      </c>
      <c r="Q1634" t="s">
        <v>75</v>
      </c>
      <c r="R1634" t="s">
        <v>5008</v>
      </c>
      <c r="S1634" t="s">
        <v>569</v>
      </c>
      <c r="T1634" t="s">
        <v>78</v>
      </c>
      <c r="U1634" t="s">
        <v>5009</v>
      </c>
      <c r="V1634" t="s">
        <v>80</v>
      </c>
      <c r="W1634" s="1">
        <v>44905</v>
      </c>
      <c r="X1634" t="s">
        <v>5010</v>
      </c>
      <c r="Y1634" t="s">
        <v>6077</v>
      </c>
      <c r="Z1634" t="s">
        <v>83</v>
      </c>
      <c r="AA1634">
        <v>1</v>
      </c>
      <c r="AB1634" t="s">
        <v>5310</v>
      </c>
      <c r="AD1634" t="s">
        <v>123</v>
      </c>
      <c r="AE1634" t="s">
        <v>145</v>
      </c>
      <c r="AF1634" t="s">
        <v>146</v>
      </c>
      <c r="AG1634" t="s">
        <v>6079</v>
      </c>
      <c r="AH1634" t="s">
        <v>6084</v>
      </c>
      <c r="AI1634" t="s">
        <v>90</v>
      </c>
      <c r="AJ1634">
        <v>32.313378999999998</v>
      </c>
      <c r="AK1634">
        <v>-110.712829</v>
      </c>
      <c r="AL1634">
        <v>3</v>
      </c>
      <c r="AN1634">
        <v>1170</v>
      </c>
      <c r="AP1634">
        <v>1170</v>
      </c>
      <c r="AQ1634">
        <v>1173.57383</v>
      </c>
      <c r="AT1634">
        <v>10</v>
      </c>
      <c r="AU1634">
        <v>12</v>
      </c>
      <c r="AV1634">
        <v>2022</v>
      </c>
      <c r="AW1634">
        <v>2438156</v>
      </c>
      <c r="AX1634">
        <v>2438156</v>
      </c>
      <c r="AY1634" t="s">
        <v>106</v>
      </c>
      <c r="AZ1634" t="s">
        <v>92</v>
      </c>
      <c r="BA1634" t="s">
        <v>107</v>
      </c>
      <c r="BB1634" t="s">
        <v>6100</v>
      </c>
      <c r="BC1634" t="s">
        <v>97</v>
      </c>
      <c r="BD1634" s="1">
        <v>44905</v>
      </c>
      <c r="BE1634" t="s">
        <v>96</v>
      </c>
      <c r="BG1634" t="s">
        <v>5504</v>
      </c>
      <c r="BI1634" t="s">
        <v>98</v>
      </c>
      <c r="BJ1634" t="s">
        <v>1569</v>
      </c>
      <c r="BL1634" t="s">
        <v>110</v>
      </c>
    </row>
    <row r="1635" spans="1:64" hidden="1" x14ac:dyDescent="0.2">
      <c r="A1635">
        <v>478</v>
      </c>
      <c r="B1635">
        <v>4136459481</v>
      </c>
      <c r="C1635" t="s">
        <v>101</v>
      </c>
      <c r="D1635" t="s">
        <v>6101</v>
      </c>
      <c r="E1635" t="s">
        <v>65</v>
      </c>
      <c r="F1635" t="s">
        <v>66</v>
      </c>
      <c r="G1635" t="s">
        <v>67</v>
      </c>
      <c r="H1635" t="s">
        <v>68</v>
      </c>
      <c r="I1635" t="s">
        <v>176</v>
      </c>
      <c r="J1635" t="s">
        <v>1251</v>
      </c>
      <c r="K1635" t="s">
        <v>1252</v>
      </c>
      <c r="M1635" t="s">
        <v>72</v>
      </c>
      <c r="N1635" t="s">
        <v>1253</v>
      </c>
      <c r="O1635" t="s">
        <v>1252</v>
      </c>
      <c r="P1635" t="s">
        <v>1254</v>
      </c>
      <c r="Q1635" t="s">
        <v>75</v>
      </c>
      <c r="R1635" t="s">
        <v>5008</v>
      </c>
      <c r="S1635" t="s">
        <v>569</v>
      </c>
      <c r="T1635" t="s">
        <v>78</v>
      </c>
      <c r="U1635" t="s">
        <v>5009</v>
      </c>
      <c r="V1635" t="s">
        <v>80</v>
      </c>
      <c r="W1635" s="1">
        <v>44905</v>
      </c>
      <c r="X1635" t="s">
        <v>5010</v>
      </c>
      <c r="Y1635" t="s">
        <v>6077</v>
      </c>
      <c r="Z1635" t="s">
        <v>83</v>
      </c>
      <c r="AA1635">
        <v>1</v>
      </c>
      <c r="AB1635" t="s">
        <v>5310</v>
      </c>
      <c r="AD1635" t="s">
        <v>116</v>
      </c>
      <c r="AE1635" t="s">
        <v>145</v>
      </c>
      <c r="AF1635" t="s">
        <v>146</v>
      </c>
      <c r="AG1635" t="s">
        <v>6079</v>
      </c>
      <c r="AH1635" t="s">
        <v>6084</v>
      </c>
      <c r="AI1635" t="s">
        <v>90</v>
      </c>
      <c r="AJ1635">
        <v>32.313378999999998</v>
      </c>
      <c r="AK1635">
        <v>-110.712829</v>
      </c>
      <c r="AL1635">
        <v>3</v>
      </c>
      <c r="AN1635">
        <v>1170</v>
      </c>
      <c r="AP1635">
        <v>1170</v>
      </c>
      <c r="AQ1635">
        <v>1173.57383</v>
      </c>
      <c r="AT1635">
        <v>10</v>
      </c>
      <c r="AU1635">
        <v>12</v>
      </c>
      <c r="AV1635">
        <v>2022</v>
      </c>
      <c r="AW1635">
        <v>2438156</v>
      </c>
      <c r="AX1635">
        <v>2438156</v>
      </c>
      <c r="AY1635" t="s">
        <v>106</v>
      </c>
      <c r="AZ1635" t="s">
        <v>92</v>
      </c>
      <c r="BA1635" t="s">
        <v>107</v>
      </c>
      <c r="BB1635" t="s">
        <v>6102</v>
      </c>
      <c r="BC1635" t="s">
        <v>97</v>
      </c>
      <c r="BD1635" s="1">
        <v>44905</v>
      </c>
      <c r="BE1635" t="s">
        <v>96</v>
      </c>
      <c r="BG1635" t="s">
        <v>5504</v>
      </c>
      <c r="BI1635" t="s">
        <v>98</v>
      </c>
      <c r="BJ1635" t="s">
        <v>1630</v>
      </c>
      <c r="BL1635" t="s">
        <v>110</v>
      </c>
    </row>
    <row r="1636" spans="1:64" hidden="1" x14ac:dyDescent="0.2">
      <c r="A1636">
        <v>1759</v>
      </c>
      <c r="B1636">
        <v>3744741374</v>
      </c>
      <c r="C1636" t="s">
        <v>101</v>
      </c>
      <c r="D1636" t="s">
        <v>4092</v>
      </c>
      <c r="E1636" t="s">
        <v>65</v>
      </c>
      <c r="F1636" t="s">
        <v>66</v>
      </c>
      <c r="G1636" t="s">
        <v>67</v>
      </c>
      <c r="H1636" t="s">
        <v>68</v>
      </c>
      <c r="I1636" t="s">
        <v>350</v>
      </c>
      <c r="J1636" t="s">
        <v>4050</v>
      </c>
      <c r="K1636" t="s">
        <v>4051</v>
      </c>
      <c r="M1636" t="s">
        <v>72</v>
      </c>
      <c r="N1636" t="s">
        <v>4052</v>
      </c>
      <c r="O1636" t="s">
        <v>4051</v>
      </c>
      <c r="P1636" t="s">
        <v>4053</v>
      </c>
      <c r="Q1636" t="s">
        <v>75</v>
      </c>
      <c r="R1636" t="s">
        <v>3816</v>
      </c>
      <c r="S1636" t="s">
        <v>3812</v>
      </c>
      <c r="T1636" t="s">
        <v>78</v>
      </c>
      <c r="U1636" t="s">
        <v>3817</v>
      </c>
      <c r="V1636" t="s">
        <v>80</v>
      </c>
      <c r="W1636" s="1">
        <v>44519</v>
      </c>
      <c r="X1636" t="s">
        <v>3818</v>
      </c>
      <c r="Y1636" t="s">
        <v>4079</v>
      </c>
      <c r="Z1636" t="s">
        <v>83</v>
      </c>
      <c r="AA1636">
        <v>1</v>
      </c>
      <c r="AB1636" t="s">
        <v>127</v>
      </c>
      <c r="AC1636">
        <v>1</v>
      </c>
      <c r="AD1636" t="s">
        <v>128</v>
      </c>
      <c r="AE1636" t="s">
        <v>86</v>
      </c>
      <c r="AF1636" t="s">
        <v>146</v>
      </c>
      <c r="AG1636" t="s">
        <v>4081</v>
      </c>
      <c r="AH1636" t="s">
        <v>4093</v>
      </c>
      <c r="AI1636" t="s">
        <v>90</v>
      </c>
      <c r="AJ1636">
        <v>32.516331999999998</v>
      </c>
      <c r="AK1636">
        <v>-110.68724</v>
      </c>
      <c r="AL1636">
        <v>3</v>
      </c>
      <c r="AN1636">
        <v>1346</v>
      </c>
      <c r="AP1636">
        <v>1346</v>
      </c>
      <c r="AQ1636">
        <v>1364.834521</v>
      </c>
      <c r="AT1636">
        <v>19</v>
      </c>
      <c r="AU1636">
        <v>11</v>
      </c>
      <c r="AV1636">
        <v>2021</v>
      </c>
      <c r="AW1636">
        <v>2437568</v>
      </c>
      <c r="AX1636">
        <v>2437568</v>
      </c>
      <c r="AY1636" t="s">
        <v>106</v>
      </c>
      <c r="AZ1636" t="s">
        <v>92</v>
      </c>
      <c r="BA1636" t="s">
        <v>107</v>
      </c>
      <c r="BB1636" t="s">
        <v>4094</v>
      </c>
      <c r="BC1636" t="s">
        <v>97</v>
      </c>
      <c r="BE1636" t="s">
        <v>96</v>
      </c>
      <c r="BG1636" t="s">
        <v>97</v>
      </c>
      <c r="BI1636" t="s">
        <v>98</v>
      </c>
      <c r="BJ1636" t="s">
        <v>2393</v>
      </c>
      <c r="BL1636" t="s">
        <v>110</v>
      </c>
    </row>
    <row r="1637" spans="1:64" hidden="1" x14ac:dyDescent="0.2">
      <c r="A1637">
        <v>480</v>
      </c>
      <c r="B1637">
        <v>4136459479</v>
      </c>
      <c r="C1637" t="s">
        <v>101</v>
      </c>
      <c r="D1637" t="s">
        <v>6115</v>
      </c>
      <c r="E1637" t="s">
        <v>65</v>
      </c>
      <c r="F1637" t="s">
        <v>66</v>
      </c>
      <c r="G1637" t="s">
        <v>67</v>
      </c>
      <c r="H1637" t="s">
        <v>68</v>
      </c>
      <c r="I1637" t="s">
        <v>176</v>
      </c>
      <c r="J1637" t="s">
        <v>1251</v>
      </c>
      <c r="K1637" t="s">
        <v>1252</v>
      </c>
      <c r="M1637" t="s">
        <v>72</v>
      </c>
      <c r="N1637" t="s">
        <v>1253</v>
      </c>
      <c r="O1637" t="s">
        <v>1252</v>
      </c>
      <c r="P1637" t="s">
        <v>1254</v>
      </c>
      <c r="Q1637" t="s">
        <v>75</v>
      </c>
      <c r="R1637" t="s">
        <v>5008</v>
      </c>
      <c r="S1637" t="s">
        <v>6108</v>
      </c>
      <c r="T1637" t="s">
        <v>78</v>
      </c>
      <c r="U1637" t="s">
        <v>5009</v>
      </c>
      <c r="V1637" t="s">
        <v>80</v>
      </c>
      <c r="W1637" s="1">
        <v>44905</v>
      </c>
      <c r="X1637" t="s">
        <v>5010</v>
      </c>
      <c r="Y1637" t="s">
        <v>6109</v>
      </c>
      <c r="Z1637" t="s">
        <v>83</v>
      </c>
      <c r="AA1637">
        <v>1</v>
      </c>
      <c r="AB1637" t="s">
        <v>5310</v>
      </c>
      <c r="AD1637" t="s">
        <v>104</v>
      </c>
      <c r="AE1637" t="s">
        <v>145</v>
      </c>
      <c r="AF1637" t="s">
        <v>87</v>
      </c>
      <c r="AG1637" t="s">
        <v>6111</v>
      </c>
      <c r="AH1637" t="s">
        <v>6116</v>
      </c>
      <c r="AI1637" t="s">
        <v>90</v>
      </c>
      <c r="AJ1637">
        <v>32.314014999999998</v>
      </c>
      <c r="AK1637">
        <v>-110.712783</v>
      </c>
      <c r="AL1637">
        <v>3</v>
      </c>
      <c r="AN1637">
        <v>1173</v>
      </c>
      <c r="AP1637">
        <v>1173</v>
      </c>
      <c r="AQ1637">
        <v>1182.834799</v>
      </c>
      <c r="AT1637">
        <v>10</v>
      </c>
      <c r="AU1637">
        <v>12</v>
      </c>
      <c r="AV1637">
        <v>2022</v>
      </c>
      <c r="AW1637">
        <v>2438156</v>
      </c>
      <c r="AX1637">
        <v>2438156</v>
      </c>
      <c r="AY1637" t="s">
        <v>106</v>
      </c>
      <c r="AZ1637" t="s">
        <v>92</v>
      </c>
      <c r="BA1637" t="s">
        <v>107</v>
      </c>
      <c r="BB1637" t="s">
        <v>6117</v>
      </c>
      <c r="BC1637" t="s">
        <v>97</v>
      </c>
      <c r="BD1637" s="1">
        <v>44905</v>
      </c>
      <c r="BE1637" t="s">
        <v>96</v>
      </c>
      <c r="BG1637" t="s">
        <v>5504</v>
      </c>
      <c r="BI1637" t="s">
        <v>98</v>
      </c>
      <c r="BJ1637" t="s">
        <v>1630</v>
      </c>
      <c r="BL1637" t="s">
        <v>110</v>
      </c>
    </row>
    <row r="1638" spans="1:64" hidden="1" x14ac:dyDescent="0.2">
      <c r="A1638">
        <v>497</v>
      </c>
      <c r="B1638">
        <v>4136459462</v>
      </c>
      <c r="C1638" t="s">
        <v>101</v>
      </c>
      <c r="D1638" t="s">
        <v>6118</v>
      </c>
      <c r="E1638" t="s">
        <v>65</v>
      </c>
      <c r="F1638" t="s">
        <v>66</v>
      </c>
      <c r="G1638" t="s">
        <v>67</v>
      </c>
      <c r="H1638" t="s">
        <v>68</v>
      </c>
      <c r="I1638" t="s">
        <v>176</v>
      </c>
      <c r="J1638" t="s">
        <v>1251</v>
      </c>
      <c r="K1638" t="s">
        <v>1252</v>
      </c>
      <c r="M1638" t="s">
        <v>72</v>
      </c>
      <c r="N1638" t="s">
        <v>1253</v>
      </c>
      <c r="O1638" t="s">
        <v>1252</v>
      </c>
      <c r="P1638" t="s">
        <v>1254</v>
      </c>
      <c r="Q1638" t="s">
        <v>75</v>
      </c>
      <c r="R1638" t="s">
        <v>5008</v>
      </c>
      <c r="S1638" t="s">
        <v>6108</v>
      </c>
      <c r="T1638" t="s">
        <v>78</v>
      </c>
      <c r="U1638" t="s">
        <v>5009</v>
      </c>
      <c r="V1638" t="s">
        <v>80</v>
      </c>
      <c r="W1638" s="1">
        <v>44905</v>
      </c>
      <c r="X1638" t="s">
        <v>5010</v>
      </c>
      <c r="Y1638" t="s">
        <v>6109</v>
      </c>
      <c r="Z1638" t="s">
        <v>83</v>
      </c>
      <c r="AA1638">
        <v>1</v>
      </c>
      <c r="AB1638" t="s">
        <v>5310</v>
      </c>
      <c r="AD1638" t="s">
        <v>112</v>
      </c>
      <c r="AE1638" t="s">
        <v>145</v>
      </c>
      <c r="AF1638" t="s">
        <v>87</v>
      </c>
      <c r="AG1638" t="s">
        <v>6111</v>
      </c>
      <c r="AH1638" t="s">
        <v>6116</v>
      </c>
      <c r="AI1638" t="s">
        <v>90</v>
      </c>
      <c r="AJ1638">
        <v>32.314014999999998</v>
      </c>
      <c r="AK1638">
        <v>-110.712783</v>
      </c>
      <c r="AL1638">
        <v>3</v>
      </c>
      <c r="AN1638">
        <v>1173</v>
      </c>
      <c r="AP1638">
        <v>1173</v>
      </c>
      <c r="AQ1638">
        <v>1182.834799</v>
      </c>
      <c r="AT1638">
        <v>10</v>
      </c>
      <c r="AU1638">
        <v>12</v>
      </c>
      <c r="AV1638">
        <v>2022</v>
      </c>
      <c r="AW1638">
        <v>2438156</v>
      </c>
      <c r="AX1638">
        <v>2438156</v>
      </c>
      <c r="AY1638" t="s">
        <v>106</v>
      </c>
      <c r="AZ1638" t="s">
        <v>92</v>
      </c>
      <c r="BA1638" t="s">
        <v>107</v>
      </c>
      <c r="BB1638" t="s">
        <v>6119</v>
      </c>
      <c r="BC1638" t="s">
        <v>97</v>
      </c>
      <c r="BD1638" s="1">
        <v>44905</v>
      </c>
      <c r="BE1638" t="s">
        <v>96</v>
      </c>
      <c r="BG1638" t="s">
        <v>5504</v>
      </c>
      <c r="BI1638" t="s">
        <v>98</v>
      </c>
      <c r="BJ1638" t="s">
        <v>1604</v>
      </c>
      <c r="BL1638" t="s">
        <v>110</v>
      </c>
    </row>
    <row r="1639" spans="1:64" hidden="1" x14ac:dyDescent="0.2">
      <c r="A1639">
        <v>500</v>
      </c>
      <c r="B1639">
        <v>4136459459</v>
      </c>
      <c r="C1639" t="s">
        <v>101</v>
      </c>
      <c r="D1639" t="s">
        <v>6120</v>
      </c>
      <c r="E1639" t="s">
        <v>65</v>
      </c>
      <c r="F1639" t="s">
        <v>66</v>
      </c>
      <c r="G1639" t="s">
        <v>67</v>
      </c>
      <c r="H1639" t="s">
        <v>68</v>
      </c>
      <c r="I1639" t="s">
        <v>176</v>
      </c>
      <c r="J1639" t="s">
        <v>1251</v>
      </c>
      <c r="K1639" t="s">
        <v>1252</v>
      </c>
      <c r="M1639" t="s">
        <v>72</v>
      </c>
      <c r="N1639" t="s">
        <v>1253</v>
      </c>
      <c r="O1639" t="s">
        <v>1252</v>
      </c>
      <c r="P1639" t="s">
        <v>1254</v>
      </c>
      <c r="Q1639" t="s">
        <v>75</v>
      </c>
      <c r="R1639" t="s">
        <v>5008</v>
      </c>
      <c r="S1639" t="s">
        <v>6108</v>
      </c>
      <c r="T1639" t="s">
        <v>78</v>
      </c>
      <c r="U1639" t="s">
        <v>5009</v>
      </c>
      <c r="V1639" t="s">
        <v>80</v>
      </c>
      <c r="W1639" s="1">
        <v>44905</v>
      </c>
      <c r="X1639" t="s">
        <v>5010</v>
      </c>
      <c r="Y1639" t="s">
        <v>6109</v>
      </c>
      <c r="Z1639" t="s">
        <v>83</v>
      </c>
      <c r="AA1639">
        <v>1</v>
      </c>
      <c r="AB1639" t="s">
        <v>5310</v>
      </c>
      <c r="AD1639" t="s">
        <v>123</v>
      </c>
      <c r="AE1639" t="s">
        <v>145</v>
      </c>
      <c r="AF1639" t="s">
        <v>87</v>
      </c>
      <c r="AG1639" t="s">
        <v>6111</v>
      </c>
      <c r="AH1639" t="s">
        <v>6116</v>
      </c>
      <c r="AI1639" t="s">
        <v>90</v>
      </c>
      <c r="AJ1639">
        <v>32.314014999999998</v>
      </c>
      <c r="AK1639">
        <v>-110.712783</v>
      </c>
      <c r="AL1639">
        <v>3</v>
      </c>
      <c r="AN1639">
        <v>1173</v>
      </c>
      <c r="AP1639">
        <v>1173</v>
      </c>
      <c r="AQ1639">
        <v>1182.834799</v>
      </c>
      <c r="AT1639">
        <v>10</v>
      </c>
      <c r="AU1639">
        <v>12</v>
      </c>
      <c r="AV1639">
        <v>2022</v>
      </c>
      <c r="AW1639">
        <v>2438156</v>
      </c>
      <c r="AX1639">
        <v>2438156</v>
      </c>
      <c r="AY1639" t="s">
        <v>106</v>
      </c>
      <c r="AZ1639" t="s">
        <v>92</v>
      </c>
      <c r="BA1639" t="s">
        <v>107</v>
      </c>
      <c r="BB1639" t="s">
        <v>6121</v>
      </c>
      <c r="BC1639" t="s">
        <v>97</v>
      </c>
      <c r="BD1639" s="1">
        <v>44905</v>
      </c>
      <c r="BE1639" t="s">
        <v>96</v>
      </c>
      <c r="BG1639" t="s">
        <v>5504</v>
      </c>
      <c r="BI1639" t="s">
        <v>98</v>
      </c>
      <c r="BJ1639" t="s">
        <v>1619</v>
      </c>
      <c r="BL1639" t="s">
        <v>110</v>
      </c>
    </row>
    <row r="1640" spans="1:64" hidden="1" x14ac:dyDescent="0.2">
      <c r="A1640">
        <v>493</v>
      </c>
      <c r="B1640">
        <v>4136459466</v>
      </c>
      <c r="C1640" t="s">
        <v>101</v>
      </c>
      <c r="D1640" t="s">
        <v>6122</v>
      </c>
      <c r="E1640" t="s">
        <v>65</v>
      </c>
      <c r="F1640" t="s">
        <v>66</v>
      </c>
      <c r="G1640" t="s">
        <v>67</v>
      </c>
      <c r="H1640" t="s">
        <v>68</v>
      </c>
      <c r="I1640" t="s">
        <v>176</v>
      </c>
      <c r="J1640" t="s">
        <v>1251</v>
      </c>
      <c r="K1640" t="s">
        <v>1252</v>
      </c>
      <c r="M1640" t="s">
        <v>72</v>
      </c>
      <c r="N1640" t="s">
        <v>1253</v>
      </c>
      <c r="O1640" t="s">
        <v>1252</v>
      </c>
      <c r="P1640" t="s">
        <v>1254</v>
      </c>
      <c r="Q1640" t="s">
        <v>75</v>
      </c>
      <c r="R1640" t="s">
        <v>5008</v>
      </c>
      <c r="S1640" t="s">
        <v>6108</v>
      </c>
      <c r="T1640" t="s">
        <v>78</v>
      </c>
      <c r="U1640" t="s">
        <v>5009</v>
      </c>
      <c r="V1640" t="s">
        <v>80</v>
      </c>
      <c r="W1640" s="1">
        <v>44905</v>
      </c>
      <c r="X1640" t="s">
        <v>5010</v>
      </c>
      <c r="Y1640" t="s">
        <v>6109</v>
      </c>
      <c r="Z1640" t="s">
        <v>83</v>
      </c>
      <c r="AA1640">
        <v>1</v>
      </c>
      <c r="AB1640" t="s">
        <v>5310</v>
      </c>
      <c r="AD1640" t="s">
        <v>116</v>
      </c>
      <c r="AE1640" t="s">
        <v>145</v>
      </c>
      <c r="AF1640" t="s">
        <v>87</v>
      </c>
      <c r="AG1640" t="s">
        <v>6111</v>
      </c>
      <c r="AH1640" t="s">
        <v>6116</v>
      </c>
      <c r="AI1640" t="s">
        <v>90</v>
      </c>
      <c r="AJ1640">
        <v>32.314014999999998</v>
      </c>
      <c r="AK1640">
        <v>-110.712783</v>
      </c>
      <c r="AL1640">
        <v>3</v>
      </c>
      <c r="AN1640">
        <v>1173</v>
      </c>
      <c r="AP1640">
        <v>1173</v>
      </c>
      <c r="AQ1640">
        <v>1182.834799</v>
      </c>
      <c r="AT1640">
        <v>10</v>
      </c>
      <c r="AU1640">
        <v>12</v>
      </c>
      <c r="AV1640">
        <v>2022</v>
      </c>
      <c r="AW1640">
        <v>2438156</v>
      </c>
      <c r="AX1640">
        <v>2438156</v>
      </c>
      <c r="AY1640" t="s">
        <v>106</v>
      </c>
      <c r="AZ1640" t="s">
        <v>92</v>
      </c>
      <c r="BA1640" t="s">
        <v>107</v>
      </c>
      <c r="BB1640" t="s">
        <v>6123</v>
      </c>
      <c r="BC1640" t="s">
        <v>97</v>
      </c>
      <c r="BD1640" s="1">
        <v>44905</v>
      </c>
      <c r="BE1640" t="s">
        <v>96</v>
      </c>
      <c r="BG1640" t="s">
        <v>5504</v>
      </c>
      <c r="BI1640" t="s">
        <v>98</v>
      </c>
      <c r="BJ1640" t="s">
        <v>1619</v>
      </c>
      <c r="BL1640" t="s">
        <v>110</v>
      </c>
    </row>
    <row r="1641" spans="1:64" hidden="1" x14ac:dyDescent="0.2">
      <c r="A1641">
        <v>1497</v>
      </c>
      <c r="B1641">
        <v>3744741636</v>
      </c>
      <c r="C1641" t="s">
        <v>101</v>
      </c>
      <c r="D1641" t="s">
        <v>4160</v>
      </c>
      <c r="E1641" t="s">
        <v>65</v>
      </c>
      <c r="F1641" t="s">
        <v>66</v>
      </c>
      <c r="G1641" t="s">
        <v>67</v>
      </c>
      <c r="H1641" t="s">
        <v>68</v>
      </c>
      <c r="I1641" t="s">
        <v>69</v>
      </c>
      <c r="J1641" t="s">
        <v>70</v>
      </c>
      <c r="K1641" t="s">
        <v>71</v>
      </c>
      <c r="M1641" t="s">
        <v>72</v>
      </c>
      <c r="N1641" t="s">
        <v>73</v>
      </c>
      <c r="O1641" t="s">
        <v>71</v>
      </c>
      <c r="P1641" t="s">
        <v>74</v>
      </c>
      <c r="Q1641" t="s">
        <v>75</v>
      </c>
      <c r="R1641" t="s">
        <v>3816</v>
      </c>
      <c r="S1641" t="s">
        <v>4137</v>
      </c>
      <c r="T1641" t="s">
        <v>78</v>
      </c>
      <c r="U1641" t="s">
        <v>3817</v>
      </c>
      <c r="V1641" t="s">
        <v>80</v>
      </c>
      <c r="W1641" s="1">
        <v>44520</v>
      </c>
      <c r="X1641" t="s">
        <v>3818</v>
      </c>
      <c r="Y1641" t="s">
        <v>4138</v>
      </c>
      <c r="Z1641" t="s">
        <v>83</v>
      </c>
      <c r="AA1641">
        <v>1</v>
      </c>
      <c r="AB1641" t="s">
        <v>103</v>
      </c>
      <c r="AC1641">
        <v>1</v>
      </c>
      <c r="AD1641" t="s">
        <v>128</v>
      </c>
      <c r="AE1641" t="s">
        <v>86</v>
      </c>
      <c r="AF1641" t="s">
        <v>146</v>
      </c>
      <c r="AG1641" t="s">
        <v>4140</v>
      </c>
      <c r="AH1641" t="s">
        <v>4161</v>
      </c>
      <c r="AI1641" t="s">
        <v>90</v>
      </c>
      <c r="AJ1641">
        <v>32.516061999999998</v>
      </c>
      <c r="AK1641">
        <v>-110.688182</v>
      </c>
      <c r="AL1641">
        <v>3</v>
      </c>
      <c r="AN1641">
        <v>1357</v>
      </c>
      <c r="AP1641">
        <v>1357</v>
      </c>
      <c r="AQ1641">
        <v>1364.453763</v>
      </c>
      <c r="AT1641">
        <v>20</v>
      </c>
      <c r="AU1641">
        <v>11</v>
      </c>
      <c r="AV1641">
        <v>2021</v>
      </c>
      <c r="AW1641">
        <v>2439581</v>
      </c>
      <c r="AX1641">
        <v>2439581</v>
      </c>
      <c r="AY1641" t="s">
        <v>106</v>
      </c>
      <c r="AZ1641" t="s">
        <v>92</v>
      </c>
      <c r="BA1641" t="s">
        <v>107</v>
      </c>
      <c r="BB1641" t="s">
        <v>4162</v>
      </c>
      <c r="BC1641" t="s">
        <v>97</v>
      </c>
      <c r="BE1641" t="s">
        <v>96</v>
      </c>
      <c r="BG1641" t="s">
        <v>97</v>
      </c>
      <c r="BI1641" t="s">
        <v>98</v>
      </c>
      <c r="BJ1641" t="s">
        <v>2267</v>
      </c>
      <c r="BL1641" t="s">
        <v>110</v>
      </c>
    </row>
    <row r="1642" spans="1:64" hidden="1" x14ac:dyDescent="0.2">
      <c r="A1642">
        <v>523</v>
      </c>
      <c r="B1642">
        <v>4136459436</v>
      </c>
      <c r="C1642" t="s">
        <v>101</v>
      </c>
      <c r="D1642" t="s">
        <v>6128</v>
      </c>
      <c r="E1642" t="s">
        <v>65</v>
      </c>
      <c r="F1642" t="s">
        <v>66</v>
      </c>
      <c r="G1642" t="s">
        <v>67</v>
      </c>
      <c r="H1642" t="s">
        <v>68</v>
      </c>
      <c r="I1642" t="s">
        <v>176</v>
      </c>
      <c r="J1642" t="s">
        <v>1251</v>
      </c>
      <c r="K1642" t="s">
        <v>1252</v>
      </c>
      <c r="M1642" t="s">
        <v>72</v>
      </c>
      <c r="N1642" t="s">
        <v>1253</v>
      </c>
      <c r="O1642" t="s">
        <v>1252</v>
      </c>
      <c r="P1642" t="s">
        <v>1254</v>
      </c>
      <c r="Q1642" t="s">
        <v>75</v>
      </c>
      <c r="R1642" t="s">
        <v>5008</v>
      </c>
      <c r="S1642" t="s">
        <v>6108</v>
      </c>
      <c r="T1642" t="s">
        <v>78</v>
      </c>
      <c r="U1642" t="s">
        <v>5009</v>
      </c>
      <c r="V1642" t="s">
        <v>80</v>
      </c>
      <c r="W1642" s="1">
        <v>44905</v>
      </c>
      <c r="X1642" t="s">
        <v>5010</v>
      </c>
      <c r="Y1642" t="s">
        <v>6109</v>
      </c>
      <c r="Z1642" t="s">
        <v>83</v>
      </c>
      <c r="AA1642">
        <v>1</v>
      </c>
      <c r="AB1642" t="s">
        <v>5522</v>
      </c>
      <c r="AD1642" t="s">
        <v>134</v>
      </c>
      <c r="AE1642" t="s">
        <v>145</v>
      </c>
      <c r="AF1642" t="s">
        <v>87</v>
      </c>
      <c r="AG1642" t="s">
        <v>6111</v>
      </c>
      <c r="AH1642" t="s">
        <v>6129</v>
      </c>
      <c r="AI1642" t="s">
        <v>90</v>
      </c>
      <c r="AJ1642">
        <v>32.314014999999998</v>
      </c>
      <c r="AK1642">
        <v>-110.712783</v>
      </c>
      <c r="AL1642">
        <v>3</v>
      </c>
      <c r="AN1642">
        <v>1173</v>
      </c>
      <c r="AP1642">
        <v>1173</v>
      </c>
      <c r="AQ1642">
        <v>1182.834799</v>
      </c>
      <c r="AT1642">
        <v>10</v>
      </c>
      <c r="AU1642">
        <v>12</v>
      </c>
      <c r="AV1642">
        <v>2022</v>
      </c>
      <c r="AW1642">
        <v>2438156</v>
      </c>
      <c r="AX1642">
        <v>2438156</v>
      </c>
      <c r="AY1642" t="s">
        <v>106</v>
      </c>
      <c r="AZ1642" t="s">
        <v>92</v>
      </c>
      <c r="BA1642" t="s">
        <v>107</v>
      </c>
      <c r="BB1642" t="s">
        <v>6130</v>
      </c>
      <c r="BC1642" t="s">
        <v>97</v>
      </c>
      <c r="BD1642" s="1">
        <v>44905</v>
      </c>
      <c r="BE1642" t="s">
        <v>96</v>
      </c>
      <c r="BG1642" t="s">
        <v>5504</v>
      </c>
      <c r="BI1642" t="s">
        <v>98</v>
      </c>
      <c r="BJ1642" t="s">
        <v>2760</v>
      </c>
      <c r="BL1642" t="s">
        <v>110</v>
      </c>
    </row>
    <row r="1643" spans="1:64" hidden="1" x14ac:dyDescent="0.2">
      <c r="A1643">
        <v>515</v>
      </c>
      <c r="B1643">
        <v>4136459444</v>
      </c>
      <c r="C1643" t="s">
        <v>101</v>
      </c>
      <c r="D1643" t="s">
        <v>6131</v>
      </c>
      <c r="E1643" t="s">
        <v>65</v>
      </c>
      <c r="F1643" t="s">
        <v>66</v>
      </c>
      <c r="G1643" t="s">
        <v>67</v>
      </c>
      <c r="H1643" t="s">
        <v>68</v>
      </c>
      <c r="I1643" t="s">
        <v>176</v>
      </c>
      <c r="J1643" t="s">
        <v>1251</v>
      </c>
      <c r="K1643" t="s">
        <v>1252</v>
      </c>
      <c r="M1643" t="s">
        <v>72</v>
      </c>
      <c r="N1643" t="s">
        <v>1253</v>
      </c>
      <c r="O1643" t="s">
        <v>1252</v>
      </c>
      <c r="P1643" t="s">
        <v>1254</v>
      </c>
      <c r="Q1643" t="s">
        <v>75</v>
      </c>
      <c r="R1643" t="s">
        <v>5008</v>
      </c>
      <c r="S1643" t="s">
        <v>6108</v>
      </c>
      <c r="T1643" t="s">
        <v>78</v>
      </c>
      <c r="U1643" t="s">
        <v>5009</v>
      </c>
      <c r="V1643" t="s">
        <v>80</v>
      </c>
      <c r="W1643" s="1">
        <v>44905</v>
      </c>
      <c r="X1643" t="s">
        <v>5010</v>
      </c>
      <c r="Y1643" t="s">
        <v>6109</v>
      </c>
      <c r="Z1643" t="s">
        <v>83</v>
      </c>
      <c r="AA1643">
        <v>1</v>
      </c>
      <c r="AB1643" t="s">
        <v>5700</v>
      </c>
      <c r="AD1643" t="s">
        <v>104</v>
      </c>
      <c r="AE1643" t="s">
        <v>145</v>
      </c>
      <c r="AF1643" t="s">
        <v>87</v>
      </c>
      <c r="AG1643" t="s">
        <v>6111</v>
      </c>
      <c r="AH1643" t="s">
        <v>6116</v>
      </c>
      <c r="AI1643" t="s">
        <v>90</v>
      </c>
      <c r="AJ1643">
        <v>32.314014999999998</v>
      </c>
      <c r="AK1643">
        <v>-110.712783</v>
      </c>
      <c r="AL1643">
        <v>3</v>
      </c>
      <c r="AN1643">
        <v>1173</v>
      </c>
      <c r="AP1643">
        <v>1173</v>
      </c>
      <c r="AQ1643">
        <v>1182.834799</v>
      </c>
      <c r="AT1643">
        <v>10</v>
      </c>
      <c r="AU1643">
        <v>12</v>
      </c>
      <c r="AV1643">
        <v>2022</v>
      </c>
      <c r="AW1643">
        <v>2438156</v>
      </c>
      <c r="AX1643">
        <v>2438156</v>
      </c>
      <c r="AY1643" t="s">
        <v>106</v>
      </c>
      <c r="AZ1643" t="s">
        <v>92</v>
      </c>
      <c r="BA1643" t="s">
        <v>107</v>
      </c>
      <c r="BB1643" t="s">
        <v>6132</v>
      </c>
      <c r="BC1643" t="s">
        <v>97</v>
      </c>
      <c r="BD1643" s="1">
        <v>44905</v>
      </c>
      <c r="BE1643" t="s">
        <v>96</v>
      </c>
      <c r="BG1643" t="s">
        <v>5504</v>
      </c>
      <c r="BI1643" t="s">
        <v>98</v>
      </c>
      <c r="BJ1643" t="s">
        <v>1020</v>
      </c>
      <c r="BL1643" t="s">
        <v>110</v>
      </c>
    </row>
    <row r="1644" spans="1:64" hidden="1" x14ac:dyDescent="0.2">
      <c r="A1644">
        <v>518</v>
      </c>
      <c r="B1644">
        <v>4136459441</v>
      </c>
      <c r="C1644" t="s">
        <v>101</v>
      </c>
      <c r="D1644" t="s">
        <v>6133</v>
      </c>
      <c r="E1644" t="s">
        <v>65</v>
      </c>
      <c r="F1644" t="s">
        <v>66</v>
      </c>
      <c r="G1644" t="s">
        <v>67</v>
      </c>
      <c r="H1644" t="s">
        <v>68</v>
      </c>
      <c r="I1644" t="s">
        <v>176</v>
      </c>
      <c r="J1644" t="s">
        <v>1251</v>
      </c>
      <c r="K1644" t="s">
        <v>1252</v>
      </c>
      <c r="M1644" t="s">
        <v>72</v>
      </c>
      <c r="N1644" t="s">
        <v>1253</v>
      </c>
      <c r="O1644" t="s">
        <v>1252</v>
      </c>
      <c r="P1644" t="s">
        <v>1254</v>
      </c>
      <c r="Q1644" t="s">
        <v>75</v>
      </c>
      <c r="R1644" t="s">
        <v>5008</v>
      </c>
      <c r="S1644" t="s">
        <v>6108</v>
      </c>
      <c r="T1644" t="s">
        <v>78</v>
      </c>
      <c r="U1644" t="s">
        <v>5009</v>
      </c>
      <c r="V1644" t="s">
        <v>80</v>
      </c>
      <c r="W1644" s="1">
        <v>44905</v>
      </c>
      <c r="X1644" t="s">
        <v>5010</v>
      </c>
      <c r="Y1644" t="s">
        <v>6109</v>
      </c>
      <c r="Z1644" t="s">
        <v>83</v>
      </c>
      <c r="AA1644">
        <v>1</v>
      </c>
      <c r="AB1644" t="s">
        <v>5700</v>
      </c>
      <c r="AD1644" t="s">
        <v>116</v>
      </c>
      <c r="AE1644" t="s">
        <v>145</v>
      </c>
      <c r="AF1644" t="s">
        <v>87</v>
      </c>
      <c r="AG1644" t="s">
        <v>6111</v>
      </c>
      <c r="AH1644" t="s">
        <v>6116</v>
      </c>
      <c r="AI1644" t="s">
        <v>90</v>
      </c>
      <c r="AJ1644">
        <v>32.314014999999998</v>
      </c>
      <c r="AK1644">
        <v>-110.712783</v>
      </c>
      <c r="AL1644">
        <v>3</v>
      </c>
      <c r="AN1644">
        <v>1173</v>
      </c>
      <c r="AP1644">
        <v>1173</v>
      </c>
      <c r="AQ1644">
        <v>1182.834799</v>
      </c>
      <c r="AT1644">
        <v>10</v>
      </c>
      <c r="AU1644">
        <v>12</v>
      </c>
      <c r="AV1644">
        <v>2022</v>
      </c>
      <c r="AW1644">
        <v>2438156</v>
      </c>
      <c r="AX1644">
        <v>2438156</v>
      </c>
      <c r="AY1644" t="s">
        <v>106</v>
      </c>
      <c r="AZ1644" t="s">
        <v>92</v>
      </c>
      <c r="BA1644" t="s">
        <v>107</v>
      </c>
      <c r="BB1644" t="s">
        <v>6134</v>
      </c>
      <c r="BC1644" t="s">
        <v>97</v>
      </c>
      <c r="BD1644" s="1">
        <v>44905</v>
      </c>
      <c r="BE1644" t="s">
        <v>96</v>
      </c>
      <c r="BG1644" t="s">
        <v>5504</v>
      </c>
      <c r="BI1644" t="s">
        <v>98</v>
      </c>
      <c r="BJ1644" t="s">
        <v>949</v>
      </c>
      <c r="BL1644" t="s">
        <v>110</v>
      </c>
    </row>
    <row r="1645" spans="1:64" hidden="1" x14ac:dyDescent="0.2">
      <c r="A1645">
        <v>505</v>
      </c>
      <c r="B1645">
        <v>4136459454</v>
      </c>
      <c r="C1645" t="s">
        <v>101</v>
      </c>
      <c r="D1645" t="s">
        <v>6135</v>
      </c>
      <c r="E1645" t="s">
        <v>65</v>
      </c>
      <c r="F1645" t="s">
        <v>66</v>
      </c>
      <c r="G1645" t="s">
        <v>67</v>
      </c>
      <c r="H1645" t="s">
        <v>68</v>
      </c>
      <c r="I1645" t="s">
        <v>176</v>
      </c>
      <c r="J1645" t="s">
        <v>1251</v>
      </c>
      <c r="K1645" t="s">
        <v>1252</v>
      </c>
      <c r="M1645" t="s">
        <v>72</v>
      </c>
      <c r="N1645" t="s">
        <v>1253</v>
      </c>
      <c r="O1645" t="s">
        <v>1252</v>
      </c>
      <c r="P1645" t="s">
        <v>1254</v>
      </c>
      <c r="Q1645" t="s">
        <v>75</v>
      </c>
      <c r="R1645" t="s">
        <v>5008</v>
      </c>
      <c r="S1645" t="s">
        <v>6108</v>
      </c>
      <c r="T1645" t="s">
        <v>78</v>
      </c>
      <c r="U1645" t="s">
        <v>5009</v>
      </c>
      <c r="V1645" t="s">
        <v>80</v>
      </c>
      <c r="W1645" s="1">
        <v>44905</v>
      </c>
      <c r="X1645" t="s">
        <v>5010</v>
      </c>
      <c r="Y1645" t="s">
        <v>6109</v>
      </c>
      <c r="Z1645" t="s">
        <v>83</v>
      </c>
      <c r="AA1645">
        <v>1</v>
      </c>
      <c r="AB1645" t="s">
        <v>5700</v>
      </c>
      <c r="AD1645" t="s">
        <v>139</v>
      </c>
      <c r="AE1645" t="s">
        <v>145</v>
      </c>
      <c r="AF1645" t="s">
        <v>87</v>
      </c>
      <c r="AG1645" t="s">
        <v>6111</v>
      </c>
      <c r="AH1645" t="s">
        <v>6116</v>
      </c>
      <c r="AI1645" t="s">
        <v>90</v>
      </c>
      <c r="AJ1645">
        <v>32.314014999999998</v>
      </c>
      <c r="AK1645">
        <v>-110.712783</v>
      </c>
      <c r="AL1645">
        <v>3</v>
      </c>
      <c r="AN1645">
        <v>1173</v>
      </c>
      <c r="AP1645">
        <v>1173</v>
      </c>
      <c r="AQ1645">
        <v>1182.834799</v>
      </c>
      <c r="AT1645">
        <v>10</v>
      </c>
      <c r="AU1645">
        <v>12</v>
      </c>
      <c r="AV1645">
        <v>2022</v>
      </c>
      <c r="AW1645">
        <v>2438156</v>
      </c>
      <c r="AX1645">
        <v>2438156</v>
      </c>
      <c r="AY1645" t="s">
        <v>106</v>
      </c>
      <c r="AZ1645" t="s">
        <v>92</v>
      </c>
      <c r="BA1645" t="s">
        <v>107</v>
      </c>
      <c r="BB1645" t="s">
        <v>6136</v>
      </c>
      <c r="BC1645" t="s">
        <v>97</v>
      </c>
      <c r="BD1645" s="1">
        <v>44905</v>
      </c>
      <c r="BE1645" t="s">
        <v>96</v>
      </c>
      <c r="BG1645" t="s">
        <v>5504</v>
      </c>
      <c r="BI1645" t="s">
        <v>98</v>
      </c>
      <c r="BJ1645" t="s">
        <v>2387</v>
      </c>
      <c r="BL1645" t="s">
        <v>110</v>
      </c>
    </row>
    <row r="1646" spans="1:64" hidden="1" x14ac:dyDescent="0.2">
      <c r="A1646">
        <v>509</v>
      </c>
      <c r="B1646">
        <v>4136459450</v>
      </c>
      <c r="C1646" t="s">
        <v>101</v>
      </c>
      <c r="D1646" t="s">
        <v>6143</v>
      </c>
      <c r="E1646" t="s">
        <v>65</v>
      </c>
      <c r="F1646" t="s">
        <v>66</v>
      </c>
      <c r="G1646" t="s">
        <v>67</v>
      </c>
      <c r="H1646" t="s">
        <v>68</v>
      </c>
      <c r="I1646" t="s">
        <v>69</v>
      </c>
      <c r="J1646" t="s">
        <v>70</v>
      </c>
      <c r="K1646" t="s">
        <v>71</v>
      </c>
      <c r="M1646" t="s">
        <v>72</v>
      </c>
      <c r="N1646" t="s">
        <v>73</v>
      </c>
      <c r="O1646" t="s">
        <v>71</v>
      </c>
      <c r="P1646" t="s">
        <v>74</v>
      </c>
      <c r="Q1646" t="s">
        <v>75</v>
      </c>
      <c r="R1646" t="s">
        <v>5008</v>
      </c>
      <c r="S1646" t="s">
        <v>6138</v>
      </c>
      <c r="T1646" t="s">
        <v>78</v>
      </c>
      <c r="U1646" t="s">
        <v>5009</v>
      </c>
      <c r="V1646" t="s">
        <v>80</v>
      </c>
      <c r="W1646" s="1">
        <v>44906</v>
      </c>
      <c r="X1646" t="s">
        <v>5010</v>
      </c>
      <c r="Y1646" t="s">
        <v>6139</v>
      </c>
      <c r="Z1646" t="s">
        <v>83</v>
      </c>
      <c r="AA1646">
        <v>1</v>
      </c>
      <c r="AB1646" t="s">
        <v>5522</v>
      </c>
      <c r="AD1646" t="s">
        <v>134</v>
      </c>
      <c r="AE1646" t="s">
        <v>86</v>
      </c>
      <c r="AF1646" t="s">
        <v>146</v>
      </c>
      <c r="AG1646" t="s">
        <v>1257</v>
      </c>
      <c r="AH1646" t="s">
        <v>6144</v>
      </c>
      <c r="AI1646" t="s">
        <v>90</v>
      </c>
      <c r="AJ1646">
        <v>32.313198</v>
      </c>
      <c r="AK1646">
        <v>-110.712913</v>
      </c>
      <c r="AL1646">
        <v>3</v>
      </c>
      <c r="AN1646">
        <v>1166</v>
      </c>
      <c r="AP1646">
        <v>1166</v>
      </c>
      <c r="AQ1646">
        <v>1172.0251989999999</v>
      </c>
      <c r="AT1646">
        <v>11</v>
      </c>
      <c r="AU1646">
        <v>12</v>
      </c>
      <c r="AV1646">
        <v>2022</v>
      </c>
      <c r="AW1646">
        <v>2439581</v>
      </c>
      <c r="AX1646">
        <v>2439581</v>
      </c>
      <c r="AY1646" t="s">
        <v>106</v>
      </c>
      <c r="AZ1646" t="s">
        <v>92</v>
      </c>
      <c r="BA1646" t="s">
        <v>107</v>
      </c>
      <c r="BB1646" t="s">
        <v>6145</v>
      </c>
      <c r="BC1646" t="s">
        <v>97</v>
      </c>
      <c r="BD1646" s="1">
        <v>44906</v>
      </c>
      <c r="BE1646" t="s">
        <v>96</v>
      </c>
      <c r="BG1646" t="s">
        <v>5504</v>
      </c>
      <c r="BI1646" t="s">
        <v>98</v>
      </c>
      <c r="BJ1646" t="s">
        <v>1020</v>
      </c>
      <c r="BL1646" t="s">
        <v>110</v>
      </c>
    </row>
    <row r="1647" spans="1:64" hidden="1" x14ac:dyDescent="0.2">
      <c r="A1647">
        <v>1527</v>
      </c>
      <c r="B1647">
        <v>3744741606</v>
      </c>
      <c r="C1647" t="s">
        <v>101</v>
      </c>
      <c r="D1647" t="s">
        <v>4186</v>
      </c>
      <c r="E1647" t="s">
        <v>65</v>
      </c>
      <c r="F1647" t="s">
        <v>66</v>
      </c>
      <c r="G1647" t="s">
        <v>67</v>
      </c>
      <c r="H1647" t="s">
        <v>68</v>
      </c>
      <c r="I1647" t="s">
        <v>69</v>
      </c>
      <c r="J1647" t="s">
        <v>70</v>
      </c>
      <c r="M1647" t="s">
        <v>1072</v>
      </c>
      <c r="N1647" t="s">
        <v>4171</v>
      </c>
      <c r="O1647" t="s">
        <v>70</v>
      </c>
      <c r="P1647" t="s">
        <v>4172</v>
      </c>
      <c r="Q1647" t="s">
        <v>75</v>
      </c>
      <c r="R1647" t="s">
        <v>3955</v>
      </c>
      <c r="S1647" t="s">
        <v>4164</v>
      </c>
      <c r="T1647" t="s">
        <v>78</v>
      </c>
      <c r="U1647" t="s">
        <v>3817</v>
      </c>
      <c r="V1647" t="s">
        <v>80</v>
      </c>
      <c r="W1647" s="1">
        <v>44520</v>
      </c>
      <c r="X1647" t="s">
        <v>3818</v>
      </c>
      <c r="Y1647" t="s">
        <v>4165</v>
      </c>
      <c r="Z1647" t="s">
        <v>83</v>
      </c>
      <c r="AA1647">
        <v>1</v>
      </c>
      <c r="AB1647" t="s">
        <v>127</v>
      </c>
      <c r="AC1647">
        <v>1</v>
      </c>
      <c r="AD1647" t="s">
        <v>128</v>
      </c>
      <c r="AE1647" t="s">
        <v>145</v>
      </c>
      <c r="AF1647" t="s">
        <v>146</v>
      </c>
      <c r="AG1647" t="s">
        <v>4173</v>
      </c>
      <c r="AH1647" t="s">
        <v>4187</v>
      </c>
      <c r="AI1647" t="s">
        <v>90</v>
      </c>
      <c r="AJ1647">
        <v>32.516522999999999</v>
      </c>
      <c r="AK1647">
        <v>-110.685723</v>
      </c>
      <c r="AL1647">
        <v>3</v>
      </c>
      <c r="AN1647">
        <v>1353</v>
      </c>
      <c r="AP1647">
        <v>1353</v>
      </c>
      <c r="AQ1647">
        <v>1348.9145679999999</v>
      </c>
      <c r="AT1647">
        <v>20</v>
      </c>
      <c r="AU1647">
        <v>11</v>
      </c>
      <c r="AV1647">
        <v>2021</v>
      </c>
      <c r="AW1647">
        <v>2439576</v>
      </c>
      <c r="AY1647" t="s">
        <v>106</v>
      </c>
      <c r="AZ1647" t="s">
        <v>92</v>
      </c>
      <c r="BA1647" t="s">
        <v>107</v>
      </c>
      <c r="BB1647" t="s">
        <v>4188</v>
      </c>
      <c r="BC1647" t="s">
        <v>97</v>
      </c>
      <c r="BE1647" t="s">
        <v>96</v>
      </c>
      <c r="BG1647" t="s">
        <v>97</v>
      </c>
      <c r="BI1647" t="s">
        <v>98</v>
      </c>
      <c r="BJ1647" t="s">
        <v>4128</v>
      </c>
      <c r="BL1647" t="s">
        <v>110</v>
      </c>
    </row>
    <row r="1648" spans="1:64" hidden="1" x14ac:dyDescent="0.2">
      <c r="A1648">
        <v>490</v>
      </c>
      <c r="B1648">
        <v>4136459469</v>
      </c>
      <c r="C1648" t="s">
        <v>101</v>
      </c>
      <c r="D1648" t="s">
        <v>6149</v>
      </c>
      <c r="E1648" t="s">
        <v>65</v>
      </c>
      <c r="F1648" t="s">
        <v>66</v>
      </c>
      <c r="G1648" t="s">
        <v>67</v>
      </c>
      <c r="H1648" t="s">
        <v>68</v>
      </c>
      <c r="I1648" t="s">
        <v>69</v>
      </c>
      <c r="J1648" t="s">
        <v>70</v>
      </c>
      <c r="K1648" t="s">
        <v>71</v>
      </c>
      <c r="M1648" t="s">
        <v>72</v>
      </c>
      <c r="N1648" t="s">
        <v>73</v>
      </c>
      <c r="O1648" t="s">
        <v>71</v>
      </c>
      <c r="P1648" t="s">
        <v>74</v>
      </c>
      <c r="Q1648" t="s">
        <v>75</v>
      </c>
      <c r="R1648" t="s">
        <v>5008</v>
      </c>
      <c r="S1648" t="s">
        <v>6138</v>
      </c>
      <c r="T1648" t="s">
        <v>78</v>
      </c>
      <c r="U1648" t="s">
        <v>5009</v>
      </c>
      <c r="V1648" t="s">
        <v>80</v>
      </c>
      <c r="W1648" s="1">
        <v>44906</v>
      </c>
      <c r="X1648" t="s">
        <v>5010</v>
      </c>
      <c r="Y1648" t="s">
        <v>6139</v>
      </c>
      <c r="Z1648" t="s">
        <v>83</v>
      </c>
      <c r="AA1648">
        <v>1</v>
      </c>
      <c r="AB1648" t="s">
        <v>5634</v>
      </c>
      <c r="AD1648" t="s">
        <v>123</v>
      </c>
      <c r="AE1648" t="s">
        <v>86</v>
      </c>
      <c r="AF1648" t="s">
        <v>146</v>
      </c>
      <c r="AG1648" t="s">
        <v>1257</v>
      </c>
      <c r="AH1648" t="s">
        <v>6150</v>
      </c>
      <c r="AI1648" t="s">
        <v>90</v>
      </c>
      <c r="AJ1648">
        <v>32.313198</v>
      </c>
      <c r="AK1648">
        <v>-110.712913</v>
      </c>
      <c r="AL1648">
        <v>3</v>
      </c>
      <c r="AN1648">
        <v>1166</v>
      </c>
      <c r="AP1648">
        <v>1166</v>
      </c>
      <c r="AQ1648">
        <v>1172.0251989999999</v>
      </c>
      <c r="AT1648">
        <v>11</v>
      </c>
      <c r="AU1648">
        <v>12</v>
      </c>
      <c r="AV1648">
        <v>2022</v>
      </c>
      <c r="AW1648">
        <v>2439581</v>
      </c>
      <c r="AX1648">
        <v>2439581</v>
      </c>
      <c r="AY1648" t="s">
        <v>106</v>
      </c>
      <c r="AZ1648" t="s">
        <v>92</v>
      </c>
      <c r="BA1648" t="s">
        <v>107</v>
      </c>
      <c r="BB1648" t="s">
        <v>6151</v>
      </c>
      <c r="BC1648" t="s">
        <v>97</v>
      </c>
      <c r="BD1648" s="1">
        <v>44906</v>
      </c>
      <c r="BE1648" t="s">
        <v>96</v>
      </c>
      <c r="BG1648" t="s">
        <v>5504</v>
      </c>
      <c r="BI1648" t="s">
        <v>98</v>
      </c>
      <c r="BJ1648" t="s">
        <v>6152</v>
      </c>
      <c r="BL1648" t="s">
        <v>110</v>
      </c>
    </row>
    <row r="1649" spans="1:64" hidden="1" x14ac:dyDescent="0.2">
      <c r="A1649">
        <v>491</v>
      </c>
      <c r="B1649">
        <v>4136459468</v>
      </c>
      <c r="C1649" t="s">
        <v>101</v>
      </c>
      <c r="D1649" t="s">
        <v>6153</v>
      </c>
      <c r="E1649" t="s">
        <v>65</v>
      </c>
      <c r="F1649" t="s">
        <v>66</v>
      </c>
      <c r="G1649" t="s">
        <v>67</v>
      </c>
      <c r="H1649" t="s">
        <v>68</v>
      </c>
      <c r="I1649" t="s">
        <v>69</v>
      </c>
      <c r="J1649" t="s">
        <v>70</v>
      </c>
      <c r="K1649" t="s">
        <v>71</v>
      </c>
      <c r="M1649" t="s">
        <v>72</v>
      </c>
      <c r="N1649" t="s">
        <v>73</v>
      </c>
      <c r="O1649" t="s">
        <v>71</v>
      </c>
      <c r="P1649" t="s">
        <v>74</v>
      </c>
      <c r="Q1649" t="s">
        <v>75</v>
      </c>
      <c r="R1649" t="s">
        <v>5008</v>
      </c>
      <c r="S1649" t="s">
        <v>6138</v>
      </c>
      <c r="T1649" t="s">
        <v>78</v>
      </c>
      <c r="U1649" t="s">
        <v>5009</v>
      </c>
      <c r="V1649" t="s">
        <v>80</v>
      </c>
      <c r="W1649" s="1">
        <v>44906</v>
      </c>
      <c r="X1649" t="s">
        <v>5010</v>
      </c>
      <c r="Y1649" t="s">
        <v>6139</v>
      </c>
      <c r="Z1649" t="s">
        <v>83</v>
      </c>
      <c r="AA1649">
        <v>1</v>
      </c>
      <c r="AB1649" t="s">
        <v>5634</v>
      </c>
      <c r="AD1649" t="s">
        <v>139</v>
      </c>
      <c r="AE1649" t="s">
        <v>86</v>
      </c>
      <c r="AF1649" t="s">
        <v>146</v>
      </c>
      <c r="AG1649" t="s">
        <v>1257</v>
      </c>
      <c r="AH1649" t="s">
        <v>6150</v>
      </c>
      <c r="AI1649" t="s">
        <v>90</v>
      </c>
      <c r="AJ1649">
        <v>32.313198</v>
      </c>
      <c r="AK1649">
        <v>-110.712913</v>
      </c>
      <c r="AL1649">
        <v>3</v>
      </c>
      <c r="AN1649">
        <v>1166</v>
      </c>
      <c r="AP1649">
        <v>1166</v>
      </c>
      <c r="AQ1649">
        <v>1172.0251989999999</v>
      </c>
      <c r="AT1649">
        <v>11</v>
      </c>
      <c r="AU1649">
        <v>12</v>
      </c>
      <c r="AV1649">
        <v>2022</v>
      </c>
      <c r="AW1649">
        <v>2439581</v>
      </c>
      <c r="AX1649">
        <v>2439581</v>
      </c>
      <c r="AY1649" t="s">
        <v>106</v>
      </c>
      <c r="AZ1649" t="s">
        <v>92</v>
      </c>
      <c r="BA1649" t="s">
        <v>107</v>
      </c>
      <c r="BB1649" t="s">
        <v>6154</v>
      </c>
      <c r="BC1649" t="s">
        <v>97</v>
      </c>
      <c r="BD1649" s="1">
        <v>44906</v>
      </c>
      <c r="BE1649" t="s">
        <v>96</v>
      </c>
      <c r="BG1649" t="s">
        <v>5504</v>
      </c>
      <c r="BI1649" t="s">
        <v>98</v>
      </c>
      <c r="BJ1649" t="s">
        <v>6155</v>
      </c>
      <c r="BL1649" t="s">
        <v>110</v>
      </c>
    </row>
    <row r="1650" spans="1:64" hidden="1" x14ac:dyDescent="0.2">
      <c r="A1650">
        <v>486</v>
      </c>
      <c r="B1650">
        <v>4136459473</v>
      </c>
      <c r="C1650" t="s">
        <v>101</v>
      </c>
      <c r="D1650" t="s">
        <v>6156</v>
      </c>
      <c r="E1650" t="s">
        <v>65</v>
      </c>
      <c r="F1650" t="s">
        <v>66</v>
      </c>
      <c r="G1650" t="s">
        <v>67</v>
      </c>
      <c r="H1650" t="s">
        <v>68</v>
      </c>
      <c r="I1650" t="s">
        <v>69</v>
      </c>
      <c r="J1650" t="s">
        <v>70</v>
      </c>
      <c r="K1650" t="s">
        <v>71</v>
      </c>
      <c r="M1650" t="s">
        <v>72</v>
      </c>
      <c r="N1650" t="s">
        <v>73</v>
      </c>
      <c r="O1650" t="s">
        <v>71</v>
      </c>
      <c r="P1650" t="s">
        <v>74</v>
      </c>
      <c r="Q1650" t="s">
        <v>75</v>
      </c>
      <c r="R1650" t="s">
        <v>5008</v>
      </c>
      <c r="S1650" t="s">
        <v>6138</v>
      </c>
      <c r="T1650" t="s">
        <v>78</v>
      </c>
      <c r="U1650" t="s">
        <v>5009</v>
      </c>
      <c r="V1650" t="s">
        <v>80</v>
      </c>
      <c r="W1650" s="1">
        <v>44906</v>
      </c>
      <c r="X1650" t="s">
        <v>5010</v>
      </c>
      <c r="Y1650" t="s">
        <v>6139</v>
      </c>
      <c r="Z1650" t="s">
        <v>83</v>
      </c>
      <c r="AA1650">
        <v>1</v>
      </c>
      <c r="AB1650" t="s">
        <v>5634</v>
      </c>
      <c r="AD1650" t="s">
        <v>116</v>
      </c>
      <c r="AE1650" t="s">
        <v>86</v>
      </c>
      <c r="AF1650" t="s">
        <v>146</v>
      </c>
      <c r="AG1650" t="s">
        <v>1257</v>
      </c>
      <c r="AH1650" t="s">
        <v>6150</v>
      </c>
      <c r="AI1650" t="s">
        <v>90</v>
      </c>
      <c r="AJ1650">
        <v>32.313198</v>
      </c>
      <c r="AK1650">
        <v>-110.712913</v>
      </c>
      <c r="AL1650">
        <v>3</v>
      </c>
      <c r="AN1650">
        <v>1166</v>
      </c>
      <c r="AP1650">
        <v>1166</v>
      </c>
      <c r="AQ1650">
        <v>1172.0251989999999</v>
      </c>
      <c r="AT1650">
        <v>11</v>
      </c>
      <c r="AU1650">
        <v>12</v>
      </c>
      <c r="AV1650">
        <v>2022</v>
      </c>
      <c r="AW1650">
        <v>2439581</v>
      </c>
      <c r="AX1650">
        <v>2439581</v>
      </c>
      <c r="AY1650" t="s">
        <v>106</v>
      </c>
      <c r="AZ1650" t="s">
        <v>92</v>
      </c>
      <c r="BA1650" t="s">
        <v>107</v>
      </c>
      <c r="BB1650" t="s">
        <v>6157</v>
      </c>
      <c r="BC1650" t="s">
        <v>97</v>
      </c>
      <c r="BD1650" s="1">
        <v>44906</v>
      </c>
      <c r="BE1650" t="s">
        <v>96</v>
      </c>
      <c r="BG1650" t="s">
        <v>5504</v>
      </c>
      <c r="BI1650" t="s">
        <v>98</v>
      </c>
      <c r="BJ1650" t="s">
        <v>6158</v>
      </c>
      <c r="BL1650" t="s">
        <v>110</v>
      </c>
    </row>
    <row r="1651" spans="1:64" hidden="1" x14ac:dyDescent="0.2">
      <c r="A1651">
        <v>488</v>
      </c>
      <c r="B1651">
        <v>4136459471</v>
      </c>
      <c r="C1651" t="s">
        <v>101</v>
      </c>
      <c r="D1651" t="s">
        <v>6159</v>
      </c>
      <c r="E1651" t="s">
        <v>65</v>
      </c>
      <c r="F1651" t="s">
        <v>66</v>
      </c>
      <c r="G1651" t="s">
        <v>67</v>
      </c>
      <c r="H1651" t="s">
        <v>68</v>
      </c>
      <c r="I1651" t="s">
        <v>69</v>
      </c>
      <c r="J1651" t="s">
        <v>70</v>
      </c>
      <c r="K1651" t="s">
        <v>71</v>
      </c>
      <c r="M1651" t="s">
        <v>72</v>
      </c>
      <c r="N1651" t="s">
        <v>73</v>
      </c>
      <c r="O1651" t="s">
        <v>71</v>
      </c>
      <c r="P1651" t="s">
        <v>74</v>
      </c>
      <c r="Q1651" t="s">
        <v>75</v>
      </c>
      <c r="R1651" t="s">
        <v>5008</v>
      </c>
      <c r="S1651" t="s">
        <v>6138</v>
      </c>
      <c r="T1651" t="s">
        <v>78</v>
      </c>
      <c r="U1651" t="s">
        <v>5009</v>
      </c>
      <c r="V1651" t="s">
        <v>80</v>
      </c>
      <c r="W1651" s="1">
        <v>44906</v>
      </c>
      <c r="X1651" t="s">
        <v>5010</v>
      </c>
      <c r="Y1651" t="s">
        <v>6139</v>
      </c>
      <c r="Z1651" t="s">
        <v>83</v>
      </c>
      <c r="AA1651">
        <v>1</v>
      </c>
      <c r="AB1651" t="s">
        <v>5634</v>
      </c>
      <c r="AD1651" t="s">
        <v>112</v>
      </c>
      <c r="AE1651" t="s">
        <v>86</v>
      </c>
      <c r="AF1651" t="s">
        <v>146</v>
      </c>
      <c r="AG1651" t="s">
        <v>1257</v>
      </c>
      <c r="AH1651" t="s">
        <v>6150</v>
      </c>
      <c r="AI1651" t="s">
        <v>90</v>
      </c>
      <c r="AJ1651">
        <v>32.313198</v>
      </c>
      <c r="AK1651">
        <v>-110.712913</v>
      </c>
      <c r="AL1651">
        <v>3</v>
      </c>
      <c r="AN1651">
        <v>1166</v>
      </c>
      <c r="AP1651">
        <v>1166</v>
      </c>
      <c r="AQ1651">
        <v>1172.0251989999999</v>
      </c>
      <c r="AT1651">
        <v>11</v>
      </c>
      <c r="AU1651">
        <v>12</v>
      </c>
      <c r="AV1651">
        <v>2022</v>
      </c>
      <c r="AW1651">
        <v>2439581</v>
      </c>
      <c r="AX1651">
        <v>2439581</v>
      </c>
      <c r="AY1651" t="s">
        <v>106</v>
      </c>
      <c r="AZ1651" t="s">
        <v>92</v>
      </c>
      <c r="BA1651" t="s">
        <v>107</v>
      </c>
      <c r="BB1651" t="s">
        <v>6160</v>
      </c>
      <c r="BC1651" t="s">
        <v>97</v>
      </c>
      <c r="BD1651" s="1">
        <v>44906</v>
      </c>
      <c r="BE1651" t="s">
        <v>96</v>
      </c>
      <c r="BG1651" t="s">
        <v>5504</v>
      </c>
      <c r="BI1651" t="s">
        <v>98</v>
      </c>
      <c r="BJ1651" t="s">
        <v>6158</v>
      </c>
      <c r="BL1651" t="s">
        <v>110</v>
      </c>
    </row>
    <row r="1652" spans="1:64" hidden="1" x14ac:dyDescent="0.2">
      <c r="A1652">
        <v>482</v>
      </c>
      <c r="B1652">
        <v>4136459477</v>
      </c>
      <c r="C1652" t="s">
        <v>101</v>
      </c>
      <c r="D1652" t="s">
        <v>6161</v>
      </c>
      <c r="E1652" t="s">
        <v>65</v>
      </c>
      <c r="F1652" t="s">
        <v>66</v>
      </c>
      <c r="G1652" t="s">
        <v>67</v>
      </c>
      <c r="H1652" t="s">
        <v>68</v>
      </c>
      <c r="I1652" t="s">
        <v>69</v>
      </c>
      <c r="J1652" t="s">
        <v>70</v>
      </c>
      <c r="K1652" t="s">
        <v>71</v>
      </c>
      <c r="M1652" t="s">
        <v>72</v>
      </c>
      <c r="N1652" t="s">
        <v>73</v>
      </c>
      <c r="O1652" t="s">
        <v>71</v>
      </c>
      <c r="P1652" t="s">
        <v>74</v>
      </c>
      <c r="Q1652" t="s">
        <v>75</v>
      </c>
      <c r="R1652" t="s">
        <v>5008</v>
      </c>
      <c r="S1652" t="s">
        <v>6138</v>
      </c>
      <c r="T1652" t="s">
        <v>78</v>
      </c>
      <c r="U1652" t="s">
        <v>5009</v>
      </c>
      <c r="V1652" t="s">
        <v>80</v>
      </c>
      <c r="W1652" s="1">
        <v>44906</v>
      </c>
      <c r="X1652" t="s">
        <v>5010</v>
      </c>
      <c r="Y1652" t="s">
        <v>6139</v>
      </c>
      <c r="Z1652" t="s">
        <v>83</v>
      </c>
      <c r="AA1652">
        <v>1</v>
      </c>
      <c r="AB1652" t="s">
        <v>5634</v>
      </c>
      <c r="AD1652" t="s">
        <v>104</v>
      </c>
      <c r="AE1652" t="s">
        <v>86</v>
      </c>
      <c r="AF1652" t="s">
        <v>146</v>
      </c>
      <c r="AG1652" t="s">
        <v>1257</v>
      </c>
      <c r="AH1652" t="s">
        <v>6150</v>
      </c>
      <c r="AI1652" t="s">
        <v>90</v>
      </c>
      <c r="AJ1652">
        <v>32.313198</v>
      </c>
      <c r="AK1652">
        <v>-110.712913</v>
      </c>
      <c r="AL1652">
        <v>3</v>
      </c>
      <c r="AN1652">
        <v>1166</v>
      </c>
      <c r="AP1652">
        <v>1166</v>
      </c>
      <c r="AQ1652">
        <v>1172.0251989999999</v>
      </c>
      <c r="AT1652">
        <v>11</v>
      </c>
      <c r="AU1652">
        <v>12</v>
      </c>
      <c r="AV1652">
        <v>2022</v>
      </c>
      <c r="AW1652">
        <v>2439581</v>
      </c>
      <c r="AX1652">
        <v>2439581</v>
      </c>
      <c r="AY1652" t="s">
        <v>106</v>
      </c>
      <c r="AZ1652" t="s">
        <v>92</v>
      </c>
      <c r="BA1652" t="s">
        <v>107</v>
      </c>
      <c r="BB1652" t="s">
        <v>6162</v>
      </c>
      <c r="BC1652" t="s">
        <v>97</v>
      </c>
      <c r="BD1652" s="1">
        <v>44906</v>
      </c>
      <c r="BE1652" t="s">
        <v>96</v>
      </c>
      <c r="BG1652" t="s">
        <v>5504</v>
      </c>
      <c r="BI1652" t="s">
        <v>98</v>
      </c>
      <c r="BJ1652" t="s">
        <v>5854</v>
      </c>
      <c r="BL1652" t="s">
        <v>110</v>
      </c>
    </row>
    <row r="1653" spans="1:64" hidden="1" x14ac:dyDescent="0.2">
      <c r="A1653">
        <v>1558</v>
      </c>
      <c r="B1653">
        <v>3744741575</v>
      </c>
      <c r="C1653" t="s">
        <v>101</v>
      </c>
      <c r="D1653" t="s">
        <v>4234</v>
      </c>
      <c r="E1653" t="s">
        <v>65</v>
      </c>
      <c r="F1653" t="s">
        <v>66</v>
      </c>
      <c r="G1653" t="s">
        <v>67</v>
      </c>
      <c r="H1653" t="s">
        <v>68</v>
      </c>
      <c r="I1653" t="s">
        <v>69</v>
      </c>
      <c r="J1653" t="s">
        <v>70</v>
      </c>
      <c r="K1653" t="s">
        <v>4130</v>
      </c>
      <c r="M1653" t="s">
        <v>72</v>
      </c>
      <c r="N1653" t="s">
        <v>4131</v>
      </c>
      <c r="O1653" t="s">
        <v>4130</v>
      </c>
      <c r="P1653" t="s">
        <v>4132</v>
      </c>
      <c r="Q1653" t="s">
        <v>75</v>
      </c>
      <c r="R1653" t="s">
        <v>3955</v>
      </c>
      <c r="S1653" t="s">
        <v>4221</v>
      </c>
      <c r="T1653" t="s">
        <v>78</v>
      </c>
      <c r="U1653" t="s">
        <v>3817</v>
      </c>
      <c r="V1653" t="s">
        <v>80</v>
      </c>
      <c r="W1653" s="1">
        <v>44520</v>
      </c>
      <c r="X1653" t="s">
        <v>3818</v>
      </c>
      <c r="Y1653" t="s">
        <v>4222</v>
      </c>
      <c r="Z1653" t="s">
        <v>83</v>
      </c>
      <c r="AA1653">
        <v>1</v>
      </c>
      <c r="AB1653" t="s">
        <v>127</v>
      </c>
      <c r="AC1653">
        <v>1</v>
      </c>
      <c r="AD1653" t="s">
        <v>128</v>
      </c>
      <c r="AE1653" t="s">
        <v>86</v>
      </c>
      <c r="AF1653" t="s">
        <v>146</v>
      </c>
      <c r="AG1653" t="s">
        <v>4224</v>
      </c>
      <c r="AH1653" t="s">
        <v>4235</v>
      </c>
      <c r="AI1653" t="s">
        <v>90</v>
      </c>
      <c r="AJ1653">
        <v>32.516320999999998</v>
      </c>
      <c r="AK1653">
        <v>-110.686105</v>
      </c>
      <c r="AL1653">
        <v>3</v>
      </c>
      <c r="AN1653">
        <v>1351</v>
      </c>
      <c r="AP1653">
        <v>1351</v>
      </c>
      <c r="AQ1653">
        <v>1353.19453</v>
      </c>
      <c r="AT1653">
        <v>20</v>
      </c>
      <c r="AU1653">
        <v>11</v>
      </c>
      <c r="AV1653">
        <v>2021</v>
      </c>
      <c r="AW1653">
        <v>2439591</v>
      </c>
      <c r="AX1653">
        <v>2439591</v>
      </c>
      <c r="AY1653" t="s">
        <v>106</v>
      </c>
      <c r="AZ1653" t="s">
        <v>92</v>
      </c>
      <c r="BA1653" t="s">
        <v>107</v>
      </c>
      <c r="BB1653" t="s">
        <v>4236</v>
      </c>
      <c r="BC1653" t="s">
        <v>97</v>
      </c>
      <c r="BE1653" t="s">
        <v>96</v>
      </c>
      <c r="BG1653" t="s">
        <v>97</v>
      </c>
      <c r="BI1653" t="s">
        <v>98</v>
      </c>
      <c r="BJ1653" t="s">
        <v>3058</v>
      </c>
      <c r="BL1653" t="s">
        <v>110</v>
      </c>
    </row>
    <row r="1654" spans="1:64" hidden="1" x14ac:dyDescent="0.2">
      <c r="A1654">
        <v>1572</v>
      </c>
      <c r="B1654">
        <v>3744741561</v>
      </c>
      <c r="C1654" t="s">
        <v>101</v>
      </c>
      <c r="D1654" t="s">
        <v>4259</v>
      </c>
      <c r="E1654" t="s">
        <v>65</v>
      </c>
      <c r="F1654" t="s">
        <v>66</v>
      </c>
      <c r="G1654" t="s">
        <v>67</v>
      </c>
      <c r="H1654" t="s">
        <v>68</v>
      </c>
      <c r="I1654" t="s">
        <v>176</v>
      </c>
      <c r="J1654" t="s">
        <v>177</v>
      </c>
      <c r="K1654" t="s">
        <v>178</v>
      </c>
      <c r="M1654" t="s">
        <v>72</v>
      </c>
      <c r="N1654" t="s">
        <v>179</v>
      </c>
      <c r="O1654" t="s">
        <v>178</v>
      </c>
      <c r="P1654" t="s">
        <v>180</v>
      </c>
      <c r="Q1654" t="s">
        <v>75</v>
      </c>
      <c r="R1654" t="s">
        <v>3816</v>
      </c>
      <c r="S1654" t="s">
        <v>3808</v>
      </c>
      <c r="T1654" t="s">
        <v>78</v>
      </c>
      <c r="U1654" t="s">
        <v>3817</v>
      </c>
      <c r="V1654" t="s">
        <v>80</v>
      </c>
      <c r="W1654" s="1">
        <v>44520</v>
      </c>
      <c r="X1654" t="s">
        <v>3818</v>
      </c>
      <c r="Y1654" t="s">
        <v>4247</v>
      </c>
      <c r="Z1654" t="s">
        <v>83</v>
      </c>
      <c r="AA1654">
        <v>1</v>
      </c>
      <c r="AB1654" t="s">
        <v>127</v>
      </c>
      <c r="AC1654">
        <v>1</v>
      </c>
      <c r="AD1654" t="s">
        <v>128</v>
      </c>
      <c r="AE1654" t="s">
        <v>86</v>
      </c>
      <c r="AF1654" t="s">
        <v>146</v>
      </c>
      <c r="AG1654" t="s">
        <v>4249</v>
      </c>
      <c r="AH1654" t="s">
        <v>4260</v>
      </c>
      <c r="AI1654" t="s">
        <v>90</v>
      </c>
      <c r="AJ1654">
        <v>32.515689000000002</v>
      </c>
      <c r="AK1654">
        <v>-110.688412</v>
      </c>
      <c r="AL1654">
        <v>3</v>
      </c>
      <c r="AN1654">
        <v>1358</v>
      </c>
      <c r="AP1654">
        <v>1358</v>
      </c>
      <c r="AQ1654">
        <v>1367.754297</v>
      </c>
      <c r="AT1654">
        <v>20</v>
      </c>
      <c r="AU1654">
        <v>11</v>
      </c>
      <c r="AV1654">
        <v>2021</v>
      </c>
      <c r="AW1654">
        <v>2438038</v>
      </c>
      <c r="AX1654">
        <v>2438038</v>
      </c>
      <c r="AY1654" t="s">
        <v>106</v>
      </c>
      <c r="AZ1654" t="s">
        <v>92</v>
      </c>
      <c r="BA1654" t="s">
        <v>107</v>
      </c>
      <c r="BB1654" t="s">
        <v>4261</v>
      </c>
      <c r="BC1654" t="s">
        <v>97</v>
      </c>
      <c r="BE1654" t="s">
        <v>96</v>
      </c>
      <c r="BG1654" t="s">
        <v>97</v>
      </c>
      <c r="BI1654" t="s">
        <v>98</v>
      </c>
      <c r="BJ1654" t="s">
        <v>4262</v>
      </c>
      <c r="BL1654" t="s">
        <v>110</v>
      </c>
    </row>
    <row r="1655" spans="1:64" hidden="1" x14ac:dyDescent="0.2">
      <c r="A1655">
        <v>1607</v>
      </c>
      <c r="B1655">
        <v>3744741526</v>
      </c>
      <c r="C1655" t="s">
        <v>101</v>
      </c>
      <c r="D1655" t="s">
        <v>4283</v>
      </c>
      <c r="E1655" t="s">
        <v>65</v>
      </c>
      <c r="F1655" t="s">
        <v>66</v>
      </c>
      <c r="G1655" t="s">
        <v>67</v>
      </c>
      <c r="H1655" t="s">
        <v>68</v>
      </c>
      <c r="I1655" t="s">
        <v>176</v>
      </c>
      <c r="J1655" t="s">
        <v>177</v>
      </c>
      <c r="K1655" t="s">
        <v>3925</v>
      </c>
      <c r="M1655" t="s">
        <v>72</v>
      </c>
      <c r="N1655" t="s">
        <v>3926</v>
      </c>
      <c r="O1655" t="s">
        <v>3925</v>
      </c>
      <c r="P1655" t="s">
        <v>1176</v>
      </c>
      <c r="Q1655" t="s">
        <v>75</v>
      </c>
      <c r="R1655" t="s">
        <v>3816</v>
      </c>
      <c r="S1655" t="s">
        <v>4272</v>
      </c>
      <c r="T1655" t="s">
        <v>78</v>
      </c>
      <c r="U1655" t="s">
        <v>3817</v>
      </c>
      <c r="V1655" t="s">
        <v>80</v>
      </c>
      <c r="W1655" s="1">
        <v>44520</v>
      </c>
      <c r="X1655" t="s">
        <v>3818</v>
      </c>
      <c r="Y1655" t="s">
        <v>4273</v>
      </c>
      <c r="Z1655" t="s">
        <v>83</v>
      </c>
      <c r="AA1655">
        <v>1</v>
      </c>
      <c r="AB1655" t="s">
        <v>127</v>
      </c>
      <c r="AC1655">
        <v>1</v>
      </c>
      <c r="AD1655" t="s">
        <v>128</v>
      </c>
      <c r="AE1655" t="s">
        <v>86</v>
      </c>
      <c r="AF1655" t="s">
        <v>281</v>
      </c>
      <c r="AG1655" t="s">
        <v>282</v>
      </c>
      <c r="AH1655" t="s">
        <v>4284</v>
      </c>
      <c r="AI1655" t="s">
        <v>90</v>
      </c>
      <c r="AJ1655">
        <v>32.516249999999999</v>
      </c>
      <c r="AK1655">
        <v>-110.687225</v>
      </c>
      <c r="AL1655">
        <v>3</v>
      </c>
      <c r="AN1655">
        <v>1348</v>
      </c>
      <c r="AP1655">
        <v>1348</v>
      </c>
      <c r="AQ1655">
        <v>1364.514999</v>
      </c>
      <c r="AT1655">
        <v>20</v>
      </c>
      <c r="AU1655">
        <v>11</v>
      </c>
      <c r="AV1655">
        <v>2021</v>
      </c>
      <c r="AW1655">
        <v>2437981</v>
      </c>
      <c r="AX1655">
        <v>2437981</v>
      </c>
      <c r="AY1655" t="s">
        <v>106</v>
      </c>
      <c r="AZ1655" t="s">
        <v>92</v>
      </c>
      <c r="BA1655" t="s">
        <v>107</v>
      </c>
      <c r="BB1655" t="s">
        <v>4285</v>
      </c>
      <c r="BC1655" t="s">
        <v>97</v>
      </c>
      <c r="BE1655" t="s">
        <v>96</v>
      </c>
      <c r="BG1655" t="s">
        <v>97</v>
      </c>
      <c r="BI1655" t="s">
        <v>98</v>
      </c>
      <c r="BJ1655" t="s">
        <v>4286</v>
      </c>
      <c r="BL1655" t="s">
        <v>110</v>
      </c>
    </row>
    <row r="1656" spans="1:64" hidden="1" x14ac:dyDescent="0.2">
      <c r="A1656">
        <v>1616</v>
      </c>
      <c r="B1656">
        <v>3744741517</v>
      </c>
      <c r="C1656" t="s">
        <v>101</v>
      </c>
      <c r="D1656" t="s">
        <v>126</v>
      </c>
      <c r="E1656" t="s">
        <v>65</v>
      </c>
      <c r="F1656" t="s">
        <v>66</v>
      </c>
      <c r="G1656" t="s">
        <v>67</v>
      </c>
      <c r="H1656" t="s">
        <v>68</v>
      </c>
      <c r="I1656" t="s">
        <v>69</v>
      </c>
      <c r="J1656" t="s">
        <v>70</v>
      </c>
      <c r="K1656" t="s">
        <v>71</v>
      </c>
      <c r="M1656" t="s">
        <v>72</v>
      </c>
      <c r="N1656" t="s">
        <v>73</v>
      </c>
      <c r="O1656" t="s">
        <v>71</v>
      </c>
      <c r="P1656" t="s">
        <v>74</v>
      </c>
      <c r="Q1656" t="s">
        <v>75</v>
      </c>
      <c r="R1656" t="s">
        <v>76</v>
      </c>
      <c r="S1656" t="s">
        <v>77</v>
      </c>
      <c r="T1656" t="s">
        <v>78</v>
      </c>
      <c r="U1656" t="s">
        <v>79</v>
      </c>
      <c r="V1656" t="s">
        <v>80</v>
      </c>
      <c r="W1656" s="1">
        <v>44520</v>
      </c>
      <c r="X1656" t="s">
        <v>81</v>
      </c>
      <c r="Y1656" t="s">
        <v>82</v>
      </c>
      <c r="Z1656" t="s">
        <v>83</v>
      </c>
      <c r="AA1656">
        <v>1</v>
      </c>
      <c r="AB1656" t="s">
        <v>127</v>
      </c>
      <c r="AC1656">
        <v>1</v>
      </c>
      <c r="AD1656" t="s">
        <v>128</v>
      </c>
      <c r="AE1656" t="s">
        <v>86</v>
      </c>
      <c r="AF1656" t="s">
        <v>87</v>
      </c>
      <c r="AG1656" t="s">
        <v>88</v>
      </c>
      <c r="AH1656" t="s">
        <v>129</v>
      </c>
      <c r="AI1656" t="s">
        <v>90</v>
      </c>
      <c r="AJ1656">
        <v>32.500143999999999</v>
      </c>
      <c r="AK1656">
        <v>-110.68186300000001</v>
      </c>
      <c r="AL1656">
        <v>3</v>
      </c>
      <c r="AN1656">
        <v>1322</v>
      </c>
      <c r="AP1656">
        <v>1322</v>
      </c>
      <c r="AQ1656">
        <v>1322.4087910000001</v>
      </c>
      <c r="AT1656">
        <v>20</v>
      </c>
      <c r="AU1656">
        <v>11</v>
      </c>
      <c r="AV1656">
        <v>2021</v>
      </c>
      <c r="AW1656">
        <v>2439581</v>
      </c>
      <c r="AX1656">
        <v>2439581</v>
      </c>
      <c r="AY1656" t="s">
        <v>106</v>
      </c>
      <c r="AZ1656" t="s">
        <v>92</v>
      </c>
      <c r="BA1656" t="s">
        <v>107</v>
      </c>
      <c r="BB1656" t="s">
        <v>130</v>
      </c>
      <c r="BC1656" t="s">
        <v>95</v>
      </c>
      <c r="BD1656" s="1">
        <v>45126</v>
      </c>
      <c r="BE1656" t="s">
        <v>96</v>
      </c>
      <c r="BG1656" t="s">
        <v>97</v>
      </c>
      <c r="BI1656" t="s">
        <v>98</v>
      </c>
      <c r="BJ1656" t="s">
        <v>131</v>
      </c>
      <c r="BL1656" t="s">
        <v>110</v>
      </c>
    </row>
    <row r="1657" spans="1:64" hidden="1" x14ac:dyDescent="0.2">
      <c r="A1657">
        <v>1624</v>
      </c>
      <c r="B1657">
        <v>3744741509</v>
      </c>
      <c r="C1657" t="s">
        <v>101</v>
      </c>
      <c r="D1657" t="s">
        <v>166</v>
      </c>
      <c r="E1657" t="s">
        <v>65</v>
      </c>
      <c r="F1657" t="s">
        <v>66</v>
      </c>
      <c r="G1657" t="s">
        <v>67</v>
      </c>
      <c r="H1657" t="s">
        <v>68</v>
      </c>
      <c r="I1657" t="s">
        <v>69</v>
      </c>
      <c r="J1657" t="s">
        <v>70</v>
      </c>
      <c r="K1657" t="s">
        <v>71</v>
      </c>
      <c r="M1657" t="s">
        <v>72</v>
      </c>
      <c r="N1657" t="s">
        <v>73</v>
      </c>
      <c r="O1657" t="s">
        <v>71</v>
      </c>
      <c r="P1657" t="s">
        <v>74</v>
      </c>
      <c r="Q1657" t="s">
        <v>75</v>
      </c>
      <c r="R1657" t="s">
        <v>76</v>
      </c>
      <c r="S1657" t="s">
        <v>142</v>
      </c>
      <c r="T1657" t="s">
        <v>78</v>
      </c>
      <c r="U1657" t="s">
        <v>79</v>
      </c>
      <c r="V1657" t="s">
        <v>80</v>
      </c>
      <c r="W1657" s="1">
        <v>44520</v>
      </c>
      <c r="X1657" t="s">
        <v>81</v>
      </c>
      <c r="Y1657" t="s">
        <v>143</v>
      </c>
      <c r="Z1657" t="s">
        <v>83</v>
      </c>
      <c r="AA1657">
        <v>1</v>
      </c>
      <c r="AB1657" t="s">
        <v>127</v>
      </c>
      <c r="AC1657">
        <v>1</v>
      </c>
      <c r="AD1657" t="s">
        <v>128</v>
      </c>
      <c r="AE1657" t="s">
        <v>145</v>
      </c>
      <c r="AF1657" t="s">
        <v>146</v>
      </c>
      <c r="AG1657" t="s">
        <v>152</v>
      </c>
      <c r="AH1657" t="s">
        <v>167</v>
      </c>
      <c r="AI1657" t="s">
        <v>90</v>
      </c>
      <c r="AJ1657">
        <v>32.499198</v>
      </c>
      <c r="AK1657">
        <v>-110.681755</v>
      </c>
      <c r="AL1657">
        <v>3</v>
      </c>
      <c r="AN1657">
        <v>1318</v>
      </c>
      <c r="AP1657">
        <v>1318</v>
      </c>
      <c r="AQ1657">
        <v>1314.712929</v>
      </c>
      <c r="AT1657">
        <v>20</v>
      </c>
      <c r="AU1657">
        <v>11</v>
      </c>
      <c r="AV1657">
        <v>2021</v>
      </c>
      <c r="AW1657">
        <v>2439581</v>
      </c>
      <c r="AX1657">
        <v>2439581</v>
      </c>
      <c r="AY1657" t="s">
        <v>106</v>
      </c>
      <c r="AZ1657" t="s">
        <v>92</v>
      </c>
      <c r="BA1657" t="s">
        <v>107</v>
      </c>
      <c r="BB1657" t="s">
        <v>168</v>
      </c>
      <c r="BC1657" t="s">
        <v>97</v>
      </c>
      <c r="BE1657" t="s">
        <v>96</v>
      </c>
      <c r="BG1657" t="s">
        <v>97</v>
      </c>
      <c r="BI1657" t="s">
        <v>98</v>
      </c>
      <c r="BJ1657" t="s">
        <v>161</v>
      </c>
      <c r="BL1657" t="s">
        <v>110</v>
      </c>
    </row>
    <row r="1658" spans="1:64" hidden="1" x14ac:dyDescent="0.2">
      <c r="A1658">
        <v>1637</v>
      </c>
      <c r="B1658">
        <v>3744741496</v>
      </c>
      <c r="C1658" t="s">
        <v>101</v>
      </c>
      <c r="D1658" t="s">
        <v>195</v>
      </c>
      <c r="E1658" t="s">
        <v>65</v>
      </c>
      <c r="F1658" t="s">
        <v>66</v>
      </c>
      <c r="G1658" t="s">
        <v>67</v>
      </c>
      <c r="H1658" t="s">
        <v>68</v>
      </c>
      <c r="I1658" t="s">
        <v>176</v>
      </c>
      <c r="J1658" t="s">
        <v>177</v>
      </c>
      <c r="K1658" t="s">
        <v>178</v>
      </c>
      <c r="M1658" t="s">
        <v>72</v>
      </c>
      <c r="N1658" t="s">
        <v>179</v>
      </c>
      <c r="O1658" t="s">
        <v>178</v>
      </c>
      <c r="P1658" t="s">
        <v>180</v>
      </c>
      <c r="Q1658" t="s">
        <v>75</v>
      </c>
      <c r="R1658" t="s">
        <v>76</v>
      </c>
      <c r="S1658" t="s">
        <v>181</v>
      </c>
      <c r="T1658" t="s">
        <v>78</v>
      </c>
      <c r="U1658" t="s">
        <v>79</v>
      </c>
      <c r="V1658" t="s">
        <v>80</v>
      </c>
      <c r="W1658" s="1">
        <v>44520</v>
      </c>
      <c r="X1658" t="s">
        <v>81</v>
      </c>
      <c r="Y1658" t="s">
        <v>182</v>
      </c>
      <c r="Z1658" t="s">
        <v>83</v>
      </c>
      <c r="AA1658">
        <v>1</v>
      </c>
      <c r="AB1658" t="s">
        <v>127</v>
      </c>
      <c r="AC1658">
        <v>1</v>
      </c>
      <c r="AD1658" t="s">
        <v>128</v>
      </c>
      <c r="AE1658" t="s">
        <v>86</v>
      </c>
      <c r="AF1658" t="s">
        <v>146</v>
      </c>
      <c r="AG1658" t="s">
        <v>184</v>
      </c>
      <c r="AH1658" t="s">
        <v>196</v>
      </c>
      <c r="AI1658" t="s">
        <v>90</v>
      </c>
      <c r="AJ1658">
        <v>32.500329000000001</v>
      </c>
      <c r="AK1658">
        <v>-110.68177799999999</v>
      </c>
      <c r="AL1658">
        <v>3</v>
      </c>
      <c r="AN1658">
        <v>1318</v>
      </c>
      <c r="AP1658">
        <v>1318</v>
      </c>
      <c r="AQ1658">
        <v>1325.0239079999999</v>
      </c>
      <c r="AT1658">
        <v>20</v>
      </c>
      <c r="AU1658">
        <v>11</v>
      </c>
      <c r="AV1658">
        <v>2021</v>
      </c>
      <c r="AW1658">
        <v>2438038</v>
      </c>
      <c r="AX1658">
        <v>2438038</v>
      </c>
      <c r="AY1658" t="s">
        <v>106</v>
      </c>
      <c r="AZ1658" t="s">
        <v>92</v>
      </c>
      <c r="BA1658" t="s">
        <v>107</v>
      </c>
      <c r="BB1658" t="s">
        <v>197</v>
      </c>
      <c r="BC1658" t="s">
        <v>97</v>
      </c>
      <c r="BE1658" t="s">
        <v>96</v>
      </c>
      <c r="BG1658" t="s">
        <v>97</v>
      </c>
      <c r="BI1658" t="s">
        <v>98</v>
      </c>
      <c r="BJ1658" t="s">
        <v>198</v>
      </c>
      <c r="BL1658" t="s">
        <v>110</v>
      </c>
    </row>
    <row r="1659" spans="1:64" hidden="1" x14ac:dyDescent="0.2">
      <c r="A1659">
        <v>1653</v>
      </c>
      <c r="B1659">
        <v>3744741480</v>
      </c>
      <c r="C1659" t="s">
        <v>101</v>
      </c>
      <c r="D1659" t="s">
        <v>234</v>
      </c>
      <c r="E1659" t="s">
        <v>65</v>
      </c>
      <c r="F1659" t="s">
        <v>66</v>
      </c>
      <c r="G1659" t="s">
        <v>67</v>
      </c>
      <c r="H1659" t="s">
        <v>68</v>
      </c>
      <c r="I1659" t="s">
        <v>176</v>
      </c>
      <c r="J1659" t="s">
        <v>177</v>
      </c>
      <c r="K1659" t="s">
        <v>178</v>
      </c>
      <c r="M1659" t="s">
        <v>72</v>
      </c>
      <c r="N1659" t="s">
        <v>179</v>
      </c>
      <c r="O1659" t="s">
        <v>178</v>
      </c>
      <c r="P1659" t="s">
        <v>180</v>
      </c>
      <c r="Q1659" t="s">
        <v>75</v>
      </c>
      <c r="R1659" t="s">
        <v>76</v>
      </c>
      <c r="S1659" t="s">
        <v>211</v>
      </c>
      <c r="T1659" t="s">
        <v>78</v>
      </c>
      <c r="U1659" t="s">
        <v>79</v>
      </c>
      <c r="V1659" t="s">
        <v>80</v>
      </c>
      <c r="W1659" s="1">
        <v>44520</v>
      </c>
      <c r="X1659" t="s">
        <v>81</v>
      </c>
      <c r="Y1659" t="s">
        <v>212</v>
      </c>
      <c r="Z1659" t="s">
        <v>83</v>
      </c>
      <c r="AA1659">
        <v>1</v>
      </c>
      <c r="AB1659" t="s">
        <v>127</v>
      </c>
      <c r="AC1659">
        <v>1</v>
      </c>
      <c r="AD1659" t="s">
        <v>128</v>
      </c>
      <c r="AE1659" t="s">
        <v>145</v>
      </c>
      <c r="AF1659" t="s">
        <v>146</v>
      </c>
      <c r="AG1659" t="s">
        <v>218</v>
      </c>
      <c r="AH1659" t="s">
        <v>235</v>
      </c>
      <c r="AI1659" t="s">
        <v>90</v>
      </c>
      <c r="AJ1659">
        <v>32.500371999999999</v>
      </c>
      <c r="AK1659">
        <v>-110.681731</v>
      </c>
      <c r="AL1659">
        <v>3</v>
      </c>
      <c r="AN1659">
        <v>1311</v>
      </c>
      <c r="AP1659">
        <v>1311</v>
      </c>
      <c r="AQ1659">
        <v>1326.16976</v>
      </c>
      <c r="AT1659">
        <v>20</v>
      </c>
      <c r="AU1659">
        <v>11</v>
      </c>
      <c r="AV1659">
        <v>2021</v>
      </c>
      <c r="AW1659">
        <v>2438038</v>
      </c>
      <c r="AX1659">
        <v>2438038</v>
      </c>
      <c r="AY1659" t="s">
        <v>106</v>
      </c>
      <c r="AZ1659" t="s">
        <v>92</v>
      </c>
      <c r="BA1659" t="s">
        <v>107</v>
      </c>
      <c r="BB1659" t="s">
        <v>236</v>
      </c>
      <c r="BC1659" t="s">
        <v>97</v>
      </c>
      <c r="BE1659" t="s">
        <v>96</v>
      </c>
      <c r="BG1659" t="s">
        <v>97</v>
      </c>
      <c r="BI1659" t="s">
        <v>98</v>
      </c>
      <c r="BJ1659" t="s">
        <v>224</v>
      </c>
      <c r="BL1659" t="s">
        <v>110</v>
      </c>
    </row>
    <row r="1660" spans="1:64" hidden="1" x14ac:dyDescent="0.2">
      <c r="A1660">
        <v>1669</v>
      </c>
      <c r="B1660">
        <v>3744741464</v>
      </c>
      <c r="C1660" t="s">
        <v>101</v>
      </c>
      <c r="D1660" t="s">
        <v>261</v>
      </c>
      <c r="E1660" t="s">
        <v>65</v>
      </c>
      <c r="F1660" t="s">
        <v>66</v>
      </c>
      <c r="G1660" t="s">
        <v>67</v>
      </c>
      <c r="H1660" t="s">
        <v>68</v>
      </c>
      <c r="I1660" t="s">
        <v>69</v>
      </c>
      <c r="J1660" t="s">
        <v>70</v>
      </c>
      <c r="K1660" t="s">
        <v>71</v>
      </c>
      <c r="M1660" t="s">
        <v>72</v>
      </c>
      <c r="N1660" t="s">
        <v>73</v>
      </c>
      <c r="O1660" t="s">
        <v>71</v>
      </c>
      <c r="P1660" t="s">
        <v>74</v>
      </c>
      <c r="Q1660" t="s">
        <v>75</v>
      </c>
      <c r="R1660" t="s">
        <v>76</v>
      </c>
      <c r="S1660" t="s">
        <v>245</v>
      </c>
      <c r="T1660" t="s">
        <v>78</v>
      </c>
      <c r="U1660" t="s">
        <v>79</v>
      </c>
      <c r="V1660" t="s">
        <v>80</v>
      </c>
      <c r="W1660" s="1">
        <v>44521</v>
      </c>
      <c r="X1660" t="s">
        <v>81</v>
      </c>
      <c r="Y1660" t="s">
        <v>246</v>
      </c>
      <c r="Z1660" t="s">
        <v>83</v>
      </c>
      <c r="AA1660">
        <v>1</v>
      </c>
      <c r="AB1660" t="s">
        <v>127</v>
      </c>
      <c r="AC1660">
        <v>1</v>
      </c>
      <c r="AD1660" t="s">
        <v>128</v>
      </c>
      <c r="AE1660" t="s">
        <v>145</v>
      </c>
      <c r="AF1660" t="s">
        <v>87</v>
      </c>
      <c r="AG1660" t="s">
        <v>253</v>
      </c>
      <c r="AH1660" t="s">
        <v>262</v>
      </c>
      <c r="AI1660" t="s">
        <v>90</v>
      </c>
      <c r="AJ1660">
        <v>32.500216999999999</v>
      </c>
      <c r="AK1660">
        <v>-110.68151</v>
      </c>
      <c r="AL1660">
        <v>3</v>
      </c>
      <c r="AN1660">
        <v>1281</v>
      </c>
      <c r="AP1660">
        <v>1281</v>
      </c>
      <c r="AQ1660">
        <v>1326.348197</v>
      </c>
      <c r="AT1660">
        <v>21</v>
      </c>
      <c r="AU1660">
        <v>11</v>
      </c>
      <c r="AV1660">
        <v>2021</v>
      </c>
      <c r="AW1660">
        <v>2439581</v>
      </c>
      <c r="AX1660">
        <v>2439581</v>
      </c>
      <c r="AY1660" t="s">
        <v>106</v>
      </c>
      <c r="AZ1660" t="s">
        <v>92</v>
      </c>
      <c r="BA1660" t="s">
        <v>107</v>
      </c>
      <c r="BB1660" t="s">
        <v>263</v>
      </c>
      <c r="BC1660" t="s">
        <v>97</v>
      </c>
      <c r="BE1660" t="s">
        <v>96</v>
      </c>
      <c r="BG1660" t="s">
        <v>97</v>
      </c>
      <c r="BI1660" t="s">
        <v>98</v>
      </c>
      <c r="BJ1660" t="s">
        <v>260</v>
      </c>
      <c r="BL1660" t="s">
        <v>110</v>
      </c>
    </row>
    <row r="1661" spans="1:64" hidden="1" x14ac:dyDescent="0.2">
      <c r="A1661">
        <v>1692</v>
      </c>
      <c r="B1661">
        <v>3744741441</v>
      </c>
      <c r="C1661" t="s">
        <v>101</v>
      </c>
      <c r="D1661" t="s">
        <v>303</v>
      </c>
      <c r="E1661" t="s">
        <v>65</v>
      </c>
      <c r="F1661" t="s">
        <v>66</v>
      </c>
      <c r="G1661" t="s">
        <v>67</v>
      </c>
      <c r="H1661" t="s">
        <v>68</v>
      </c>
      <c r="I1661" t="s">
        <v>176</v>
      </c>
      <c r="J1661" t="s">
        <v>177</v>
      </c>
      <c r="K1661" t="s">
        <v>178</v>
      </c>
      <c r="M1661" t="s">
        <v>72</v>
      </c>
      <c r="N1661" t="s">
        <v>179</v>
      </c>
      <c r="O1661" t="s">
        <v>178</v>
      </c>
      <c r="P1661" t="s">
        <v>180</v>
      </c>
      <c r="Q1661" t="s">
        <v>75</v>
      </c>
      <c r="R1661" t="s">
        <v>287</v>
      </c>
      <c r="S1661" t="s">
        <v>278</v>
      </c>
      <c r="T1661" t="s">
        <v>78</v>
      </c>
      <c r="U1661" t="s">
        <v>79</v>
      </c>
      <c r="V1661" t="s">
        <v>80</v>
      </c>
      <c r="W1661" s="1">
        <v>44521</v>
      </c>
      <c r="X1661" t="s">
        <v>81</v>
      </c>
      <c r="Y1661" t="s">
        <v>279</v>
      </c>
      <c r="Z1661" t="s">
        <v>83</v>
      </c>
      <c r="AA1661">
        <v>1</v>
      </c>
      <c r="AB1661" t="s">
        <v>127</v>
      </c>
      <c r="AC1661">
        <v>1</v>
      </c>
      <c r="AD1661" t="s">
        <v>128</v>
      </c>
      <c r="AE1661" t="s">
        <v>86</v>
      </c>
      <c r="AF1661" t="s">
        <v>281</v>
      </c>
      <c r="AG1661" t="s">
        <v>282</v>
      </c>
      <c r="AH1661" t="s">
        <v>304</v>
      </c>
      <c r="AI1661" t="s">
        <v>90</v>
      </c>
      <c r="AJ1661">
        <v>32.501477999999999</v>
      </c>
      <c r="AK1661">
        <v>-110.682596</v>
      </c>
      <c r="AL1661">
        <v>3</v>
      </c>
      <c r="AN1661">
        <v>1318</v>
      </c>
      <c r="AP1661">
        <v>1318</v>
      </c>
      <c r="AQ1661">
        <v>1332.8139309999999</v>
      </c>
      <c r="AT1661">
        <v>21</v>
      </c>
      <c r="AU1661">
        <v>11</v>
      </c>
      <c r="AV1661">
        <v>2021</v>
      </c>
      <c r="AW1661">
        <v>2438038</v>
      </c>
      <c r="AX1661">
        <v>2438038</v>
      </c>
      <c r="AY1661" t="s">
        <v>106</v>
      </c>
      <c r="AZ1661" t="s">
        <v>92</v>
      </c>
      <c r="BA1661" t="s">
        <v>107</v>
      </c>
      <c r="BB1661" t="s">
        <v>305</v>
      </c>
      <c r="BC1661" t="s">
        <v>95</v>
      </c>
      <c r="BD1661" s="1">
        <v>45126</v>
      </c>
      <c r="BE1661" t="s">
        <v>96</v>
      </c>
      <c r="BG1661" t="s">
        <v>97</v>
      </c>
      <c r="BI1661" t="s">
        <v>98</v>
      </c>
      <c r="BJ1661" t="s">
        <v>306</v>
      </c>
      <c r="BL1661" t="s">
        <v>110</v>
      </c>
    </row>
    <row r="1662" spans="1:64" hidden="1" x14ac:dyDescent="0.2">
      <c r="A1662">
        <v>1710</v>
      </c>
      <c r="B1662">
        <v>3744741423</v>
      </c>
      <c r="C1662" t="s">
        <v>101</v>
      </c>
      <c r="D1662" t="s">
        <v>4315</v>
      </c>
      <c r="E1662" t="s">
        <v>65</v>
      </c>
      <c r="F1662" t="s">
        <v>66</v>
      </c>
      <c r="G1662" t="s">
        <v>67</v>
      </c>
      <c r="H1662" t="s">
        <v>68</v>
      </c>
      <c r="I1662" t="s">
        <v>176</v>
      </c>
      <c r="J1662" t="s">
        <v>177</v>
      </c>
      <c r="K1662" t="s">
        <v>3925</v>
      </c>
      <c r="M1662" t="s">
        <v>72</v>
      </c>
      <c r="N1662" t="s">
        <v>3926</v>
      </c>
      <c r="O1662" t="s">
        <v>3925</v>
      </c>
      <c r="P1662" t="s">
        <v>1176</v>
      </c>
      <c r="Q1662" t="s">
        <v>75</v>
      </c>
      <c r="R1662" t="s">
        <v>4297</v>
      </c>
      <c r="S1662" t="s">
        <v>4304</v>
      </c>
      <c r="T1662" t="s">
        <v>78</v>
      </c>
      <c r="U1662" t="s">
        <v>79</v>
      </c>
      <c r="V1662" t="s">
        <v>80</v>
      </c>
      <c r="W1662" s="1">
        <v>44521</v>
      </c>
      <c r="X1662" t="s">
        <v>81</v>
      </c>
      <c r="Y1662" t="s">
        <v>4305</v>
      </c>
      <c r="Z1662" t="s">
        <v>83</v>
      </c>
      <c r="AA1662">
        <v>1</v>
      </c>
      <c r="AB1662" t="s">
        <v>127</v>
      </c>
      <c r="AC1662">
        <v>1</v>
      </c>
      <c r="AD1662" t="s">
        <v>128</v>
      </c>
      <c r="AE1662" t="s">
        <v>86</v>
      </c>
      <c r="AF1662" t="s">
        <v>146</v>
      </c>
      <c r="AG1662" t="s">
        <v>4307</v>
      </c>
      <c r="AH1662" t="s">
        <v>4316</v>
      </c>
      <c r="AI1662" t="s">
        <v>90</v>
      </c>
      <c r="AJ1662">
        <v>32.499819000000002</v>
      </c>
      <c r="AK1662">
        <v>-110.68379899999999</v>
      </c>
      <c r="AL1662">
        <v>3</v>
      </c>
      <c r="AN1662">
        <v>1332</v>
      </c>
      <c r="AP1662">
        <v>1332</v>
      </c>
      <c r="AQ1662">
        <v>1335.8770300000001</v>
      </c>
      <c r="AT1662">
        <v>21</v>
      </c>
      <c r="AU1662">
        <v>11</v>
      </c>
      <c r="AV1662">
        <v>2021</v>
      </c>
      <c r="AW1662">
        <v>2437981</v>
      </c>
      <c r="AX1662">
        <v>2437981</v>
      </c>
      <c r="AY1662" t="s">
        <v>106</v>
      </c>
      <c r="AZ1662" t="s">
        <v>92</v>
      </c>
      <c r="BA1662" t="s">
        <v>107</v>
      </c>
      <c r="BB1662" t="s">
        <v>4317</v>
      </c>
      <c r="BC1662" t="s">
        <v>97</v>
      </c>
      <c r="BE1662" t="s">
        <v>96</v>
      </c>
      <c r="BG1662" t="s">
        <v>97</v>
      </c>
      <c r="BI1662" t="s">
        <v>98</v>
      </c>
      <c r="BJ1662" t="s">
        <v>2587</v>
      </c>
      <c r="BL1662" t="s">
        <v>110</v>
      </c>
    </row>
    <row r="1663" spans="1:64" hidden="1" x14ac:dyDescent="0.2">
      <c r="A1663">
        <v>1734</v>
      </c>
      <c r="B1663">
        <v>3744741399</v>
      </c>
      <c r="C1663" t="s">
        <v>101</v>
      </c>
      <c r="D1663" s="2" t="s">
        <v>4351</v>
      </c>
      <c r="E1663" t="s">
        <v>65</v>
      </c>
      <c r="F1663" t="s">
        <v>66</v>
      </c>
      <c r="G1663" t="s">
        <v>67</v>
      </c>
      <c r="H1663" t="s">
        <v>68</v>
      </c>
      <c r="I1663" t="s">
        <v>176</v>
      </c>
      <c r="J1663" t="s">
        <v>3844</v>
      </c>
      <c r="K1663" t="s">
        <v>3845</v>
      </c>
      <c r="M1663" t="s">
        <v>72</v>
      </c>
      <c r="N1663" t="s">
        <v>3846</v>
      </c>
      <c r="O1663" t="s">
        <v>3845</v>
      </c>
      <c r="P1663" t="s">
        <v>3847</v>
      </c>
      <c r="Q1663" t="s">
        <v>75</v>
      </c>
      <c r="R1663" t="s">
        <v>4297</v>
      </c>
      <c r="S1663" t="s">
        <v>4330</v>
      </c>
      <c r="T1663" t="s">
        <v>78</v>
      </c>
      <c r="U1663" t="s">
        <v>79</v>
      </c>
      <c r="V1663" t="s">
        <v>80</v>
      </c>
      <c r="W1663" s="1">
        <v>44521</v>
      </c>
      <c r="X1663" t="s">
        <v>81</v>
      </c>
      <c r="Y1663" t="s">
        <v>4331</v>
      </c>
      <c r="Z1663" t="s">
        <v>83</v>
      </c>
      <c r="AA1663">
        <v>1</v>
      </c>
      <c r="AB1663" t="s">
        <v>127</v>
      </c>
      <c r="AC1663">
        <v>1</v>
      </c>
      <c r="AD1663" t="s">
        <v>128</v>
      </c>
      <c r="AE1663" t="s">
        <v>86</v>
      </c>
      <c r="AF1663" t="s">
        <v>146</v>
      </c>
      <c r="AG1663" t="s">
        <v>4333</v>
      </c>
      <c r="AH1663" t="s">
        <v>4352</v>
      </c>
      <c r="AI1663" t="s">
        <v>90</v>
      </c>
      <c r="AJ1663">
        <v>32.499566000000002</v>
      </c>
      <c r="AK1663">
        <v>-110.684054</v>
      </c>
      <c r="AL1663">
        <v>3</v>
      </c>
      <c r="AN1663">
        <v>1343</v>
      </c>
      <c r="AP1663">
        <v>1343</v>
      </c>
      <c r="AQ1663">
        <v>1339.2074190000001</v>
      </c>
      <c r="AT1663">
        <v>21</v>
      </c>
      <c r="AU1663">
        <v>11</v>
      </c>
      <c r="AV1663">
        <v>2021</v>
      </c>
      <c r="AW1663">
        <v>2438516</v>
      </c>
      <c r="AX1663">
        <v>2438516</v>
      </c>
      <c r="AY1663" t="s">
        <v>106</v>
      </c>
      <c r="AZ1663" t="s">
        <v>92</v>
      </c>
      <c r="BA1663" t="s">
        <v>107</v>
      </c>
      <c r="BB1663" t="s">
        <v>4353</v>
      </c>
      <c r="BC1663" t="s">
        <v>97</v>
      </c>
      <c r="BE1663" t="s">
        <v>96</v>
      </c>
      <c r="BG1663" t="s">
        <v>97</v>
      </c>
      <c r="BI1663" t="s">
        <v>98</v>
      </c>
      <c r="BJ1663" t="s">
        <v>4346</v>
      </c>
      <c r="BL1663" t="s">
        <v>110</v>
      </c>
    </row>
    <row r="1664" spans="1:64" hidden="1" x14ac:dyDescent="0.2">
      <c r="A1664">
        <v>1758</v>
      </c>
      <c r="B1664">
        <v>3744741375</v>
      </c>
      <c r="C1664" t="s">
        <v>101</v>
      </c>
      <c r="D1664" t="s">
        <v>4378</v>
      </c>
      <c r="E1664" t="s">
        <v>65</v>
      </c>
      <c r="F1664" t="s">
        <v>66</v>
      </c>
      <c r="G1664" t="s">
        <v>67</v>
      </c>
      <c r="H1664" t="s">
        <v>68</v>
      </c>
      <c r="I1664" t="s">
        <v>176</v>
      </c>
      <c r="J1664" t="s">
        <v>3844</v>
      </c>
      <c r="K1664" t="s">
        <v>3845</v>
      </c>
      <c r="M1664" t="s">
        <v>72</v>
      </c>
      <c r="N1664" t="s">
        <v>3846</v>
      </c>
      <c r="O1664" t="s">
        <v>3845</v>
      </c>
      <c r="P1664" t="s">
        <v>3847</v>
      </c>
      <c r="Q1664" t="s">
        <v>75</v>
      </c>
      <c r="R1664" t="s">
        <v>4297</v>
      </c>
      <c r="S1664" t="s">
        <v>4362</v>
      </c>
      <c r="T1664" t="s">
        <v>78</v>
      </c>
      <c r="U1664" t="s">
        <v>79</v>
      </c>
      <c r="V1664" t="s">
        <v>80</v>
      </c>
      <c r="W1664" s="1">
        <v>44521</v>
      </c>
      <c r="X1664" t="s">
        <v>81</v>
      </c>
      <c r="Y1664" t="s">
        <v>4363</v>
      </c>
      <c r="Z1664" t="s">
        <v>83</v>
      </c>
      <c r="AA1664">
        <v>1</v>
      </c>
      <c r="AB1664" t="s">
        <v>127</v>
      </c>
      <c r="AC1664">
        <v>1</v>
      </c>
      <c r="AD1664" t="s">
        <v>128</v>
      </c>
      <c r="AE1664" t="s">
        <v>145</v>
      </c>
      <c r="AF1664" t="s">
        <v>146</v>
      </c>
      <c r="AG1664" t="s">
        <v>4369</v>
      </c>
      <c r="AH1664" t="s">
        <v>4379</v>
      </c>
      <c r="AI1664" t="s">
        <v>90</v>
      </c>
      <c r="AJ1664">
        <v>32.499609999999997</v>
      </c>
      <c r="AK1664">
        <v>-110.684066</v>
      </c>
      <c r="AL1664">
        <v>3</v>
      </c>
      <c r="AN1664">
        <v>1337</v>
      </c>
      <c r="AP1664">
        <v>1337</v>
      </c>
      <c r="AQ1664">
        <v>1338.972019</v>
      </c>
      <c r="AT1664">
        <v>21</v>
      </c>
      <c r="AU1664">
        <v>11</v>
      </c>
      <c r="AV1664">
        <v>2021</v>
      </c>
      <c r="AW1664">
        <v>2438516</v>
      </c>
      <c r="AX1664">
        <v>2438516</v>
      </c>
      <c r="AY1664" t="s">
        <v>106</v>
      </c>
      <c r="AZ1664" t="s">
        <v>92</v>
      </c>
      <c r="BA1664" t="s">
        <v>107</v>
      </c>
      <c r="BB1664" t="s">
        <v>4380</v>
      </c>
      <c r="BC1664" t="s">
        <v>97</v>
      </c>
      <c r="BE1664" t="s">
        <v>96</v>
      </c>
      <c r="BG1664" t="s">
        <v>97</v>
      </c>
      <c r="BI1664" t="s">
        <v>98</v>
      </c>
      <c r="BJ1664" t="s">
        <v>2669</v>
      </c>
      <c r="BL1664" t="s">
        <v>110</v>
      </c>
    </row>
    <row r="1665" spans="1:64" hidden="1" x14ac:dyDescent="0.2">
      <c r="A1665">
        <v>1490</v>
      </c>
      <c r="B1665">
        <v>3744741643</v>
      </c>
      <c r="C1665" t="s">
        <v>101</v>
      </c>
      <c r="D1665" t="s">
        <v>4416</v>
      </c>
      <c r="E1665" t="s">
        <v>65</v>
      </c>
      <c r="F1665" t="s">
        <v>66</v>
      </c>
      <c r="G1665" t="s">
        <v>67</v>
      </c>
      <c r="H1665" t="s">
        <v>68</v>
      </c>
      <c r="I1665" t="s">
        <v>69</v>
      </c>
      <c r="J1665" t="s">
        <v>70</v>
      </c>
      <c r="K1665" t="s">
        <v>71</v>
      </c>
      <c r="M1665" t="s">
        <v>72</v>
      </c>
      <c r="N1665" t="s">
        <v>73</v>
      </c>
      <c r="O1665" t="s">
        <v>71</v>
      </c>
      <c r="P1665" t="s">
        <v>74</v>
      </c>
      <c r="Q1665" t="s">
        <v>75</v>
      </c>
      <c r="R1665" t="s">
        <v>4297</v>
      </c>
      <c r="S1665" t="s">
        <v>4391</v>
      </c>
      <c r="T1665" t="s">
        <v>78</v>
      </c>
      <c r="U1665" t="s">
        <v>79</v>
      </c>
      <c r="V1665" t="s">
        <v>80</v>
      </c>
      <c r="W1665" s="1">
        <v>44521</v>
      </c>
      <c r="X1665" t="s">
        <v>81</v>
      </c>
      <c r="Y1665" t="s">
        <v>4392</v>
      </c>
      <c r="Z1665" t="s">
        <v>83</v>
      </c>
      <c r="AA1665">
        <v>1</v>
      </c>
      <c r="AB1665" t="s">
        <v>127</v>
      </c>
      <c r="AC1665">
        <v>1</v>
      </c>
      <c r="AD1665" t="s">
        <v>128</v>
      </c>
      <c r="AE1665" t="s">
        <v>86</v>
      </c>
      <c r="AF1665" t="s">
        <v>146</v>
      </c>
      <c r="AG1665" t="s">
        <v>4394</v>
      </c>
      <c r="AH1665" t="s">
        <v>4417</v>
      </c>
      <c r="AI1665" t="s">
        <v>90</v>
      </c>
      <c r="AJ1665">
        <v>32.499460999999997</v>
      </c>
      <c r="AK1665">
        <v>-110.68250999999999</v>
      </c>
      <c r="AL1665">
        <v>3</v>
      </c>
      <c r="AN1665">
        <v>1318</v>
      </c>
      <c r="AP1665">
        <v>1318</v>
      </c>
      <c r="AQ1665">
        <v>1318.1478159999999</v>
      </c>
      <c r="AT1665">
        <v>21</v>
      </c>
      <c r="AU1665">
        <v>11</v>
      </c>
      <c r="AV1665">
        <v>2021</v>
      </c>
      <c r="AW1665">
        <v>2439581</v>
      </c>
      <c r="AX1665">
        <v>2439581</v>
      </c>
      <c r="AY1665" t="s">
        <v>106</v>
      </c>
      <c r="AZ1665" t="s">
        <v>92</v>
      </c>
      <c r="BA1665" t="s">
        <v>107</v>
      </c>
      <c r="BB1665" t="s">
        <v>4418</v>
      </c>
      <c r="BC1665" t="s">
        <v>97</v>
      </c>
      <c r="BE1665" t="s">
        <v>96</v>
      </c>
      <c r="BG1665" t="s">
        <v>97</v>
      </c>
      <c r="BI1665" t="s">
        <v>98</v>
      </c>
      <c r="BJ1665" t="s">
        <v>1521</v>
      </c>
      <c r="BL1665" t="s">
        <v>110</v>
      </c>
    </row>
    <row r="1666" spans="1:64" hidden="1" x14ac:dyDescent="0.2">
      <c r="A1666">
        <v>1513</v>
      </c>
      <c r="B1666">
        <v>3744741620</v>
      </c>
      <c r="C1666" t="s">
        <v>101</v>
      </c>
      <c r="D1666" t="s">
        <v>4448</v>
      </c>
      <c r="E1666" t="s">
        <v>65</v>
      </c>
      <c r="F1666" t="s">
        <v>66</v>
      </c>
      <c r="G1666" t="s">
        <v>67</v>
      </c>
      <c r="H1666" t="s">
        <v>68</v>
      </c>
      <c r="I1666" t="s">
        <v>176</v>
      </c>
      <c r="J1666" t="s">
        <v>3844</v>
      </c>
      <c r="K1666" t="s">
        <v>3845</v>
      </c>
      <c r="M1666" t="s">
        <v>72</v>
      </c>
      <c r="N1666" t="s">
        <v>3846</v>
      </c>
      <c r="O1666" t="s">
        <v>3845</v>
      </c>
      <c r="P1666" t="s">
        <v>3847</v>
      </c>
      <c r="Q1666" t="s">
        <v>75</v>
      </c>
      <c r="R1666" t="s">
        <v>4297</v>
      </c>
      <c r="S1666" t="s">
        <v>4432</v>
      </c>
      <c r="T1666" t="s">
        <v>78</v>
      </c>
      <c r="U1666" t="s">
        <v>79</v>
      </c>
      <c r="V1666" t="s">
        <v>80</v>
      </c>
      <c r="W1666" s="1">
        <v>44521</v>
      </c>
      <c r="X1666" t="s">
        <v>81</v>
      </c>
      <c r="Y1666" t="s">
        <v>4433</v>
      </c>
      <c r="Z1666" t="s">
        <v>83</v>
      </c>
      <c r="AA1666">
        <v>1</v>
      </c>
      <c r="AB1666" t="s">
        <v>127</v>
      </c>
      <c r="AC1666">
        <v>1</v>
      </c>
      <c r="AD1666" t="s">
        <v>128</v>
      </c>
      <c r="AE1666" t="s">
        <v>145</v>
      </c>
      <c r="AF1666" t="s">
        <v>281</v>
      </c>
      <c r="AG1666" t="s">
        <v>4440</v>
      </c>
      <c r="AH1666" t="s">
        <v>4449</v>
      </c>
      <c r="AI1666" t="s">
        <v>90</v>
      </c>
      <c r="AJ1666">
        <v>32.499175999999999</v>
      </c>
      <c r="AK1666">
        <v>-110.682423</v>
      </c>
      <c r="AL1666">
        <v>3</v>
      </c>
      <c r="AN1666">
        <v>1315</v>
      </c>
      <c r="AP1666">
        <v>1315</v>
      </c>
      <c r="AQ1666">
        <v>1320.239654</v>
      </c>
      <c r="AT1666">
        <v>21</v>
      </c>
      <c r="AU1666">
        <v>11</v>
      </c>
      <c r="AV1666">
        <v>2021</v>
      </c>
      <c r="AW1666">
        <v>2438516</v>
      </c>
      <c r="AX1666">
        <v>2438516</v>
      </c>
      <c r="AY1666" t="s">
        <v>106</v>
      </c>
      <c r="AZ1666" t="s">
        <v>92</v>
      </c>
      <c r="BA1666" t="s">
        <v>107</v>
      </c>
      <c r="BB1666" t="s">
        <v>4450</v>
      </c>
      <c r="BC1666" t="s">
        <v>97</v>
      </c>
      <c r="BE1666" t="s">
        <v>96</v>
      </c>
      <c r="BG1666" t="s">
        <v>97</v>
      </c>
      <c r="BI1666" t="s">
        <v>98</v>
      </c>
      <c r="BJ1666" t="s">
        <v>1376</v>
      </c>
      <c r="BL1666" t="s">
        <v>412</v>
      </c>
    </row>
    <row r="1667" spans="1:64" hidden="1" x14ac:dyDescent="0.2">
      <c r="A1667">
        <v>1535</v>
      </c>
      <c r="B1667">
        <v>3744741598</v>
      </c>
      <c r="C1667" t="s">
        <v>101</v>
      </c>
      <c r="D1667" t="s">
        <v>4478</v>
      </c>
      <c r="E1667" t="s">
        <v>65</v>
      </c>
      <c r="F1667" t="s">
        <v>66</v>
      </c>
      <c r="G1667" t="s">
        <v>67</v>
      </c>
      <c r="H1667" t="s">
        <v>68</v>
      </c>
      <c r="I1667" t="s">
        <v>69</v>
      </c>
      <c r="J1667" t="s">
        <v>70</v>
      </c>
      <c r="K1667" t="s">
        <v>71</v>
      </c>
      <c r="M1667" t="s">
        <v>72</v>
      </c>
      <c r="N1667" t="s">
        <v>73</v>
      </c>
      <c r="O1667" t="s">
        <v>71</v>
      </c>
      <c r="P1667" t="s">
        <v>74</v>
      </c>
      <c r="Q1667" t="s">
        <v>75</v>
      </c>
      <c r="R1667" t="s">
        <v>4297</v>
      </c>
      <c r="S1667" t="s">
        <v>4463</v>
      </c>
      <c r="T1667" t="s">
        <v>78</v>
      </c>
      <c r="U1667" t="s">
        <v>79</v>
      </c>
      <c r="V1667" t="s">
        <v>80</v>
      </c>
      <c r="W1667" s="1">
        <v>44521</v>
      </c>
      <c r="X1667" t="s">
        <v>81</v>
      </c>
      <c r="Y1667" t="s">
        <v>4464</v>
      </c>
      <c r="Z1667" t="s">
        <v>83</v>
      </c>
      <c r="AA1667">
        <v>1</v>
      </c>
      <c r="AB1667" t="s">
        <v>127</v>
      </c>
      <c r="AC1667">
        <v>1</v>
      </c>
      <c r="AD1667" t="s">
        <v>128</v>
      </c>
      <c r="AE1667" t="s">
        <v>145</v>
      </c>
      <c r="AF1667" t="s">
        <v>146</v>
      </c>
      <c r="AG1667" t="s">
        <v>4471</v>
      </c>
      <c r="AH1667" t="s">
        <v>4479</v>
      </c>
      <c r="AI1667" t="s">
        <v>90</v>
      </c>
      <c r="AJ1667">
        <v>32.499155999999999</v>
      </c>
      <c r="AK1667">
        <v>-110.682446</v>
      </c>
      <c r="AL1667">
        <v>3</v>
      </c>
      <c r="AN1667">
        <v>1318</v>
      </c>
      <c r="AP1667">
        <v>1318</v>
      </c>
      <c r="AQ1667">
        <v>1320.826133</v>
      </c>
      <c r="AT1667">
        <v>21</v>
      </c>
      <c r="AU1667">
        <v>11</v>
      </c>
      <c r="AV1667">
        <v>2021</v>
      </c>
      <c r="AW1667">
        <v>2439581</v>
      </c>
      <c r="AX1667">
        <v>2439581</v>
      </c>
      <c r="AY1667" t="s">
        <v>106</v>
      </c>
      <c r="AZ1667" t="s">
        <v>92</v>
      </c>
      <c r="BA1667" t="s">
        <v>107</v>
      </c>
      <c r="BB1667" t="s">
        <v>4480</v>
      </c>
      <c r="BC1667" t="s">
        <v>97</v>
      </c>
      <c r="BE1667" t="s">
        <v>96</v>
      </c>
      <c r="BG1667" t="s">
        <v>97</v>
      </c>
      <c r="BI1667" t="s">
        <v>98</v>
      </c>
      <c r="BJ1667" t="s">
        <v>4457</v>
      </c>
      <c r="BL1667" t="s">
        <v>110</v>
      </c>
    </row>
    <row r="1668" spans="1:64" hidden="1" x14ac:dyDescent="0.2">
      <c r="A1668">
        <v>1792</v>
      </c>
      <c r="B1668">
        <v>3744741310</v>
      </c>
      <c r="C1668" t="s">
        <v>101</v>
      </c>
      <c r="D1668" t="s">
        <v>331</v>
      </c>
      <c r="E1668" t="s">
        <v>65</v>
      </c>
      <c r="F1668" t="s">
        <v>66</v>
      </c>
      <c r="G1668" t="s">
        <v>67</v>
      </c>
      <c r="H1668" t="s">
        <v>68</v>
      </c>
      <c r="I1668" t="s">
        <v>176</v>
      </c>
      <c r="J1668" t="s">
        <v>177</v>
      </c>
      <c r="K1668" t="s">
        <v>178</v>
      </c>
      <c r="M1668" t="s">
        <v>72</v>
      </c>
      <c r="N1668" t="s">
        <v>179</v>
      </c>
      <c r="O1668" t="s">
        <v>178</v>
      </c>
      <c r="P1668" t="s">
        <v>180</v>
      </c>
      <c r="Q1668" t="s">
        <v>75</v>
      </c>
      <c r="R1668" t="s">
        <v>311</v>
      </c>
      <c r="S1668" t="s">
        <v>312</v>
      </c>
      <c r="T1668" t="s">
        <v>78</v>
      </c>
      <c r="U1668" t="s">
        <v>79</v>
      </c>
      <c r="V1668" t="s">
        <v>80</v>
      </c>
      <c r="W1668" s="1">
        <v>44521</v>
      </c>
      <c r="X1668" t="s">
        <v>81</v>
      </c>
      <c r="Y1668" t="s">
        <v>313</v>
      </c>
      <c r="Z1668" t="s">
        <v>83</v>
      </c>
      <c r="AA1668">
        <v>1</v>
      </c>
      <c r="AB1668" t="s">
        <v>127</v>
      </c>
      <c r="AC1668">
        <v>1</v>
      </c>
      <c r="AD1668" t="s">
        <v>128</v>
      </c>
      <c r="AE1668" t="s">
        <v>86</v>
      </c>
      <c r="AF1668" t="s">
        <v>146</v>
      </c>
      <c r="AG1668" t="s">
        <v>315</v>
      </c>
      <c r="AH1668" t="s">
        <v>332</v>
      </c>
      <c r="AI1668" t="s">
        <v>90</v>
      </c>
      <c r="AJ1668">
        <v>32.501846999999998</v>
      </c>
      <c r="AK1668">
        <v>-110.68313999999999</v>
      </c>
      <c r="AL1668">
        <v>3</v>
      </c>
      <c r="AN1668">
        <v>1326</v>
      </c>
      <c r="AP1668">
        <v>1326</v>
      </c>
      <c r="AQ1668">
        <v>1337.383513</v>
      </c>
      <c r="AT1668">
        <v>21</v>
      </c>
      <c r="AU1668">
        <v>11</v>
      </c>
      <c r="AV1668">
        <v>2021</v>
      </c>
      <c r="AW1668">
        <v>2438038</v>
      </c>
      <c r="AX1668">
        <v>2438038</v>
      </c>
      <c r="AY1668" t="s">
        <v>106</v>
      </c>
      <c r="AZ1668" t="s">
        <v>92</v>
      </c>
      <c r="BA1668" t="s">
        <v>107</v>
      </c>
      <c r="BB1668" t="s">
        <v>333</v>
      </c>
      <c r="BC1668" t="s">
        <v>97</v>
      </c>
      <c r="BE1668" t="s">
        <v>96</v>
      </c>
      <c r="BG1668" t="s">
        <v>97</v>
      </c>
      <c r="BI1668" t="s">
        <v>98</v>
      </c>
      <c r="BJ1668" t="s">
        <v>330</v>
      </c>
      <c r="BL1668" t="s">
        <v>110</v>
      </c>
    </row>
    <row r="1669" spans="1:64" hidden="1" x14ac:dyDescent="0.2">
      <c r="A1669">
        <v>1797</v>
      </c>
      <c r="B1669">
        <v>3744741305</v>
      </c>
      <c r="C1669" t="s">
        <v>101</v>
      </c>
      <c r="D1669" t="s">
        <v>4509</v>
      </c>
      <c r="E1669" t="s">
        <v>65</v>
      </c>
      <c r="F1669" t="s">
        <v>66</v>
      </c>
      <c r="G1669" t="s">
        <v>67</v>
      </c>
      <c r="H1669" t="s">
        <v>68</v>
      </c>
      <c r="I1669" t="s">
        <v>176</v>
      </c>
      <c r="J1669" t="s">
        <v>177</v>
      </c>
      <c r="K1669" t="s">
        <v>178</v>
      </c>
      <c r="M1669" t="s">
        <v>72</v>
      </c>
      <c r="N1669" t="s">
        <v>179</v>
      </c>
      <c r="O1669" t="s">
        <v>178</v>
      </c>
      <c r="P1669" t="s">
        <v>180</v>
      </c>
      <c r="Q1669" t="s">
        <v>75</v>
      </c>
      <c r="R1669" t="s">
        <v>4510</v>
      </c>
      <c r="S1669" t="s">
        <v>3734</v>
      </c>
      <c r="T1669" t="s">
        <v>78</v>
      </c>
      <c r="U1669" t="s">
        <v>3817</v>
      </c>
      <c r="V1669" t="s">
        <v>80</v>
      </c>
      <c r="W1669" s="1">
        <v>44534</v>
      </c>
      <c r="X1669" t="s">
        <v>4502</v>
      </c>
      <c r="Y1669" t="s">
        <v>4503</v>
      </c>
      <c r="Z1669" t="s">
        <v>83</v>
      </c>
      <c r="AA1669">
        <v>1</v>
      </c>
      <c r="AB1669" t="s">
        <v>4511</v>
      </c>
      <c r="AC1669">
        <v>1</v>
      </c>
      <c r="AD1669" t="s">
        <v>128</v>
      </c>
      <c r="AE1669" t="s">
        <v>86</v>
      </c>
      <c r="AF1669" t="s">
        <v>281</v>
      </c>
      <c r="AG1669" t="s">
        <v>4505</v>
      </c>
      <c r="AI1669" t="s">
        <v>90</v>
      </c>
      <c r="AJ1669">
        <v>32.337152000000003</v>
      </c>
      <c r="AK1669">
        <v>-110.72058</v>
      </c>
      <c r="AL1669">
        <v>3</v>
      </c>
      <c r="AN1669">
        <v>1467</v>
      </c>
      <c r="AP1669">
        <v>1467</v>
      </c>
      <c r="AQ1669">
        <v>1474.6702479999999</v>
      </c>
      <c r="AT1669">
        <v>4</v>
      </c>
      <c r="AU1669">
        <v>12</v>
      </c>
      <c r="AV1669">
        <v>2021</v>
      </c>
      <c r="AW1669">
        <v>2438038</v>
      </c>
      <c r="AX1669">
        <v>2438038</v>
      </c>
      <c r="AY1669" t="s">
        <v>106</v>
      </c>
      <c r="AZ1669" t="s">
        <v>92</v>
      </c>
      <c r="BA1669" t="s">
        <v>107</v>
      </c>
      <c r="BB1669" t="s">
        <v>4512</v>
      </c>
      <c r="BC1669" t="s">
        <v>1186</v>
      </c>
      <c r="BE1669" t="s">
        <v>96</v>
      </c>
      <c r="BG1669" t="s">
        <v>4507</v>
      </c>
      <c r="BI1669" t="s">
        <v>98</v>
      </c>
      <c r="BJ1669" t="s">
        <v>936</v>
      </c>
      <c r="BL1669" t="s">
        <v>412</v>
      </c>
    </row>
    <row r="1670" spans="1:64" hidden="1" x14ac:dyDescent="0.2">
      <c r="A1670">
        <v>1366</v>
      </c>
      <c r="B1670">
        <v>4022923347</v>
      </c>
      <c r="C1670" t="s">
        <v>101</v>
      </c>
      <c r="D1670" t="s">
        <v>4550</v>
      </c>
      <c r="E1670" t="s">
        <v>65</v>
      </c>
      <c r="F1670" t="s">
        <v>66</v>
      </c>
      <c r="G1670" t="s">
        <v>67</v>
      </c>
      <c r="H1670" t="s">
        <v>68</v>
      </c>
      <c r="I1670" t="s">
        <v>176</v>
      </c>
      <c r="J1670" t="s">
        <v>177</v>
      </c>
      <c r="K1670" t="s">
        <v>178</v>
      </c>
      <c r="M1670" t="s">
        <v>72</v>
      </c>
      <c r="N1670" t="s">
        <v>179</v>
      </c>
      <c r="O1670" t="s">
        <v>178</v>
      </c>
      <c r="P1670" t="s">
        <v>180</v>
      </c>
      <c r="Q1670" t="s">
        <v>75</v>
      </c>
      <c r="R1670" t="s">
        <v>4501</v>
      </c>
      <c r="S1670" t="s">
        <v>3738</v>
      </c>
      <c r="T1670" t="s">
        <v>78</v>
      </c>
      <c r="U1670" t="s">
        <v>3817</v>
      </c>
      <c r="V1670" t="s">
        <v>80</v>
      </c>
      <c r="W1670" s="1">
        <v>44534</v>
      </c>
      <c r="X1670" t="s">
        <v>4502</v>
      </c>
      <c r="Y1670" t="s">
        <v>4531</v>
      </c>
      <c r="Z1670" t="s">
        <v>83</v>
      </c>
      <c r="AA1670">
        <v>1</v>
      </c>
      <c r="AB1670" t="s">
        <v>4511</v>
      </c>
      <c r="AC1670">
        <v>1</v>
      </c>
      <c r="AD1670" t="s">
        <v>128</v>
      </c>
      <c r="AE1670" t="s">
        <v>145</v>
      </c>
      <c r="AF1670" t="s">
        <v>146</v>
      </c>
      <c r="AG1670" t="s">
        <v>4539</v>
      </c>
      <c r="AI1670" t="s">
        <v>90</v>
      </c>
      <c r="AJ1670">
        <v>32.337204999999997</v>
      </c>
      <c r="AK1670">
        <v>-110.720725</v>
      </c>
      <c r="AL1670">
        <v>3</v>
      </c>
      <c r="AN1670">
        <v>1467</v>
      </c>
      <c r="AP1670">
        <v>1467</v>
      </c>
      <c r="AQ1670">
        <v>1472.5978210000001</v>
      </c>
      <c r="AT1670">
        <v>4</v>
      </c>
      <c r="AU1670">
        <v>12</v>
      </c>
      <c r="AV1670">
        <v>2021</v>
      </c>
      <c r="AW1670">
        <v>2438038</v>
      </c>
      <c r="AX1670">
        <v>2438038</v>
      </c>
      <c r="AY1670" t="s">
        <v>106</v>
      </c>
      <c r="AZ1670" t="s">
        <v>92</v>
      </c>
      <c r="BA1670" t="s">
        <v>107</v>
      </c>
      <c r="BB1670" t="s">
        <v>4551</v>
      </c>
      <c r="BC1670" t="s">
        <v>1186</v>
      </c>
      <c r="BE1670" t="s">
        <v>96</v>
      </c>
      <c r="BG1670" t="s">
        <v>4507</v>
      </c>
      <c r="BI1670" t="s">
        <v>98</v>
      </c>
      <c r="BJ1670" t="s">
        <v>605</v>
      </c>
      <c r="BL1670" t="s">
        <v>412</v>
      </c>
    </row>
    <row r="1671" spans="1:64" hidden="1" x14ac:dyDescent="0.2">
      <c r="A1671">
        <v>1369</v>
      </c>
      <c r="B1671">
        <v>4022923344</v>
      </c>
      <c r="C1671" t="s">
        <v>101</v>
      </c>
      <c r="D1671" t="s">
        <v>4570</v>
      </c>
      <c r="E1671" t="s">
        <v>65</v>
      </c>
      <c r="F1671" t="s">
        <v>66</v>
      </c>
      <c r="G1671" t="s">
        <v>67</v>
      </c>
      <c r="H1671" t="s">
        <v>68</v>
      </c>
      <c r="I1671" t="s">
        <v>176</v>
      </c>
      <c r="J1671" t="s">
        <v>177</v>
      </c>
      <c r="K1671" t="s">
        <v>178</v>
      </c>
      <c r="M1671" t="s">
        <v>72</v>
      </c>
      <c r="N1671" t="s">
        <v>179</v>
      </c>
      <c r="O1671" t="s">
        <v>178</v>
      </c>
      <c r="P1671" t="s">
        <v>180</v>
      </c>
      <c r="Q1671" t="s">
        <v>75</v>
      </c>
      <c r="R1671" t="s">
        <v>4501</v>
      </c>
      <c r="S1671" t="s">
        <v>3767</v>
      </c>
      <c r="T1671" t="s">
        <v>78</v>
      </c>
      <c r="U1671" t="s">
        <v>3817</v>
      </c>
      <c r="V1671" t="s">
        <v>80</v>
      </c>
      <c r="W1671" s="1">
        <v>44534</v>
      </c>
      <c r="X1671" t="s">
        <v>4502</v>
      </c>
      <c r="Y1671" t="s">
        <v>4559</v>
      </c>
      <c r="Z1671" t="s">
        <v>83</v>
      </c>
      <c r="AA1671">
        <v>1</v>
      </c>
      <c r="AB1671" t="s">
        <v>4511</v>
      </c>
      <c r="AC1671">
        <v>1</v>
      </c>
      <c r="AD1671" t="s">
        <v>128</v>
      </c>
      <c r="AE1671" t="s">
        <v>86</v>
      </c>
      <c r="AF1671" t="s">
        <v>146</v>
      </c>
      <c r="AG1671" t="s">
        <v>4561</v>
      </c>
      <c r="AI1671" t="s">
        <v>90</v>
      </c>
      <c r="AJ1671">
        <v>32.337234000000002</v>
      </c>
      <c r="AK1671">
        <v>-110.720839</v>
      </c>
      <c r="AL1671">
        <v>3</v>
      </c>
      <c r="AN1671">
        <v>1466</v>
      </c>
      <c r="AP1671">
        <v>1466</v>
      </c>
      <c r="AQ1671">
        <v>1471.277135</v>
      </c>
      <c r="AT1671">
        <v>4</v>
      </c>
      <c r="AU1671">
        <v>12</v>
      </c>
      <c r="AV1671">
        <v>2021</v>
      </c>
      <c r="AW1671">
        <v>2438038</v>
      </c>
      <c r="AX1671">
        <v>2438038</v>
      </c>
      <c r="AY1671" t="s">
        <v>106</v>
      </c>
      <c r="AZ1671" t="s">
        <v>92</v>
      </c>
      <c r="BA1671" t="s">
        <v>107</v>
      </c>
      <c r="BB1671" t="s">
        <v>4571</v>
      </c>
      <c r="BC1671" t="s">
        <v>1186</v>
      </c>
      <c r="BE1671" t="s">
        <v>96</v>
      </c>
      <c r="BG1671" t="s">
        <v>4507</v>
      </c>
      <c r="BI1671" t="s">
        <v>98</v>
      </c>
      <c r="BJ1671" t="s">
        <v>375</v>
      </c>
      <c r="BL1671" t="s">
        <v>412</v>
      </c>
    </row>
    <row r="1672" spans="1:64" hidden="1" x14ac:dyDescent="0.2">
      <c r="A1672">
        <v>1169</v>
      </c>
      <c r="B1672">
        <v>4022923544</v>
      </c>
      <c r="C1672" t="s">
        <v>101</v>
      </c>
      <c r="D1672" t="s">
        <v>4605</v>
      </c>
      <c r="E1672" t="s">
        <v>65</v>
      </c>
      <c r="F1672" t="s">
        <v>66</v>
      </c>
      <c r="G1672" t="s">
        <v>67</v>
      </c>
      <c r="H1672" t="s">
        <v>68</v>
      </c>
      <c r="I1672" t="s">
        <v>69</v>
      </c>
      <c r="J1672" t="s">
        <v>70</v>
      </c>
      <c r="K1672" t="s">
        <v>71</v>
      </c>
      <c r="M1672" t="s">
        <v>72</v>
      </c>
      <c r="N1672" t="s">
        <v>73</v>
      </c>
      <c r="O1672" t="s">
        <v>71</v>
      </c>
      <c r="P1672" t="s">
        <v>74</v>
      </c>
      <c r="Q1672" t="s">
        <v>75</v>
      </c>
      <c r="R1672" t="s">
        <v>4501</v>
      </c>
      <c r="S1672" t="s">
        <v>4581</v>
      </c>
      <c r="T1672" t="s">
        <v>78</v>
      </c>
      <c r="U1672" t="s">
        <v>3817</v>
      </c>
      <c r="V1672" t="s">
        <v>80</v>
      </c>
      <c r="W1672" s="1">
        <v>44534</v>
      </c>
      <c r="X1672" t="s">
        <v>4502</v>
      </c>
      <c r="Y1672" t="s">
        <v>4582</v>
      </c>
      <c r="Z1672" t="s">
        <v>83</v>
      </c>
      <c r="AA1672">
        <v>1</v>
      </c>
      <c r="AB1672" t="s">
        <v>4511</v>
      </c>
      <c r="AC1672">
        <v>1</v>
      </c>
      <c r="AD1672" t="s">
        <v>128</v>
      </c>
      <c r="AE1672" t="s">
        <v>145</v>
      </c>
      <c r="AF1672" t="s">
        <v>281</v>
      </c>
      <c r="AG1672" t="s">
        <v>4588</v>
      </c>
      <c r="AI1672" t="s">
        <v>90</v>
      </c>
      <c r="AJ1672">
        <v>32.337339</v>
      </c>
      <c r="AK1672">
        <v>-110.719842</v>
      </c>
      <c r="AL1672">
        <v>3</v>
      </c>
      <c r="AN1672">
        <v>1467</v>
      </c>
      <c r="AP1672">
        <v>1467</v>
      </c>
      <c r="AQ1672">
        <v>1480.3733520000001</v>
      </c>
      <c r="AT1672">
        <v>4</v>
      </c>
      <c r="AU1672">
        <v>12</v>
      </c>
      <c r="AV1672">
        <v>2021</v>
      </c>
      <c r="AW1672">
        <v>2439581</v>
      </c>
      <c r="AX1672">
        <v>2439581</v>
      </c>
      <c r="AY1672" t="s">
        <v>106</v>
      </c>
      <c r="AZ1672" t="s">
        <v>92</v>
      </c>
      <c r="BA1672" t="s">
        <v>107</v>
      </c>
      <c r="BB1672" t="s">
        <v>4606</v>
      </c>
      <c r="BC1672" t="s">
        <v>1186</v>
      </c>
      <c r="BE1672" t="s">
        <v>96</v>
      </c>
      <c r="BG1672" t="s">
        <v>4507</v>
      </c>
      <c r="BI1672" t="s">
        <v>98</v>
      </c>
      <c r="BJ1672" t="s">
        <v>4607</v>
      </c>
      <c r="BL1672" t="s">
        <v>412</v>
      </c>
    </row>
    <row r="1673" spans="1:64" hidden="1" x14ac:dyDescent="0.2">
      <c r="A1673">
        <v>1164</v>
      </c>
      <c r="B1673">
        <v>4022923549</v>
      </c>
      <c r="C1673" t="s">
        <v>101</v>
      </c>
      <c r="D1673" t="s">
        <v>4630</v>
      </c>
      <c r="E1673" t="s">
        <v>65</v>
      </c>
      <c r="F1673" t="s">
        <v>66</v>
      </c>
      <c r="G1673" t="s">
        <v>67</v>
      </c>
      <c r="H1673" t="s">
        <v>68</v>
      </c>
      <c r="I1673" t="s">
        <v>69</v>
      </c>
      <c r="J1673" t="s">
        <v>70</v>
      </c>
      <c r="K1673" t="s">
        <v>4195</v>
      </c>
      <c r="M1673" t="s">
        <v>72</v>
      </c>
      <c r="N1673" t="s">
        <v>4196</v>
      </c>
      <c r="O1673" t="s">
        <v>4195</v>
      </c>
      <c r="P1673" t="s">
        <v>4197</v>
      </c>
      <c r="Q1673" t="s">
        <v>75</v>
      </c>
      <c r="R1673" t="s">
        <v>4501</v>
      </c>
      <c r="S1673" t="s">
        <v>4609</v>
      </c>
      <c r="T1673" t="s">
        <v>78</v>
      </c>
      <c r="U1673" t="s">
        <v>3817</v>
      </c>
      <c r="V1673" t="s">
        <v>80</v>
      </c>
      <c r="W1673" s="1">
        <v>44534</v>
      </c>
      <c r="X1673" t="s">
        <v>4502</v>
      </c>
      <c r="Y1673" t="s">
        <v>4610</v>
      </c>
      <c r="Z1673" t="s">
        <v>83</v>
      </c>
      <c r="AA1673">
        <v>1</v>
      </c>
      <c r="AB1673" t="s">
        <v>4511</v>
      </c>
      <c r="AC1673">
        <v>1</v>
      </c>
      <c r="AD1673" t="s">
        <v>128</v>
      </c>
      <c r="AE1673" t="s">
        <v>145</v>
      </c>
      <c r="AF1673" t="s">
        <v>281</v>
      </c>
      <c r="AG1673" t="s">
        <v>4616</v>
      </c>
      <c r="AI1673" t="s">
        <v>90</v>
      </c>
      <c r="AJ1673">
        <v>32.337581999999998</v>
      </c>
      <c r="AK1673">
        <v>-110.720142</v>
      </c>
      <c r="AL1673">
        <v>3</v>
      </c>
      <c r="AN1673">
        <v>1475</v>
      </c>
      <c r="AP1673">
        <v>1475</v>
      </c>
      <c r="AQ1673">
        <v>1484.8719169999999</v>
      </c>
      <c r="AT1673">
        <v>4</v>
      </c>
      <c r="AU1673">
        <v>12</v>
      </c>
      <c r="AV1673">
        <v>2021</v>
      </c>
      <c r="AW1673">
        <v>2439589</v>
      </c>
      <c r="AX1673">
        <v>2439589</v>
      </c>
      <c r="AY1673" t="s">
        <v>106</v>
      </c>
      <c r="AZ1673" t="s">
        <v>92</v>
      </c>
      <c r="BA1673" t="s">
        <v>107</v>
      </c>
      <c r="BB1673" t="s">
        <v>4631</v>
      </c>
      <c r="BC1673" t="s">
        <v>1186</v>
      </c>
      <c r="BE1673" t="s">
        <v>96</v>
      </c>
      <c r="BG1673" t="s">
        <v>4507</v>
      </c>
      <c r="BI1673" t="s">
        <v>98</v>
      </c>
      <c r="BJ1673" t="s">
        <v>4632</v>
      </c>
      <c r="BL1673" t="s">
        <v>412</v>
      </c>
    </row>
    <row r="1674" spans="1:64" hidden="1" x14ac:dyDescent="0.2">
      <c r="A1674">
        <v>1185</v>
      </c>
      <c r="B1674">
        <v>4022923528</v>
      </c>
      <c r="C1674" t="s">
        <v>101</v>
      </c>
      <c r="D1674" t="s">
        <v>4654</v>
      </c>
      <c r="E1674" t="s">
        <v>65</v>
      </c>
      <c r="F1674" t="s">
        <v>66</v>
      </c>
      <c r="G1674" t="s">
        <v>67</v>
      </c>
      <c r="H1674" t="s">
        <v>68</v>
      </c>
      <c r="I1674" t="s">
        <v>69</v>
      </c>
      <c r="J1674" t="s">
        <v>70</v>
      </c>
      <c r="K1674" t="s">
        <v>4195</v>
      </c>
      <c r="M1674" t="s">
        <v>72</v>
      </c>
      <c r="N1674" t="s">
        <v>4196</v>
      </c>
      <c r="O1674" t="s">
        <v>4195</v>
      </c>
      <c r="P1674" t="s">
        <v>4197</v>
      </c>
      <c r="Q1674" t="s">
        <v>75</v>
      </c>
      <c r="R1674" t="s">
        <v>4501</v>
      </c>
      <c r="S1674" t="s">
        <v>3990</v>
      </c>
      <c r="T1674" t="s">
        <v>78</v>
      </c>
      <c r="U1674" t="s">
        <v>3817</v>
      </c>
      <c r="V1674" t="s">
        <v>80</v>
      </c>
      <c r="W1674" s="1">
        <v>44534</v>
      </c>
      <c r="X1674" t="s">
        <v>4502</v>
      </c>
      <c r="Y1674" t="s">
        <v>4634</v>
      </c>
      <c r="Z1674" t="s">
        <v>83</v>
      </c>
      <c r="AA1674">
        <v>1</v>
      </c>
      <c r="AB1674" t="s">
        <v>4511</v>
      </c>
      <c r="AC1674">
        <v>1</v>
      </c>
      <c r="AD1674" t="s">
        <v>128</v>
      </c>
      <c r="AE1674" t="s">
        <v>145</v>
      </c>
      <c r="AF1674" t="s">
        <v>610</v>
      </c>
      <c r="AG1674" t="s">
        <v>4640</v>
      </c>
      <c r="AI1674" t="s">
        <v>90</v>
      </c>
      <c r="AJ1674">
        <v>32.337062000000003</v>
      </c>
      <c r="AK1674">
        <v>-110.721555</v>
      </c>
      <c r="AL1674">
        <v>3</v>
      </c>
      <c r="AN1674">
        <v>1463</v>
      </c>
      <c r="AP1674">
        <v>1463</v>
      </c>
      <c r="AQ1674">
        <v>1467.3854739999999</v>
      </c>
      <c r="AT1674">
        <v>4</v>
      </c>
      <c r="AU1674">
        <v>12</v>
      </c>
      <c r="AV1674">
        <v>2021</v>
      </c>
      <c r="AW1674">
        <v>2439589</v>
      </c>
      <c r="AX1674">
        <v>2439589</v>
      </c>
      <c r="AY1674" t="s">
        <v>106</v>
      </c>
      <c r="AZ1674" t="s">
        <v>92</v>
      </c>
      <c r="BA1674" t="s">
        <v>107</v>
      </c>
      <c r="BB1674" t="s">
        <v>4655</v>
      </c>
      <c r="BC1674" t="s">
        <v>1186</v>
      </c>
      <c r="BE1674" t="s">
        <v>96</v>
      </c>
      <c r="BG1674" t="s">
        <v>4507</v>
      </c>
      <c r="BI1674" t="s">
        <v>98</v>
      </c>
      <c r="BJ1674" t="s">
        <v>4656</v>
      </c>
      <c r="BL1674" t="s">
        <v>412</v>
      </c>
    </row>
    <row r="1675" spans="1:64" hidden="1" x14ac:dyDescent="0.2">
      <c r="A1675">
        <v>1374</v>
      </c>
      <c r="B1675">
        <v>4022923339</v>
      </c>
      <c r="C1675" t="s">
        <v>101</v>
      </c>
      <c r="D1675" t="s">
        <v>4674</v>
      </c>
      <c r="E1675" t="s">
        <v>65</v>
      </c>
      <c r="F1675" t="s">
        <v>66</v>
      </c>
      <c r="G1675" t="s">
        <v>67</v>
      </c>
      <c r="H1675" t="s">
        <v>68</v>
      </c>
      <c r="I1675" t="s">
        <v>69</v>
      </c>
      <c r="J1675" t="s">
        <v>70</v>
      </c>
      <c r="K1675" t="s">
        <v>4195</v>
      </c>
      <c r="M1675" t="s">
        <v>72</v>
      </c>
      <c r="N1675" t="s">
        <v>4196</v>
      </c>
      <c r="O1675" t="s">
        <v>4195</v>
      </c>
      <c r="P1675" t="s">
        <v>4197</v>
      </c>
      <c r="Q1675" t="s">
        <v>75</v>
      </c>
      <c r="R1675" t="s">
        <v>4501</v>
      </c>
      <c r="S1675" t="s">
        <v>3804</v>
      </c>
      <c r="T1675" t="s">
        <v>78</v>
      </c>
      <c r="U1675" t="s">
        <v>3817</v>
      </c>
      <c r="V1675" t="s">
        <v>80</v>
      </c>
      <c r="W1675" s="1">
        <v>44534</v>
      </c>
      <c r="X1675" t="s">
        <v>4502</v>
      </c>
      <c r="Y1675" t="s">
        <v>4664</v>
      </c>
      <c r="Z1675" t="s">
        <v>83</v>
      </c>
      <c r="AA1675">
        <v>1</v>
      </c>
      <c r="AB1675" t="s">
        <v>4511</v>
      </c>
      <c r="AC1675">
        <v>1</v>
      </c>
      <c r="AD1675" t="s">
        <v>128</v>
      </c>
      <c r="AE1675" t="s">
        <v>86</v>
      </c>
      <c r="AF1675" t="s">
        <v>146</v>
      </c>
      <c r="AG1675" t="s">
        <v>1257</v>
      </c>
      <c r="AI1675" t="s">
        <v>90</v>
      </c>
      <c r="AJ1675">
        <v>32.337280999999997</v>
      </c>
      <c r="AK1675">
        <v>-110.721047</v>
      </c>
      <c r="AL1675">
        <v>3</v>
      </c>
      <c r="AN1675">
        <v>1464</v>
      </c>
      <c r="AP1675">
        <v>1464</v>
      </c>
      <c r="AQ1675">
        <v>1470.222438</v>
      </c>
      <c r="AT1675">
        <v>4</v>
      </c>
      <c r="AU1675">
        <v>12</v>
      </c>
      <c r="AV1675">
        <v>2021</v>
      </c>
      <c r="AW1675">
        <v>2439589</v>
      </c>
      <c r="AX1675">
        <v>2439589</v>
      </c>
      <c r="AY1675" t="s">
        <v>106</v>
      </c>
      <c r="AZ1675" t="s">
        <v>92</v>
      </c>
      <c r="BA1675" t="s">
        <v>107</v>
      </c>
      <c r="BB1675" t="s">
        <v>4675</v>
      </c>
      <c r="BC1675" t="s">
        <v>1186</v>
      </c>
      <c r="BE1675" t="s">
        <v>96</v>
      </c>
      <c r="BG1675" t="s">
        <v>4507</v>
      </c>
      <c r="BI1675" t="s">
        <v>98</v>
      </c>
      <c r="BJ1675" t="s">
        <v>411</v>
      </c>
      <c r="BL1675" t="s">
        <v>412</v>
      </c>
    </row>
    <row r="1676" spans="1:64" hidden="1" x14ac:dyDescent="0.2">
      <c r="A1676">
        <v>1149</v>
      </c>
      <c r="B1676">
        <v>4022923564</v>
      </c>
      <c r="C1676" t="s">
        <v>101</v>
      </c>
      <c r="D1676" t="s">
        <v>4705</v>
      </c>
      <c r="E1676" t="s">
        <v>65</v>
      </c>
      <c r="F1676" t="s">
        <v>66</v>
      </c>
      <c r="G1676" t="s">
        <v>67</v>
      </c>
      <c r="H1676" t="s">
        <v>68</v>
      </c>
      <c r="I1676" t="s">
        <v>176</v>
      </c>
      <c r="J1676" t="s">
        <v>177</v>
      </c>
      <c r="K1676" t="s">
        <v>178</v>
      </c>
      <c r="M1676" t="s">
        <v>72</v>
      </c>
      <c r="N1676" t="s">
        <v>179</v>
      </c>
      <c r="O1676" t="s">
        <v>178</v>
      </c>
      <c r="P1676" t="s">
        <v>180</v>
      </c>
      <c r="Q1676" t="s">
        <v>75</v>
      </c>
      <c r="R1676" t="s">
        <v>4501</v>
      </c>
      <c r="S1676" t="s">
        <v>3788</v>
      </c>
      <c r="T1676" t="s">
        <v>78</v>
      </c>
      <c r="U1676" t="s">
        <v>3817</v>
      </c>
      <c r="V1676" t="s">
        <v>80</v>
      </c>
      <c r="W1676" s="1">
        <v>44534</v>
      </c>
      <c r="X1676" t="s">
        <v>4502</v>
      </c>
      <c r="Y1676" t="s">
        <v>4685</v>
      </c>
      <c r="Z1676" t="s">
        <v>83</v>
      </c>
      <c r="AA1676">
        <v>1</v>
      </c>
      <c r="AB1676" t="s">
        <v>4511</v>
      </c>
      <c r="AC1676">
        <v>1</v>
      </c>
      <c r="AD1676" t="s">
        <v>128</v>
      </c>
      <c r="AE1676" t="s">
        <v>145</v>
      </c>
      <c r="AF1676" t="s">
        <v>146</v>
      </c>
      <c r="AG1676" t="s">
        <v>4691</v>
      </c>
      <c r="AI1676" t="s">
        <v>90</v>
      </c>
      <c r="AJ1676">
        <v>32.337034000000003</v>
      </c>
      <c r="AK1676">
        <v>-110.721254</v>
      </c>
      <c r="AL1676">
        <v>3</v>
      </c>
      <c r="AN1676">
        <v>1463</v>
      </c>
      <c r="AP1676">
        <v>1463</v>
      </c>
      <c r="AQ1676">
        <v>1469.004001</v>
      </c>
      <c r="AT1676">
        <v>4</v>
      </c>
      <c r="AU1676">
        <v>12</v>
      </c>
      <c r="AV1676">
        <v>2021</v>
      </c>
      <c r="AW1676">
        <v>2438038</v>
      </c>
      <c r="AX1676">
        <v>2438038</v>
      </c>
      <c r="AY1676" t="s">
        <v>106</v>
      </c>
      <c r="AZ1676" t="s">
        <v>92</v>
      </c>
      <c r="BA1676" t="s">
        <v>107</v>
      </c>
      <c r="BB1676" t="s">
        <v>4706</v>
      </c>
      <c r="BC1676" t="s">
        <v>1186</v>
      </c>
      <c r="BE1676" t="s">
        <v>96</v>
      </c>
      <c r="BG1676" t="s">
        <v>4507</v>
      </c>
      <c r="BI1676" t="s">
        <v>98</v>
      </c>
      <c r="BJ1676" t="s">
        <v>2175</v>
      </c>
      <c r="BL1676" t="s">
        <v>412</v>
      </c>
    </row>
    <row r="1677" spans="1:64" hidden="1" x14ac:dyDescent="0.2">
      <c r="A1677">
        <v>1380</v>
      </c>
      <c r="B1677">
        <v>4022923333</v>
      </c>
      <c r="C1677" t="s">
        <v>101</v>
      </c>
      <c r="D1677" t="s">
        <v>4716</v>
      </c>
      <c r="E1677" t="s">
        <v>65</v>
      </c>
      <c r="F1677" t="s">
        <v>66</v>
      </c>
      <c r="G1677" t="s">
        <v>67</v>
      </c>
      <c r="H1677" t="s">
        <v>68</v>
      </c>
      <c r="I1677" t="s">
        <v>69</v>
      </c>
      <c r="J1677" t="s">
        <v>70</v>
      </c>
      <c r="K1677" t="s">
        <v>4195</v>
      </c>
      <c r="M1677" t="s">
        <v>72</v>
      </c>
      <c r="N1677" t="s">
        <v>4196</v>
      </c>
      <c r="O1677" t="s">
        <v>4195</v>
      </c>
      <c r="P1677" t="s">
        <v>4197</v>
      </c>
      <c r="Q1677" t="s">
        <v>75</v>
      </c>
      <c r="R1677" t="s">
        <v>4501</v>
      </c>
      <c r="S1677" t="s">
        <v>3812</v>
      </c>
      <c r="T1677" t="s">
        <v>78</v>
      </c>
      <c r="U1677" t="s">
        <v>3817</v>
      </c>
      <c r="V1677" t="s">
        <v>80</v>
      </c>
      <c r="W1677" s="1">
        <v>44534</v>
      </c>
      <c r="X1677" t="s">
        <v>4502</v>
      </c>
      <c r="Y1677" t="s">
        <v>4708</v>
      </c>
      <c r="Z1677" t="s">
        <v>83</v>
      </c>
      <c r="AA1677">
        <v>1</v>
      </c>
      <c r="AB1677" t="s">
        <v>4511</v>
      </c>
      <c r="AC1677">
        <v>1</v>
      </c>
      <c r="AD1677" t="s">
        <v>128</v>
      </c>
      <c r="AE1677" t="s">
        <v>86</v>
      </c>
      <c r="AF1677" t="s">
        <v>281</v>
      </c>
      <c r="AG1677" t="s">
        <v>2650</v>
      </c>
      <c r="AI1677" t="s">
        <v>90</v>
      </c>
      <c r="AJ1677">
        <v>32.337330999999999</v>
      </c>
      <c r="AK1677">
        <v>-110.721548</v>
      </c>
      <c r="AL1677">
        <v>3</v>
      </c>
      <c r="AN1677">
        <v>1460</v>
      </c>
      <c r="AP1677">
        <v>1460</v>
      </c>
      <c r="AQ1677">
        <v>1467.900983</v>
      </c>
      <c r="AT1677">
        <v>4</v>
      </c>
      <c r="AU1677">
        <v>12</v>
      </c>
      <c r="AV1677">
        <v>2021</v>
      </c>
      <c r="AW1677">
        <v>2439589</v>
      </c>
      <c r="AX1677">
        <v>2439589</v>
      </c>
      <c r="AY1677" t="s">
        <v>106</v>
      </c>
      <c r="AZ1677" t="s">
        <v>92</v>
      </c>
      <c r="BA1677" t="s">
        <v>107</v>
      </c>
      <c r="BB1677" t="s">
        <v>4717</v>
      </c>
      <c r="BC1677" t="s">
        <v>1186</v>
      </c>
      <c r="BE1677" t="s">
        <v>96</v>
      </c>
      <c r="BG1677" t="s">
        <v>4507</v>
      </c>
      <c r="BI1677" t="s">
        <v>98</v>
      </c>
      <c r="BJ1677" t="s">
        <v>395</v>
      </c>
      <c r="BL1677" t="s">
        <v>412</v>
      </c>
    </row>
    <row r="1678" spans="1:64" hidden="1" x14ac:dyDescent="0.2">
      <c r="A1678">
        <v>1321</v>
      </c>
      <c r="B1678">
        <v>4022923392</v>
      </c>
      <c r="C1678" t="s">
        <v>101</v>
      </c>
      <c r="D1678" t="s">
        <v>4761</v>
      </c>
      <c r="E1678" t="s">
        <v>65</v>
      </c>
      <c r="F1678" t="s">
        <v>66</v>
      </c>
      <c r="G1678" t="s">
        <v>67</v>
      </c>
      <c r="H1678" t="s">
        <v>68</v>
      </c>
      <c r="I1678" t="s">
        <v>69</v>
      </c>
      <c r="J1678" t="s">
        <v>70</v>
      </c>
      <c r="K1678" t="s">
        <v>4195</v>
      </c>
      <c r="M1678" t="s">
        <v>72</v>
      </c>
      <c r="N1678" t="s">
        <v>4196</v>
      </c>
      <c r="O1678" t="s">
        <v>4195</v>
      </c>
      <c r="P1678" t="s">
        <v>4197</v>
      </c>
      <c r="Q1678" t="s">
        <v>75</v>
      </c>
      <c r="R1678" t="s">
        <v>4501</v>
      </c>
      <c r="S1678" t="s">
        <v>4742</v>
      </c>
      <c r="T1678" t="s">
        <v>78</v>
      </c>
      <c r="U1678" t="s">
        <v>3817</v>
      </c>
      <c r="V1678" t="s">
        <v>80</v>
      </c>
      <c r="W1678" s="1">
        <v>44534</v>
      </c>
      <c r="X1678" t="s">
        <v>4502</v>
      </c>
      <c r="Y1678" t="s">
        <v>4743</v>
      </c>
      <c r="Z1678" t="s">
        <v>83</v>
      </c>
      <c r="AA1678">
        <v>1</v>
      </c>
      <c r="AB1678" t="s">
        <v>4511</v>
      </c>
      <c r="AC1678">
        <v>1</v>
      </c>
      <c r="AD1678" t="s">
        <v>128</v>
      </c>
      <c r="AE1678" t="s">
        <v>86</v>
      </c>
      <c r="AF1678" t="s">
        <v>610</v>
      </c>
      <c r="AG1678" t="s">
        <v>1257</v>
      </c>
      <c r="AI1678" t="s">
        <v>90</v>
      </c>
      <c r="AJ1678">
        <v>32.337865000000001</v>
      </c>
      <c r="AK1678">
        <v>-110.72019</v>
      </c>
      <c r="AL1678">
        <v>3</v>
      </c>
      <c r="AN1678">
        <v>1481</v>
      </c>
      <c r="AP1678">
        <v>1481</v>
      </c>
      <c r="AQ1678">
        <v>1489.831222</v>
      </c>
      <c r="AT1678">
        <v>4</v>
      </c>
      <c r="AU1678">
        <v>12</v>
      </c>
      <c r="AV1678">
        <v>2021</v>
      </c>
      <c r="AW1678">
        <v>2439589</v>
      </c>
      <c r="AX1678">
        <v>2439589</v>
      </c>
      <c r="AY1678" t="s">
        <v>106</v>
      </c>
      <c r="AZ1678" t="s">
        <v>92</v>
      </c>
      <c r="BA1678" t="s">
        <v>107</v>
      </c>
      <c r="BB1678" t="s">
        <v>4762</v>
      </c>
      <c r="BC1678" t="s">
        <v>1186</v>
      </c>
      <c r="BE1678" t="s">
        <v>96</v>
      </c>
      <c r="BG1678" t="s">
        <v>4507</v>
      </c>
      <c r="BI1678" t="s">
        <v>98</v>
      </c>
      <c r="BJ1678" t="s">
        <v>4627</v>
      </c>
      <c r="BL1678" t="s">
        <v>110</v>
      </c>
    </row>
    <row r="1679" spans="1:64" hidden="1" x14ac:dyDescent="0.2">
      <c r="A1679">
        <v>1250</v>
      </c>
      <c r="B1679">
        <v>4022923463</v>
      </c>
      <c r="C1679" t="s">
        <v>101</v>
      </c>
      <c r="D1679" s="2" t="s">
        <v>4808</v>
      </c>
      <c r="E1679" t="s">
        <v>65</v>
      </c>
      <c r="F1679" t="s">
        <v>66</v>
      </c>
      <c r="G1679" t="s">
        <v>67</v>
      </c>
      <c r="H1679" t="s">
        <v>68</v>
      </c>
      <c r="I1679" t="s">
        <v>69</v>
      </c>
      <c r="J1679" t="s">
        <v>70</v>
      </c>
      <c r="K1679" t="s">
        <v>4195</v>
      </c>
      <c r="M1679" t="s">
        <v>72</v>
      </c>
      <c r="N1679" t="s">
        <v>4196</v>
      </c>
      <c r="O1679" t="s">
        <v>4195</v>
      </c>
      <c r="P1679" t="s">
        <v>4197</v>
      </c>
      <c r="Q1679" t="s">
        <v>75</v>
      </c>
      <c r="R1679" t="s">
        <v>4501</v>
      </c>
      <c r="S1679" t="s">
        <v>4800</v>
      </c>
      <c r="T1679" t="s">
        <v>78</v>
      </c>
      <c r="U1679" t="s">
        <v>3817</v>
      </c>
      <c r="V1679" t="s">
        <v>80</v>
      </c>
      <c r="W1679" s="1">
        <v>44534</v>
      </c>
      <c r="X1679" t="s">
        <v>4502</v>
      </c>
      <c r="Y1679" t="s">
        <v>4801</v>
      </c>
      <c r="Z1679" t="s">
        <v>83</v>
      </c>
      <c r="AA1679">
        <v>1</v>
      </c>
      <c r="AB1679" t="s">
        <v>4511</v>
      </c>
      <c r="AC1679">
        <v>1</v>
      </c>
      <c r="AD1679" t="s">
        <v>128</v>
      </c>
      <c r="AE1679" t="s">
        <v>86</v>
      </c>
      <c r="AF1679" t="s">
        <v>146</v>
      </c>
      <c r="AG1679" t="s">
        <v>1257</v>
      </c>
      <c r="AI1679" t="s">
        <v>90</v>
      </c>
      <c r="AJ1679">
        <v>32.339016999999998</v>
      </c>
      <c r="AK1679">
        <v>-110.720274</v>
      </c>
      <c r="AL1679">
        <v>3</v>
      </c>
      <c r="AN1679">
        <v>1519</v>
      </c>
      <c r="AP1679">
        <v>1519</v>
      </c>
      <c r="AQ1679">
        <v>1525.3321249999999</v>
      </c>
      <c r="AT1679">
        <v>4</v>
      </c>
      <c r="AU1679">
        <v>12</v>
      </c>
      <c r="AV1679">
        <v>2021</v>
      </c>
      <c r="AW1679">
        <v>2439589</v>
      </c>
      <c r="AX1679">
        <v>2439589</v>
      </c>
      <c r="AY1679" t="s">
        <v>106</v>
      </c>
      <c r="AZ1679" t="s">
        <v>92</v>
      </c>
      <c r="BA1679" t="s">
        <v>107</v>
      </c>
      <c r="BB1679" t="s">
        <v>4809</v>
      </c>
      <c r="BC1679" t="s">
        <v>1186</v>
      </c>
      <c r="BE1679" t="s">
        <v>96</v>
      </c>
      <c r="BG1679" t="s">
        <v>4507</v>
      </c>
      <c r="BI1679" t="s">
        <v>98</v>
      </c>
      <c r="BJ1679" t="s">
        <v>4753</v>
      </c>
      <c r="BL1679" t="s">
        <v>412</v>
      </c>
    </row>
    <row r="1680" spans="1:64" hidden="1" x14ac:dyDescent="0.2">
      <c r="A1680">
        <v>1237</v>
      </c>
      <c r="B1680">
        <v>4022923476</v>
      </c>
      <c r="C1680" t="s">
        <v>101</v>
      </c>
      <c r="D1680" t="s">
        <v>4852</v>
      </c>
      <c r="E1680" t="s">
        <v>65</v>
      </c>
      <c r="F1680" t="s">
        <v>66</v>
      </c>
      <c r="G1680" t="s">
        <v>67</v>
      </c>
      <c r="H1680" t="s">
        <v>68</v>
      </c>
      <c r="I1680" t="s">
        <v>176</v>
      </c>
      <c r="J1680" t="s">
        <v>773</v>
      </c>
      <c r="K1680" t="s">
        <v>1347</v>
      </c>
      <c r="M1680" t="s">
        <v>72</v>
      </c>
      <c r="N1680" t="s">
        <v>1348</v>
      </c>
      <c r="O1680" t="s">
        <v>1347</v>
      </c>
      <c r="P1680" t="s">
        <v>1349</v>
      </c>
      <c r="Q1680" t="s">
        <v>75</v>
      </c>
      <c r="R1680" t="s">
        <v>4501</v>
      </c>
      <c r="S1680" t="s">
        <v>4831</v>
      </c>
      <c r="T1680" t="s">
        <v>78</v>
      </c>
      <c r="U1680" t="s">
        <v>3817</v>
      </c>
      <c r="V1680" t="s">
        <v>80</v>
      </c>
      <c r="W1680" s="1">
        <v>44534</v>
      </c>
      <c r="X1680" t="s">
        <v>4502</v>
      </c>
      <c r="Y1680" t="s">
        <v>4832</v>
      </c>
      <c r="Z1680" t="s">
        <v>83</v>
      </c>
      <c r="AA1680">
        <v>1</v>
      </c>
      <c r="AB1680" t="s">
        <v>4511</v>
      </c>
      <c r="AC1680">
        <v>1</v>
      </c>
      <c r="AD1680" t="s">
        <v>128</v>
      </c>
      <c r="AE1680" t="s">
        <v>145</v>
      </c>
      <c r="AF1680" t="s">
        <v>146</v>
      </c>
      <c r="AG1680" t="s">
        <v>4840</v>
      </c>
      <c r="AI1680" t="s">
        <v>90</v>
      </c>
      <c r="AJ1680">
        <v>32.339241000000001</v>
      </c>
      <c r="AK1680">
        <v>-110.720311</v>
      </c>
      <c r="AL1680">
        <v>3</v>
      </c>
      <c r="AN1680">
        <v>1530</v>
      </c>
      <c r="AP1680">
        <v>1530</v>
      </c>
      <c r="AQ1680">
        <v>1535.844799</v>
      </c>
      <c r="AT1680">
        <v>4</v>
      </c>
      <c r="AU1680">
        <v>12</v>
      </c>
      <c r="AV1680">
        <v>2021</v>
      </c>
      <c r="AW1680">
        <v>2438454</v>
      </c>
      <c r="AX1680">
        <v>2438454</v>
      </c>
      <c r="AY1680" t="s">
        <v>106</v>
      </c>
      <c r="AZ1680" t="s">
        <v>92</v>
      </c>
      <c r="BA1680" t="s">
        <v>107</v>
      </c>
      <c r="BB1680" t="s">
        <v>4853</v>
      </c>
      <c r="BC1680" t="s">
        <v>1186</v>
      </c>
      <c r="BE1680" t="s">
        <v>96</v>
      </c>
      <c r="BG1680" t="s">
        <v>4507</v>
      </c>
      <c r="BI1680" t="s">
        <v>98</v>
      </c>
      <c r="BJ1680" t="s">
        <v>4815</v>
      </c>
      <c r="BL1680" t="s">
        <v>412</v>
      </c>
    </row>
    <row r="1681" spans="1:64" hidden="1" x14ac:dyDescent="0.2">
      <c r="A1681">
        <v>1261</v>
      </c>
      <c r="B1681">
        <v>4022923452</v>
      </c>
      <c r="C1681" t="s">
        <v>101</v>
      </c>
      <c r="D1681" t="s">
        <v>4892</v>
      </c>
      <c r="E1681" t="s">
        <v>65</v>
      </c>
      <c r="F1681" t="s">
        <v>66</v>
      </c>
      <c r="G1681" t="s">
        <v>67</v>
      </c>
      <c r="H1681" t="s">
        <v>68</v>
      </c>
      <c r="I1681" t="s">
        <v>176</v>
      </c>
      <c r="J1681" t="s">
        <v>177</v>
      </c>
      <c r="K1681" t="s">
        <v>178</v>
      </c>
      <c r="M1681" t="s">
        <v>72</v>
      </c>
      <c r="N1681" t="s">
        <v>179</v>
      </c>
      <c r="O1681" t="s">
        <v>178</v>
      </c>
      <c r="P1681" t="s">
        <v>180</v>
      </c>
      <c r="Q1681" t="s">
        <v>75</v>
      </c>
      <c r="R1681" t="s">
        <v>4501</v>
      </c>
      <c r="S1681" t="s">
        <v>77</v>
      </c>
      <c r="T1681" t="s">
        <v>78</v>
      </c>
      <c r="U1681" t="s">
        <v>3817</v>
      </c>
      <c r="V1681" t="s">
        <v>80</v>
      </c>
      <c r="W1681" s="1">
        <v>44534</v>
      </c>
      <c r="X1681" t="s">
        <v>4502</v>
      </c>
      <c r="Y1681" t="s">
        <v>4884</v>
      </c>
      <c r="Z1681" t="s">
        <v>83</v>
      </c>
      <c r="AA1681">
        <v>1</v>
      </c>
      <c r="AB1681" t="s">
        <v>4511</v>
      </c>
      <c r="AC1681">
        <v>1</v>
      </c>
      <c r="AD1681" t="s">
        <v>128</v>
      </c>
      <c r="AE1681" t="s">
        <v>145</v>
      </c>
      <c r="AF1681" t="s">
        <v>146</v>
      </c>
      <c r="AG1681" t="s">
        <v>4890</v>
      </c>
      <c r="AI1681" t="s">
        <v>90</v>
      </c>
      <c r="AJ1681">
        <v>32.336717999999998</v>
      </c>
      <c r="AK1681">
        <v>-110.720529</v>
      </c>
      <c r="AL1681">
        <v>3</v>
      </c>
      <c r="AN1681">
        <v>1472</v>
      </c>
      <c r="AP1681">
        <v>1472</v>
      </c>
      <c r="AQ1681">
        <v>1477.654468</v>
      </c>
      <c r="AT1681">
        <v>4</v>
      </c>
      <c r="AU1681">
        <v>12</v>
      </c>
      <c r="AV1681">
        <v>2021</v>
      </c>
      <c r="AW1681">
        <v>2438038</v>
      </c>
      <c r="AX1681">
        <v>2438038</v>
      </c>
      <c r="AY1681" t="s">
        <v>106</v>
      </c>
      <c r="AZ1681" t="s">
        <v>92</v>
      </c>
      <c r="BA1681" t="s">
        <v>107</v>
      </c>
      <c r="BB1681" t="s">
        <v>4893</v>
      </c>
      <c r="BC1681" t="s">
        <v>1186</v>
      </c>
      <c r="BE1681" t="s">
        <v>96</v>
      </c>
      <c r="BG1681" t="s">
        <v>4507</v>
      </c>
      <c r="BI1681" t="s">
        <v>98</v>
      </c>
      <c r="BJ1681" t="s">
        <v>4753</v>
      </c>
      <c r="BL1681" t="s">
        <v>412</v>
      </c>
    </row>
    <row r="1682" spans="1:64" hidden="1" x14ac:dyDescent="0.2">
      <c r="A1682">
        <v>1263</v>
      </c>
      <c r="B1682">
        <v>4022923450</v>
      </c>
      <c r="C1682" t="s">
        <v>101</v>
      </c>
      <c r="D1682" t="s">
        <v>5018</v>
      </c>
      <c r="E1682" t="s">
        <v>65</v>
      </c>
      <c r="F1682" t="s">
        <v>66</v>
      </c>
      <c r="G1682" t="s">
        <v>67</v>
      </c>
      <c r="H1682" t="s">
        <v>68</v>
      </c>
      <c r="I1682" t="s">
        <v>176</v>
      </c>
      <c r="J1682" t="s">
        <v>177</v>
      </c>
      <c r="K1682" t="s">
        <v>3925</v>
      </c>
      <c r="M1682" t="s">
        <v>72</v>
      </c>
      <c r="N1682" t="s">
        <v>3926</v>
      </c>
      <c r="O1682" t="s">
        <v>3925</v>
      </c>
      <c r="P1682" t="s">
        <v>1176</v>
      </c>
      <c r="Q1682" t="s">
        <v>75</v>
      </c>
      <c r="R1682" t="s">
        <v>5008</v>
      </c>
      <c r="S1682" t="s">
        <v>211</v>
      </c>
      <c r="T1682" t="s">
        <v>78</v>
      </c>
      <c r="U1682" t="s">
        <v>5009</v>
      </c>
      <c r="V1682" t="s">
        <v>80</v>
      </c>
      <c r="W1682" s="1">
        <v>44534</v>
      </c>
      <c r="X1682" t="s">
        <v>5010</v>
      </c>
      <c r="Y1682" t="s">
        <v>5011</v>
      </c>
      <c r="Z1682" t="s">
        <v>83</v>
      </c>
      <c r="AA1682">
        <v>1</v>
      </c>
      <c r="AB1682" t="s">
        <v>4511</v>
      </c>
      <c r="AC1682">
        <v>1</v>
      </c>
      <c r="AD1682" t="s">
        <v>128</v>
      </c>
      <c r="AE1682" t="s">
        <v>86</v>
      </c>
      <c r="AF1682" t="s">
        <v>146</v>
      </c>
      <c r="AG1682" t="s">
        <v>5013</v>
      </c>
      <c r="AI1682" t="s">
        <v>90</v>
      </c>
      <c r="AJ1682">
        <v>32.313032</v>
      </c>
      <c r="AK1682">
        <v>-110.711788</v>
      </c>
      <c r="AL1682">
        <v>3</v>
      </c>
      <c r="AN1682">
        <v>1148</v>
      </c>
      <c r="AP1682">
        <v>1148</v>
      </c>
      <c r="AQ1682">
        <v>1146.7076790000001</v>
      </c>
      <c r="AT1682">
        <v>4</v>
      </c>
      <c r="AU1682">
        <v>12</v>
      </c>
      <c r="AV1682">
        <v>2021</v>
      </c>
      <c r="AW1682">
        <v>2437981</v>
      </c>
      <c r="AX1682">
        <v>2437981</v>
      </c>
      <c r="AY1682" t="s">
        <v>106</v>
      </c>
      <c r="AZ1682" t="s">
        <v>92</v>
      </c>
      <c r="BA1682" t="s">
        <v>107</v>
      </c>
      <c r="BB1682" t="s">
        <v>5019</v>
      </c>
      <c r="BC1682" t="s">
        <v>1186</v>
      </c>
      <c r="BE1682" t="s">
        <v>96</v>
      </c>
      <c r="BG1682" t="s">
        <v>4507</v>
      </c>
      <c r="BI1682" t="s">
        <v>98</v>
      </c>
      <c r="BJ1682" t="s">
        <v>4815</v>
      </c>
      <c r="BL1682" t="s">
        <v>110</v>
      </c>
    </row>
    <row r="1683" spans="1:64" hidden="1" x14ac:dyDescent="0.2">
      <c r="A1683">
        <v>1334</v>
      </c>
      <c r="B1683">
        <v>4022923379</v>
      </c>
      <c r="C1683" t="s">
        <v>101</v>
      </c>
      <c r="D1683" t="s">
        <v>5051</v>
      </c>
      <c r="E1683" t="s">
        <v>65</v>
      </c>
      <c r="F1683" t="s">
        <v>66</v>
      </c>
      <c r="G1683" t="s">
        <v>67</v>
      </c>
      <c r="H1683" t="s">
        <v>68</v>
      </c>
      <c r="I1683" t="s">
        <v>176</v>
      </c>
      <c r="J1683" t="s">
        <v>177</v>
      </c>
      <c r="K1683" t="s">
        <v>3925</v>
      </c>
      <c r="M1683" t="s">
        <v>72</v>
      </c>
      <c r="N1683" t="s">
        <v>3926</v>
      </c>
      <c r="O1683" t="s">
        <v>3925</v>
      </c>
      <c r="P1683" t="s">
        <v>1176</v>
      </c>
      <c r="Q1683" t="s">
        <v>75</v>
      </c>
      <c r="R1683" t="s">
        <v>5008</v>
      </c>
      <c r="S1683" t="s">
        <v>245</v>
      </c>
      <c r="T1683" t="s">
        <v>78</v>
      </c>
      <c r="U1683" t="s">
        <v>5009</v>
      </c>
      <c r="V1683" t="s">
        <v>80</v>
      </c>
      <c r="W1683" s="1">
        <v>44534</v>
      </c>
      <c r="X1683" t="s">
        <v>5010</v>
      </c>
      <c r="Y1683" t="s">
        <v>5035</v>
      </c>
      <c r="Z1683" t="s">
        <v>83</v>
      </c>
      <c r="AA1683">
        <v>1</v>
      </c>
      <c r="AB1683" t="s">
        <v>4511</v>
      </c>
      <c r="AC1683">
        <v>1</v>
      </c>
      <c r="AD1683" t="s">
        <v>128</v>
      </c>
      <c r="AE1683" t="s">
        <v>145</v>
      </c>
      <c r="AF1683" t="s">
        <v>402</v>
      </c>
      <c r="AG1683" t="s">
        <v>5041</v>
      </c>
      <c r="AI1683" t="s">
        <v>90</v>
      </c>
      <c r="AJ1683">
        <v>32.313015999999998</v>
      </c>
      <c r="AK1683">
        <v>-110.711777</v>
      </c>
      <c r="AL1683">
        <v>3</v>
      </c>
      <c r="AN1683">
        <v>1148</v>
      </c>
      <c r="AP1683">
        <v>1148</v>
      </c>
      <c r="AQ1683">
        <v>1146.1815200000001</v>
      </c>
      <c r="AT1683">
        <v>4</v>
      </c>
      <c r="AU1683">
        <v>12</v>
      </c>
      <c r="AV1683">
        <v>2021</v>
      </c>
      <c r="AW1683">
        <v>2437981</v>
      </c>
      <c r="AX1683">
        <v>2437981</v>
      </c>
      <c r="AY1683" t="s">
        <v>106</v>
      </c>
      <c r="AZ1683" t="s">
        <v>92</v>
      </c>
      <c r="BA1683" t="s">
        <v>107</v>
      </c>
      <c r="BB1683" t="s">
        <v>5052</v>
      </c>
      <c r="BC1683" t="s">
        <v>1186</v>
      </c>
      <c r="BE1683" t="s">
        <v>96</v>
      </c>
      <c r="BG1683" t="s">
        <v>4507</v>
      </c>
      <c r="BI1683" t="s">
        <v>98</v>
      </c>
      <c r="BJ1683" t="s">
        <v>4135</v>
      </c>
      <c r="BL1683" t="s">
        <v>110</v>
      </c>
    </row>
    <row r="1684" spans="1:64" hidden="1" x14ac:dyDescent="0.2">
      <c r="A1684">
        <v>1197</v>
      </c>
      <c r="B1684">
        <v>4022923516</v>
      </c>
      <c r="C1684" t="s">
        <v>101</v>
      </c>
      <c r="D1684" t="s">
        <v>5065</v>
      </c>
      <c r="E1684" t="s">
        <v>65</v>
      </c>
      <c r="F1684" t="s">
        <v>66</v>
      </c>
      <c r="G1684" t="s">
        <v>67</v>
      </c>
      <c r="H1684" t="s">
        <v>68</v>
      </c>
      <c r="I1684" t="s">
        <v>176</v>
      </c>
      <c r="J1684" t="s">
        <v>773</v>
      </c>
      <c r="K1684" t="s">
        <v>1347</v>
      </c>
      <c r="M1684" t="s">
        <v>72</v>
      </c>
      <c r="N1684" t="s">
        <v>1348</v>
      </c>
      <c r="O1684" t="s">
        <v>1347</v>
      </c>
      <c r="P1684" t="s">
        <v>1349</v>
      </c>
      <c r="Q1684" t="s">
        <v>75</v>
      </c>
      <c r="R1684" t="s">
        <v>5008</v>
      </c>
      <c r="S1684" t="s">
        <v>5057</v>
      </c>
      <c r="T1684" t="s">
        <v>78</v>
      </c>
      <c r="U1684" t="s">
        <v>5009</v>
      </c>
      <c r="V1684" t="s">
        <v>80</v>
      </c>
      <c r="W1684" s="1">
        <v>44534</v>
      </c>
      <c r="X1684" t="s">
        <v>5010</v>
      </c>
      <c r="Y1684" t="s">
        <v>5058</v>
      </c>
      <c r="Z1684" t="s">
        <v>83</v>
      </c>
      <c r="AA1684">
        <v>1</v>
      </c>
      <c r="AB1684" t="s">
        <v>4511</v>
      </c>
      <c r="AC1684">
        <v>1</v>
      </c>
      <c r="AD1684" t="s">
        <v>128</v>
      </c>
      <c r="AE1684" t="s">
        <v>86</v>
      </c>
      <c r="AF1684" t="s">
        <v>146</v>
      </c>
      <c r="AG1684" t="s">
        <v>5060</v>
      </c>
      <c r="AI1684" t="s">
        <v>90</v>
      </c>
      <c r="AJ1684">
        <v>32.313001</v>
      </c>
      <c r="AK1684">
        <v>-110.711848</v>
      </c>
      <c r="AL1684">
        <v>3</v>
      </c>
      <c r="AN1684">
        <v>1148</v>
      </c>
      <c r="AP1684">
        <v>1148</v>
      </c>
      <c r="AQ1684">
        <v>1147.8440169999999</v>
      </c>
      <c r="AT1684">
        <v>4</v>
      </c>
      <c r="AU1684">
        <v>12</v>
      </c>
      <c r="AV1684">
        <v>2021</v>
      </c>
      <c r="AW1684">
        <v>2438454</v>
      </c>
      <c r="AX1684">
        <v>2438454</v>
      </c>
      <c r="AY1684" t="s">
        <v>106</v>
      </c>
      <c r="AZ1684" t="s">
        <v>92</v>
      </c>
      <c r="BA1684" t="s">
        <v>107</v>
      </c>
      <c r="BB1684" t="s">
        <v>5066</v>
      </c>
      <c r="BC1684" t="s">
        <v>1186</v>
      </c>
      <c r="BE1684" t="s">
        <v>96</v>
      </c>
      <c r="BG1684" t="s">
        <v>4507</v>
      </c>
      <c r="BI1684" t="s">
        <v>98</v>
      </c>
      <c r="BJ1684" t="s">
        <v>4915</v>
      </c>
      <c r="BL1684" t="s">
        <v>110</v>
      </c>
    </row>
    <row r="1685" spans="1:64" hidden="1" x14ac:dyDescent="0.2">
      <c r="A1685">
        <v>1198</v>
      </c>
      <c r="B1685">
        <v>4022923515</v>
      </c>
      <c r="C1685" t="s">
        <v>101</v>
      </c>
      <c r="D1685" t="s">
        <v>5074</v>
      </c>
      <c r="E1685" t="s">
        <v>65</v>
      </c>
      <c r="F1685" t="s">
        <v>66</v>
      </c>
      <c r="G1685" t="s">
        <v>67</v>
      </c>
      <c r="H1685" t="s">
        <v>68</v>
      </c>
      <c r="I1685" t="s">
        <v>69</v>
      </c>
      <c r="J1685" t="s">
        <v>70</v>
      </c>
      <c r="K1685" t="s">
        <v>4195</v>
      </c>
      <c r="M1685" t="s">
        <v>72</v>
      </c>
      <c r="N1685" t="s">
        <v>4196</v>
      </c>
      <c r="O1685" t="s">
        <v>4195</v>
      </c>
      <c r="P1685" t="s">
        <v>4197</v>
      </c>
      <c r="Q1685" t="s">
        <v>75</v>
      </c>
      <c r="R1685" t="s">
        <v>5008</v>
      </c>
      <c r="S1685" t="s">
        <v>5068</v>
      </c>
      <c r="T1685" t="s">
        <v>78</v>
      </c>
      <c r="U1685" t="s">
        <v>5009</v>
      </c>
      <c r="V1685" t="s">
        <v>80</v>
      </c>
      <c r="W1685" s="1">
        <v>44534</v>
      </c>
      <c r="X1685" t="s">
        <v>5010</v>
      </c>
      <c r="Y1685" t="s">
        <v>5069</v>
      </c>
      <c r="Z1685" t="s">
        <v>83</v>
      </c>
      <c r="AA1685">
        <v>1</v>
      </c>
      <c r="AB1685" t="s">
        <v>4511</v>
      </c>
      <c r="AC1685">
        <v>1</v>
      </c>
      <c r="AD1685" t="s">
        <v>128</v>
      </c>
      <c r="AE1685" t="s">
        <v>86</v>
      </c>
      <c r="AF1685" t="s">
        <v>146</v>
      </c>
      <c r="AG1685" t="s">
        <v>5071</v>
      </c>
      <c r="AI1685" t="s">
        <v>90</v>
      </c>
      <c r="AJ1685">
        <v>32.312947999999999</v>
      </c>
      <c r="AK1685">
        <v>-110.71189699999999</v>
      </c>
      <c r="AL1685">
        <v>3</v>
      </c>
      <c r="AN1685">
        <v>1151</v>
      </c>
      <c r="AP1685">
        <v>1151</v>
      </c>
      <c r="AQ1685">
        <v>1148.51053</v>
      </c>
      <c r="AT1685">
        <v>4</v>
      </c>
      <c r="AU1685">
        <v>12</v>
      </c>
      <c r="AV1685">
        <v>2021</v>
      </c>
      <c r="AW1685">
        <v>2439589</v>
      </c>
      <c r="AX1685">
        <v>2439589</v>
      </c>
      <c r="AY1685" t="s">
        <v>106</v>
      </c>
      <c r="AZ1685" t="s">
        <v>92</v>
      </c>
      <c r="BA1685" t="s">
        <v>107</v>
      </c>
      <c r="BB1685" t="s">
        <v>5075</v>
      </c>
      <c r="BC1685" t="s">
        <v>1186</v>
      </c>
      <c r="BE1685" t="s">
        <v>96</v>
      </c>
      <c r="BG1685" t="s">
        <v>4507</v>
      </c>
      <c r="BI1685" t="s">
        <v>98</v>
      </c>
      <c r="BJ1685" t="s">
        <v>4915</v>
      </c>
      <c r="BL1685" t="s">
        <v>110</v>
      </c>
    </row>
    <row r="1686" spans="1:64" hidden="1" x14ac:dyDescent="0.2">
      <c r="A1686">
        <v>1161</v>
      </c>
      <c r="B1686">
        <v>4022923552</v>
      </c>
      <c r="C1686" t="s">
        <v>101</v>
      </c>
      <c r="D1686" t="s">
        <v>5112</v>
      </c>
      <c r="E1686" t="s">
        <v>65</v>
      </c>
      <c r="F1686" t="s">
        <v>66</v>
      </c>
      <c r="G1686" t="s">
        <v>67</v>
      </c>
      <c r="H1686" t="s">
        <v>68</v>
      </c>
      <c r="I1686" t="s">
        <v>176</v>
      </c>
      <c r="J1686" t="s">
        <v>177</v>
      </c>
      <c r="K1686" t="s">
        <v>3925</v>
      </c>
      <c r="M1686" t="s">
        <v>72</v>
      </c>
      <c r="N1686" t="s">
        <v>3926</v>
      </c>
      <c r="O1686" t="s">
        <v>3925</v>
      </c>
      <c r="P1686" t="s">
        <v>1176</v>
      </c>
      <c r="Q1686" t="s">
        <v>75</v>
      </c>
      <c r="R1686" t="s">
        <v>5008</v>
      </c>
      <c r="S1686" t="s">
        <v>5092</v>
      </c>
      <c r="T1686" t="s">
        <v>78</v>
      </c>
      <c r="U1686" t="s">
        <v>5009</v>
      </c>
      <c r="V1686" t="s">
        <v>80</v>
      </c>
      <c r="W1686" s="1">
        <v>44534</v>
      </c>
      <c r="X1686" t="s">
        <v>5010</v>
      </c>
      <c r="Y1686" t="s">
        <v>5093</v>
      </c>
      <c r="Z1686" t="s">
        <v>83</v>
      </c>
      <c r="AA1686">
        <v>1</v>
      </c>
      <c r="AB1686" t="s">
        <v>4511</v>
      </c>
      <c r="AC1686">
        <v>1</v>
      </c>
      <c r="AD1686" t="s">
        <v>128</v>
      </c>
      <c r="AE1686" t="s">
        <v>145</v>
      </c>
      <c r="AF1686" t="s">
        <v>146</v>
      </c>
      <c r="AG1686" t="s">
        <v>5099</v>
      </c>
      <c r="AI1686" t="s">
        <v>90</v>
      </c>
      <c r="AJ1686">
        <v>32.312980000000003</v>
      </c>
      <c r="AK1686">
        <v>-110.71189800000001</v>
      </c>
      <c r="AL1686">
        <v>3</v>
      </c>
      <c r="AN1686">
        <v>1149</v>
      </c>
      <c r="AP1686">
        <v>1149</v>
      </c>
      <c r="AQ1686">
        <v>1148.92264</v>
      </c>
      <c r="AT1686">
        <v>4</v>
      </c>
      <c r="AU1686">
        <v>12</v>
      </c>
      <c r="AV1686">
        <v>2021</v>
      </c>
      <c r="AW1686">
        <v>2437981</v>
      </c>
      <c r="AX1686">
        <v>2437981</v>
      </c>
      <c r="AY1686" t="s">
        <v>106</v>
      </c>
      <c r="AZ1686" t="s">
        <v>92</v>
      </c>
      <c r="BA1686" t="s">
        <v>107</v>
      </c>
      <c r="BB1686" t="s">
        <v>5113</v>
      </c>
      <c r="BC1686" t="s">
        <v>1186</v>
      </c>
      <c r="BE1686" t="s">
        <v>96</v>
      </c>
      <c r="BG1686" t="s">
        <v>4507</v>
      </c>
      <c r="BI1686" t="s">
        <v>98</v>
      </c>
      <c r="BJ1686" t="s">
        <v>4632</v>
      </c>
      <c r="BL1686" t="s">
        <v>110</v>
      </c>
    </row>
    <row r="1687" spans="1:64" hidden="1" x14ac:dyDescent="0.2">
      <c r="A1687">
        <v>1218</v>
      </c>
      <c r="B1687">
        <v>4022923495</v>
      </c>
      <c r="C1687" t="s">
        <v>101</v>
      </c>
      <c r="D1687" t="s">
        <v>5154</v>
      </c>
      <c r="E1687" t="s">
        <v>65</v>
      </c>
      <c r="F1687" t="s">
        <v>66</v>
      </c>
      <c r="G1687" t="s">
        <v>67</v>
      </c>
      <c r="H1687" t="s">
        <v>68</v>
      </c>
      <c r="I1687" t="s">
        <v>350</v>
      </c>
      <c r="J1687" t="s">
        <v>4050</v>
      </c>
      <c r="K1687" t="s">
        <v>4051</v>
      </c>
      <c r="M1687" t="s">
        <v>72</v>
      </c>
      <c r="N1687" t="s">
        <v>4052</v>
      </c>
      <c r="O1687" t="s">
        <v>4051</v>
      </c>
      <c r="P1687" t="s">
        <v>4053</v>
      </c>
      <c r="Q1687" t="s">
        <v>75</v>
      </c>
      <c r="R1687" t="s">
        <v>5008</v>
      </c>
      <c r="S1687" t="s">
        <v>5139</v>
      </c>
      <c r="T1687" t="s">
        <v>78</v>
      </c>
      <c r="U1687" t="s">
        <v>5009</v>
      </c>
      <c r="V1687" t="s">
        <v>80</v>
      </c>
      <c r="W1687" s="1">
        <v>44534</v>
      </c>
      <c r="X1687" t="s">
        <v>5010</v>
      </c>
      <c r="Y1687" t="s">
        <v>5140</v>
      </c>
      <c r="Z1687" t="s">
        <v>83</v>
      </c>
      <c r="AA1687">
        <v>1</v>
      </c>
      <c r="AB1687" t="s">
        <v>4511</v>
      </c>
      <c r="AC1687">
        <v>1</v>
      </c>
      <c r="AD1687" t="s">
        <v>128</v>
      </c>
      <c r="AE1687" t="s">
        <v>86</v>
      </c>
      <c r="AF1687" t="s">
        <v>146</v>
      </c>
      <c r="AG1687" t="s">
        <v>1393</v>
      </c>
      <c r="AI1687" t="s">
        <v>90</v>
      </c>
      <c r="AJ1687">
        <v>32.31324</v>
      </c>
      <c r="AK1687">
        <v>-110.71200899999999</v>
      </c>
      <c r="AL1687">
        <v>3</v>
      </c>
      <c r="AN1687">
        <v>1153</v>
      </c>
      <c r="AP1687">
        <v>1153</v>
      </c>
      <c r="AQ1687">
        <v>1156.50323</v>
      </c>
      <c r="AT1687">
        <v>4</v>
      </c>
      <c r="AU1687">
        <v>12</v>
      </c>
      <c r="AV1687">
        <v>2021</v>
      </c>
      <c r="AW1687">
        <v>2437568</v>
      </c>
      <c r="AX1687">
        <v>2437568</v>
      </c>
      <c r="AY1687" t="s">
        <v>106</v>
      </c>
      <c r="AZ1687" t="s">
        <v>92</v>
      </c>
      <c r="BA1687" t="s">
        <v>107</v>
      </c>
      <c r="BB1687" t="s">
        <v>5155</v>
      </c>
      <c r="BC1687" t="s">
        <v>1186</v>
      </c>
      <c r="BE1687" t="s">
        <v>96</v>
      </c>
      <c r="BG1687" t="s">
        <v>4507</v>
      </c>
      <c r="BI1687" t="s">
        <v>98</v>
      </c>
      <c r="BJ1687" t="s">
        <v>5024</v>
      </c>
      <c r="BL1687" t="s">
        <v>110</v>
      </c>
    </row>
    <row r="1688" spans="1:64" hidden="1" x14ac:dyDescent="0.2">
      <c r="A1688">
        <v>1176</v>
      </c>
      <c r="B1688">
        <v>4022923537</v>
      </c>
      <c r="C1688" t="s">
        <v>101</v>
      </c>
      <c r="D1688" t="s">
        <v>5181</v>
      </c>
      <c r="E1688" t="s">
        <v>65</v>
      </c>
      <c r="F1688" t="s">
        <v>66</v>
      </c>
      <c r="G1688" t="s">
        <v>67</v>
      </c>
      <c r="H1688" t="s">
        <v>68</v>
      </c>
      <c r="I1688" t="s">
        <v>69</v>
      </c>
      <c r="J1688" t="s">
        <v>70</v>
      </c>
      <c r="K1688" t="s">
        <v>4195</v>
      </c>
      <c r="M1688" t="s">
        <v>72</v>
      </c>
      <c r="N1688" t="s">
        <v>4196</v>
      </c>
      <c r="O1688" t="s">
        <v>4195</v>
      </c>
      <c r="P1688" t="s">
        <v>4197</v>
      </c>
      <c r="Q1688" t="s">
        <v>75</v>
      </c>
      <c r="R1688" t="s">
        <v>5008</v>
      </c>
      <c r="S1688" t="s">
        <v>5159</v>
      </c>
      <c r="T1688" t="s">
        <v>78</v>
      </c>
      <c r="U1688" t="s">
        <v>5009</v>
      </c>
      <c r="V1688" t="s">
        <v>80</v>
      </c>
      <c r="W1688" s="1">
        <v>44534</v>
      </c>
      <c r="X1688" t="s">
        <v>5010</v>
      </c>
      <c r="Y1688" t="s">
        <v>5160</v>
      </c>
      <c r="Z1688" t="s">
        <v>83</v>
      </c>
      <c r="AA1688">
        <v>1</v>
      </c>
      <c r="AB1688" t="s">
        <v>4511</v>
      </c>
      <c r="AC1688">
        <v>1</v>
      </c>
      <c r="AD1688" t="s">
        <v>128</v>
      </c>
      <c r="AE1688" t="s">
        <v>145</v>
      </c>
      <c r="AF1688" t="s">
        <v>146</v>
      </c>
      <c r="AG1688" t="s">
        <v>3217</v>
      </c>
      <c r="AI1688" t="s">
        <v>90</v>
      </c>
      <c r="AJ1688">
        <v>32.313285999999998</v>
      </c>
      <c r="AK1688">
        <v>-110.71198699999999</v>
      </c>
      <c r="AL1688">
        <v>3</v>
      </c>
      <c r="AN1688">
        <v>1159</v>
      </c>
      <c r="AP1688">
        <v>1159</v>
      </c>
      <c r="AQ1688">
        <v>1157.2441249999999</v>
      </c>
      <c r="AT1688">
        <v>4</v>
      </c>
      <c r="AU1688">
        <v>12</v>
      </c>
      <c r="AV1688">
        <v>2021</v>
      </c>
      <c r="AW1688">
        <v>2439589</v>
      </c>
      <c r="AX1688">
        <v>2439589</v>
      </c>
      <c r="AY1688" t="s">
        <v>106</v>
      </c>
      <c r="AZ1688" t="s">
        <v>92</v>
      </c>
      <c r="BA1688" t="s">
        <v>107</v>
      </c>
      <c r="BB1688" t="s">
        <v>5182</v>
      </c>
      <c r="BC1688" t="s">
        <v>1186</v>
      </c>
      <c r="BE1688" t="s">
        <v>96</v>
      </c>
      <c r="BG1688" t="s">
        <v>4507</v>
      </c>
      <c r="BI1688" t="s">
        <v>98</v>
      </c>
      <c r="BJ1688" t="s">
        <v>5090</v>
      </c>
      <c r="BL1688" t="s">
        <v>110</v>
      </c>
    </row>
    <row r="1689" spans="1:64" hidden="1" x14ac:dyDescent="0.2">
      <c r="A1689">
        <v>1163</v>
      </c>
      <c r="B1689">
        <v>4022923550</v>
      </c>
      <c r="C1689" t="s">
        <v>101</v>
      </c>
      <c r="D1689" t="s">
        <v>5193</v>
      </c>
      <c r="E1689" t="s">
        <v>65</v>
      </c>
      <c r="F1689" t="s">
        <v>66</v>
      </c>
      <c r="G1689" t="s">
        <v>67</v>
      </c>
      <c r="H1689" t="s">
        <v>68</v>
      </c>
      <c r="I1689" t="s">
        <v>176</v>
      </c>
      <c r="J1689" t="s">
        <v>773</v>
      </c>
      <c r="K1689" t="s">
        <v>1347</v>
      </c>
      <c r="M1689" t="s">
        <v>72</v>
      </c>
      <c r="N1689" t="s">
        <v>1348</v>
      </c>
      <c r="O1689" t="s">
        <v>1347</v>
      </c>
      <c r="P1689" t="s">
        <v>1349</v>
      </c>
      <c r="Q1689" t="s">
        <v>75</v>
      </c>
      <c r="R1689" t="s">
        <v>5008</v>
      </c>
      <c r="S1689" t="s">
        <v>5184</v>
      </c>
      <c r="T1689" t="s">
        <v>78</v>
      </c>
      <c r="U1689" t="s">
        <v>5009</v>
      </c>
      <c r="V1689" t="s">
        <v>80</v>
      </c>
      <c r="W1689" s="1">
        <v>44534</v>
      </c>
      <c r="X1689" t="s">
        <v>5010</v>
      </c>
      <c r="Y1689" t="s">
        <v>5185</v>
      </c>
      <c r="Z1689" t="s">
        <v>83</v>
      </c>
      <c r="AA1689">
        <v>1</v>
      </c>
      <c r="AB1689" t="s">
        <v>4511</v>
      </c>
      <c r="AC1689">
        <v>1</v>
      </c>
      <c r="AD1689" t="s">
        <v>128</v>
      </c>
      <c r="AE1689" t="s">
        <v>145</v>
      </c>
      <c r="AF1689" t="s">
        <v>146</v>
      </c>
      <c r="AG1689" t="s">
        <v>5191</v>
      </c>
      <c r="AI1689" t="s">
        <v>90</v>
      </c>
      <c r="AJ1689">
        <v>32.313310000000001</v>
      </c>
      <c r="AK1689">
        <v>-110.712159</v>
      </c>
      <c r="AL1689">
        <v>3</v>
      </c>
      <c r="AN1689">
        <v>1166</v>
      </c>
      <c r="AP1689">
        <v>1166</v>
      </c>
      <c r="AQ1689">
        <v>1159.281207</v>
      </c>
      <c r="AT1689">
        <v>4</v>
      </c>
      <c r="AU1689">
        <v>12</v>
      </c>
      <c r="AV1689">
        <v>2021</v>
      </c>
      <c r="AW1689">
        <v>2438454</v>
      </c>
      <c r="AX1689">
        <v>2438454</v>
      </c>
      <c r="AY1689" t="s">
        <v>106</v>
      </c>
      <c r="AZ1689" t="s">
        <v>92</v>
      </c>
      <c r="BA1689" t="s">
        <v>107</v>
      </c>
      <c r="BB1689" t="s">
        <v>5194</v>
      </c>
      <c r="BC1689" t="s">
        <v>1186</v>
      </c>
      <c r="BE1689" t="s">
        <v>96</v>
      </c>
      <c r="BG1689" t="s">
        <v>4507</v>
      </c>
      <c r="BI1689" t="s">
        <v>98</v>
      </c>
      <c r="BJ1689" t="s">
        <v>348</v>
      </c>
      <c r="BL1689" t="s">
        <v>110</v>
      </c>
    </row>
    <row r="1690" spans="1:64" hidden="1" x14ac:dyDescent="0.2">
      <c r="A1690">
        <v>1272</v>
      </c>
      <c r="B1690">
        <v>4022923441</v>
      </c>
      <c r="C1690" t="s">
        <v>101</v>
      </c>
      <c r="D1690" t="s">
        <v>5228</v>
      </c>
      <c r="E1690" t="s">
        <v>65</v>
      </c>
      <c r="F1690" t="s">
        <v>66</v>
      </c>
      <c r="G1690" t="s">
        <v>67</v>
      </c>
      <c r="H1690" t="s">
        <v>68</v>
      </c>
      <c r="I1690" t="s">
        <v>176</v>
      </c>
      <c r="J1690" t="s">
        <v>773</v>
      </c>
      <c r="K1690" t="s">
        <v>1347</v>
      </c>
      <c r="M1690" t="s">
        <v>72</v>
      </c>
      <c r="N1690" t="s">
        <v>1348</v>
      </c>
      <c r="O1690" t="s">
        <v>1347</v>
      </c>
      <c r="P1690" t="s">
        <v>1349</v>
      </c>
      <c r="Q1690" t="s">
        <v>75</v>
      </c>
      <c r="R1690" t="s">
        <v>5008</v>
      </c>
      <c r="S1690" t="s">
        <v>5211</v>
      </c>
      <c r="T1690" t="s">
        <v>78</v>
      </c>
      <c r="U1690" t="s">
        <v>5009</v>
      </c>
      <c r="V1690" t="s">
        <v>80</v>
      </c>
      <c r="W1690" s="1">
        <v>44534</v>
      </c>
      <c r="X1690" t="s">
        <v>5010</v>
      </c>
      <c r="Y1690" t="s">
        <v>5212</v>
      </c>
      <c r="Z1690" t="s">
        <v>83</v>
      </c>
      <c r="AA1690">
        <v>1</v>
      </c>
      <c r="AB1690" t="s">
        <v>4511</v>
      </c>
      <c r="AC1690">
        <v>1</v>
      </c>
      <c r="AD1690" t="s">
        <v>128</v>
      </c>
      <c r="AE1690" t="s">
        <v>86</v>
      </c>
      <c r="AF1690" t="s">
        <v>146</v>
      </c>
      <c r="AG1690" t="s">
        <v>5214</v>
      </c>
      <c r="AI1690" t="s">
        <v>90</v>
      </c>
      <c r="AJ1690">
        <v>32.313220999999999</v>
      </c>
      <c r="AK1690">
        <v>-110.712391</v>
      </c>
      <c r="AL1690">
        <v>3</v>
      </c>
      <c r="AN1690">
        <v>1169</v>
      </c>
      <c r="AP1690">
        <v>1169</v>
      </c>
      <c r="AQ1690">
        <v>1163.198684</v>
      </c>
      <c r="AT1690">
        <v>4</v>
      </c>
      <c r="AU1690">
        <v>12</v>
      </c>
      <c r="AV1690">
        <v>2021</v>
      </c>
      <c r="AW1690">
        <v>2438454</v>
      </c>
      <c r="AX1690">
        <v>2438454</v>
      </c>
      <c r="AY1690" t="s">
        <v>106</v>
      </c>
      <c r="AZ1690" t="s">
        <v>92</v>
      </c>
      <c r="BA1690" t="s">
        <v>107</v>
      </c>
      <c r="BB1690" t="s">
        <v>5229</v>
      </c>
      <c r="BC1690" t="s">
        <v>1186</v>
      </c>
      <c r="BE1690" t="s">
        <v>96</v>
      </c>
      <c r="BG1690" t="s">
        <v>4507</v>
      </c>
      <c r="BI1690" t="s">
        <v>98</v>
      </c>
      <c r="BJ1690" t="s">
        <v>4644</v>
      </c>
      <c r="BL1690" t="s">
        <v>110</v>
      </c>
    </row>
    <row r="1691" spans="1:64" hidden="1" x14ac:dyDescent="0.2">
      <c r="A1691">
        <v>1167</v>
      </c>
      <c r="B1691">
        <v>4022923546</v>
      </c>
      <c r="C1691" t="s">
        <v>101</v>
      </c>
      <c r="D1691" t="s">
        <v>5237</v>
      </c>
      <c r="E1691" t="s">
        <v>65</v>
      </c>
      <c r="F1691" t="s">
        <v>66</v>
      </c>
      <c r="G1691" t="s">
        <v>67</v>
      </c>
      <c r="H1691" t="s">
        <v>68</v>
      </c>
      <c r="I1691" t="s">
        <v>69</v>
      </c>
      <c r="J1691" t="s">
        <v>70</v>
      </c>
      <c r="K1691" t="s">
        <v>71</v>
      </c>
      <c r="M1691" t="s">
        <v>72</v>
      </c>
      <c r="N1691" t="s">
        <v>73</v>
      </c>
      <c r="O1691" t="s">
        <v>71</v>
      </c>
      <c r="P1691" t="s">
        <v>74</v>
      </c>
      <c r="Q1691" t="s">
        <v>75</v>
      </c>
      <c r="R1691" t="s">
        <v>5008</v>
      </c>
      <c r="S1691" t="s">
        <v>4463</v>
      </c>
      <c r="T1691" t="s">
        <v>78</v>
      </c>
      <c r="U1691" t="s">
        <v>5009</v>
      </c>
      <c r="V1691" t="s">
        <v>80</v>
      </c>
      <c r="W1691" s="1">
        <v>44534</v>
      </c>
      <c r="X1691" t="s">
        <v>5010</v>
      </c>
      <c r="Y1691" t="s">
        <v>5233</v>
      </c>
      <c r="Z1691" t="s">
        <v>83</v>
      </c>
      <c r="AA1691">
        <v>1</v>
      </c>
      <c r="AB1691" t="s">
        <v>4511</v>
      </c>
      <c r="AC1691">
        <v>1</v>
      </c>
      <c r="AD1691" t="s">
        <v>128</v>
      </c>
      <c r="AE1691" t="s">
        <v>86</v>
      </c>
      <c r="AF1691" t="s">
        <v>146</v>
      </c>
      <c r="AG1691" t="s">
        <v>1257</v>
      </c>
      <c r="AI1691" t="s">
        <v>90</v>
      </c>
      <c r="AJ1691">
        <v>32.313585000000003</v>
      </c>
      <c r="AK1691">
        <v>-110.712908</v>
      </c>
      <c r="AL1691">
        <v>3</v>
      </c>
      <c r="AN1691">
        <v>1171</v>
      </c>
      <c r="AP1691">
        <v>1171</v>
      </c>
      <c r="AQ1691">
        <v>1176.1302639999999</v>
      </c>
      <c r="AT1691">
        <v>4</v>
      </c>
      <c r="AU1691">
        <v>12</v>
      </c>
      <c r="AV1691">
        <v>2021</v>
      </c>
      <c r="AW1691">
        <v>2439581</v>
      </c>
      <c r="AX1691">
        <v>2439581</v>
      </c>
      <c r="AY1691" t="s">
        <v>106</v>
      </c>
      <c r="AZ1691" t="s">
        <v>92</v>
      </c>
      <c r="BA1691" t="s">
        <v>107</v>
      </c>
      <c r="BB1691" t="s">
        <v>5238</v>
      </c>
      <c r="BC1691" t="s">
        <v>1186</v>
      </c>
      <c r="BE1691" t="s">
        <v>96</v>
      </c>
      <c r="BG1691" t="s">
        <v>4507</v>
      </c>
      <c r="BI1691" t="s">
        <v>98</v>
      </c>
      <c r="BJ1691" t="s">
        <v>4903</v>
      </c>
      <c r="BL1691" t="s">
        <v>110</v>
      </c>
    </row>
    <row r="1692" spans="1:64" hidden="1" x14ac:dyDescent="0.2">
      <c r="A1692">
        <v>1201</v>
      </c>
      <c r="B1692">
        <v>4022923512</v>
      </c>
      <c r="C1692" t="s">
        <v>101</v>
      </c>
      <c r="D1692" t="s">
        <v>5276</v>
      </c>
      <c r="E1692" t="s">
        <v>65</v>
      </c>
      <c r="F1692" t="s">
        <v>66</v>
      </c>
      <c r="G1692" t="s">
        <v>67</v>
      </c>
      <c r="H1692" t="s">
        <v>68</v>
      </c>
      <c r="I1692" t="s">
        <v>69</v>
      </c>
      <c r="J1692" t="s">
        <v>70</v>
      </c>
      <c r="K1692" t="s">
        <v>71</v>
      </c>
      <c r="M1692" t="s">
        <v>72</v>
      </c>
      <c r="N1692" t="s">
        <v>73</v>
      </c>
      <c r="O1692" t="s">
        <v>71</v>
      </c>
      <c r="P1692" t="s">
        <v>74</v>
      </c>
      <c r="Q1692" t="s">
        <v>75</v>
      </c>
      <c r="R1692" t="s">
        <v>5008</v>
      </c>
      <c r="S1692" t="s">
        <v>5255</v>
      </c>
      <c r="T1692" t="s">
        <v>78</v>
      </c>
      <c r="U1692" t="s">
        <v>5009</v>
      </c>
      <c r="V1692" t="s">
        <v>80</v>
      </c>
      <c r="W1692" s="1">
        <v>44534</v>
      </c>
      <c r="X1692" t="s">
        <v>5010</v>
      </c>
      <c r="Y1692" t="s">
        <v>5256</v>
      </c>
      <c r="Z1692" t="s">
        <v>83</v>
      </c>
      <c r="AA1692">
        <v>1</v>
      </c>
      <c r="AB1692" t="s">
        <v>4511</v>
      </c>
      <c r="AC1692">
        <v>1</v>
      </c>
      <c r="AD1692" t="s">
        <v>128</v>
      </c>
      <c r="AE1692" t="s">
        <v>145</v>
      </c>
      <c r="AF1692" t="s">
        <v>146</v>
      </c>
      <c r="AG1692" t="s">
        <v>5262</v>
      </c>
      <c r="AI1692" t="s">
        <v>90</v>
      </c>
      <c r="AJ1692">
        <v>32.314048</v>
      </c>
      <c r="AK1692">
        <v>-110.712737</v>
      </c>
      <c r="AL1692">
        <v>3</v>
      </c>
      <c r="AN1692">
        <v>1182</v>
      </c>
      <c r="AP1692">
        <v>1182</v>
      </c>
      <c r="AQ1692">
        <v>1182.6412849999999</v>
      </c>
      <c r="AT1692">
        <v>4</v>
      </c>
      <c r="AU1692">
        <v>12</v>
      </c>
      <c r="AV1692">
        <v>2021</v>
      </c>
      <c r="AW1692">
        <v>2439581</v>
      </c>
      <c r="AX1692">
        <v>2439581</v>
      </c>
      <c r="AY1692" t="s">
        <v>106</v>
      </c>
      <c r="AZ1692" t="s">
        <v>92</v>
      </c>
      <c r="BA1692" t="s">
        <v>107</v>
      </c>
      <c r="BB1692" t="s">
        <v>5277</v>
      </c>
      <c r="BC1692" t="s">
        <v>1186</v>
      </c>
      <c r="BE1692" t="s">
        <v>96</v>
      </c>
      <c r="BG1692" t="s">
        <v>4507</v>
      </c>
      <c r="BI1692" t="s">
        <v>98</v>
      </c>
      <c r="BJ1692" t="s">
        <v>1929</v>
      </c>
      <c r="BL1692" t="s">
        <v>110</v>
      </c>
    </row>
    <row r="1693" spans="1:64" hidden="1" x14ac:dyDescent="0.2">
      <c r="A1693">
        <v>1154</v>
      </c>
      <c r="B1693">
        <v>4022923559</v>
      </c>
      <c r="C1693" t="s">
        <v>101</v>
      </c>
      <c r="D1693" t="s">
        <v>5287</v>
      </c>
      <c r="E1693" t="s">
        <v>65</v>
      </c>
      <c r="F1693" t="s">
        <v>66</v>
      </c>
      <c r="G1693" t="s">
        <v>67</v>
      </c>
      <c r="H1693" t="s">
        <v>68</v>
      </c>
      <c r="I1693" t="s">
        <v>69</v>
      </c>
      <c r="J1693" t="s">
        <v>70</v>
      </c>
      <c r="K1693" t="s">
        <v>71</v>
      </c>
      <c r="M1693" t="s">
        <v>72</v>
      </c>
      <c r="N1693" t="s">
        <v>73</v>
      </c>
      <c r="O1693" t="s">
        <v>71</v>
      </c>
      <c r="P1693" t="s">
        <v>74</v>
      </c>
      <c r="Q1693" t="s">
        <v>75</v>
      </c>
      <c r="R1693" t="s">
        <v>5008</v>
      </c>
      <c r="S1693" t="s">
        <v>5282</v>
      </c>
      <c r="T1693" t="s">
        <v>78</v>
      </c>
      <c r="U1693" t="s">
        <v>5009</v>
      </c>
      <c r="V1693" t="s">
        <v>80</v>
      </c>
      <c r="W1693" s="1">
        <v>44534</v>
      </c>
      <c r="X1693" t="s">
        <v>5010</v>
      </c>
      <c r="Y1693" t="s">
        <v>5283</v>
      </c>
      <c r="Z1693" t="s">
        <v>83</v>
      </c>
      <c r="AA1693">
        <v>1</v>
      </c>
      <c r="AB1693" t="s">
        <v>4511</v>
      </c>
      <c r="AC1693">
        <v>1</v>
      </c>
      <c r="AD1693" t="s">
        <v>128</v>
      </c>
      <c r="AE1693" t="s">
        <v>86</v>
      </c>
      <c r="AF1693" t="s">
        <v>146</v>
      </c>
      <c r="AG1693" t="s">
        <v>5285</v>
      </c>
      <c r="AI1693" t="s">
        <v>90</v>
      </c>
      <c r="AJ1693">
        <v>32.314162000000003</v>
      </c>
      <c r="AK1693">
        <v>-110.712628</v>
      </c>
      <c r="AL1693">
        <v>3</v>
      </c>
      <c r="AN1693">
        <v>1188</v>
      </c>
      <c r="AP1693">
        <v>1188</v>
      </c>
      <c r="AQ1693">
        <v>1182.76694</v>
      </c>
      <c r="AT1693">
        <v>4</v>
      </c>
      <c r="AU1693">
        <v>12</v>
      </c>
      <c r="AV1693">
        <v>2021</v>
      </c>
      <c r="AW1693">
        <v>2439581</v>
      </c>
      <c r="AX1693">
        <v>2439581</v>
      </c>
      <c r="AY1693" t="s">
        <v>106</v>
      </c>
      <c r="AZ1693" t="s">
        <v>92</v>
      </c>
      <c r="BA1693" t="s">
        <v>107</v>
      </c>
      <c r="BB1693" t="s">
        <v>5288</v>
      </c>
      <c r="BC1693" t="s">
        <v>1186</v>
      </c>
      <c r="BE1693" t="s">
        <v>96</v>
      </c>
      <c r="BG1693" t="s">
        <v>4507</v>
      </c>
      <c r="BI1693" t="s">
        <v>98</v>
      </c>
      <c r="BJ1693" t="s">
        <v>348</v>
      </c>
      <c r="BL1693" t="s">
        <v>110</v>
      </c>
    </row>
    <row r="1694" spans="1:64" hidden="1" x14ac:dyDescent="0.2">
      <c r="A1694">
        <v>1186</v>
      </c>
      <c r="B1694">
        <v>4022923527</v>
      </c>
      <c r="C1694" t="s">
        <v>101</v>
      </c>
      <c r="D1694" t="s">
        <v>4913</v>
      </c>
      <c r="E1694" t="s">
        <v>65</v>
      </c>
      <c r="F1694" t="s">
        <v>66</v>
      </c>
      <c r="G1694" t="s">
        <v>67</v>
      </c>
      <c r="H1694" t="s">
        <v>68</v>
      </c>
      <c r="I1694" t="s">
        <v>69</v>
      </c>
      <c r="J1694" t="s">
        <v>70</v>
      </c>
      <c r="K1694" t="s">
        <v>71</v>
      </c>
      <c r="M1694" t="s">
        <v>72</v>
      </c>
      <c r="N1694" t="s">
        <v>73</v>
      </c>
      <c r="O1694" t="s">
        <v>71</v>
      </c>
      <c r="P1694" t="s">
        <v>74</v>
      </c>
      <c r="Q1694" t="s">
        <v>75</v>
      </c>
      <c r="R1694" t="s">
        <v>4501</v>
      </c>
      <c r="S1694" t="s">
        <v>4895</v>
      </c>
      <c r="T1694" t="s">
        <v>78</v>
      </c>
      <c r="U1694" t="s">
        <v>3817</v>
      </c>
      <c r="V1694" t="s">
        <v>80</v>
      </c>
      <c r="W1694" s="1">
        <v>44535</v>
      </c>
      <c r="X1694" t="s">
        <v>4502</v>
      </c>
      <c r="Y1694" t="s">
        <v>4896</v>
      </c>
      <c r="Z1694" t="s">
        <v>83</v>
      </c>
      <c r="AA1694">
        <v>1</v>
      </c>
      <c r="AB1694" t="s">
        <v>4511</v>
      </c>
      <c r="AC1694">
        <v>1</v>
      </c>
      <c r="AD1694" t="s">
        <v>128</v>
      </c>
      <c r="AE1694" t="s">
        <v>86</v>
      </c>
      <c r="AF1694" t="s">
        <v>146</v>
      </c>
      <c r="AG1694" t="s">
        <v>4898</v>
      </c>
      <c r="AI1694" t="s">
        <v>90</v>
      </c>
      <c r="AJ1694">
        <v>32.33663</v>
      </c>
      <c r="AK1694">
        <v>-110.721034</v>
      </c>
      <c r="AL1694">
        <v>3</v>
      </c>
      <c r="AN1694">
        <v>1480</v>
      </c>
      <c r="AP1694">
        <v>1480</v>
      </c>
      <c r="AQ1694">
        <v>1475.9009579999999</v>
      </c>
      <c r="AT1694">
        <v>5</v>
      </c>
      <c r="AU1694">
        <v>12</v>
      </c>
      <c r="AV1694">
        <v>2021</v>
      </c>
      <c r="AW1694">
        <v>2439581</v>
      </c>
      <c r="AX1694">
        <v>2439581</v>
      </c>
      <c r="AY1694" t="s">
        <v>106</v>
      </c>
      <c r="AZ1694" t="s">
        <v>92</v>
      </c>
      <c r="BA1694" t="s">
        <v>107</v>
      </c>
      <c r="BB1694" t="s">
        <v>4914</v>
      </c>
      <c r="BC1694" t="s">
        <v>1186</v>
      </c>
      <c r="BE1694" t="s">
        <v>96</v>
      </c>
      <c r="BG1694" t="s">
        <v>4507</v>
      </c>
      <c r="BI1694" t="s">
        <v>98</v>
      </c>
      <c r="BJ1694" t="s">
        <v>4915</v>
      </c>
      <c r="BL1694" t="s">
        <v>110</v>
      </c>
    </row>
    <row r="1695" spans="1:64" hidden="1" x14ac:dyDescent="0.2">
      <c r="A1695">
        <v>1385</v>
      </c>
      <c r="B1695">
        <v>4022923328</v>
      </c>
      <c r="C1695" t="s">
        <v>101</v>
      </c>
      <c r="D1695" t="s">
        <v>4970</v>
      </c>
      <c r="E1695" t="s">
        <v>65</v>
      </c>
      <c r="F1695" t="s">
        <v>66</v>
      </c>
      <c r="G1695" t="s">
        <v>67</v>
      </c>
      <c r="H1695" t="s">
        <v>68</v>
      </c>
      <c r="I1695" t="s">
        <v>176</v>
      </c>
      <c r="J1695" t="s">
        <v>1251</v>
      </c>
      <c r="K1695" t="s">
        <v>1252</v>
      </c>
      <c r="M1695" t="s">
        <v>72</v>
      </c>
      <c r="N1695" t="s">
        <v>1253</v>
      </c>
      <c r="O1695" t="s">
        <v>1252</v>
      </c>
      <c r="P1695" t="s">
        <v>1254</v>
      </c>
      <c r="Q1695" t="s">
        <v>75</v>
      </c>
      <c r="R1695" t="s">
        <v>4501</v>
      </c>
      <c r="S1695" t="s">
        <v>4957</v>
      </c>
      <c r="T1695" t="s">
        <v>78</v>
      </c>
      <c r="U1695" t="s">
        <v>3817</v>
      </c>
      <c r="V1695" t="s">
        <v>80</v>
      </c>
      <c r="W1695" s="1">
        <v>44535</v>
      </c>
      <c r="X1695" t="s">
        <v>4502</v>
      </c>
      <c r="Y1695" t="s">
        <v>4958</v>
      </c>
      <c r="Z1695" t="s">
        <v>83</v>
      </c>
      <c r="AA1695">
        <v>1</v>
      </c>
      <c r="AB1695" t="s">
        <v>4511</v>
      </c>
      <c r="AC1695">
        <v>1</v>
      </c>
      <c r="AD1695" t="s">
        <v>128</v>
      </c>
      <c r="AE1695" t="s">
        <v>145</v>
      </c>
      <c r="AF1695" t="s">
        <v>146</v>
      </c>
      <c r="AG1695" t="s">
        <v>1428</v>
      </c>
      <c r="AI1695" t="s">
        <v>90</v>
      </c>
      <c r="AJ1695">
        <v>32.336694999999999</v>
      </c>
      <c r="AK1695">
        <v>-110.720771</v>
      </c>
      <c r="AL1695">
        <v>3</v>
      </c>
      <c r="AN1695">
        <v>1476</v>
      </c>
      <c r="AP1695">
        <v>1476</v>
      </c>
      <c r="AQ1695">
        <v>1476.06369</v>
      </c>
      <c r="AT1695">
        <v>5</v>
      </c>
      <c r="AU1695">
        <v>12</v>
      </c>
      <c r="AV1695">
        <v>2021</v>
      </c>
      <c r="AW1695">
        <v>2438156</v>
      </c>
      <c r="AX1695">
        <v>2438156</v>
      </c>
      <c r="AY1695" t="s">
        <v>106</v>
      </c>
      <c r="AZ1695" t="s">
        <v>92</v>
      </c>
      <c r="BA1695" t="s">
        <v>107</v>
      </c>
      <c r="BB1695" t="s">
        <v>4971</v>
      </c>
      <c r="BC1695" t="s">
        <v>1186</v>
      </c>
      <c r="BE1695" t="s">
        <v>96</v>
      </c>
      <c r="BG1695" t="s">
        <v>4507</v>
      </c>
      <c r="BI1695" t="s">
        <v>98</v>
      </c>
      <c r="BJ1695" t="s">
        <v>4939</v>
      </c>
      <c r="BL1695" t="s">
        <v>110</v>
      </c>
    </row>
    <row r="1696" spans="1:64" hidden="1" x14ac:dyDescent="0.2">
      <c r="A1696">
        <v>1265</v>
      </c>
      <c r="B1696">
        <v>4022923448</v>
      </c>
      <c r="C1696" t="s">
        <v>101</v>
      </c>
      <c r="D1696" t="s">
        <v>5003</v>
      </c>
      <c r="E1696" t="s">
        <v>65</v>
      </c>
      <c r="F1696" t="s">
        <v>66</v>
      </c>
      <c r="G1696" t="s">
        <v>67</v>
      </c>
      <c r="H1696" t="s">
        <v>68</v>
      </c>
      <c r="I1696" t="s">
        <v>69</v>
      </c>
      <c r="J1696" t="s">
        <v>70</v>
      </c>
      <c r="K1696" t="s">
        <v>4195</v>
      </c>
      <c r="M1696" t="s">
        <v>72</v>
      </c>
      <c r="N1696" t="s">
        <v>4196</v>
      </c>
      <c r="O1696" t="s">
        <v>4195</v>
      </c>
      <c r="P1696" t="s">
        <v>4197</v>
      </c>
      <c r="Q1696" t="s">
        <v>75</v>
      </c>
      <c r="R1696" t="s">
        <v>4501</v>
      </c>
      <c r="S1696" t="s">
        <v>4983</v>
      </c>
      <c r="T1696" t="s">
        <v>78</v>
      </c>
      <c r="U1696" t="s">
        <v>3817</v>
      </c>
      <c r="V1696" t="s">
        <v>80</v>
      </c>
      <c r="W1696" s="1">
        <v>44535</v>
      </c>
      <c r="X1696" t="s">
        <v>4502</v>
      </c>
      <c r="Y1696" t="s">
        <v>4984</v>
      </c>
      <c r="Z1696" t="s">
        <v>83</v>
      </c>
      <c r="AA1696">
        <v>1</v>
      </c>
      <c r="AB1696" t="s">
        <v>4511</v>
      </c>
      <c r="AC1696">
        <v>1</v>
      </c>
      <c r="AD1696" t="s">
        <v>128</v>
      </c>
      <c r="AE1696" t="s">
        <v>145</v>
      </c>
      <c r="AF1696" t="s">
        <v>281</v>
      </c>
      <c r="AG1696" t="s">
        <v>4990</v>
      </c>
      <c r="AI1696" t="s">
        <v>90</v>
      </c>
      <c r="AJ1696">
        <v>32.337409999999998</v>
      </c>
      <c r="AK1696">
        <v>-110.71979399999999</v>
      </c>
      <c r="AL1696">
        <v>3</v>
      </c>
      <c r="AN1696">
        <v>1468</v>
      </c>
      <c r="AP1696">
        <v>1468</v>
      </c>
      <c r="AQ1696">
        <v>1479.931756</v>
      </c>
      <c r="AT1696">
        <v>5</v>
      </c>
      <c r="AU1696">
        <v>12</v>
      </c>
      <c r="AV1696">
        <v>2021</v>
      </c>
      <c r="AW1696">
        <v>2439589</v>
      </c>
      <c r="AX1696">
        <v>2439589</v>
      </c>
      <c r="AY1696" t="s">
        <v>106</v>
      </c>
      <c r="AZ1696" t="s">
        <v>92</v>
      </c>
      <c r="BA1696" t="s">
        <v>107</v>
      </c>
      <c r="BB1696" t="s">
        <v>5004</v>
      </c>
      <c r="BC1696" t="s">
        <v>1186</v>
      </c>
      <c r="BE1696" t="s">
        <v>96</v>
      </c>
      <c r="BG1696" t="s">
        <v>4507</v>
      </c>
      <c r="BI1696" t="s">
        <v>98</v>
      </c>
      <c r="BJ1696" t="s">
        <v>4592</v>
      </c>
      <c r="BL1696" t="s">
        <v>412</v>
      </c>
    </row>
    <row r="1697" spans="1:64" hidden="1" x14ac:dyDescent="0.2">
      <c r="A1697">
        <v>1044</v>
      </c>
      <c r="B1697">
        <v>4027015386</v>
      </c>
      <c r="C1697" t="s">
        <v>101</v>
      </c>
      <c r="D1697" t="s">
        <v>676</v>
      </c>
      <c r="E1697" t="s">
        <v>65</v>
      </c>
      <c r="F1697" t="s">
        <v>66</v>
      </c>
      <c r="G1697" t="s">
        <v>67</v>
      </c>
      <c r="H1697" t="s">
        <v>68</v>
      </c>
      <c r="I1697" t="s">
        <v>176</v>
      </c>
      <c r="J1697" t="s">
        <v>177</v>
      </c>
      <c r="K1697" t="s">
        <v>178</v>
      </c>
      <c r="M1697" t="s">
        <v>72</v>
      </c>
      <c r="N1697" t="s">
        <v>179</v>
      </c>
      <c r="O1697" t="s">
        <v>178</v>
      </c>
      <c r="P1697" t="s">
        <v>180</v>
      </c>
      <c r="Q1697" t="s">
        <v>75</v>
      </c>
      <c r="R1697" t="s">
        <v>644</v>
      </c>
      <c r="S1697" t="s">
        <v>645</v>
      </c>
      <c r="T1697" t="s">
        <v>78</v>
      </c>
      <c r="U1697" t="s">
        <v>646</v>
      </c>
      <c r="V1697" t="s">
        <v>80</v>
      </c>
      <c r="W1697" s="1">
        <v>44694</v>
      </c>
      <c r="X1697" t="s">
        <v>647</v>
      </c>
      <c r="Y1697" t="s">
        <v>648</v>
      </c>
      <c r="Z1697" t="s">
        <v>83</v>
      </c>
      <c r="AA1697">
        <v>1</v>
      </c>
      <c r="AB1697" t="s">
        <v>677</v>
      </c>
      <c r="AC1697">
        <v>1</v>
      </c>
      <c r="AD1697" t="s">
        <v>128</v>
      </c>
      <c r="AE1697" t="s">
        <v>145</v>
      </c>
      <c r="AF1697" t="s">
        <v>146</v>
      </c>
      <c r="AG1697" t="s">
        <v>658</v>
      </c>
      <c r="AH1697" t="s">
        <v>678</v>
      </c>
      <c r="AI1697" t="s">
        <v>90</v>
      </c>
      <c r="AJ1697">
        <v>32.387782999999999</v>
      </c>
      <c r="AK1697">
        <v>-110.712097</v>
      </c>
      <c r="AL1697">
        <v>3</v>
      </c>
      <c r="AN1697">
        <v>2096</v>
      </c>
      <c r="AP1697">
        <v>2096</v>
      </c>
      <c r="AQ1697">
        <v>2121.2476489999999</v>
      </c>
      <c r="AT1697">
        <v>13</v>
      </c>
      <c r="AU1697">
        <v>5</v>
      </c>
      <c r="AV1697">
        <v>2022</v>
      </c>
      <c r="AW1697">
        <v>2438038</v>
      </c>
      <c r="AX1697">
        <v>2438038</v>
      </c>
      <c r="AY1697" t="s">
        <v>106</v>
      </c>
      <c r="AZ1697" t="s">
        <v>92</v>
      </c>
      <c r="BA1697" t="s">
        <v>107</v>
      </c>
      <c r="BB1697" t="s">
        <v>679</v>
      </c>
      <c r="BC1697" t="s">
        <v>97</v>
      </c>
      <c r="BE1697" t="s">
        <v>96</v>
      </c>
      <c r="BG1697" t="s">
        <v>654</v>
      </c>
      <c r="BI1697" t="s">
        <v>98</v>
      </c>
      <c r="BJ1697" t="s">
        <v>680</v>
      </c>
      <c r="BL1697" t="s">
        <v>110</v>
      </c>
    </row>
    <row r="1698" spans="1:64" hidden="1" x14ac:dyDescent="0.2">
      <c r="A1698">
        <v>1040</v>
      </c>
      <c r="B1698">
        <v>4027015390</v>
      </c>
      <c r="C1698" t="s">
        <v>101</v>
      </c>
      <c r="D1698" s="2" t="s">
        <v>708</v>
      </c>
      <c r="E1698" t="s">
        <v>65</v>
      </c>
      <c r="F1698" t="s">
        <v>66</v>
      </c>
      <c r="G1698" t="s">
        <v>67</v>
      </c>
      <c r="H1698" t="s">
        <v>68</v>
      </c>
      <c r="I1698" t="s">
        <v>176</v>
      </c>
      <c r="J1698" t="s">
        <v>177</v>
      </c>
      <c r="K1698" t="s">
        <v>178</v>
      </c>
      <c r="M1698" t="s">
        <v>72</v>
      </c>
      <c r="N1698" t="s">
        <v>179</v>
      </c>
      <c r="O1698" t="s">
        <v>178</v>
      </c>
      <c r="P1698" t="s">
        <v>180</v>
      </c>
      <c r="Q1698" t="s">
        <v>75</v>
      </c>
      <c r="R1698" t="s">
        <v>644</v>
      </c>
      <c r="S1698" t="s">
        <v>694</v>
      </c>
      <c r="T1698" t="s">
        <v>78</v>
      </c>
      <c r="U1698" t="s">
        <v>646</v>
      </c>
      <c r="V1698" t="s">
        <v>80</v>
      </c>
      <c r="W1698" s="1">
        <v>44694</v>
      </c>
      <c r="X1698" t="s">
        <v>647</v>
      </c>
      <c r="Y1698" t="s">
        <v>695</v>
      </c>
      <c r="Z1698" t="s">
        <v>83</v>
      </c>
      <c r="AA1698">
        <v>1</v>
      </c>
      <c r="AB1698" t="s">
        <v>677</v>
      </c>
      <c r="AC1698">
        <v>1</v>
      </c>
      <c r="AD1698" t="s">
        <v>128</v>
      </c>
      <c r="AE1698" t="s">
        <v>86</v>
      </c>
      <c r="AF1698" t="s">
        <v>146</v>
      </c>
      <c r="AG1698" t="s">
        <v>697</v>
      </c>
      <c r="AH1698" t="s">
        <v>709</v>
      </c>
      <c r="AI1698" t="s">
        <v>90</v>
      </c>
      <c r="AJ1698">
        <v>32.387836</v>
      </c>
      <c r="AK1698">
        <v>-110.712315</v>
      </c>
      <c r="AL1698">
        <v>4</v>
      </c>
      <c r="AN1698">
        <v>2094</v>
      </c>
      <c r="AP1698">
        <v>2094</v>
      </c>
      <c r="AQ1698">
        <v>2123.5819609999999</v>
      </c>
      <c r="AT1698">
        <v>13</v>
      </c>
      <c r="AU1698">
        <v>5</v>
      </c>
      <c r="AV1698">
        <v>2022</v>
      </c>
      <c r="AW1698">
        <v>2438038</v>
      </c>
      <c r="AX1698">
        <v>2438038</v>
      </c>
      <c r="AY1698" t="s">
        <v>106</v>
      </c>
      <c r="AZ1698" t="s">
        <v>92</v>
      </c>
      <c r="BA1698" t="s">
        <v>107</v>
      </c>
      <c r="BB1698" t="s">
        <v>710</v>
      </c>
      <c r="BC1698" t="s">
        <v>97</v>
      </c>
      <c r="BE1698" t="s">
        <v>96</v>
      </c>
      <c r="BG1698" t="s">
        <v>654</v>
      </c>
      <c r="BI1698" t="s">
        <v>98</v>
      </c>
      <c r="BJ1698" t="s">
        <v>711</v>
      </c>
      <c r="BL1698" t="s">
        <v>110</v>
      </c>
    </row>
    <row r="1699" spans="1:64" hidden="1" x14ac:dyDescent="0.2">
      <c r="A1699">
        <v>1056</v>
      </c>
      <c r="B1699">
        <v>4027015374</v>
      </c>
      <c r="C1699" t="s">
        <v>101</v>
      </c>
      <c r="D1699" t="s">
        <v>744</v>
      </c>
      <c r="E1699" t="s">
        <v>65</v>
      </c>
      <c r="F1699" t="s">
        <v>66</v>
      </c>
      <c r="G1699" t="s">
        <v>67</v>
      </c>
      <c r="H1699" t="s">
        <v>68</v>
      </c>
      <c r="I1699" t="s">
        <v>176</v>
      </c>
      <c r="J1699" t="s">
        <v>177</v>
      </c>
      <c r="K1699" t="s">
        <v>178</v>
      </c>
      <c r="M1699" t="s">
        <v>72</v>
      </c>
      <c r="N1699" t="s">
        <v>179</v>
      </c>
      <c r="O1699" t="s">
        <v>178</v>
      </c>
      <c r="P1699" t="s">
        <v>180</v>
      </c>
      <c r="Q1699" t="s">
        <v>75</v>
      </c>
      <c r="R1699" t="s">
        <v>644</v>
      </c>
      <c r="S1699" t="s">
        <v>727</v>
      </c>
      <c r="T1699" t="s">
        <v>78</v>
      </c>
      <c r="U1699" t="s">
        <v>646</v>
      </c>
      <c r="V1699" t="s">
        <v>80</v>
      </c>
      <c r="W1699" s="1">
        <v>44694</v>
      </c>
      <c r="X1699" t="s">
        <v>647</v>
      </c>
      <c r="Y1699" t="s">
        <v>728</v>
      </c>
      <c r="Z1699" t="s">
        <v>83</v>
      </c>
      <c r="AA1699">
        <v>1</v>
      </c>
      <c r="AB1699" t="s">
        <v>677</v>
      </c>
      <c r="AC1699">
        <v>1</v>
      </c>
      <c r="AD1699" t="s">
        <v>128</v>
      </c>
      <c r="AE1699" t="s">
        <v>145</v>
      </c>
      <c r="AF1699" t="s">
        <v>146</v>
      </c>
      <c r="AG1699" t="s">
        <v>735</v>
      </c>
      <c r="AH1699" t="s">
        <v>745</v>
      </c>
      <c r="AI1699" t="s">
        <v>90</v>
      </c>
      <c r="AJ1699">
        <v>32.387706999999999</v>
      </c>
      <c r="AK1699">
        <v>-110.712655</v>
      </c>
      <c r="AL1699">
        <v>3</v>
      </c>
      <c r="AN1699">
        <v>2113</v>
      </c>
      <c r="AP1699">
        <v>2113</v>
      </c>
      <c r="AQ1699">
        <v>2128.17245</v>
      </c>
      <c r="AT1699">
        <v>13</v>
      </c>
      <c r="AU1699">
        <v>5</v>
      </c>
      <c r="AV1699">
        <v>2022</v>
      </c>
      <c r="AW1699">
        <v>2438038</v>
      </c>
      <c r="AX1699">
        <v>2438038</v>
      </c>
      <c r="AY1699" t="s">
        <v>106</v>
      </c>
      <c r="AZ1699" t="s">
        <v>92</v>
      </c>
      <c r="BA1699" t="s">
        <v>107</v>
      </c>
      <c r="BB1699" t="s">
        <v>746</v>
      </c>
      <c r="BC1699" t="s">
        <v>97</v>
      </c>
      <c r="BE1699" t="s">
        <v>96</v>
      </c>
      <c r="BG1699" t="s">
        <v>654</v>
      </c>
      <c r="BI1699" t="s">
        <v>98</v>
      </c>
      <c r="BJ1699" t="s">
        <v>747</v>
      </c>
      <c r="BL1699" t="s">
        <v>110</v>
      </c>
    </row>
    <row r="1700" spans="1:64" hidden="1" x14ac:dyDescent="0.2">
      <c r="A1700">
        <v>1068</v>
      </c>
      <c r="B1700">
        <v>4027015362</v>
      </c>
      <c r="C1700" t="s">
        <v>101</v>
      </c>
      <c r="D1700" t="s">
        <v>794</v>
      </c>
      <c r="E1700" t="s">
        <v>65</v>
      </c>
      <c r="F1700" t="s">
        <v>66</v>
      </c>
      <c r="G1700" t="s">
        <v>67</v>
      </c>
      <c r="H1700" t="s">
        <v>68</v>
      </c>
      <c r="I1700" t="s">
        <v>176</v>
      </c>
      <c r="J1700" t="s">
        <v>773</v>
      </c>
      <c r="K1700" t="s">
        <v>774</v>
      </c>
      <c r="M1700" t="s">
        <v>72</v>
      </c>
      <c r="N1700" t="s">
        <v>775</v>
      </c>
      <c r="O1700" t="s">
        <v>774</v>
      </c>
      <c r="P1700" t="s">
        <v>776</v>
      </c>
      <c r="Q1700" t="s">
        <v>75</v>
      </c>
      <c r="R1700" t="s">
        <v>644</v>
      </c>
      <c r="S1700" t="s">
        <v>777</v>
      </c>
      <c r="T1700" t="s">
        <v>78</v>
      </c>
      <c r="U1700" t="s">
        <v>646</v>
      </c>
      <c r="V1700" t="s">
        <v>80</v>
      </c>
      <c r="W1700" s="1">
        <v>44694</v>
      </c>
      <c r="X1700" t="s">
        <v>647</v>
      </c>
      <c r="Y1700" t="s">
        <v>778</v>
      </c>
      <c r="Z1700" t="s">
        <v>83</v>
      </c>
      <c r="AA1700">
        <v>1</v>
      </c>
      <c r="AB1700" t="s">
        <v>677</v>
      </c>
      <c r="AC1700">
        <v>1</v>
      </c>
      <c r="AD1700" t="s">
        <v>128</v>
      </c>
      <c r="AE1700" t="s">
        <v>86</v>
      </c>
      <c r="AF1700" t="s">
        <v>146</v>
      </c>
      <c r="AG1700" t="s">
        <v>781</v>
      </c>
      <c r="AH1700" t="s">
        <v>795</v>
      </c>
      <c r="AI1700" t="s">
        <v>90</v>
      </c>
      <c r="AJ1700">
        <v>32.387774</v>
      </c>
      <c r="AK1700">
        <v>-110.712733</v>
      </c>
      <c r="AL1700">
        <v>6</v>
      </c>
      <c r="AN1700">
        <v>2081</v>
      </c>
      <c r="AP1700">
        <v>2081</v>
      </c>
      <c r="AQ1700">
        <v>2124.524656</v>
      </c>
      <c r="AT1700">
        <v>13</v>
      </c>
      <c r="AU1700">
        <v>5</v>
      </c>
      <c r="AV1700">
        <v>2022</v>
      </c>
      <c r="AW1700">
        <v>2438447</v>
      </c>
      <c r="AX1700">
        <v>2438447</v>
      </c>
      <c r="AY1700" t="s">
        <v>106</v>
      </c>
      <c r="AZ1700" t="s">
        <v>92</v>
      </c>
      <c r="BA1700" t="s">
        <v>107</v>
      </c>
      <c r="BB1700" t="s">
        <v>796</v>
      </c>
      <c r="BC1700" t="s">
        <v>97</v>
      </c>
      <c r="BE1700" t="s">
        <v>96</v>
      </c>
      <c r="BG1700" t="s">
        <v>654</v>
      </c>
      <c r="BI1700" t="s">
        <v>98</v>
      </c>
      <c r="BJ1700" t="s">
        <v>668</v>
      </c>
      <c r="BL1700" t="s">
        <v>110</v>
      </c>
    </row>
    <row r="1701" spans="1:64" hidden="1" x14ac:dyDescent="0.2">
      <c r="A1701">
        <v>989</v>
      </c>
      <c r="B1701">
        <v>4027015441</v>
      </c>
      <c r="C1701" t="s">
        <v>101</v>
      </c>
      <c r="D1701" t="s">
        <v>857</v>
      </c>
      <c r="E1701" t="s">
        <v>65</v>
      </c>
      <c r="F1701" t="s">
        <v>66</v>
      </c>
      <c r="G1701" t="s">
        <v>67</v>
      </c>
      <c r="H1701" t="s">
        <v>68</v>
      </c>
      <c r="I1701" t="s">
        <v>350</v>
      </c>
      <c r="J1701" t="s">
        <v>351</v>
      </c>
      <c r="K1701" t="s">
        <v>352</v>
      </c>
      <c r="M1701" t="s">
        <v>72</v>
      </c>
      <c r="N1701" t="s">
        <v>353</v>
      </c>
      <c r="O1701" t="s">
        <v>352</v>
      </c>
      <c r="P1701" t="s">
        <v>180</v>
      </c>
      <c r="Q1701" t="s">
        <v>75</v>
      </c>
      <c r="R1701" t="s">
        <v>814</v>
      </c>
      <c r="S1701" t="s">
        <v>838</v>
      </c>
      <c r="T1701" t="s">
        <v>78</v>
      </c>
      <c r="U1701" t="s">
        <v>646</v>
      </c>
      <c r="V1701" t="s">
        <v>80</v>
      </c>
      <c r="W1701" s="1">
        <v>44694</v>
      </c>
      <c r="X1701" t="s">
        <v>647</v>
      </c>
      <c r="Y1701" t="s">
        <v>839</v>
      </c>
      <c r="Z1701" t="s">
        <v>83</v>
      </c>
      <c r="AA1701">
        <v>1</v>
      </c>
      <c r="AB1701" t="s">
        <v>677</v>
      </c>
      <c r="AC1701">
        <v>1</v>
      </c>
      <c r="AD1701" t="s">
        <v>128</v>
      </c>
      <c r="AE1701" t="s">
        <v>145</v>
      </c>
      <c r="AF1701" t="s">
        <v>146</v>
      </c>
      <c r="AG1701" t="s">
        <v>218</v>
      </c>
      <c r="AH1701" t="s">
        <v>858</v>
      </c>
      <c r="AI1701" t="s">
        <v>90</v>
      </c>
      <c r="AJ1701">
        <v>32.388458</v>
      </c>
      <c r="AK1701">
        <v>-110.711341</v>
      </c>
      <c r="AL1701">
        <v>3</v>
      </c>
      <c r="AN1701">
        <v>2130</v>
      </c>
      <c r="AP1701">
        <v>2130</v>
      </c>
      <c r="AQ1701">
        <v>2146.5412510000001</v>
      </c>
      <c r="AT1701">
        <v>13</v>
      </c>
      <c r="AU1701">
        <v>5</v>
      </c>
      <c r="AV1701">
        <v>2022</v>
      </c>
      <c r="AW1701">
        <v>4972385</v>
      </c>
      <c r="AX1701">
        <v>2437431</v>
      </c>
      <c r="AY1701" t="s">
        <v>106</v>
      </c>
      <c r="AZ1701" t="s">
        <v>92</v>
      </c>
      <c r="BA1701" t="s">
        <v>107</v>
      </c>
      <c r="BB1701" t="s">
        <v>859</v>
      </c>
      <c r="BC1701" t="s">
        <v>97</v>
      </c>
      <c r="BE1701" t="s">
        <v>96</v>
      </c>
      <c r="BG1701" t="s">
        <v>654</v>
      </c>
      <c r="BI1701" t="s">
        <v>98</v>
      </c>
      <c r="BJ1701" t="s">
        <v>860</v>
      </c>
      <c r="BL1701" t="s">
        <v>861</v>
      </c>
    </row>
    <row r="1702" spans="1:64" hidden="1" x14ac:dyDescent="0.2">
      <c r="A1702">
        <v>1013</v>
      </c>
      <c r="B1702">
        <v>4027015417</v>
      </c>
      <c r="C1702" t="s">
        <v>101</v>
      </c>
      <c r="D1702" t="s">
        <v>899</v>
      </c>
      <c r="E1702" t="s">
        <v>65</v>
      </c>
      <c r="F1702" t="s">
        <v>66</v>
      </c>
      <c r="G1702" t="s">
        <v>67</v>
      </c>
      <c r="H1702" t="s">
        <v>68</v>
      </c>
      <c r="I1702" t="s">
        <v>350</v>
      </c>
      <c r="J1702" t="s">
        <v>351</v>
      </c>
      <c r="K1702" t="s">
        <v>352</v>
      </c>
      <c r="M1702" t="s">
        <v>72</v>
      </c>
      <c r="N1702" t="s">
        <v>353</v>
      </c>
      <c r="O1702" t="s">
        <v>352</v>
      </c>
      <c r="P1702" t="s">
        <v>180</v>
      </c>
      <c r="Q1702" t="s">
        <v>75</v>
      </c>
      <c r="R1702" t="s">
        <v>814</v>
      </c>
      <c r="S1702" t="s">
        <v>887</v>
      </c>
      <c r="T1702" t="s">
        <v>78</v>
      </c>
      <c r="U1702" t="s">
        <v>646</v>
      </c>
      <c r="V1702" t="s">
        <v>80</v>
      </c>
      <c r="W1702" s="1">
        <v>44694</v>
      </c>
      <c r="X1702" t="s">
        <v>647</v>
      </c>
      <c r="Y1702" t="s">
        <v>888</v>
      </c>
      <c r="Z1702" t="s">
        <v>83</v>
      </c>
      <c r="AA1702">
        <v>1</v>
      </c>
      <c r="AB1702" t="s">
        <v>677</v>
      </c>
      <c r="AC1702">
        <v>1</v>
      </c>
      <c r="AD1702" t="s">
        <v>128</v>
      </c>
      <c r="AE1702" t="s">
        <v>145</v>
      </c>
      <c r="AF1702" t="s">
        <v>146</v>
      </c>
      <c r="AG1702" t="s">
        <v>895</v>
      </c>
      <c r="AH1702" t="s">
        <v>900</v>
      </c>
      <c r="AI1702" t="s">
        <v>90</v>
      </c>
      <c r="AJ1702">
        <v>32.389521999999999</v>
      </c>
      <c r="AK1702">
        <v>-110.710368</v>
      </c>
      <c r="AL1702">
        <v>3</v>
      </c>
      <c r="AN1702">
        <v>2114</v>
      </c>
      <c r="AP1702">
        <v>2114</v>
      </c>
      <c r="AQ1702">
        <v>2141.6962279999998</v>
      </c>
      <c r="AT1702">
        <v>13</v>
      </c>
      <c r="AU1702">
        <v>5</v>
      </c>
      <c r="AV1702">
        <v>2022</v>
      </c>
      <c r="AW1702">
        <v>4972385</v>
      </c>
      <c r="AX1702">
        <v>2437431</v>
      </c>
      <c r="AY1702" t="s">
        <v>106</v>
      </c>
      <c r="AZ1702" t="s">
        <v>92</v>
      </c>
      <c r="BA1702" t="s">
        <v>107</v>
      </c>
      <c r="BB1702" t="s">
        <v>901</v>
      </c>
      <c r="BC1702" t="s">
        <v>97</v>
      </c>
      <c r="BE1702" t="s">
        <v>96</v>
      </c>
      <c r="BG1702" t="s">
        <v>654</v>
      </c>
      <c r="BI1702" t="s">
        <v>98</v>
      </c>
      <c r="BJ1702" t="s">
        <v>665</v>
      </c>
      <c r="BL1702" t="s">
        <v>412</v>
      </c>
    </row>
    <row r="1703" spans="1:64" hidden="1" x14ac:dyDescent="0.2">
      <c r="A1703">
        <v>1092</v>
      </c>
      <c r="B1703">
        <v>4027015338</v>
      </c>
      <c r="C1703" t="s">
        <v>101</v>
      </c>
      <c r="D1703" t="s">
        <v>944</v>
      </c>
      <c r="E1703" t="s">
        <v>65</v>
      </c>
      <c r="F1703" t="s">
        <v>66</v>
      </c>
      <c r="G1703" t="s">
        <v>67</v>
      </c>
      <c r="H1703" t="s">
        <v>68</v>
      </c>
      <c r="I1703" t="s">
        <v>176</v>
      </c>
      <c r="J1703" t="s">
        <v>177</v>
      </c>
      <c r="K1703" t="s">
        <v>178</v>
      </c>
      <c r="M1703" t="s">
        <v>72</v>
      </c>
      <c r="N1703" t="s">
        <v>179</v>
      </c>
      <c r="O1703" t="s">
        <v>178</v>
      </c>
      <c r="P1703" t="s">
        <v>180</v>
      </c>
      <c r="Q1703" t="s">
        <v>75</v>
      </c>
      <c r="R1703" t="s">
        <v>814</v>
      </c>
      <c r="S1703" t="s">
        <v>916</v>
      </c>
      <c r="T1703" t="s">
        <v>78</v>
      </c>
      <c r="U1703" t="s">
        <v>646</v>
      </c>
      <c r="V1703" t="s">
        <v>80</v>
      </c>
      <c r="W1703" s="1">
        <v>44694</v>
      </c>
      <c r="X1703" t="s">
        <v>647</v>
      </c>
      <c r="Y1703" t="s">
        <v>917</v>
      </c>
      <c r="Z1703" t="s">
        <v>83</v>
      </c>
      <c r="AA1703">
        <v>1</v>
      </c>
      <c r="AB1703" t="s">
        <v>677</v>
      </c>
      <c r="AC1703">
        <v>1</v>
      </c>
      <c r="AD1703" t="s">
        <v>128</v>
      </c>
      <c r="AE1703" t="s">
        <v>145</v>
      </c>
      <c r="AF1703" t="s">
        <v>281</v>
      </c>
      <c r="AG1703" t="s">
        <v>923</v>
      </c>
      <c r="AH1703" t="s">
        <v>945</v>
      </c>
      <c r="AI1703" t="s">
        <v>90</v>
      </c>
      <c r="AJ1703">
        <v>32.389854</v>
      </c>
      <c r="AK1703">
        <v>-110.71050200000001</v>
      </c>
      <c r="AL1703">
        <v>3</v>
      </c>
      <c r="AN1703">
        <v>2126</v>
      </c>
      <c r="AP1703">
        <v>2126</v>
      </c>
      <c r="AQ1703">
        <v>2150.3077269999999</v>
      </c>
      <c r="AT1703">
        <v>13</v>
      </c>
      <c r="AU1703">
        <v>5</v>
      </c>
      <c r="AV1703">
        <v>2022</v>
      </c>
      <c r="AW1703">
        <v>2438038</v>
      </c>
      <c r="AX1703">
        <v>2438038</v>
      </c>
      <c r="AY1703" t="s">
        <v>106</v>
      </c>
      <c r="AZ1703" t="s">
        <v>92</v>
      </c>
      <c r="BA1703" t="s">
        <v>107</v>
      </c>
      <c r="BB1703" t="s">
        <v>946</v>
      </c>
      <c r="BC1703" t="s">
        <v>97</v>
      </c>
      <c r="BE1703" t="s">
        <v>96</v>
      </c>
      <c r="BG1703" t="s">
        <v>654</v>
      </c>
      <c r="BI1703" t="s">
        <v>98</v>
      </c>
      <c r="BJ1703" t="s">
        <v>936</v>
      </c>
      <c r="BL1703" t="s">
        <v>412</v>
      </c>
    </row>
    <row r="1704" spans="1:64" hidden="1" x14ac:dyDescent="0.2">
      <c r="A1704">
        <v>994</v>
      </c>
      <c r="B1704">
        <v>4027015436</v>
      </c>
      <c r="C1704" t="s">
        <v>101</v>
      </c>
      <c r="D1704" t="s">
        <v>1003</v>
      </c>
      <c r="E1704" t="s">
        <v>65</v>
      </c>
      <c r="F1704" t="s">
        <v>66</v>
      </c>
      <c r="G1704" t="s">
        <v>67</v>
      </c>
      <c r="H1704" t="s">
        <v>68</v>
      </c>
      <c r="I1704" t="s">
        <v>350</v>
      </c>
      <c r="J1704" t="s">
        <v>351</v>
      </c>
      <c r="K1704" t="s">
        <v>352</v>
      </c>
      <c r="M1704" t="s">
        <v>72</v>
      </c>
      <c r="N1704" t="s">
        <v>353</v>
      </c>
      <c r="O1704" t="s">
        <v>352</v>
      </c>
      <c r="P1704" t="s">
        <v>180</v>
      </c>
      <c r="Q1704" t="s">
        <v>75</v>
      </c>
      <c r="R1704" t="s">
        <v>814</v>
      </c>
      <c r="S1704" t="s">
        <v>993</v>
      </c>
      <c r="T1704" t="s">
        <v>78</v>
      </c>
      <c r="U1704" t="s">
        <v>646</v>
      </c>
      <c r="V1704" t="s">
        <v>80</v>
      </c>
      <c r="W1704" s="1">
        <v>44694</v>
      </c>
      <c r="X1704" t="s">
        <v>647</v>
      </c>
      <c r="Y1704" t="s">
        <v>994</v>
      </c>
      <c r="Z1704" t="s">
        <v>83</v>
      </c>
      <c r="AA1704">
        <v>1</v>
      </c>
      <c r="AB1704" t="s">
        <v>677</v>
      </c>
      <c r="AC1704">
        <v>1</v>
      </c>
      <c r="AD1704" t="s">
        <v>128</v>
      </c>
      <c r="AE1704" t="s">
        <v>86</v>
      </c>
      <c r="AF1704" t="s">
        <v>146</v>
      </c>
      <c r="AG1704" t="s">
        <v>996</v>
      </c>
      <c r="AH1704" t="s">
        <v>1004</v>
      </c>
      <c r="AI1704" t="s">
        <v>90</v>
      </c>
      <c r="AJ1704">
        <v>32.388863000000001</v>
      </c>
      <c r="AK1704">
        <v>-110.71111399999999</v>
      </c>
      <c r="AL1704">
        <v>75</v>
      </c>
      <c r="AP1704">
        <v>2152.5869670000002</v>
      </c>
      <c r="AQ1704">
        <v>2152.5869670000002</v>
      </c>
      <c r="AT1704">
        <v>13</v>
      </c>
      <c r="AU1704">
        <v>5</v>
      </c>
      <c r="AV1704">
        <v>2022</v>
      </c>
      <c r="AW1704">
        <v>4972385</v>
      </c>
      <c r="AX1704">
        <v>2437431</v>
      </c>
      <c r="AY1704" t="s">
        <v>106</v>
      </c>
      <c r="AZ1704" t="s">
        <v>92</v>
      </c>
      <c r="BA1704" t="s">
        <v>107</v>
      </c>
      <c r="BB1704" t="s">
        <v>1005</v>
      </c>
      <c r="BC1704" t="s">
        <v>97</v>
      </c>
      <c r="BE1704" t="s">
        <v>96</v>
      </c>
      <c r="BG1704" t="s">
        <v>654</v>
      </c>
      <c r="BI1704" t="s">
        <v>98</v>
      </c>
      <c r="BJ1704" t="s">
        <v>972</v>
      </c>
      <c r="BL1704" t="s">
        <v>412</v>
      </c>
    </row>
    <row r="1705" spans="1:64" hidden="1" x14ac:dyDescent="0.2">
      <c r="A1705">
        <v>1017</v>
      </c>
      <c r="B1705">
        <v>4027015413</v>
      </c>
      <c r="C1705" t="s">
        <v>101</v>
      </c>
      <c r="D1705" t="s">
        <v>1055</v>
      </c>
      <c r="E1705" t="s">
        <v>65</v>
      </c>
      <c r="F1705" t="s">
        <v>66</v>
      </c>
      <c r="G1705" t="s">
        <v>67</v>
      </c>
      <c r="H1705" t="s">
        <v>68</v>
      </c>
      <c r="I1705" t="s">
        <v>350</v>
      </c>
      <c r="J1705" t="s">
        <v>351</v>
      </c>
      <c r="K1705" t="s">
        <v>352</v>
      </c>
      <c r="M1705" t="s">
        <v>72</v>
      </c>
      <c r="N1705" t="s">
        <v>353</v>
      </c>
      <c r="O1705" t="s">
        <v>352</v>
      </c>
      <c r="P1705" t="s">
        <v>180</v>
      </c>
      <c r="Q1705" t="s">
        <v>75</v>
      </c>
      <c r="R1705" t="s">
        <v>977</v>
      </c>
      <c r="S1705" t="s">
        <v>1046</v>
      </c>
      <c r="T1705" t="s">
        <v>78</v>
      </c>
      <c r="U1705" t="s">
        <v>646</v>
      </c>
      <c r="V1705" t="s">
        <v>80</v>
      </c>
      <c r="W1705" s="1">
        <v>44694</v>
      </c>
      <c r="X1705" t="s">
        <v>647</v>
      </c>
      <c r="Y1705" t="s">
        <v>1047</v>
      </c>
      <c r="Z1705" t="s">
        <v>83</v>
      </c>
      <c r="AA1705">
        <v>1</v>
      </c>
      <c r="AB1705" t="s">
        <v>677</v>
      </c>
      <c r="AC1705">
        <v>1</v>
      </c>
      <c r="AD1705" t="s">
        <v>128</v>
      </c>
      <c r="AE1705" t="s">
        <v>86</v>
      </c>
      <c r="AF1705" t="s">
        <v>146</v>
      </c>
      <c r="AG1705" t="s">
        <v>1049</v>
      </c>
      <c r="AH1705" t="s">
        <v>1056</v>
      </c>
      <c r="AI1705" t="s">
        <v>90</v>
      </c>
      <c r="AJ1705">
        <v>32.389597999999999</v>
      </c>
      <c r="AK1705">
        <v>-110.708088</v>
      </c>
      <c r="AN1705">
        <v>2118</v>
      </c>
      <c r="AP1705">
        <v>2118</v>
      </c>
      <c r="AQ1705">
        <v>2145.1724690000001</v>
      </c>
      <c r="AT1705">
        <v>13</v>
      </c>
      <c r="AU1705">
        <v>5</v>
      </c>
      <c r="AV1705">
        <v>2022</v>
      </c>
      <c r="AW1705">
        <v>4972385</v>
      </c>
      <c r="AX1705">
        <v>2437431</v>
      </c>
      <c r="AY1705" t="s">
        <v>106</v>
      </c>
      <c r="AZ1705" t="s">
        <v>92</v>
      </c>
      <c r="BA1705" t="s">
        <v>107</v>
      </c>
      <c r="BB1705" t="s">
        <v>1057</v>
      </c>
      <c r="BC1705" t="s">
        <v>97</v>
      </c>
      <c r="BE1705" t="s">
        <v>96</v>
      </c>
      <c r="BG1705" t="s">
        <v>654</v>
      </c>
      <c r="BI1705" t="s">
        <v>98</v>
      </c>
      <c r="BJ1705" t="s">
        <v>933</v>
      </c>
      <c r="BL1705" t="s">
        <v>110</v>
      </c>
    </row>
    <row r="1706" spans="1:64" hidden="1" x14ac:dyDescent="0.2">
      <c r="A1706">
        <v>1095</v>
      </c>
      <c r="B1706">
        <v>4027015335</v>
      </c>
      <c r="C1706" t="s">
        <v>101</v>
      </c>
      <c r="D1706" t="s">
        <v>1883</v>
      </c>
      <c r="E1706" t="s">
        <v>65</v>
      </c>
      <c r="F1706" t="s">
        <v>66</v>
      </c>
      <c r="G1706" t="s">
        <v>67</v>
      </c>
      <c r="H1706" t="s">
        <v>68</v>
      </c>
      <c r="I1706" t="s">
        <v>176</v>
      </c>
      <c r="J1706" t="s">
        <v>177</v>
      </c>
      <c r="K1706" t="s">
        <v>1817</v>
      </c>
      <c r="M1706" t="s">
        <v>72</v>
      </c>
      <c r="N1706" t="s">
        <v>1856</v>
      </c>
      <c r="O1706" t="s">
        <v>1817</v>
      </c>
      <c r="P1706" t="s">
        <v>1857</v>
      </c>
      <c r="Q1706" t="s">
        <v>75</v>
      </c>
      <c r="R1706" t="s">
        <v>1858</v>
      </c>
      <c r="S1706" t="s">
        <v>645</v>
      </c>
      <c r="T1706" t="s">
        <v>78</v>
      </c>
      <c r="U1706" t="s">
        <v>1822</v>
      </c>
      <c r="V1706" t="s">
        <v>80</v>
      </c>
      <c r="W1706" s="1">
        <v>44696</v>
      </c>
      <c r="X1706" t="s">
        <v>1859</v>
      </c>
      <c r="Y1706" t="s">
        <v>1860</v>
      </c>
      <c r="Z1706" t="s">
        <v>83</v>
      </c>
      <c r="AA1706">
        <v>1</v>
      </c>
      <c r="AB1706" t="s">
        <v>677</v>
      </c>
      <c r="AC1706">
        <v>1</v>
      </c>
      <c r="AD1706" t="s">
        <v>128</v>
      </c>
      <c r="AE1706" t="s">
        <v>145</v>
      </c>
      <c r="AF1706" t="s">
        <v>146</v>
      </c>
      <c r="AG1706" t="s">
        <v>1428</v>
      </c>
      <c r="AH1706" t="s">
        <v>1884</v>
      </c>
      <c r="AI1706" t="s">
        <v>90</v>
      </c>
      <c r="AJ1706">
        <v>32.425986999999999</v>
      </c>
      <c r="AK1706">
        <v>-110.740407</v>
      </c>
      <c r="AL1706">
        <v>4</v>
      </c>
      <c r="AN1706">
        <v>2364</v>
      </c>
      <c r="AP1706">
        <v>2364</v>
      </c>
      <c r="AQ1706">
        <v>2385.7346400000001</v>
      </c>
      <c r="AT1706">
        <v>15</v>
      </c>
      <c r="AU1706">
        <v>5</v>
      </c>
      <c r="AV1706">
        <v>2022</v>
      </c>
      <c r="AW1706">
        <v>2438019</v>
      </c>
      <c r="AX1706">
        <v>2438019</v>
      </c>
      <c r="AY1706" t="s">
        <v>106</v>
      </c>
      <c r="AZ1706" t="s">
        <v>92</v>
      </c>
      <c r="BA1706" t="s">
        <v>107</v>
      </c>
      <c r="BB1706" t="s">
        <v>1885</v>
      </c>
      <c r="BC1706" t="s">
        <v>97</v>
      </c>
      <c r="BE1706" t="s">
        <v>96</v>
      </c>
      <c r="BG1706" t="s">
        <v>1865</v>
      </c>
      <c r="BI1706" t="s">
        <v>98</v>
      </c>
      <c r="BJ1706" t="s">
        <v>1882</v>
      </c>
      <c r="BL1706" t="s">
        <v>110</v>
      </c>
    </row>
    <row r="1707" spans="1:64" hidden="1" x14ac:dyDescent="0.2">
      <c r="A1707">
        <v>1105</v>
      </c>
      <c r="B1707">
        <v>4027015325</v>
      </c>
      <c r="C1707" t="s">
        <v>101</v>
      </c>
      <c r="D1707" t="s">
        <v>1912</v>
      </c>
      <c r="E1707" t="s">
        <v>65</v>
      </c>
      <c r="F1707" t="s">
        <v>66</v>
      </c>
      <c r="G1707" t="s">
        <v>67</v>
      </c>
      <c r="H1707" t="s">
        <v>68</v>
      </c>
      <c r="I1707" t="s">
        <v>176</v>
      </c>
      <c r="J1707" t="s">
        <v>177</v>
      </c>
      <c r="K1707" t="s">
        <v>178</v>
      </c>
      <c r="M1707" t="s">
        <v>72</v>
      </c>
      <c r="N1707" t="s">
        <v>179</v>
      </c>
      <c r="O1707" t="s">
        <v>178</v>
      </c>
      <c r="P1707" t="s">
        <v>180</v>
      </c>
      <c r="Q1707" t="s">
        <v>75</v>
      </c>
      <c r="R1707" t="s">
        <v>1858</v>
      </c>
      <c r="S1707" t="s">
        <v>694</v>
      </c>
      <c r="T1707" t="s">
        <v>78</v>
      </c>
      <c r="U1707" t="s">
        <v>1822</v>
      </c>
      <c r="V1707" t="s">
        <v>80</v>
      </c>
      <c r="W1707" s="1">
        <v>44696</v>
      </c>
      <c r="X1707" t="s">
        <v>1859</v>
      </c>
      <c r="Y1707" t="s">
        <v>1897</v>
      </c>
      <c r="Z1707" t="s">
        <v>83</v>
      </c>
      <c r="AA1707">
        <v>1</v>
      </c>
      <c r="AB1707" t="s">
        <v>677</v>
      </c>
      <c r="AC1707">
        <v>1</v>
      </c>
      <c r="AD1707" t="s">
        <v>128</v>
      </c>
      <c r="AE1707" t="s">
        <v>86</v>
      </c>
      <c r="AF1707" t="s">
        <v>146</v>
      </c>
      <c r="AG1707" t="s">
        <v>1899</v>
      </c>
      <c r="AH1707" t="s">
        <v>1913</v>
      </c>
      <c r="AI1707" t="s">
        <v>90</v>
      </c>
      <c r="AJ1707">
        <v>32.425916999999998</v>
      </c>
      <c r="AK1707">
        <v>-110.74038299999999</v>
      </c>
      <c r="AL1707">
        <v>4</v>
      </c>
      <c r="AN1707">
        <v>2366</v>
      </c>
      <c r="AP1707">
        <v>2366</v>
      </c>
      <c r="AQ1707">
        <v>2387.1654619999999</v>
      </c>
      <c r="AT1707">
        <v>15</v>
      </c>
      <c r="AU1707">
        <v>5</v>
      </c>
      <c r="AV1707">
        <v>2022</v>
      </c>
      <c r="AW1707">
        <v>2438038</v>
      </c>
      <c r="AX1707">
        <v>2438038</v>
      </c>
      <c r="AY1707" t="s">
        <v>106</v>
      </c>
      <c r="AZ1707" t="s">
        <v>92</v>
      </c>
      <c r="BA1707" t="s">
        <v>107</v>
      </c>
      <c r="BB1707" t="s">
        <v>1914</v>
      </c>
      <c r="BC1707" t="s">
        <v>97</v>
      </c>
      <c r="BE1707" t="s">
        <v>96</v>
      </c>
      <c r="BG1707" t="s">
        <v>1865</v>
      </c>
      <c r="BI1707" t="s">
        <v>98</v>
      </c>
      <c r="BJ1707" t="s">
        <v>1878</v>
      </c>
      <c r="BL1707" t="s">
        <v>110</v>
      </c>
    </row>
    <row r="1708" spans="1:64" hidden="1" x14ac:dyDescent="0.2">
      <c r="A1708">
        <v>1098</v>
      </c>
      <c r="B1708">
        <v>4027015332</v>
      </c>
      <c r="C1708" t="s">
        <v>101</v>
      </c>
      <c r="D1708" t="s">
        <v>1947</v>
      </c>
      <c r="E1708" t="s">
        <v>65</v>
      </c>
      <c r="F1708" t="s">
        <v>66</v>
      </c>
      <c r="G1708" t="s">
        <v>67</v>
      </c>
      <c r="H1708" t="s">
        <v>68</v>
      </c>
      <c r="I1708" t="s">
        <v>176</v>
      </c>
      <c r="J1708" t="s">
        <v>177</v>
      </c>
      <c r="K1708" t="s">
        <v>178</v>
      </c>
      <c r="M1708" t="s">
        <v>72</v>
      </c>
      <c r="N1708" t="s">
        <v>179</v>
      </c>
      <c r="O1708" t="s">
        <v>178</v>
      </c>
      <c r="P1708" t="s">
        <v>180</v>
      </c>
      <c r="Q1708" t="s">
        <v>75</v>
      </c>
      <c r="R1708" t="s">
        <v>1858</v>
      </c>
      <c r="S1708" t="s">
        <v>727</v>
      </c>
      <c r="T1708" t="s">
        <v>78</v>
      </c>
      <c r="U1708" t="s">
        <v>1822</v>
      </c>
      <c r="V1708" t="s">
        <v>80</v>
      </c>
      <c r="W1708" s="1">
        <v>44696</v>
      </c>
      <c r="X1708" t="s">
        <v>1859</v>
      </c>
      <c r="Y1708" t="s">
        <v>1931</v>
      </c>
      <c r="Z1708" t="s">
        <v>83</v>
      </c>
      <c r="AA1708">
        <v>1</v>
      </c>
      <c r="AB1708" t="s">
        <v>677</v>
      </c>
      <c r="AC1708">
        <v>1</v>
      </c>
      <c r="AD1708" t="s">
        <v>128</v>
      </c>
      <c r="AE1708" t="s">
        <v>145</v>
      </c>
      <c r="AF1708" t="s">
        <v>146</v>
      </c>
      <c r="AG1708" t="s">
        <v>1937</v>
      </c>
      <c r="AH1708" t="s">
        <v>1948</v>
      </c>
      <c r="AI1708" t="s">
        <v>90</v>
      </c>
      <c r="AJ1708">
        <v>32.425617000000003</v>
      </c>
      <c r="AK1708">
        <v>-110.739954</v>
      </c>
      <c r="AL1708">
        <v>5</v>
      </c>
      <c r="AN1708">
        <v>2361</v>
      </c>
      <c r="AP1708">
        <v>2361</v>
      </c>
      <c r="AQ1708">
        <v>2383.6182910000002</v>
      </c>
      <c r="AT1708">
        <v>15</v>
      </c>
      <c r="AU1708">
        <v>5</v>
      </c>
      <c r="AV1708">
        <v>2022</v>
      </c>
      <c r="AW1708">
        <v>2438038</v>
      </c>
      <c r="AX1708">
        <v>2438038</v>
      </c>
      <c r="AY1708" t="s">
        <v>106</v>
      </c>
      <c r="AZ1708" t="s">
        <v>92</v>
      </c>
      <c r="BA1708" t="s">
        <v>107</v>
      </c>
      <c r="BB1708" t="s">
        <v>1949</v>
      </c>
      <c r="BC1708" t="s">
        <v>97</v>
      </c>
      <c r="BE1708" t="s">
        <v>96</v>
      </c>
      <c r="BG1708" t="s">
        <v>1865</v>
      </c>
      <c r="BI1708" t="s">
        <v>98</v>
      </c>
      <c r="BJ1708" t="s">
        <v>1882</v>
      </c>
      <c r="BL1708" t="s">
        <v>110</v>
      </c>
    </row>
    <row r="1709" spans="1:64" hidden="1" x14ac:dyDescent="0.2">
      <c r="A1709">
        <v>1069</v>
      </c>
      <c r="B1709">
        <v>4027015361</v>
      </c>
      <c r="C1709" t="s">
        <v>101</v>
      </c>
      <c r="D1709" s="2" t="s">
        <v>1964</v>
      </c>
      <c r="E1709" t="s">
        <v>65</v>
      </c>
      <c r="F1709" t="s">
        <v>66</v>
      </c>
      <c r="G1709" t="s">
        <v>67</v>
      </c>
      <c r="H1709" t="s">
        <v>68</v>
      </c>
      <c r="I1709" t="s">
        <v>176</v>
      </c>
      <c r="J1709" t="s">
        <v>177</v>
      </c>
      <c r="K1709" t="s">
        <v>1817</v>
      </c>
      <c r="M1709" t="s">
        <v>72</v>
      </c>
      <c r="N1709" t="s">
        <v>1818</v>
      </c>
      <c r="O1709" t="s">
        <v>1817</v>
      </c>
      <c r="P1709" t="s">
        <v>1819</v>
      </c>
      <c r="Q1709" t="s">
        <v>75</v>
      </c>
      <c r="R1709" t="s">
        <v>1858</v>
      </c>
      <c r="S1709" t="s">
        <v>763</v>
      </c>
      <c r="T1709" t="s">
        <v>78</v>
      </c>
      <c r="U1709" t="s">
        <v>1822</v>
      </c>
      <c r="V1709" t="s">
        <v>80</v>
      </c>
      <c r="W1709" s="1">
        <v>44696</v>
      </c>
      <c r="X1709" t="s">
        <v>1859</v>
      </c>
      <c r="Y1709" t="s">
        <v>1959</v>
      </c>
      <c r="Z1709" t="s">
        <v>83</v>
      </c>
      <c r="AA1709">
        <v>1</v>
      </c>
      <c r="AB1709" t="s">
        <v>677</v>
      </c>
      <c r="AC1709">
        <v>1</v>
      </c>
      <c r="AD1709" t="s">
        <v>128</v>
      </c>
      <c r="AE1709" t="s">
        <v>145</v>
      </c>
      <c r="AF1709" t="s">
        <v>146</v>
      </c>
      <c r="AG1709" t="s">
        <v>1310</v>
      </c>
      <c r="AH1709" t="s">
        <v>1965</v>
      </c>
      <c r="AI1709" t="s">
        <v>90</v>
      </c>
      <c r="AJ1709">
        <v>32.425590999999997</v>
      </c>
      <c r="AK1709">
        <v>-110.739936</v>
      </c>
      <c r="AL1709">
        <v>3</v>
      </c>
      <c r="AN1709">
        <v>2365</v>
      </c>
      <c r="AP1709">
        <v>2365</v>
      </c>
      <c r="AQ1709">
        <v>2383.5533959999998</v>
      </c>
      <c r="AT1709">
        <v>15</v>
      </c>
      <c r="AU1709">
        <v>5</v>
      </c>
      <c r="AV1709">
        <v>2022</v>
      </c>
      <c r="AW1709">
        <v>2437967</v>
      </c>
      <c r="AX1709">
        <v>2437967</v>
      </c>
      <c r="AY1709" t="s">
        <v>106</v>
      </c>
      <c r="AZ1709" t="s">
        <v>92</v>
      </c>
      <c r="BA1709" t="s">
        <v>107</v>
      </c>
      <c r="BB1709" t="s">
        <v>1966</v>
      </c>
      <c r="BC1709" t="s">
        <v>97</v>
      </c>
      <c r="BE1709" t="s">
        <v>96</v>
      </c>
      <c r="BG1709" t="s">
        <v>1865</v>
      </c>
      <c r="BI1709" t="s">
        <v>98</v>
      </c>
      <c r="BJ1709" t="s">
        <v>1940</v>
      </c>
      <c r="BL1709" t="s">
        <v>110</v>
      </c>
    </row>
    <row r="1710" spans="1:64" hidden="1" x14ac:dyDescent="0.2">
      <c r="A1710">
        <v>1120</v>
      </c>
      <c r="B1710">
        <v>4027015310</v>
      </c>
      <c r="C1710" t="s">
        <v>101</v>
      </c>
      <c r="D1710" t="s">
        <v>1997</v>
      </c>
      <c r="E1710" t="s">
        <v>65</v>
      </c>
      <c r="F1710" t="s">
        <v>66</v>
      </c>
      <c r="G1710" t="s">
        <v>67</v>
      </c>
      <c r="H1710" t="s">
        <v>68</v>
      </c>
      <c r="I1710" t="s">
        <v>176</v>
      </c>
      <c r="J1710" t="s">
        <v>177</v>
      </c>
      <c r="K1710" t="s">
        <v>1817</v>
      </c>
      <c r="M1710" t="s">
        <v>72</v>
      </c>
      <c r="N1710" t="s">
        <v>1818</v>
      </c>
      <c r="O1710" t="s">
        <v>1817</v>
      </c>
      <c r="P1710" t="s">
        <v>1819</v>
      </c>
      <c r="Q1710" t="s">
        <v>75</v>
      </c>
      <c r="R1710" t="s">
        <v>1858</v>
      </c>
      <c r="S1710" t="s">
        <v>777</v>
      </c>
      <c r="T1710" t="s">
        <v>78</v>
      </c>
      <c r="U1710" t="s">
        <v>1822</v>
      </c>
      <c r="V1710" t="s">
        <v>80</v>
      </c>
      <c r="W1710" s="1">
        <v>44696</v>
      </c>
      <c r="X1710" t="s">
        <v>1859</v>
      </c>
      <c r="Y1710" t="s">
        <v>1988</v>
      </c>
      <c r="Z1710" t="s">
        <v>83</v>
      </c>
      <c r="AA1710">
        <v>1</v>
      </c>
      <c r="AB1710" t="s">
        <v>677</v>
      </c>
      <c r="AC1710">
        <v>1</v>
      </c>
      <c r="AD1710" t="s">
        <v>128</v>
      </c>
      <c r="AE1710" t="s">
        <v>86</v>
      </c>
      <c r="AF1710" t="s">
        <v>146</v>
      </c>
      <c r="AG1710" t="s">
        <v>1990</v>
      </c>
      <c r="AH1710" t="s">
        <v>1998</v>
      </c>
      <c r="AI1710" t="s">
        <v>90</v>
      </c>
      <c r="AJ1710">
        <v>32.425629000000001</v>
      </c>
      <c r="AK1710">
        <v>-110.739727</v>
      </c>
      <c r="AL1710">
        <v>3</v>
      </c>
      <c r="AN1710">
        <v>2373</v>
      </c>
      <c r="AP1710">
        <v>2373</v>
      </c>
      <c r="AQ1710">
        <v>2380.0723560000001</v>
      </c>
      <c r="AT1710">
        <v>15</v>
      </c>
      <c r="AU1710">
        <v>5</v>
      </c>
      <c r="AV1710">
        <v>2022</v>
      </c>
      <c r="AW1710">
        <v>2437967</v>
      </c>
      <c r="AX1710">
        <v>2437967</v>
      </c>
      <c r="AY1710" t="s">
        <v>106</v>
      </c>
      <c r="AZ1710" t="s">
        <v>92</v>
      </c>
      <c r="BA1710" t="s">
        <v>107</v>
      </c>
      <c r="BB1710" t="s">
        <v>1999</v>
      </c>
      <c r="BC1710" t="s">
        <v>97</v>
      </c>
      <c r="BE1710" t="s">
        <v>96</v>
      </c>
      <c r="BG1710" t="s">
        <v>1865</v>
      </c>
      <c r="BI1710" t="s">
        <v>98</v>
      </c>
      <c r="BJ1710" t="s">
        <v>1982</v>
      </c>
      <c r="BL1710" t="s">
        <v>110</v>
      </c>
    </row>
    <row r="1711" spans="1:64" hidden="1" x14ac:dyDescent="0.2">
      <c r="A1711">
        <v>1064</v>
      </c>
      <c r="B1711">
        <v>4027015366</v>
      </c>
      <c r="C1711" t="s">
        <v>101</v>
      </c>
      <c r="D1711" t="s">
        <v>2015</v>
      </c>
      <c r="E1711" t="s">
        <v>65</v>
      </c>
      <c r="F1711" t="s">
        <v>66</v>
      </c>
      <c r="G1711" t="s">
        <v>67</v>
      </c>
      <c r="H1711" t="s">
        <v>68</v>
      </c>
      <c r="I1711" t="s">
        <v>176</v>
      </c>
      <c r="J1711" t="s">
        <v>177</v>
      </c>
      <c r="K1711" t="s">
        <v>1817</v>
      </c>
      <c r="M1711" t="s">
        <v>72</v>
      </c>
      <c r="N1711" t="s">
        <v>1818</v>
      </c>
      <c r="O1711" t="s">
        <v>1817</v>
      </c>
      <c r="P1711" t="s">
        <v>1819</v>
      </c>
      <c r="Q1711" t="s">
        <v>75</v>
      </c>
      <c r="R1711" t="s">
        <v>1858</v>
      </c>
      <c r="S1711" t="s">
        <v>1075</v>
      </c>
      <c r="T1711" t="s">
        <v>78</v>
      </c>
      <c r="U1711" t="s">
        <v>1822</v>
      </c>
      <c r="V1711" t="s">
        <v>80</v>
      </c>
      <c r="W1711" s="1">
        <v>44696</v>
      </c>
      <c r="X1711" t="s">
        <v>1859</v>
      </c>
      <c r="Y1711" t="s">
        <v>2009</v>
      </c>
      <c r="Z1711" t="s">
        <v>83</v>
      </c>
      <c r="AA1711">
        <v>1</v>
      </c>
      <c r="AB1711" t="s">
        <v>677</v>
      </c>
      <c r="AC1711">
        <v>1</v>
      </c>
      <c r="AD1711" t="s">
        <v>128</v>
      </c>
      <c r="AE1711" t="s">
        <v>145</v>
      </c>
      <c r="AF1711" t="s">
        <v>146</v>
      </c>
      <c r="AG1711" t="s">
        <v>2016</v>
      </c>
      <c r="AH1711" t="s">
        <v>2017</v>
      </c>
      <c r="AI1711" t="s">
        <v>90</v>
      </c>
      <c r="AJ1711">
        <v>32.425232000000001</v>
      </c>
      <c r="AK1711">
        <v>-110.73919100000001</v>
      </c>
      <c r="AL1711">
        <v>3</v>
      </c>
      <c r="AN1711">
        <v>2355</v>
      </c>
      <c r="AP1711">
        <v>2355</v>
      </c>
      <c r="AQ1711">
        <v>2379.3617100000001</v>
      </c>
      <c r="AT1711">
        <v>15</v>
      </c>
      <c r="AU1711">
        <v>5</v>
      </c>
      <c r="AV1711">
        <v>2022</v>
      </c>
      <c r="AW1711">
        <v>2437967</v>
      </c>
      <c r="AX1711">
        <v>2437967</v>
      </c>
      <c r="AY1711" t="s">
        <v>106</v>
      </c>
      <c r="AZ1711" t="s">
        <v>92</v>
      </c>
      <c r="BA1711" t="s">
        <v>107</v>
      </c>
      <c r="BB1711" t="s">
        <v>2018</v>
      </c>
      <c r="BC1711" t="s">
        <v>97</v>
      </c>
      <c r="BE1711" t="s">
        <v>96</v>
      </c>
      <c r="BG1711" t="s">
        <v>1865</v>
      </c>
      <c r="BI1711" t="s">
        <v>98</v>
      </c>
      <c r="BJ1711" t="s">
        <v>2019</v>
      </c>
      <c r="BL1711" t="s">
        <v>110</v>
      </c>
    </row>
    <row r="1712" spans="1:64" hidden="1" x14ac:dyDescent="0.2">
      <c r="A1712">
        <v>1062</v>
      </c>
      <c r="B1712">
        <v>4027015368</v>
      </c>
      <c r="C1712" t="s">
        <v>101</v>
      </c>
      <c r="D1712" t="s">
        <v>2051</v>
      </c>
      <c r="E1712" t="s">
        <v>65</v>
      </c>
      <c r="F1712" t="s">
        <v>66</v>
      </c>
      <c r="G1712" t="s">
        <v>67</v>
      </c>
      <c r="H1712" t="s">
        <v>68</v>
      </c>
      <c r="I1712" t="s">
        <v>350</v>
      </c>
      <c r="J1712" t="s">
        <v>351</v>
      </c>
      <c r="K1712" t="s">
        <v>352</v>
      </c>
      <c r="M1712" t="s">
        <v>72</v>
      </c>
      <c r="N1712" t="s">
        <v>353</v>
      </c>
      <c r="O1712" t="s">
        <v>352</v>
      </c>
      <c r="P1712" t="s">
        <v>180</v>
      </c>
      <c r="Q1712" t="s">
        <v>75</v>
      </c>
      <c r="R1712" t="s">
        <v>1858</v>
      </c>
      <c r="S1712" t="s">
        <v>823</v>
      </c>
      <c r="T1712" t="s">
        <v>78</v>
      </c>
      <c r="U1712" t="s">
        <v>1822</v>
      </c>
      <c r="V1712" t="s">
        <v>80</v>
      </c>
      <c r="W1712" s="1">
        <v>44696</v>
      </c>
      <c r="X1712" t="s">
        <v>1859</v>
      </c>
      <c r="Y1712" t="s">
        <v>2045</v>
      </c>
      <c r="Z1712" t="s">
        <v>83</v>
      </c>
      <c r="AA1712">
        <v>1</v>
      </c>
      <c r="AB1712" t="s">
        <v>677</v>
      </c>
      <c r="AC1712">
        <v>1</v>
      </c>
      <c r="AD1712" t="s">
        <v>128</v>
      </c>
      <c r="AE1712" t="s">
        <v>145</v>
      </c>
      <c r="AF1712" t="s">
        <v>146</v>
      </c>
      <c r="AG1712" t="s">
        <v>2052</v>
      </c>
      <c r="AH1712" t="s">
        <v>2053</v>
      </c>
      <c r="AI1712" t="s">
        <v>90</v>
      </c>
      <c r="AJ1712">
        <v>32.425452999999997</v>
      </c>
      <c r="AK1712">
        <v>-110.740354</v>
      </c>
      <c r="AL1712">
        <v>4</v>
      </c>
      <c r="AN1712">
        <v>2385</v>
      </c>
      <c r="AP1712">
        <v>2385</v>
      </c>
      <c r="AQ1712">
        <v>2398.42578</v>
      </c>
      <c r="AT1712">
        <v>15</v>
      </c>
      <c r="AU1712">
        <v>5</v>
      </c>
      <c r="AV1712">
        <v>2022</v>
      </c>
      <c r="AW1712">
        <v>4972385</v>
      </c>
      <c r="AX1712">
        <v>2437431</v>
      </c>
      <c r="AY1712" t="s">
        <v>106</v>
      </c>
      <c r="AZ1712" t="s">
        <v>92</v>
      </c>
      <c r="BA1712" t="s">
        <v>107</v>
      </c>
      <c r="BB1712" t="s">
        <v>2054</v>
      </c>
      <c r="BC1712" t="s">
        <v>97</v>
      </c>
      <c r="BE1712" t="s">
        <v>96</v>
      </c>
      <c r="BG1712" t="s">
        <v>1865</v>
      </c>
      <c r="BI1712" t="s">
        <v>98</v>
      </c>
      <c r="BJ1712" t="s">
        <v>2055</v>
      </c>
      <c r="BL1712" t="s">
        <v>110</v>
      </c>
    </row>
    <row r="1713" spans="1:64" hidden="1" x14ac:dyDescent="0.2">
      <c r="A1713">
        <v>1057</v>
      </c>
      <c r="B1713">
        <v>4027015373</v>
      </c>
      <c r="C1713" t="s">
        <v>101</v>
      </c>
      <c r="D1713" t="s">
        <v>2098</v>
      </c>
      <c r="E1713" t="s">
        <v>65</v>
      </c>
      <c r="F1713" t="s">
        <v>66</v>
      </c>
      <c r="G1713" t="s">
        <v>67</v>
      </c>
      <c r="H1713" t="s">
        <v>68</v>
      </c>
      <c r="I1713" t="s">
        <v>176</v>
      </c>
      <c r="J1713" t="s">
        <v>177</v>
      </c>
      <c r="K1713" t="s">
        <v>1817</v>
      </c>
      <c r="M1713" t="s">
        <v>72</v>
      </c>
      <c r="N1713" t="s">
        <v>1818</v>
      </c>
      <c r="O1713" t="s">
        <v>1817</v>
      </c>
      <c r="P1713" t="s">
        <v>1819</v>
      </c>
      <c r="Q1713" t="s">
        <v>75</v>
      </c>
      <c r="R1713" t="s">
        <v>1858</v>
      </c>
      <c r="S1713" t="s">
        <v>2091</v>
      </c>
      <c r="T1713" t="s">
        <v>78</v>
      </c>
      <c r="U1713" t="s">
        <v>1822</v>
      </c>
      <c r="V1713" t="s">
        <v>80</v>
      </c>
      <c r="W1713" s="1">
        <v>44696</v>
      </c>
      <c r="X1713" t="s">
        <v>1859</v>
      </c>
      <c r="Y1713" t="s">
        <v>2092</v>
      </c>
      <c r="Z1713" t="s">
        <v>83</v>
      </c>
      <c r="AA1713">
        <v>1</v>
      </c>
      <c r="AB1713" t="s">
        <v>677</v>
      </c>
      <c r="AC1713">
        <v>1</v>
      </c>
      <c r="AD1713" t="s">
        <v>128</v>
      </c>
      <c r="AE1713" t="s">
        <v>86</v>
      </c>
      <c r="AF1713" t="s">
        <v>146</v>
      </c>
      <c r="AG1713" t="s">
        <v>2094</v>
      </c>
      <c r="AH1713" t="s">
        <v>2099</v>
      </c>
      <c r="AI1713" t="s">
        <v>90</v>
      </c>
      <c r="AJ1713">
        <v>32.425035999999999</v>
      </c>
      <c r="AK1713">
        <v>-110.74028800000001</v>
      </c>
      <c r="AL1713">
        <v>4</v>
      </c>
      <c r="AN1713">
        <v>2401</v>
      </c>
      <c r="AP1713">
        <v>2401</v>
      </c>
      <c r="AQ1713">
        <v>2410.9486449999999</v>
      </c>
      <c r="AT1713">
        <v>15</v>
      </c>
      <c r="AU1713">
        <v>5</v>
      </c>
      <c r="AV1713">
        <v>2022</v>
      </c>
      <c r="AW1713">
        <v>2437967</v>
      </c>
      <c r="AX1713">
        <v>2437967</v>
      </c>
      <c r="AY1713" t="s">
        <v>106</v>
      </c>
      <c r="AZ1713" t="s">
        <v>92</v>
      </c>
      <c r="BA1713" t="s">
        <v>107</v>
      </c>
      <c r="BB1713" t="s">
        <v>2100</v>
      </c>
      <c r="BC1713" t="s">
        <v>97</v>
      </c>
      <c r="BE1713" t="s">
        <v>96</v>
      </c>
      <c r="BG1713" t="s">
        <v>1865</v>
      </c>
      <c r="BI1713" t="s">
        <v>98</v>
      </c>
      <c r="BJ1713" t="s">
        <v>2086</v>
      </c>
      <c r="BL1713" t="s">
        <v>110</v>
      </c>
    </row>
    <row r="1714" spans="1:64" hidden="1" x14ac:dyDescent="0.2">
      <c r="A1714">
        <v>1125</v>
      </c>
      <c r="B1714">
        <v>4027015305</v>
      </c>
      <c r="C1714" t="s">
        <v>101</v>
      </c>
      <c r="D1714" t="s">
        <v>2191</v>
      </c>
      <c r="E1714" t="s">
        <v>65</v>
      </c>
      <c r="F1714" t="s">
        <v>66</v>
      </c>
      <c r="G1714" t="s">
        <v>67</v>
      </c>
      <c r="H1714" t="s">
        <v>68</v>
      </c>
      <c r="I1714" t="s">
        <v>350</v>
      </c>
      <c r="J1714" t="s">
        <v>351</v>
      </c>
      <c r="K1714" t="s">
        <v>352</v>
      </c>
      <c r="M1714" t="s">
        <v>72</v>
      </c>
      <c r="N1714" t="s">
        <v>353</v>
      </c>
      <c r="O1714" t="s">
        <v>352</v>
      </c>
      <c r="P1714" t="s">
        <v>180</v>
      </c>
      <c r="Q1714" t="s">
        <v>75</v>
      </c>
      <c r="R1714" t="s">
        <v>2168</v>
      </c>
      <c r="S1714" t="s">
        <v>2177</v>
      </c>
      <c r="T1714" t="s">
        <v>78</v>
      </c>
      <c r="U1714" t="s">
        <v>1822</v>
      </c>
      <c r="V1714" t="s">
        <v>80</v>
      </c>
      <c r="W1714" s="1">
        <v>44696</v>
      </c>
      <c r="X1714" t="s">
        <v>1859</v>
      </c>
      <c r="Y1714" t="s">
        <v>2178</v>
      </c>
      <c r="Z1714" t="s">
        <v>83</v>
      </c>
      <c r="AA1714">
        <v>1</v>
      </c>
      <c r="AB1714" t="s">
        <v>677</v>
      </c>
      <c r="AC1714">
        <v>1</v>
      </c>
      <c r="AD1714" t="s">
        <v>128</v>
      </c>
      <c r="AE1714" t="s">
        <v>145</v>
      </c>
      <c r="AF1714" t="s">
        <v>146</v>
      </c>
      <c r="AG1714" t="s">
        <v>2184</v>
      </c>
      <c r="AH1714" t="s">
        <v>2192</v>
      </c>
      <c r="AI1714" t="s">
        <v>90</v>
      </c>
      <c r="AJ1714">
        <v>32.422614000000003</v>
      </c>
      <c r="AK1714">
        <v>-110.73336399999999</v>
      </c>
      <c r="AL1714">
        <v>174</v>
      </c>
      <c r="AP1714">
        <v>2419.8365840000001</v>
      </c>
      <c r="AQ1714">
        <v>2419.8365840000001</v>
      </c>
      <c r="AT1714">
        <v>15</v>
      </c>
      <c r="AU1714">
        <v>5</v>
      </c>
      <c r="AV1714">
        <v>2022</v>
      </c>
      <c r="AW1714">
        <v>4972385</v>
      </c>
      <c r="AX1714">
        <v>2437431</v>
      </c>
      <c r="AY1714" t="s">
        <v>106</v>
      </c>
      <c r="AZ1714" t="s">
        <v>92</v>
      </c>
      <c r="BA1714" t="s">
        <v>107</v>
      </c>
      <c r="BB1714" t="s">
        <v>2193</v>
      </c>
      <c r="BC1714" t="s">
        <v>97</v>
      </c>
      <c r="BE1714" t="s">
        <v>96</v>
      </c>
      <c r="BG1714" t="s">
        <v>1865</v>
      </c>
      <c r="BI1714" t="s">
        <v>98</v>
      </c>
      <c r="BJ1714" t="s">
        <v>2190</v>
      </c>
      <c r="BL1714" t="s">
        <v>412</v>
      </c>
    </row>
    <row r="1715" spans="1:64" hidden="1" x14ac:dyDescent="0.2">
      <c r="A1715">
        <v>249</v>
      </c>
      <c r="B1715">
        <v>4403382389</v>
      </c>
      <c r="C1715" t="s">
        <v>101</v>
      </c>
      <c r="D1715" t="s">
        <v>381</v>
      </c>
      <c r="E1715" t="s">
        <v>65</v>
      </c>
      <c r="F1715" t="s">
        <v>66</v>
      </c>
      <c r="G1715" t="s">
        <v>67</v>
      </c>
      <c r="H1715" t="s">
        <v>68</v>
      </c>
      <c r="I1715" t="s">
        <v>350</v>
      </c>
      <c r="J1715" t="s">
        <v>351</v>
      </c>
      <c r="K1715" t="s">
        <v>352</v>
      </c>
      <c r="M1715" t="s">
        <v>72</v>
      </c>
      <c r="N1715" t="s">
        <v>353</v>
      </c>
      <c r="O1715" t="s">
        <v>352</v>
      </c>
      <c r="P1715" t="s">
        <v>180</v>
      </c>
      <c r="Q1715" t="s">
        <v>75</v>
      </c>
      <c r="R1715" t="s">
        <v>354</v>
      </c>
      <c r="S1715" t="s">
        <v>355</v>
      </c>
      <c r="T1715" t="s">
        <v>78</v>
      </c>
      <c r="U1715" t="s">
        <v>79</v>
      </c>
      <c r="V1715" t="s">
        <v>80</v>
      </c>
      <c r="W1715" s="1">
        <v>45115</v>
      </c>
      <c r="X1715" t="s">
        <v>356</v>
      </c>
      <c r="Y1715" t="s">
        <v>357</v>
      </c>
      <c r="Z1715" t="s">
        <v>83</v>
      </c>
      <c r="AA1715">
        <v>1</v>
      </c>
      <c r="AB1715" t="s">
        <v>367</v>
      </c>
      <c r="AC1715">
        <v>1</v>
      </c>
      <c r="AD1715" t="s">
        <v>128</v>
      </c>
      <c r="AE1715" t="s">
        <v>145</v>
      </c>
      <c r="AF1715" t="s">
        <v>359</v>
      </c>
      <c r="AG1715" t="s">
        <v>360</v>
      </c>
      <c r="AH1715" t="s">
        <v>382</v>
      </c>
      <c r="AI1715" t="s">
        <v>90</v>
      </c>
      <c r="AJ1715">
        <v>32.372172999999997</v>
      </c>
      <c r="AK1715">
        <v>-110.70312199999999</v>
      </c>
      <c r="AL1715">
        <v>3</v>
      </c>
      <c r="AN1715">
        <v>1891</v>
      </c>
      <c r="AP1715">
        <v>1891</v>
      </c>
      <c r="AQ1715">
        <v>1902.1531339999999</v>
      </c>
      <c r="AT1715">
        <v>8</v>
      </c>
      <c r="AU1715">
        <v>7</v>
      </c>
      <c r="AV1715">
        <v>2023</v>
      </c>
      <c r="AW1715">
        <v>4972385</v>
      </c>
      <c r="AX1715">
        <v>2437431</v>
      </c>
      <c r="AY1715" t="s">
        <v>106</v>
      </c>
      <c r="AZ1715" t="s">
        <v>92</v>
      </c>
      <c r="BA1715" t="s">
        <v>107</v>
      </c>
      <c r="BB1715" t="s">
        <v>383</v>
      </c>
      <c r="BC1715" t="s">
        <v>95</v>
      </c>
      <c r="BD1715" s="1">
        <v>45115</v>
      </c>
      <c r="BE1715" t="s">
        <v>96</v>
      </c>
      <c r="BG1715" t="s">
        <v>363</v>
      </c>
      <c r="BI1715" t="s">
        <v>98</v>
      </c>
      <c r="BJ1715" t="s">
        <v>380</v>
      </c>
      <c r="BL1715" t="s">
        <v>110</v>
      </c>
    </row>
    <row r="1716" spans="1:64" hidden="1" x14ac:dyDescent="0.2">
      <c r="A1716">
        <v>263</v>
      </c>
      <c r="B1716">
        <v>4403382375</v>
      </c>
      <c r="C1716" t="s">
        <v>101</v>
      </c>
      <c r="D1716" t="s">
        <v>408</v>
      </c>
      <c r="E1716" t="s">
        <v>65</v>
      </c>
      <c r="F1716" t="s">
        <v>66</v>
      </c>
      <c r="G1716" t="s">
        <v>67</v>
      </c>
      <c r="H1716" t="s">
        <v>68</v>
      </c>
      <c r="I1716" t="s">
        <v>176</v>
      </c>
      <c r="J1716" t="s">
        <v>177</v>
      </c>
      <c r="K1716" t="s">
        <v>178</v>
      </c>
      <c r="M1716" t="s">
        <v>72</v>
      </c>
      <c r="N1716" t="s">
        <v>179</v>
      </c>
      <c r="O1716" t="s">
        <v>178</v>
      </c>
      <c r="P1716" t="s">
        <v>180</v>
      </c>
      <c r="Q1716" t="s">
        <v>75</v>
      </c>
      <c r="R1716" t="s">
        <v>354</v>
      </c>
      <c r="S1716" t="s">
        <v>399</v>
      </c>
      <c r="T1716" t="s">
        <v>78</v>
      </c>
      <c r="U1716" t="s">
        <v>79</v>
      </c>
      <c r="V1716" t="s">
        <v>80</v>
      </c>
      <c r="W1716" s="1">
        <v>45115</v>
      </c>
      <c r="X1716" t="s">
        <v>356</v>
      </c>
      <c r="Y1716" t="s">
        <v>400</v>
      </c>
      <c r="Z1716" t="s">
        <v>83</v>
      </c>
      <c r="AA1716">
        <v>1</v>
      </c>
      <c r="AB1716" t="s">
        <v>367</v>
      </c>
      <c r="AC1716">
        <v>1</v>
      </c>
      <c r="AD1716" t="s">
        <v>128</v>
      </c>
      <c r="AE1716" t="s">
        <v>145</v>
      </c>
      <c r="AF1716" t="s">
        <v>402</v>
      </c>
      <c r="AG1716" t="s">
        <v>403</v>
      </c>
      <c r="AH1716" t="s">
        <v>409</v>
      </c>
      <c r="AI1716" t="s">
        <v>90</v>
      </c>
      <c r="AJ1716">
        <v>32.372850999999997</v>
      </c>
      <c r="AK1716">
        <v>-110.701184</v>
      </c>
      <c r="AL1716">
        <v>3</v>
      </c>
      <c r="AN1716">
        <v>1896</v>
      </c>
      <c r="AP1716">
        <v>1896</v>
      </c>
      <c r="AQ1716">
        <v>1911.013565</v>
      </c>
      <c r="AT1716">
        <v>8</v>
      </c>
      <c r="AU1716">
        <v>7</v>
      </c>
      <c r="AV1716">
        <v>2023</v>
      </c>
      <c r="AW1716">
        <v>2438038</v>
      </c>
      <c r="AX1716">
        <v>2438038</v>
      </c>
      <c r="AY1716" t="s">
        <v>106</v>
      </c>
      <c r="AZ1716" t="s">
        <v>92</v>
      </c>
      <c r="BA1716" t="s">
        <v>107</v>
      </c>
      <c r="BB1716" t="s">
        <v>410</v>
      </c>
      <c r="BC1716" t="s">
        <v>95</v>
      </c>
      <c r="BD1716" s="1">
        <v>45115</v>
      </c>
      <c r="BE1716" t="s">
        <v>96</v>
      </c>
      <c r="BG1716" t="s">
        <v>363</v>
      </c>
      <c r="BI1716" t="s">
        <v>98</v>
      </c>
      <c r="BJ1716" t="s">
        <v>411</v>
      </c>
      <c r="BL1716" t="s">
        <v>412</v>
      </c>
    </row>
    <row r="1717" spans="1:64" hidden="1" x14ac:dyDescent="0.2">
      <c r="A1717">
        <v>290</v>
      </c>
      <c r="B1717">
        <v>4403382348</v>
      </c>
      <c r="C1717" t="s">
        <v>101</v>
      </c>
      <c r="D1717" t="s">
        <v>447</v>
      </c>
      <c r="E1717" t="s">
        <v>65</v>
      </c>
      <c r="F1717" t="s">
        <v>66</v>
      </c>
      <c r="G1717" t="s">
        <v>67</v>
      </c>
      <c r="H1717" t="s">
        <v>68</v>
      </c>
      <c r="I1717" t="s">
        <v>176</v>
      </c>
      <c r="J1717" t="s">
        <v>177</v>
      </c>
      <c r="K1717" t="s">
        <v>178</v>
      </c>
      <c r="M1717" t="s">
        <v>72</v>
      </c>
      <c r="N1717" t="s">
        <v>179</v>
      </c>
      <c r="O1717" t="s">
        <v>178</v>
      </c>
      <c r="P1717" t="s">
        <v>180</v>
      </c>
      <c r="Q1717" t="s">
        <v>75</v>
      </c>
      <c r="R1717" t="s">
        <v>354</v>
      </c>
      <c r="S1717" t="s">
        <v>437</v>
      </c>
      <c r="T1717" t="s">
        <v>78</v>
      </c>
      <c r="U1717" t="s">
        <v>79</v>
      </c>
      <c r="V1717" t="s">
        <v>80</v>
      </c>
      <c r="W1717" s="1">
        <v>45115</v>
      </c>
      <c r="X1717" t="s">
        <v>356</v>
      </c>
      <c r="Y1717" t="s">
        <v>438</v>
      </c>
      <c r="Z1717" t="s">
        <v>83</v>
      </c>
      <c r="AA1717">
        <v>1</v>
      </c>
      <c r="AB1717" t="s">
        <v>367</v>
      </c>
      <c r="AC1717">
        <v>1</v>
      </c>
      <c r="AD1717" t="s">
        <v>128</v>
      </c>
      <c r="AE1717" t="s">
        <v>86</v>
      </c>
      <c r="AF1717" t="s">
        <v>402</v>
      </c>
      <c r="AG1717" t="s">
        <v>440</v>
      </c>
      <c r="AH1717" t="s">
        <v>448</v>
      </c>
      <c r="AI1717" t="s">
        <v>90</v>
      </c>
      <c r="AJ1717">
        <v>32.372531000000002</v>
      </c>
      <c r="AK1717">
        <v>-110.702724</v>
      </c>
      <c r="AL1717">
        <v>3</v>
      </c>
      <c r="AN1717">
        <v>1920</v>
      </c>
      <c r="AP1717">
        <v>1920</v>
      </c>
      <c r="AQ1717">
        <v>1911.5636179999999</v>
      </c>
      <c r="AT1717">
        <v>8</v>
      </c>
      <c r="AU1717">
        <v>7</v>
      </c>
      <c r="AV1717">
        <v>2023</v>
      </c>
      <c r="AW1717">
        <v>2438038</v>
      </c>
      <c r="AX1717">
        <v>2438038</v>
      </c>
      <c r="AY1717" t="s">
        <v>106</v>
      </c>
      <c r="AZ1717" t="s">
        <v>92</v>
      </c>
      <c r="BA1717" t="s">
        <v>107</v>
      </c>
      <c r="BB1717" t="s">
        <v>449</v>
      </c>
      <c r="BC1717" t="s">
        <v>95</v>
      </c>
      <c r="BD1717" s="1">
        <v>45115</v>
      </c>
      <c r="BE1717" t="s">
        <v>96</v>
      </c>
      <c r="BG1717" t="s">
        <v>363</v>
      </c>
      <c r="BI1717" t="s">
        <v>98</v>
      </c>
      <c r="BJ1717" t="s">
        <v>450</v>
      </c>
      <c r="BL1717" t="s">
        <v>110</v>
      </c>
    </row>
    <row r="1718" spans="1:64" hidden="1" x14ac:dyDescent="0.2">
      <c r="A1718">
        <v>335</v>
      </c>
      <c r="B1718">
        <v>4403382303</v>
      </c>
      <c r="C1718" t="s">
        <v>101</v>
      </c>
      <c r="D1718" t="s">
        <v>481</v>
      </c>
      <c r="E1718" t="s">
        <v>65</v>
      </c>
      <c r="F1718" t="s">
        <v>66</v>
      </c>
      <c r="G1718" t="s">
        <v>67</v>
      </c>
      <c r="H1718" t="s">
        <v>68</v>
      </c>
      <c r="I1718" t="s">
        <v>176</v>
      </c>
      <c r="J1718" t="s">
        <v>177</v>
      </c>
      <c r="K1718" t="s">
        <v>178</v>
      </c>
      <c r="M1718" t="s">
        <v>72</v>
      </c>
      <c r="N1718" t="s">
        <v>179</v>
      </c>
      <c r="O1718" t="s">
        <v>178</v>
      </c>
      <c r="P1718" t="s">
        <v>180</v>
      </c>
      <c r="Q1718" t="s">
        <v>75</v>
      </c>
      <c r="R1718" t="s">
        <v>354</v>
      </c>
      <c r="S1718" t="s">
        <v>469</v>
      </c>
      <c r="T1718" t="s">
        <v>78</v>
      </c>
      <c r="U1718" t="s">
        <v>79</v>
      </c>
      <c r="V1718" t="s">
        <v>80</v>
      </c>
      <c r="W1718" s="1">
        <v>45115</v>
      </c>
      <c r="X1718" t="s">
        <v>356</v>
      </c>
      <c r="Y1718" t="s">
        <v>470</v>
      </c>
      <c r="Z1718" t="s">
        <v>83</v>
      </c>
      <c r="AA1718">
        <v>1</v>
      </c>
      <c r="AB1718" t="s">
        <v>367</v>
      </c>
      <c r="AC1718">
        <v>1</v>
      </c>
      <c r="AD1718" t="s">
        <v>128</v>
      </c>
      <c r="AE1718" t="s">
        <v>145</v>
      </c>
      <c r="AF1718" t="s">
        <v>402</v>
      </c>
      <c r="AG1718" t="s">
        <v>218</v>
      </c>
      <c r="AH1718" t="s">
        <v>482</v>
      </c>
      <c r="AI1718" t="s">
        <v>90</v>
      </c>
      <c r="AJ1718">
        <v>32.373109999999997</v>
      </c>
      <c r="AK1718">
        <v>-110.701633</v>
      </c>
      <c r="AL1718">
        <v>3</v>
      </c>
      <c r="AN1718">
        <v>1912</v>
      </c>
      <c r="AP1718">
        <v>1912</v>
      </c>
      <c r="AQ1718">
        <v>1928.124309</v>
      </c>
      <c r="AT1718">
        <v>8</v>
      </c>
      <c r="AU1718">
        <v>7</v>
      </c>
      <c r="AV1718">
        <v>2023</v>
      </c>
      <c r="AW1718">
        <v>2438038</v>
      </c>
      <c r="AX1718">
        <v>2438038</v>
      </c>
      <c r="AY1718" t="s">
        <v>106</v>
      </c>
      <c r="AZ1718" t="s">
        <v>92</v>
      </c>
      <c r="BA1718" t="s">
        <v>107</v>
      </c>
      <c r="BB1718" t="s">
        <v>483</v>
      </c>
      <c r="BC1718" t="s">
        <v>95</v>
      </c>
      <c r="BD1718" s="1">
        <v>45115</v>
      </c>
      <c r="BE1718" t="s">
        <v>96</v>
      </c>
      <c r="BG1718" t="s">
        <v>363</v>
      </c>
      <c r="BI1718" t="s">
        <v>98</v>
      </c>
      <c r="BJ1718" t="s">
        <v>467</v>
      </c>
      <c r="BL1718" t="s">
        <v>412</v>
      </c>
    </row>
    <row r="1719" spans="1:64" hidden="1" x14ac:dyDescent="0.2">
      <c r="A1719">
        <v>925</v>
      </c>
      <c r="B1719">
        <v>4040367321</v>
      </c>
      <c r="C1719" t="s">
        <v>101</v>
      </c>
      <c r="D1719" t="s">
        <v>2270</v>
      </c>
      <c r="E1719" t="s">
        <v>65</v>
      </c>
      <c r="F1719" t="s">
        <v>66</v>
      </c>
      <c r="G1719" t="s">
        <v>67</v>
      </c>
      <c r="H1719" t="s">
        <v>2232</v>
      </c>
      <c r="I1719" t="s">
        <v>2233</v>
      </c>
      <c r="J1719" t="s">
        <v>2234</v>
      </c>
      <c r="K1719" t="s">
        <v>2235</v>
      </c>
      <c r="M1719" t="s">
        <v>72</v>
      </c>
      <c r="N1719" t="s">
        <v>2236</v>
      </c>
      <c r="O1719" t="s">
        <v>2235</v>
      </c>
      <c r="P1719" t="s">
        <v>2237</v>
      </c>
      <c r="Q1719" t="s">
        <v>75</v>
      </c>
      <c r="R1719" t="s">
        <v>2238</v>
      </c>
      <c r="S1719" t="s">
        <v>2239</v>
      </c>
      <c r="T1719" t="s">
        <v>78</v>
      </c>
      <c r="U1719" t="s">
        <v>1822</v>
      </c>
      <c r="V1719" t="s">
        <v>80</v>
      </c>
      <c r="W1719" s="1">
        <v>44813</v>
      </c>
      <c r="X1719" t="s">
        <v>1823</v>
      </c>
      <c r="Y1719" t="s">
        <v>2240</v>
      </c>
      <c r="Z1719" t="s">
        <v>83</v>
      </c>
      <c r="AA1719">
        <v>1</v>
      </c>
      <c r="AB1719" t="s">
        <v>127</v>
      </c>
      <c r="AC1719">
        <v>1</v>
      </c>
      <c r="AD1719" t="s">
        <v>128</v>
      </c>
      <c r="AE1719" t="s">
        <v>145</v>
      </c>
      <c r="AF1719" t="s">
        <v>146</v>
      </c>
      <c r="AG1719" t="s">
        <v>2242</v>
      </c>
      <c r="AH1719" t="s">
        <v>2271</v>
      </c>
      <c r="AI1719" t="s">
        <v>90</v>
      </c>
      <c r="AJ1719">
        <v>32.441406999999998</v>
      </c>
      <c r="AK1719">
        <v>-110.78778200000001</v>
      </c>
      <c r="AL1719">
        <v>15</v>
      </c>
      <c r="AN1719">
        <v>2770</v>
      </c>
      <c r="AP1719">
        <v>2770</v>
      </c>
      <c r="AQ1719">
        <v>2788.9607980000001</v>
      </c>
      <c r="AT1719">
        <v>9</v>
      </c>
      <c r="AU1719">
        <v>9</v>
      </c>
      <c r="AV1719">
        <v>2022</v>
      </c>
      <c r="AW1719">
        <v>2436019</v>
      </c>
      <c r="AX1719">
        <v>2436019</v>
      </c>
      <c r="AY1719" t="s">
        <v>106</v>
      </c>
      <c r="AZ1719" t="s">
        <v>92</v>
      </c>
      <c r="BA1719" t="s">
        <v>107</v>
      </c>
      <c r="BB1719" t="s">
        <v>2272</v>
      </c>
      <c r="BC1719" t="s">
        <v>2245</v>
      </c>
      <c r="BE1719" t="s">
        <v>96</v>
      </c>
      <c r="BG1719" t="s">
        <v>2246</v>
      </c>
      <c r="BI1719" t="s">
        <v>98</v>
      </c>
      <c r="BJ1719" t="s">
        <v>2273</v>
      </c>
      <c r="BL1719" t="s">
        <v>412</v>
      </c>
    </row>
    <row r="1720" spans="1:64" hidden="1" x14ac:dyDescent="0.2">
      <c r="A1720">
        <v>729</v>
      </c>
      <c r="B1720">
        <v>4070420508</v>
      </c>
      <c r="C1720" t="s">
        <v>101</v>
      </c>
      <c r="D1720" t="s">
        <v>2308</v>
      </c>
      <c r="E1720" t="s">
        <v>65</v>
      </c>
      <c r="F1720" t="s">
        <v>66</v>
      </c>
      <c r="G1720" t="s">
        <v>67</v>
      </c>
      <c r="H1720" t="s">
        <v>68</v>
      </c>
      <c r="I1720" t="s">
        <v>176</v>
      </c>
      <c r="J1720" t="s">
        <v>773</v>
      </c>
      <c r="K1720" t="s">
        <v>774</v>
      </c>
      <c r="M1720" t="s">
        <v>72</v>
      </c>
      <c r="N1720" t="s">
        <v>775</v>
      </c>
      <c r="O1720" t="s">
        <v>774</v>
      </c>
      <c r="P1720" t="s">
        <v>776</v>
      </c>
      <c r="Q1720" t="s">
        <v>75</v>
      </c>
      <c r="R1720" t="s">
        <v>2238</v>
      </c>
      <c r="S1720" t="s">
        <v>2279</v>
      </c>
      <c r="T1720" t="s">
        <v>78</v>
      </c>
      <c r="U1720" t="s">
        <v>1822</v>
      </c>
      <c r="V1720" t="s">
        <v>80</v>
      </c>
      <c r="W1720" s="1">
        <v>44813</v>
      </c>
      <c r="X1720" t="s">
        <v>1823</v>
      </c>
      <c r="Y1720" t="s">
        <v>2280</v>
      </c>
      <c r="Z1720" t="s">
        <v>83</v>
      </c>
      <c r="AA1720">
        <v>1</v>
      </c>
      <c r="AB1720" t="s">
        <v>127</v>
      </c>
      <c r="AC1720">
        <v>1</v>
      </c>
      <c r="AD1720" t="s">
        <v>128</v>
      </c>
      <c r="AE1720" t="s">
        <v>86</v>
      </c>
      <c r="AF1720" t="s">
        <v>146</v>
      </c>
      <c r="AG1720" t="s">
        <v>2282</v>
      </c>
      <c r="AH1720" t="s">
        <v>2309</v>
      </c>
      <c r="AI1720" t="s">
        <v>90</v>
      </c>
      <c r="AJ1720">
        <v>32.441125</v>
      </c>
      <c r="AK1720">
        <v>-110.786114</v>
      </c>
      <c r="AL1720">
        <v>15</v>
      </c>
      <c r="AN1720">
        <v>2760</v>
      </c>
      <c r="AP1720">
        <v>2760</v>
      </c>
      <c r="AQ1720">
        <v>2778.4598810000002</v>
      </c>
      <c r="AT1720">
        <v>9</v>
      </c>
      <c r="AU1720">
        <v>9</v>
      </c>
      <c r="AV1720">
        <v>2022</v>
      </c>
      <c r="AW1720">
        <v>2438447</v>
      </c>
      <c r="AX1720">
        <v>2438447</v>
      </c>
      <c r="AY1720" t="s">
        <v>106</v>
      </c>
      <c r="AZ1720" t="s">
        <v>92</v>
      </c>
      <c r="BA1720" t="s">
        <v>107</v>
      </c>
      <c r="BB1720" t="s">
        <v>2310</v>
      </c>
      <c r="BC1720" t="s">
        <v>2245</v>
      </c>
      <c r="BE1720" t="s">
        <v>96</v>
      </c>
      <c r="BG1720" t="s">
        <v>2246</v>
      </c>
      <c r="BI1720" t="s">
        <v>98</v>
      </c>
      <c r="BJ1720" t="s">
        <v>2277</v>
      </c>
      <c r="BL1720" t="s">
        <v>412</v>
      </c>
    </row>
    <row r="1721" spans="1:64" hidden="1" x14ac:dyDescent="0.2">
      <c r="A1721">
        <v>727</v>
      </c>
      <c r="B1721">
        <v>4070420510</v>
      </c>
      <c r="C1721" t="s">
        <v>101</v>
      </c>
      <c r="D1721" s="2" t="s">
        <v>2345</v>
      </c>
      <c r="E1721" t="s">
        <v>65</v>
      </c>
      <c r="F1721" t="s">
        <v>66</v>
      </c>
      <c r="G1721" t="s">
        <v>67</v>
      </c>
      <c r="H1721" t="s">
        <v>68</v>
      </c>
      <c r="I1721" t="s">
        <v>176</v>
      </c>
      <c r="J1721" t="s">
        <v>773</v>
      </c>
      <c r="K1721" t="s">
        <v>774</v>
      </c>
      <c r="M1721" t="s">
        <v>72</v>
      </c>
      <c r="N1721" t="s">
        <v>775</v>
      </c>
      <c r="O1721" t="s">
        <v>774</v>
      </c>
      <c r="P1721" t="s">
        <v>776</v>
      </c>
      <c r="Q1721" t="s">
        <v>75</v>
      </c>
      <c r="R1721" t="s">
        <v>2238</v>
      </c>
      <c r="S1721" t="s">
        <v>2317</v>
      </c>
      <c r="T1721" t="s">
        <v>78</v>
      </c>
      <c r="U1721" t="s">
        <v>1822</v>
      </c>
      <c r="V1721" t="s">
        <v>80</v>
      </c>
      <c r="W1721" s="1">
        <v>44813</v>
      </c>
      <c r="X1721" t="s">
        <v>1823</v>
      </c>
      <c r="Y1721" t="s">
        <v>2318</v>
      </c>
      <c r="Z1721" t="s">
        <v>83</v>
      </c>
      <c r="AA1721">
        <v>1</v>
      </c>
      <c r="AB1721" t="s">
        <v>127</v>
      </c>
      <c r="AC1721">
        <v>1</v>
      </c>
      <c r="AD1721" t="s">
        <v>128</v>
      </c>
      <c r="AE1721" t="s">
        <v>86</v>
      </c>
      <c r="AF1721" t="s">
        <v>146</v>
      </c>
      <c r="AG1721" t="s">
        <v>2321</v>
      </c>
      <c r="AH1721" t="s">
        <v>2346</v>
      </c>
      <c r="AI1721" t="s">
        <v>90</v>
      </c>
      <c r="AJ1721">
        <v>32.441259000000002</v>
      </c>
      <c r="AK1721">
        <v>-110.786177</v>
      </c>
      <c r="AL1721">
        <v>15</v>
      </c>
      <c r="AN1721">
        <v>2757</v>
      </c>
      <c r="AP1721">
        <v>2757</v>
      </c>
      <c r="AQ1721">
        <v>2773.254516</v>
      </c>
      <c r="AT1721">
        <v>9</v>
      </c>
      <c r="AU1721">
        <v>9</v>
      </c>
      <c r="AV1721">
        <v>2022</v>
      </c>
      <c r="AW1721">
        <v>2438447</v>
      </c>
      <c r="AX1721">
        <v>2438447</v>
      </c>
      <c r="AY1721" t="s">
        <v>106</v>
      </c>
      <c r="AZ1721" t="s">
        <v>92</v>
      </c>
      <c r="BA1721" t="s">
        <v>107</v>
      </c>
      <c r="BB1721" t="s">
        <v>2347</v>
      </c>
      <c r="BC1721" t="s">
        <v>2245</v>
      </c>
      <c r="BE1721" t="s">
        <v>96</v>
      </c>
      <c r="BG1721" t="s">
        <v>2246</v>
      </c>
      <c r="BI1721" t="s">
        <v>98</v>
      </c>
      <c r="BJ1721" t="s">
        <v>2348</v>
      </c>
      <c r="BL1721" t="s">
        <v>412</v>
      </c>
    </row>
    <row r="1722" spans="1:64" hidden="1" x14ac:dyDescent="0.2">
      <c r="A1722">
        <v>858</v>
      </c>
      <c r="B1722">
        <v>4070420365</v>
      </c>
      <c r="C1722" t="s">
        <v>101</v>
      </c>
      <c r="D1722" t="s">
        <v>2354</v>
      </c>
      <c r="E1722" t="s">
        <v>65</v>
      </c>
      <c r="F1722" t="s">
        <v>66</v>
      </c>
      <c r="G1722" t="s">
        <v>67</v>
      </c>
      <c r="H1722" t="s">
        <v>68</v>
      </c>
      <c r="I1722" t="s">
        <v>176</v>
      </c>
      <c r="J1722" t="s">
        <v>177</v>
      </c>
      <c r="K1722" t="s">
        <v>1817</v>
      </c>
      <c r="M1722" t="s">
        <v>72</v>
      </c>
      <c r="N1722" t="s">
        <v>1818</v>
      </c>
      <c r="O1722" t="s">
        <v>1817</v>
      </c>
      <c r="P1722" t="s">
        <v>1819</v>
      </c>
      <c r="Q1722" t="s">
        <v>75</v>
      </c>
      <c r="R1722" t="s">
        <v>2238</v>
      </c>
      <c r="S1722" t="s">
        <v>2355</v>
      </c>
      <c r="T1722" t="s">
        <v>78</v>
      </c>
      <c r="U1722" t="s">
        <v>1822</v>
      </c>
      <c r="V1722" t="s">
        <v>80</v>
      </c>
      <c r="W1722" s="1">
        <v>44813</v>
      </c>
      <c r="X1722" t="s">
        <v>1823</v>
      </c>
      <c r="Y1722" t="s">
        <v>2356</v>
      </c>
      <c r="Z1722" t="s">
        <v>83</v>
      </c>
      <c r="AA1722">
        <v>1</v>
      </c>
      <c r="AB1722" t="s">
        <v>127</v>
      </c>
      <c r="AC1722">
        <v>1</v>
      </c>
      <c r="AD1722" t="s">
        <v>128</v>
      </c>
      <c r="AE1722" t="s">
        <v>86</v>
      </c>
      <c r="AF1722" t="s">
        <v>146</v>
      </c>
      <c r="AG1722" t="s">
        <v>2205</v>
      </c>
      <c r="AI1722" t="s">
        <v>90</v>
      </c>
      <c r="AJ1722">
        <v>32.441116999999998</v>
      </c>
      <c r="AK1722">
        <v>-110.786867</v>
      </c>
      <c r="AL1722">
        <v>15</v>
      </c>
      <c r="AN1722">
        <v>2768</v>
      </c>
      <c r="AP1722">
        <v>2768</v>
      </c>
      <c r="AQ1722">
        <v>2787.9940000000001</v>
      </c>
      <c r="AT1722">
        <v>9</v>
      </c>
      <c r="AU1722">
        <v>9</v>
      </c>
      <c r="AV1722">
        <v>2022</v>
      </c>
      <c r="AW1722">
        <v>2437967</v>
      </c>
      <c r="AX1722">
        <v>2437967</v>
      </c>
      <c r="AY1722" t="s">
        <v>106</v>
      </c>
      <c r="AZ1722" t="s">
        <v>92</v>
      </c>
      <c r="BA1722" t="s">
        <v>107</v>
      </c>
      <c r="BB1722" t="s">
        <v>2357</v>
      </c>
      <c r="BC1722" t="s">
        <v>2245</v>
      </c>
      <c r="BE1722" t="s">
        <v>96</v>
      </c>
      <c r="BG1722" t="s">
        <v>2246</v>
      </c>
      <c r="BI1722" t="s">
        <v>98</v>
      </c>
      <c r="BJ1722" t="s">
        <v>2358</v>
      </c>
      <c r="BL1722" t="s">
        <v>412</v>
      </c>
    </row>
    <row r="1723" spans="1:64" hidden="1" x14ac:dyDescent="0.2">
      <c r="A1723">
        <v>871</v>
      </c>
      <c r="B1723">
        <v>4070420352</v>
      </c>
      <c r="C1723" t="s">
        <v>101</v>
      </c>
      <c r="D1723" t="s">
        <v>2375</v>
      </c>
      <c r="E1723" t="s">
        <v>65</v>
      </c>
      <c r="F1723" t="s">
        <v>66</v>
      </c>
      <c r="G1723" t="s">
        <v>67</v>
      </c>
      <c r="H1723" t="s">
        <v>68</v>
      </c>
      <c r="I1723" t="s">
        <v>176</v>
      </c>
      <c r="J1723" t="s">
        <v>177</v>
      </c>
      <c r="K1723" t="s">
        <v>1817</v>
      </c>
      <c r="M1723" t="s">
        <v>72</v>
      </c>
      <c r="N1723" t="s">
        <v>1818</v>
      </c>
      <c r="O1723" t="s">
        <v>1817</v>
      </c>
      <c r="P1723" t="s">
        <v>1819</v>
      </c>
      <c r="Q1723" t="s">
        <v>75</v>
      </c>
      <c r="R1723" t="s">
        <v>2238</v>
      </c>
      <c r="S1723" t="s">
        <v>2363</v>
      </c>
      <c r="T1723" t="s">
        <v>78</v>
      </c>
      <c r="U1723" t="s">
        <v>1822</v>
      </c>
      <c r="V1723" t="s">
        <v>80</v>
      </c>
      <c r="W1723" s="1">
        <v>44813</v>
      </c>
      <c r="X1723" t="s">
        <v>1823</v>
      </c>
      <c r="Y1723" t="s">
        <v>2364</v>
      </c>
      <c r="Z1723" t="s">
        <v>83</v>
      </c>
      <c r="AA1723">
        <v>1</v>
      </c>
      <c r="AB1723" t="s">
        <v>127</v>
      </c>
      <c r="AC1723">
        <v>1</v>
      </c>
      <c r="AD1723" t="s">
        <v>128</v>
      </c>
      <c r="AE1723" t="s">
        <v>145</v>
      </c>
      <c r="AF1723" t="s">
        <v>87</v>
      </c>
      <c r="AG1723" t="s">
        <v>2366</v>
      </c>
      <c r="AH1723" t="s">
        <v>2376</v>
      </c>
      <c r="AI1723" t="s">
        <v>90</v>
      </c>
      <c r="AJ1723">
        <v>32.44106</v>
      </c>
      <c r="AK1723">
        <v>-110.78533899999999</v>
      </c>
      <c r="AL1723">
        <v>15</v>
      </c>
      <c r="AN1723">
        <v>2758</v>
      </c>
      <c r="AP1723">
        <v>2758</v>
      </c>
      <c r="AQ1723">
        <v>2779.596708</v>
      </c>
      <c r="AT1723">
        <v>9</v>
      </c>
      <c r="AU1723">
        <v>9</v>
      </c>
      <c r="AV1723">
        <v>2022</v>
      </c>
      <c r="AW1723">
        <v>2437967</v>
      </c>
      <c r="AX1723">
        <v>2437967</v>
      </c>
      <c r="AY1723" t="s">
        <v>106</v>
      </c>
      <c r="AZ1723" t="s">
        <v>92</v>
      </c>
      <c r="BA1723" t="s">
        <v>107</v>
      </c>
      <c r="BB1723" t="s">
        <v>2377</v>
      </c>
      <c r="BC1723" t="s">
        <v>2245</v>
      </c>
      <c r="BE1723" t="s">
        <v>96</v>
      </c>
      <c r="BG1723" t="s">
        <v>2246</v>
      </c>
      <c r="BI1723" t="s">
        <v>98</v>
      </c>
      <c r="BJ1723" t="s">
        <v>2378</v>
      </c>
      <c r="BL1723" t="s">
        <v>412</v>
      </c>
    </row>
    <row r="1724" spans="1:64" hidden="1" x14ac:dyDescent="0.2">
      <c r="A1724">
        <v>877</v>
      </c>
      <c r="B1724">
        <v>4070420346</v>
      </c>
      <c r="C1724" t="s">
        <v>101</v>
      </c>
      <c r="D1724" t="s">
        <v>2423</v>
      </c>
      <c r="E1724" t="s">
        <v>65</v>
      </c>
      <c r="F1724" t="s">
        <v>66</v>
      </c>
      <c r="G1724" t="s">
        <v>67</v>
      </c>
      <c r="H1724" t="s">
        <v>68</v>
      </c>
      <c r="I1724" t="s">
        <v>176</v>
      </c>
      <c r="J1724" t="s">
        <v>177</v>
      </c>
      <c r="K1724" t="s">
        <v>1817</v>
      </c>
      <c r="M1724" t="s">
        <v>72</v>
      </c>
      <c r="N1724" t="s">
        <v>1856</v>
      </c>
      <c r="O1724" t="s">
        <v>1817</v>
      </c>
      <c r="P1724" t="s">
        <v>1857</v>
      </c>
      <c r="Q1724" t="s">
        <v>75</v>
      </c>
      <c r="R1724" t="s">
        <v>2238</v>
      </c>
      <c r="S1724" t="s">
        <v>2404</v>
      </c>
      <c r="T1724" t="s">
        <v>78</v>
      </c>
      <c r="U1724" t="s">
        <v>1822</v>
      </c>
      <c r="V1724" t="s">
        <v>80</v>
      </c>
      <c r="W1724" s="1">
        <v>44813</v>
      </c>
      <c r="X1724" t="s">
        <v>1823</v>
      </c>
      <c r="Y1724" t="s">
        <v>2405</v>
      </c>
      <c r="Z1724" t="s">
        <v>83</v>
      </c>
      <c r="AA1724">
        <v>1</v>
      </c>
      <c r="AB1724" t="s">
        <v>127</v>
      </c>
      <c r="AC1724">
        <v>1</v>
      </c>
      <c r="AD1724" t="s">
        <v>128</v>
      </c>
      <c r="AE1724" t="s">
        <v>86</v>
      </c>
      <c r="AF1724" t="s">
        <v>146</v>
      </c>
      <c r="AG1724" t="s">
        <v>2407</v>
      </c>
      <c r="AH1724" t="s">
        <v>2424</v>
      </c>
      <c r="AI1724" t="s">
        <v>90</v>
      </c>
      <c r="AJ1724">
        <v>32.441080999999997</v>
      </c>
      <c r="AK1724">
        <v>-110.785628</v>
      </c>
      <c r="AL1724">
        <v>15</v>
      </c>
      <c r="AN1724">
        <v>2759</v>
      </c>
      <c r="AP1724">
        <v>2759</v>
      </c>
      <c r="AQ1724">
        <v>2778.6786710000001</v>
      </c>
      <c r="AT1724">
        <v>9</v>
      </c>
      <c r="AU1724">
        <v>9</v>
      </c>
      <c r="AV1724">
        <v>2022</v>
      </c>
      <c r="AW1724">
        <v>2438019</v>
      </c>
      <c r="AX1724">
        <v>2438019</v>
      </c>
      <c r="AY1724" t="s">
        <v>106</v>
      </c>
      <c r="AZ1724" t="s">
        <v>92</v>
      </c>
      <c r="BA1724" t="s">
        <v>107</v>
      </c>
      <c r="BB1724" t="s">
        <v>2425</v>
      </c>
      <c r="BC1724" t="s">
        <v>2245</v>
      </c>
      <c r="BE1724" t="s">
        <v>96</v>
      </c>
      <c r="BG1724" t="s">
        <v>2246</v>
      </c>
      <c r="BI1724" t="s">
        <v>98</v>
      </c>
      <c r="BJ1724" t="s">
        <v>2419</v>
      </c>
      <c r="BL1724" t="s">
        <v>412</v>
      </c>
    </row>
    <row r="1725" spans="1:64" hidden="1" x14ac:dyDescent="0.2">
      <c r="A1725">
        <v>721</v>
      </c>
      <c r="B1725">
        <v>4070420516</v>
      </c>
      <c r="C1725" t="s">
        <v>101</v>
      </c>
      <c r="D1725" t="s">
        <v>2486</v>
      </c>
      <c r="E1725" t="s">
        <v>65</v>
      </c>
      <c r="F1725" t="s">
        <v>66</v>
      </c>
      <c r="G1725" t="s">
        <v>67</v>
      </c>
      <c r="H1725" t="s">
        <v>68</v>
      </c>
      <c r="I1725" t="s">
        <v>176</v>
      </c>
      <c r="J1725" t="s">
        <v>773</v>
      </c>
      <c r="K1725" t="s">
        <v>774</v>
      </c>
      <c r="M1725" t="s">
        <v>72</v>
      </c>
      <c r="N1725" t="s">
        <v>775</v>
      </c>
      <c r="O1725" t="s">
        <v>774</v>
      </c>
      <c r="P1725" t="s">
        <v>776</v>
      </c>
      <c r="Q1725" t="s">
        <v>75</v>
      </c>
      <c r="R1725" t="s">
        <v>2238</v>
      </c>
      <c r="S1725" t="s">
        <v>2442</v>
      </c>
      <c r="T1725" t="s">
        <v>78</v>
      </c>
      <c r="U1725" t="s">
        <v>1822</v>
      </c>
      <c r="V1725" t="s">
        <v>80</v>
      </c>
      <c r="W1725" s="1">
        <v>44813</v>
      </c>
      <c r="X1725" t="s">
        <v>1823</v>
      </c>
      <c r="Y1725" t="s">
        <v>2443</v>
      </c>
      <c r="Z1725" t="s">
        <v>83</v>
      </c>
      <c r="AA1725">
        <v>1</v>
      </c>
      <c r="AB1725" t="s">
        <v>127</v>
      </c>
      <c r="AC1725">
        <v>1</v>
      </c>
      <c r="AD1725" t="s">
        <v>128</v>
      </c>
      <c r="AE1725" t="s">
        <v>145</v>
      </c>
      <c r="AF1725" t="s">
        <v>146</v>
      </c>
      <c r="AG1725" t="s">
        <v>2445</v>
      </c>
      <c r="AH1725" t="s">
        <v>2487</v>
      </c>
      <c r="AI1725" t="s">
        <v>90</v>
      </c>
      <c r="AJ1725">
        <v>32.441257</v>
      </c>
      <c r="AK1725">
        <v>-110.78762</v>
      </c>
      <c r="AL1725">
        <v>15</v>
      </c>
      <c r="AN1725">
        <v>2774</v>
      </c>
      <c r="AP1725">
        <v>2774</v>
      </c>
      <c r="AQ1725">
        <v>2788.5512319999998</v>
      </c>
      <c r="AT1725">
        <v>9</v>
      </c>
      <c r="AU1725">
        <v>9</v>
      </c>
      <c r="AV1725">
        <v>2022</v>
      </c>
      <c r="AW1725">
        <v>2438447</v>
      </c>
      <c r="AX1725">
        <v>2438447</v>
      </c>
      <c r="AY1725" t="s">
        <v>106</v>
      </c>
      <c r="AZ1725" t="s">
        <v>92</v>
      </c>
      <c r="BA1725" t="s">
        <v>107</v>
      </c>
      <c r="BB1725" t="s">
        <v>2488</v>
      </c>
      <c r="BC1725" t="s">
        <v>2245</v>
      </c>
      <c r="BE1725" t="s">
        <v>96</v>
      </c>
      <c r="BG1725" t="s">
        <v>2246</v>
      </c>
      <c r="BI1725" t="s">
        <v>98</v>
      </c>
      <c r="BJ1725" t="s">
        <v>2489</v>
      </c>
      <c r="BL1725" t="s">
        <v>412</v>
      </c>
    </row>
    <row r="1726" spans="1:64" hidden="1" x14ac:dyDescent="0.2">
      <c r="A1726">
        <v>822</v>
      </c>
      <c r="B1726">
        <v>4070420401</v>
      </c>
      <c r="C1726" t="s">
        <v>101</v>
      </c>
      <c r="D1726" t="s">
        <v>2508</v>
      </c>
      <c r="E1726" t="s">
        <v>65</v>
      </c>
      <c r="F1726" t="s">
        <v>66</v>
      </c>
      <c r="G1726" t="s">
        <v>67</v>
      </c>
      <c r="H1726" t="s">
        <v>68</v>
      </c>
      <c r="I1726" t="s">
        <v>176</v>
      </c>
      <c r="J1726" t="s">
        <v>177</v>
      </c>
      <c r="K1726" t="s">
        <v>1817</v>
      </c>
      <c r="M1726" t="s">
        <v>72</v>
      </c>
      <c r="N1726" t="s">
        <v>1818</v>
      </c>
      <c r="O1726" t="s">
        <v>1817</v>
      </c>
      <c r="P1726" t="s">
        <v>1819</v>
      </c>
      <c r="Q1726" t="s">
        <v>75</v>
      </c>
      <c r="R1726" t="s">
        <v>2238</v>
      </c>
      <c r="S1726" t="s">
        <v>2495</v>
      </c>
      <c r="T1726" t="s">
        <v>78</v>
      </c>
      <c r="U1726" t="s">
        <v>1822</v>
      </c>
      <c r="V1726" t="s">
        <v>80</v>
      </c>
      <c r="W1726" s="1">
        <v>44813</v>
      </c>
      <c r="X1726" t="s">
        <v>1823</v>
      </c>
      <c r="Y1726" t="s">
        <v>2496</v>
      </c>
      <c r="Z1726" t="s">
        <v>83</v>
      </c>
      <c r="AA1726">
        <v>1</v>
      </c>
      <c r="AB1726" t="s">
        <v>127</v>
      </c>
      <c r="AC1726">
        <v>1</v>
      </c>
      <c r="AD1726" t="s">
        <v>128</v>
      </c>
      <c r="AE1726" t="s">
        <v>145</v>
      </c>
      <c r="AF1726" t="s">
        <v>146</v>
      </c>
      <c r="AG1726" t="s">
        <v>2498</v>
      </c>
      <c r="AH1726" t="s">
        <v>2509</v>
      </c>
      <c r="AI1726" t="s">
        <v>90</v>
      </c>
      <c r="AJ1726">
        <v>32.441178000000001</v>
      </c>
      <c r="AK1726">
        <v>-110.785135</v>
      </c>
      <c r="AL1726">
        <v>15</v>
      </c>
      <c r="AN1726">
        <v>2755</v>
      </c>
      <c r="AP1726">
        <v>2755</v>
      </c>
      <c r="AQ1726">
        <v>2777.9454300000002</v>
      </c>
      <c r="AT1726">
        <v>9</v>
      </c>
      <c r="AU1726">
        <v>9</v>
      </c>
      <c r="AV1726">
        <v>2022</v>
      </c>
      <c r="AW1726">
        <v>2437967</v>
      </c>
      <c r="AX1726">
        <v>2437967</v>
      </c>
      <c r="AY1726" t="s">
        <v>106</v>
      </c>
      <c r="AZ1726" t="s">
        <v>92</v>
      </c>
      <c r="BA1726" t="s">
        <v>107</v>
      </c>
      <c r="BB1726" t="s">
        <v>2510</v>
      </c>
      <c r="BC1726" t="s">
        <v>2245</v>
      </c>
      <c r="BE1726" t="s">
        <v>96</v>
      </c>
      <c r="BG1726" t="s">
        <v>2246</v>
      </c>
      <c r="BI1726" t="s">
        <v>98</v>
      </c>
      <c r="BJ1726" t="s">
        <v>2511</v>
      </c>
      <c r="BL1726" t="s">
        <v>412</v>
      </c>
    </row>
    <row r="1727" spans="1:64" hidden="1" x14ac:dyDescent="0.2">
      <c r="A1727">
        <v>828</v>
      </c>
      <c r="B1727">
        <v>4070420395</v>
      </c>
      <c r="C1727" t="s">
        <v>101</v>
      </c>
      <c r="D1727" t="s">
        <v>2544</v>
      </c>
      <c r="E1727" t="s">
        <v>65</v>
      </c>
      <c r="F1727" t="s">
        <v>66</v>
      </c>
      <c r="G1727" t="s">
        <v>67</v>
      </c>
      <c r="H1727" t="s">
        <v>68</v>
      </c>
      <c r="I1727" t="s">
        <v>176</v>
      </c>
      <c r="J1727" t="s">
        <v>177</v>
      </c>
      <c r="K1727" t="s">
        <v>1817</v>
      </c>
      <c r="M1727" t="s">
        <v>72</v>
      </c>
      <c r="N1727" t="s">
        <v>1818</v>
      </c>
      <c r="O1727" t="s">
        <v>1817</v>
      </c>
      <c r="P1727" t="s">
        <v>1819</v>
      </c>
      <c r="Q1727" t="s">
        <v>75</v>
      </c>
      <c r="R1727" t="s">
        <v>2238</v>
      </c>
      <c r="S1727" t="s">
        <v>2532</v>
      </c>
      <c r="T1727" t="s">
        <v>78</v>
      </c>
      <c r="U1727" t="s">
        <v>1822</v>
      </c>
      <c r="V1727" t="s">
        <v>80</v>
      </c>
      <c r="W1727" s="1">
        <v>44813</v>
      </c>
      <c r="X1727" t="s">
        <v>1823</v>
      </c>
      <c r="Y1727" t="s">
        <v>2533</v>
      </c>
      <c r="Z1727" t="s">
        <v>83</v>
      </c>
      <c r="AA1727">
        <v>1</v>
      </c>
      <c r="AB1727" t="s">
        <v>127</v>
      </c>
      <c r="AC1727">
        <v>1</v>
      </c>
      <c r="AD1727" t="s">
        <v>128</v>
      </c>
      <c r="AE1727" t="s">
        <v>145</v>
      </c>
      <c r="AF1727" t="s">
        <v>146</v>
      </c>
      <c r="AG1727" t="s">
        <v>344</v>
      </c>
      <c r="AH1727" t="s">
        <v>2545</v>
      </c>
      <c r="AI1727" t="s">
        <v>90</v>
      </c>
      <c r="AJ1727">
        <v>32.441161000000001</v>
      </c>
      <c r="AK1727">
        <v>-110.78694400000001</v>
      </c>
      <c r="AL1727">
        <v>15</v>
      </c>
      <c r="AN1727">
        <v>2766</v>
      </c>
      <c r="AP1727">
        <v>2766</v>
      </c>
      <c r="AQ1727">
        <v>2787.5583999999999</v>
      </c>
      <c r="AT1727">
        <v>9</v>
      </c>
      <c r="AU1727">
        <v>9</v>
      </c>
      <c r="AV1727">
        <v>2022</v>
      </c>
      <c r="AW1727">
        <v>2437967</v>
      </c>
      <c r="AX1727">
        <v>2437967</v>
      </c>
      <c r="AY1727" t="s">
        <v>106</v>
      </c>
      <c r="AZ1727" t="s">
        <v>92</v>
      </c>
      <c r="BA1727" t="s">
        <v>107</v>
      </c>
      <c r="BB1727" t="s">
        <v>2546</v>
      </c>
      <c r="BC1727" t="s">
        <v>2245</v>
      </c>
      <c r="BE1727" t="s">
        <v>96</v>
      </c>
      <c r="BG1727" t="s">
        <v>2246</v>
      </c>
      <c r="BI1727" t="s">
        <v>98</v>
      </c>
      <c r="BJ1727" t="s">
        <v>2541</v>
      </c>
      <c r="BL1727" t="s">
        <v>412</v>
      </c>
    </row>
    <row r="1728" spans="1:64" hidden="1" x14ac:dyDescent="0.2">
      <c r="A1728">
        <v>934</v>
      </c>
      <c r="B1728">
        <v>4040367311</v>
      </c>
      <c r="C1728" t="s">
        <v>101</v>
      </c>
      <c r="D1728" t="s">
        <v>2595</v>
      </c>
      <c r="E1728" t="s">
        <v>65</v>
      </c>
      <c r="F1728" t="s">
        <v>66</v>
      </c>
      <c r="G1728" t="s">
        <v>67</v>
      </c>
      <c r="H1728" t="s">
        <v>68</v>
      </c>
      <c r="I1728" t="s">
        <v>176</v>
      </c>
      <c r="J1728" t="s">
        <v>773</v>
      </c>
      <c r="K1728" t="s">
        <v>774</v>
      </c>
      <c r="M1728" t="s">
        <v>72</v>
      </c>
      <c r="N1728" t="s">
        <v>775</v>
      </c>
      <c r="O1728" t="s">
        <v>774</v>
      </c>
      <c r="P1728" t="s">
        <v>776</v>
      </c>
      <c r="Q1728" t="s">
        <v>75</v>
      </c>
      <c r="R1728" t="s">
        <v>2238</v>
      </c>
      <c r="S1728" t="s">
        <v>2564</v>
      </c>
      <c r="T1728" t="s">
        <v>78</v>
      </c>
      <c r="U1728" t="s">
        <v>1822</v>
      </c>
      <c r="V1728" t="s">
        <v>80</v>
      </c>
      <c r="W1728" s="1">
        <v>44813</v>
      </c>
      <c r="X1728" t="s">
        <v>1823</v>
      </c>
      <c r="Y1728" t="s">
        <v>2565</v>
      </c>
      <c r="Z1728" t="s">
        <v>83</v>
      </c>
      <c r="AA1728">
        <v>1</v>
      </c>
      <c r="AB1728" t="s">
        <v>127</v>
      </c>
      <c r="AC1728">
        <v>1</v>
      </c>
      <c r="AD1728" t="s">
        <v>128</v>
      </c>
      <c r="AE1728" t="s">
        <v>145</v>
      </c>
      <c r="AF1728" t="s">
        <v>146</v>
      </c>
      <c r="AG1728" t="s">
        <v>2567</v>
      </c>
      <c r="AH1728" t="s">
        <v>2596</v>
      </c>
      <c r="AI1728" t="s">
        <v>90</v>
      </c>
      <c r="AJ1728">
        <v>32.441026000000001</v>
      </c>
      <c r="AK1728">
        <v>-110.785635</v>
      </c>
      <c r="AL1728">
        <v>15</v>
      </c>
      <c r="AN1728">
        <v>2759</v>
      </c>
      <c r="AP1728">
        <v>2759</v>
      </c>
      <c r="AQ1728">
        <v>2779.926031</v>
      </c>
      <c r="AT1728">
        <v>9</v>
      </c>
      <c r="AU1728">
        <v>9</v>
      </c>
      <c r="AV1728">
        <v>2022</v>
      </c>
      <c r="AW1728">
        <v>2438447</v>
      </c>
      <c r="AX1728">
        <v>2438447</v>
      </c>
      <c r="AY1728" t="s">
        <v>106</v>
      </c>
      <c r="AZ1728" t="s">
        <v>92</v>
      </c>
      <c r="BA1728" t="s">
        <v>107</v>
      </c>
      <c r="BB1728" t="s">
        <v>2597</v>
      </c>
      <c r="BC1728" t="s">
        <v>2245</v>
      </c>
      <c r="BE1728" t="s">
        <v>96</v>
      </c>
      <c r="BG1728" t="s">
        <v>2246</v>
      </c>
      <c r="BI1728" t="s">
        <v>98</v>
      </c>
      <c r="BJ1728" t="s">
        <v>2393</v>
      </c>
      <c r="BL1728" t="s">
        <v>412</v>
      </c>
    </row>
    <row r="1729" spans="1:64" hidden="1" x14ac:dyDescent="0.2">
      <c r="A1729">
        <v>790</v>
      </c>
      <c r="B1729">
        <v>4070420439</v>
      </c>
      <c r="C1729" t="s">
        <v>101</v>
      </c>
      <c r="D1729" t="s">
        <v>2658</v>
      </c>
      <c r="E1729" t="s">
        <v>65</v>
      </c>
      <c r="F1729" t="s">
        <v>66</v>
      </c>
      <c r="G1729" t="s">
        <v>67</v>
      </c>
      <c r="H1729" t="s">
        <v>68</v>
      </c>
      <c r="I1729" t="s">
        <v>350</v>
      </c>
      <c r="J1729" t="s">
        <v>351</v>
      </c>
      <c r="K1729" t="s">
        <v>352</v>
      </c>
      <c r="M1729" t="s">
        <v>72</v>
      </c>
      <c r="N1729" t="s">
        <v>353</v>
      </c>
      <c r="O1729" t="s">
        <v>352</v>
      </c>
      <c r="P1729" t="s">
        <v>180</v>
      </c>
      <c r="Q1729" t="s">
        <v>75</v>
      </c>
      <c r="R1729" t="s">
        <v>2238</v>
      </c>
      <c r="S1729" t="s">
        <v>2647</v>
      </c>
      <c r="T1729" t="s">
        <v>78</v>
      </c>
      <c r="U1729" t="s">
        <v>1822</v>
      </c>
      <c r="V1729" t="s">
        <v>1179</v>
      </c>
      <c r="W1729" s="1">
        <v>44813</v>
      </c>
      <c r="X1729" t="s">
        <v>1823</v>
      </c>
      <c r="Y1729" t="s">
        <v>2648</v>
      </c>
      <c r="Z1729" t="s">
        <v>83</v>
      </c>
      <c r="AA1729">
        <v>1</v>
      </c>
      <c r="AB1729" t="s">
        <v>127</v>
      </c>
      <c r="AC1729">
        <v>1</v>
      </c>
      <c r="AD1729" t="s">
        <v>128</v>
      </c>
      <c r="AE1729" t="s">
        <v>86</v>
      </c>
      <c r="AF1729" t="s">
        <v>146</v>
      </c>
      <c r="AG1729" t="s">
        <v>2650</v>
      </c>
      <c r="AH1729" t="s">
        <v>2659</v>
      </c>
      <c r="AI1729" t="s">
        <v>90</v>
      </c>
      <c r="AJ1729">
        <v>32.439857000000003</v>
      </c>
      <c r="AK1729">
        <v>-110.788887</v>
      </c>
      <c r="AL1729">
        <v>3</v>
      </c>
      <c r="AN1729">
        <v>2771</v>
      </c>
      <c r="AP1729">
        <v>2771</v>
      </c>
      <c r="AQ1729">
        <v>2774.9837990000001</v>
      </c>
      <c r="AT1729">
        <v>9</v>
      </c>
      <c r="AU1729">
        <v>9</v>
      </c>
      <c r="AV1729">
        <v>2022</v>
      </c>
      <c r="AW1729">
        <v>4972385</v>
      </c>
      <c r="AX1729">
        <v>2437431</v>
      </c>
      <c r="AY1729" t="s">
        <v>106</v>
      </c>
      <c r="AZ1729" t="s">
        <v>92</v>
      </c>
      <c r="BA1729" t="s">
        <v>107</v>
      </c>
      <c r="BB1729" t="s">
        <v>2660</v>
      </c>
      <c r="BC1729" t="s">
        <v>2245</v>
      </c>
      <c r="BE1729" t="s">
        <v>96</v>
      </c>
      <c r="BG1729" t="s">
        <v>2246</v>
      </c>
      <c r="BI1729" t="s">
        <v>98</v>
      </c>
      <c r="BJ1729" t="s">
        <v>683</v>
      </c>
      <c r="BL1729" t="s">
        <v>110</v>
      </c>
    </row>
    <row r="1730" spans="1:64" hidden="1" x14ac:dyDescent="0.2">
      <c r="A1730">
        <v>710</v>
      </c>
      <c r="B1730">
        <v>4070420527</v>
      </c>
      <c r="C1730" t="s">
        <v>101</v>
      </c>
      <c r="D1730" t="s">
        <v>2768</v>
      </c>
      <c r="E1730" t="s">
        <v>65</v>
      </c>
      <c r="F1730" t="s">
        <v>66</v>
      </c>
      <c r="G1730" t="s">
        <v>67</v>
      </c>
      <c r="H1730" t="s">
        <v>68</v>
      </c>
      <c r="I1730" t="s">
        <v>176</v>
      </c>
      <c r="J1730" t="s">
        <v>773</v>
      </c>
      <c r="K1730" t="s">
        <v>774</v>
      </c>
      <c r="M1730" t="s">
        <v>72</v>
      </c>
      <c r="N1730" t="s">
        <v>775</v>
      </c>
      <c r="O1730" t="s">
        <v>774</v>
      </c>
      <c r="P1730" t="s">
        <v>776</v>
      </c>
      <c r="Q1730" t="s">
        <v>75</v>
      </c>
      <c r="R1730" t="s">
        <v>2238</v>
      </c>
      <c r="S1730" t="s">
        <v>968</v>
      </c>
      <c r="T1730" t="s">
        <v>78</v>
      </c>
      <c r="U1730" t="s">
        <v>1822</v>
      </c>
      <c r="V1730" t="s">
        <v>80</v>
      </c>
      <c r="W1730" s="1">
        <v>44813</v>
      </c>
      <c r="X1730" t="s">
        <v>1823</v>
      </c>
      <c r="Y1730" t="s">
        <v>2769</v>
      </c>
      <c r="Z1730" t="s">
        <v>83</v>
      </c>
      <c r="AA1730">
        <v>1</v>
      </c>
      <c r="AB1730" t="s">
        <v>127</v>
      </c>
      <c r="AC1730">
        <v>1</v>
      </c>
      <c r="AD1730" t="s">
        <v>128</v>
      </c>
      <c r="AE1730" t="s">
        <v>86</v>
      </c>
      <c r="AF1730" t="s">
        <v>146</v>
      </c>
      <c r="AI1730" t="s">
        <v>90</v>
      </c>
      <c r="AJ1730">
        <v>32.441659000000001</v>
      </c>
      <c r="AK1730">
        <v>-110.78710100000001</v>
      </c>
      <c r="AL1730">
        <v>3</v>
      </c>
      <c r="AN1730">
        <v>2722</v>
      </c>
      <c r="AP1730">
        <v>2722</v>
      </c>
      <c r="AQ1730">
        <v>2771.9632889999998</v>
      </c>
      <c r="AT1730">
        <v>9</v>
      </c>
      <c r="AU1730">
        <v>9</v>
      </c>
      <c r="AV1730">
        <v>2022</v>
      </c>
      <c r="AW1730">
        <v>2438447</v>
      </c>
      <c r="AX1730">
        <v>2438447</v>
      </c>
      <c r="AY1730" t="s">
        <v>106</v>
      </c>
      <c r="AZ1730" t="s">
        <v>92</v>
      </c>
      <c r="BA1730" t="s">
        <v>107</v>
      </c>
      <c r="BB1730" t="s">
        <v>2770</v>
      </c>
      <c r="BC1730" t="s">
        <v>2245</v>
      </c>
      <c r="BE1730" t="s">
        <v>96</v>
      </c>
      <c r="BG1730" t="s">
        <v>2246</v>
      </c>
      <c r="BI1730" t="s">
        <v>98</v>
      </c>
      <c r="BJ1730" t="s">
        <v>2771</v>
      </c>
      <c r="BL1730" t="s">
        <v>412</v>
      </c>
    </row>
    <row r="1731" spans="1:64" hidden="1" x14ac:dyDescent="0.2">
      <c r="A1731">
        <v>739</v>
      </c>
      <c r="B1731">
        <v>4070420498</v>
      </c>
      <c r="C1731" t="s">
        <v>101</v>
      </c>
      <c r="D1731" t="s">
        <v>2830</v>
      </c>
      <c r="E1731" t="s">
        <v>65</v>
      </c>
      <c r="F1731" t="s">
        <v>66</v>
      </c>
      <c r="G1731" t="s">
        <v>67</v>
      </c>
      <c r="H1731" t="s">
        <v>68</v>
      </c>
      <c r="I1731" t="s">
        <v>176</v>
      </c>
      <c r="J1731" t="s">
        <v>177</v>
      </c>
      <c r="K1731" t="s">
        <v>178</v>
      </c>
      <c r="M1731" t="s">
        <v>72</v>
      </c>
      <c r="N1731" t="s">
        <v>179</v>
      </c>
      <c r="O1731" t="s">
        <v>178</v>
      </c>
      <c r="P1731" t="s">
        <v>180</v>
      </c>
      <c r="Q1731" t="s">
        <v>75</v>
      </c>
      <c r="R1731" t="s">
        <v>2806</v>
      </c>
      <c r="S1731" t="s">
        <v>645</v>
      </c>
      <c r="T1731" t="s">
        <v>78</v>
      </c>
      <c r="U1731" t="s">
        <v>1822</v>
      </c>
      <c r="V1731" t="s">
        <v>80</v>
      </c>
      <c r="W1731" s="1">
        <v>44814</v>
      </c>
      <c r="X1731" t="s">
        <v>2778</v>
      </c>
      <c r="Y1731" t="s">
        <v>2807</v>
      </c>
      <c r="Z1731" t="s">
        <v>83</v>
      </c>
      <c r="AA1731">
        <v>1</v>
      </c>
      <c r="AB1731" t="s">
        <v>127</v>
      </c>
      <c r="AC1731">
        <v>1</v>
      </c>
      <c r="AD1731" t="s">
        <v>128</v>
      </c>
      <c r="AE1731" t="s">
        <v>145</v>
      </c>
      <c r="AF1731" t="s">
        <v>146</v>
      </c>
      <c r="AG1731" t="s">
        <v>1526</v>
      </c>
      <c r="AH1731" t="s">
        <v>2831</v>
      </c>
      <c r="AI1731" t="s">
        <v>90</v>
      </c>
      <c r="AJ1731">
        <v>32.453336</v>
      </c>
      <c r="AK1731">
        <v>-110.74580400000001</v>
      </c>
      <c r="AL1731">
        <v>3</v>
      </c>
      <c r="AN1731">
        <v>2229</v>
      </c>
      <c r="AP1731">
        <v>2229</v>
      </c>
      <c r="AQ1731">
        <v>2231.3719430000001</v>
      </c>
      <c r="AT1731">
        <v>10</v>
      </c>
      <c r="AU1731">
        <v>9</v>
      </c>
      <c r="AV1731">
        <v>2022</v>
      </c>
      <c r="AW1731">
        <v>2438038</v>
      </c>
      <c r="AX1731">
        <v>2438038</v>
      </c>
      <c r="AY1731" t="s">
        <v>106</v>
      </c>
      <c r="AZ1731" t="s">
        <v>92</v>
      </c>
      <c r="BA1731" t="s">
        <v>107</v>
      </c>
      <c r="BB1731" t="s">
        <v>2832</v>
      </c>
      <c r="BC1731" t="s">
        <v>2245</v>
      </c>
      <c r="BE1731" t="s">
        <v>96</v>
      </c>
      <c r="BG1731" t="s">
        <v>2811</v>
      </c>
      <c r="BI1731" t="s">
        <v>98</v>
      </c>
      <c r="BJ1731" t="s">
        <v>2833</v>
      </c>
      <c r="BL1731" t="s">
        <v>412</v>
      </c>
    </row>
    <row r="1732" spans="1:64" hidden="1" x14ac:dyDescent="0.2">
      <c r="A1732">
        <v>728</v>
      </c>
      <c r="B1732">
        <v>4070420509</v>
      </c>
      <c r="C1732" t="s">
        <v>101</v>
      </c>
      <c r="D1732" t="s">
        <v>2854</v>
      </c>
      <c r="E1732" t="s">
        <v>65</v>
      </c>
      <c r="F1732" t="s">
        <v>66</v>
      </c>
      <c r="G1732" t="s">
        <v>67</v>
      </c>
      <c r="H1732" t="s">
        <v>68</v>
      </c>
      <c r="I1732" t="s">
        <v>176</v>
      </c>
      <c r="J1732" t="s">
        <v>177</v>
      </c>
      <c r="K1732" t="s">
        <v>178</v>
      </c>
      <c r="M1732" t="s">
        <v>72</v>
      </c>
      <c r="N1732" t="s">
        <v>179</v>
      </c>
      <c r="O1732" t="s">
        <v>178</v>
      </c>
      <c r="P1732" t="s">
        <v>180</v>
      </c>
      <c r="Q1732" t="s">
        <v>75</v>
      </c>
      <c r="R1732" t="s">
        <v>2806</v>
      </c>
      <c r="S1732" t="s">
        <v>694</v>
      </c>
      <c r="T1732" t="s">
        <v>78</v>
      </c>
      <c r="U1732" t="s">
        <v>1822</v>
      </c>
      <c r="V1732" t="s">
        <v>80</v>
      </c>
      <c r="W1732" s="1">
        <v>44814</v>
      </c>
      <c r="X1732" t="s">
        <v>2778</v>
      </c>
      <c r="Y1732" t="s">
        <v>2839</v>
      </c>
      <c r="Z1732" t="s">
        <v>83</v>
      </c>
      <c r="AA1732">
        <v>1</v>
      </c>
      <c r="AB1732" t="s">
        <v>127</v>
      </c>
      <c r="AC1732">
        <v>1</v>
      </c>
      <c r="AD1732" t="s">
        <v>128</v>
      </c>
      <c r="AE1732" t="s">
        <v>145</v>
      </c>
      <c r="AF1732" t="s">
        <v>146</v>
      </c>
      <c r="AG1732" t="s">
        <v>2841</v>
      </c>
      <c r="AH1732" t="s">
        <v>2855</v>
      </c>
      <c r="AI1732" t="s">
        <v>90</v>
      </c>
      <c r="AJ1732">
        <v>32.453328999999997</v>
      </c>
      <c r="AK1732">
        <v>-110.745807</v>
      </c>
      <c r="AL1732">
        <v>3</v>
      </c>
      <c r="AN1732">
        <v>2228</v>
      </c>
      <c r="AP1732">
        <v>2228</v>
      </c>
      <c r="AQ1732">
        <v>2231.4839139999999</v>
      </c>
      <c r="AT1732">
        <v>10</v>
      </c>
      <c r="AU1732">
        <v>9</v>
      </c>
      <c r="AV1732">
        <v>2022</v>
      </c>
      <c r="AW1732">
        <v>2438038</v>
      </c>
      <c r="AX1732">
        <v>2438038</v>
      </c>
      <c r="AY1732" t="s">
        <v>106</v>
      </c>
      <c r="AZ1732" t="s">
        <v>92</v>
      </c>
      <c r="BA1732" t="s">
        <v>107</v>
      </c>
      <c r="BB1732" t="s">
        <v>2856</v>
      </c>
      <c r="BC1732" t="s">
        <v>2245</v>
      </c>
      <c r="BE1732" t="s">
        <v>96</v>
      </c>
      <c r="BG1732" t="s">
        <v>2811</v>
      </c>
      <c r="BI1732" t="s">
        <v>98</v>
      </c>
      <c r="BJ1732" t="s">
        <v>1630</v>
      </c>
      <c r="BL1732" t="s">
        <v>412</v>
      </c>
    </row>
    <row r="1733" spans="1:64" hidden="1" x14ac:dyDescent="0.2">
      <c r="A1733">
        <v>718</v>
      </c>
      <c r="B1733">
        <v>4070420519</v>
      </c>
      <c r="C1733" t="s">
        <v>101</v>
      </c>
      <c r="D1733" t="s">
        <v>2886</v>
      </c>
      <c r="E1733" t="s">
        <v>65</v>
      </c>
      <c r="F1733" t="s">
        <v>66</v>
      </c>
      <c r="G1733" t="s">
        <v>67</v>
      </c>
      <c r="H1733" t="s">
        <v>68</v>
      </c>
      <c r="I1733" t="s">
        <v>176</v>
      </c>
      <c r="J1733" t="s">
        <v>177</v>
      </c>
      <c r="K1733" t="s">
        <v>178</v>
      </c>
      <c r="M1733" t="s">
        <v>72</v>
      </c>
      <c r="N1733" t="s">
        <v>179</v>
      </c>
      <c r="O1733" t="s">
        <v>178</v>
      </c>
      <c r="P1733" t="s">
        <v>180</v>
      </c>
      <c r="Q1733" t="s">
        <v>75</v>
      </c>
      <c r="R1733" t="s">
        <v>2806</v>
      </c>
      <c r="S1733" t="s">
        <v>763</v>
      </c>
      <c r="T1733" t="s">
        <v>78</v>
      </c>
      <c r="U1733" t="s">
        <v>1822</v>
      </c>
      <c r="V1733" t="s">
        <v>80</v>
      </c>
      <c r="W1733" s="1">
        <v>44814</v>
      </c>
      <c r="X1733" t="s">
        <v>2778</v>
      </c>
      <c r="Y1733" t="s">
        <v>2876</v>
      </c>
      <c r="Z1733" t="s">
        <v>83</v>
      </c>
      <c r="AA1733">
        <v>1</v>
      </c>
      <c r="AB1733" t="s">
        <v>127</v>
      </c>
      <c r="AC1733">
        <v>1</v>
      </c>
      <c r="AD1733" t="s">
        <v>128</v>
      </c>
      <c r="AE1733" t="s">
        <v>145</v>
      </c>
      <c r="AF1733" t="s">
        <v>146</v>
      </c>
      <c r="AG1733" t="s">
        <v>2878</v>
      </c>
      <c r="AH1733" t="s">
        <v>2887</v>
      </c>
      <c r="AI1733" t="s">
        <v>90</v>
      </c>
      <c r="AJ1733">
        <v>32.453510000000001</v>
      </c>
      <c r="AK1733">
        <v>-110.745014</v>
      </c>
      <c r="AL1733">
        <v>3</v>
      </c>
      <c r="AN1733">
        <v>2199</v>
      </c>
      <c r="AP1733">
        <v>2199</v>
      </c>
      <c r="AQ1733">
        <v>2207.513543</v>
      </c>
      <c r="AT1733">
        <v>10</v>
      </c>
      <c r="AU1733">
        <v>9</v>
      </c>
      <c r="AV1733">
        <v>2022</v>
      </c>
      <c r="AW1733">
        <v>2438038</v>
      </c>
      <c r="AX1733">
        <v>2438038</v>
      </c>
      <c r="AY1733" t="s">
        <v>106</v>
      </c>
      <c r="AZ1733" t="s">
        <v>92</v>
      </c>
      <c r="BA1733" t="s">
        <v>107</v>
      </c>
      <c r="BB1733" t="s">
        <v>2888</v>
      </c>
      <c r="BC1733" t="s">
        <v>2245</v>
      </c>
      <c r="BE1733" t="s">
        <v>96</v>
      </c>
      <c r="BG1733" t="s">
        <v>2811</v>
      </c>
      <c r="BI1733" t="s">
        <v>98</v>
      </c>
      <c r="BJ1733" t="s">
        <v>2764</v>
      </c>
      <c r="BL1733" t="s">
        <v>412</v>
      </c>
    </row>
    <row r="1734" spans="1:64" hidden="1" x14ac:dyDescent="0.2">
      <c r="A1734">
        <v>847</v>
      </c>
      <c r="B1734">
        <v>4070420376</v>
      </c>
      <c r="C1734" t="s">
        <v>101</v>
      </c>
      <c r="D1734" t="s">
        <v>3097</v>
      </c>
      <c r="E1734" t="s">
        <v>65</v>
      </c>
      <c r="F1734" t="s">
        <v>66</v>
      </c>
      <c r="G1734" t="s">
        <v>67</v>
      </c>
      <c r="H1734" t="s">
        <v>68</v>
      </c>
      <c r="I1734" t="s">
        <v>350</v>
      </c>
      <c r="J1734" t="s">
        <v>351</v>
      </c>
      <c r="K1734" t="s">
        <v>352</v>
      </c>
      <c r="M1734" t="s">
        <v>72</v>
      </c>
      <c r="N1734" t="s">
        <v>353</v>
      </c>
      <c r="O1734" t="s">
        <v>352</v>
      </c>
      <c r="P1734" t="s">
        <v>180</v>
      </c>
      <c r="Q1734" t="s">
        <v>75</v>
      </c>
      <c r="R1734" t="s">
        <v>2806</v>
      </c>
      <c r="S1734" t="s">
        <v>961</v>
      </c>
      <c r="T1734" t="s">
        <v>78</v>
      </c>
      <c r="U1734" t="s">
        <v>1822</v>
      </c>
      <c r="V1734" t="s">
        <v>80</v>
      </c>
      <c r="W1734" s="1">
        <v>44814</v>
      </c>
      <c r="X1734" t="s">
        <v>2778</v>
      </c>
      <c r="Y1734" t="s">
        <v>3080</v>
      </c>
      <c r="Z1734" t="s">
        <v>83</v>
      </c>
      <c r="AA1734">
        <v>1</v>
      </c>
      <c r="AB1734" t="s">
        <v>127</v>
      </c>
      <c r="AC1734">
        <v>1</v>
      </c>
      <c r="AD1734" t="s">
        <v>128</v>
      </c>
      <c r="AE1734" t="s">
        <v>145</v>
      </c>
      <c r="AF1734" t="s">
        <v>146</v>
      </c>
      <c r="AG1734" t="s">
        <v>3082</v>
      </c>
      <c r="AH1734" t="s">
        <v>3098</v>
      </c>
      <c r="AI1734" t="s">
        <v>90</v>
      </c>
      <c r="AJ1734">
        <v>32.452097000000002</v>
      </c>
      <c r="AK1734">
        <v>-110.74662600000001</v>
      </c>
      <c r="AL1734">
        <v>3</v>
      </c>
      <c r="AN1734">
        <v>2204</v>
      </c>
      <c r="AP1734">
        <v>2204</v>
      </c>
      <c r="AQ1734">
        <v>2207.9480010000002</v>
      </c>
      <c r="AT1734">
        <v>10</v>
      </c>
      <c r="AU1734">
        <v>9</v>
      </c>
      <c r="AV1734">
        <v>2022</v>
      </c>
      <c r="AW1734">
        <v>4972385</v>
      </c>
      <c r="AX1734">
        <v>2437431</v>
      </c>
      <c r="AY1734" t="s">
        <v>106</v>
      </c>
      <c r="AZ1734" t="s">
        <v>92</v>
      </c>
      <c r="BA1734" t="s">
        <v>107</v>
      </c>
      <c r="BB1734" t="s">
        <v>3099</v>
      </c>
      <c r="BC1734" t="s">
        <v>2245</v>
      </c>
      <c r="BE1734" t="s">
        <v>96</v>
      </c>
      <c r="BG1734" t="s">
        <v>2811</v>
      </c>
      <c r="BI1734" t="s">
        <v>98</v>
      </c>
      <c r="BJ1734" t="s">
        <v>3062</v>
      </c>
      <c r="BL1734" t="s">
        <v>110</v>
      </c>
    </row>
    <row r="1735" spans="1:64" hidden="1" x14ac:dyDescent="0.2">
      <c r="A1735">
        <v>783</v>
      </c>
      <c r="B1735">
        <v>4070420449</v>
      </c>
      <c r="C1735" t="s">
        <v>101</v>
      </c>
      <c r="D1735" t="s">
        <v>3125</v>
      </c>
      <c r="E1735" t="s">
        <v>65</v>
      </c>
      <c r="F1735" t="s">
        <v>66</v>
      </c>
      <c r="G1735" t="s">
        <v>67</v>
      </c>
      <c r="H1735" t="s">
        <v>68</v>
      </c>
      <c r="I1735" t="s">
        <v>350</v>
      </c>
      <c r="J1735" t="s">
        <v>351</v>
      </c>
      <c r="K1735" t="s">
        <v>352</v>
      </c>
      <c r="M1735" t="s">
        <v>72</v>
      </c>
      <c r="N1735" t="s">
        <v>353</v>
      </c>
      <c r="O1735" t="s">
        <v>352</v>
      </c>
      <c r="P1735" t="s">
        <v>180</v>
      </c>
      <c r="Q1735" t="s">
        <v>75</v>
      </c>
      <c r="R1735" t="s">
        <v>2806</v>
      </c>
      <c r="S1735" t="s">
        <v>968</v>
      </c>
      <c r="T1735" t="s">
        <v>78</v>
      </c>
      <c r="U1735" t="s">
        <v>1822</v>
      </c>
      <c r="V1735" t="s">
        <v>80</v>
      </c>
      <c r="W1735" s="1">
        <v>44814</v>
      </c>
      <c r="X1735" t="s">
        <v>2778</v>
      </c>
      <c r="Y1735" t="s">
        <v>3114</v>
      </c>
      <c r="Z1735" t="s">
        <v>83</v>
      </c>
      <c r="AA1735">
        <v>1</v>
      </c>
      <c r="AB1735" t="s">
        <v>127</v>
      </c>
      <c r="AC1735">
        <v>1</v>
      </c>
      <c r="AD1735" t="s">
        <v>128</v>
      </c>
      <c r="AE1735" t="s">
        <v>86</v>
      </c>
      <c r="AF1735" t="s">
        <v>146</v>
      </c>
      <c r="AG1735" t="s">
        <v>1393</v>
      </c>
      <c r="AH1735" t="s">
        <v>3126</v>
      </c>
      <c r="AI1735" t="s">
        <v>90</v>
      </c>
      <c r="AJ1735">
        <v>32.451968000000001</v>
      </c>
      <c r="AK1735">
        <v>-110.746624</v>
      </c>
      <c r="AL1735">
        <v>4</v>
      </c>
      <c r="AN1735">
        <v>2204</v>
      </c>
      <c r="AP1735">
        <v>2204</v>
      </c>
      <c r="AQ1735">
        <v>2205.5154229999998</v>
      </c>
      <c r="AT1735">
        <v>10</v>
      </c>
      <c r="AU1735">
        <v>9</v>
      </c>
      <c r="AV1735">
        <v>2022</v>
      </c>
      <c r="AW1735">
        <v>4972385</v>
      </c>
      <c r="AX1735">
        <v>2437431</v>
      </c>
      <c r="AY1735" t="s">
        <v>106</v>
      </c>
      <c r="AZ1735" t="s">
        <v>92</v>
      </c>
      <c r="BA1735" t="s">
        <v>107</v>
      </c>
      <c r="BB1735" t="s">
        <v>3127</v>
      </c>
      <c r="BC1735" t="s">
        <v>2245</v>
      </c>
      <c r="BE1735" t="s">
        <v>96</v>
      </c>
      <c r="BG1735" t="s">
        <v>2811</v>
      </c>
      <c r="BI1735" t="s">
        <v>98</v>
      </c>
      <c r="BJ1735" t="s">
        <v>3128</v>
      </c>
      <c r="BL1735" t="s">
        <v>110</v>
      </c>
    </row>
    <row r="1736" spans="1:64" hidden="1" x14ac:dyDescent="0.2">
      <c r="A1736">
        <v>777</v>
      </c>
      <c r="B1736">
        <v>4070420458</v>
      </c>
      <c r="C1736" t="s">
        <v>101</v>
      </c>
      <c r="D1736" t="s">
        <v>3150</v>
      </c>
      <c r="E1736" t="s">
        <v>65</v>
      </c>
      <c r="F1736" t="s">
        <v>66</v>
      </c>
      <c r="G1736" t="s">
        <v>67</v>
      </c>
      <c r="H1736" t="s">
        <v>68</v>
      </c>
      <c r="I1736" t="s">
        <v>350</v>
      </c>
      <c r="J1736" t="s">
        <v>351</v>
      </c>
      <c r="K1736" t="s">
        <v>352</v>
      </c>
      <c r="M1736" t="s">
        <v>72</v>
      </c>
      <c r="N1736" t="s">
        <v>353</v>
      </c>
      <c r="O1736" t="s">
        <v>352</v>
      </c>
      <c r="P1736" t="s">
        <v>180</v>
      </c>
      <c r="Q1736" t="s">
        <v>75</v>
      </c>
      <c r="R1736" t="s">
        <v>2806</v>
      </c>
      <c r="S1736" t="s">
        <v>3144</v>
      </c>
      <c r="T1736" t="s">
        <v>78</v>
      </c>
      <c r="U1736" t="s">
        <v>1822</v>
      </c>
      <c r="V1736" t="s">
        <v>80</v>
      </c>
      <c r="W1736" s="1">
        <v>44815</v>
      </c>
      <c r="X1736" t="s">
        <v>2778</v>
      </c>
      <c r="Y1736" t="s">
        <v>3145</v>
      </c>
      <c r="Z1736" t="s">
        <v>83</v>
      </c>
      <c r="AA1736">
        <v>1</v>
      </c>
      <c r="AB1736" t="s">
        <v>127</v>
      </c>
      <c r="AC1736">
        <v>1</v>
      </c>
      <c r="AD1736" t="s">
        <v>128</v>
      </c>
      <c r="AE1736" t="s">
        <v>145</v>
      </c>
      <c r="AF1736" t="s">
        <v>146</v>
      </c>
      <c r="AG1736" t="s">
        <v>3147</v>
      </c>
      <c r="AH1736" t="s">
        <v>3151</v>
      </c>
      <c r="AI1736" t="s">
        <v>90</v>
      </c>
      <c r="AJ1736">
        <v>32.453969000000001</v>
      </c>
      <c r="AK1736">
        <v>-110.74510600000001</v>
      </c>
      <c r="AL1736">
        <v>3</v>
      </c>
      <c r="AN1736">
        <v>2201</v>
      </c>
      <c r="AP1736">
        <v>2201</v>
      </c>
      <c r="AQ1736">
        <v>2206.40085</v>
      </c>
      <c r="AT1736">
        <v>11</v>
      </c>
      <c r="AU1736">
        <v>9</v>
      </c>
      <c r="AV1736">
        <v>2022</v>
      </c>
      <c r="AW1736">
        <v>4972385</v>
      </c>
      <c r="AX1736">
        <v>2437431</v>
      </c>
      <c r="AY1736" t="s">
        <v>106</v>
      </c>
      <c r="AZ1736" t="s">
        <v>92</v>
      </c>
      <c r="BA1736" t="s">
        <v>107</v>
      </c>
      <c r="BB1736" t="s">
        <v>3152</v>
      </c>
      <c r="BC1736" t="s">
        <v>2245</v>
      </c>
      <c r="BE1736" t="s">
        <v>96</v>
      </c>
      <c r="BG1736" t="s">
        <v>2811</v>
      </c>
      <c r="BI1736" t="s">
        <v>98</v>
      </c>
      <c r="BJ1736" t="s">
        <v>3122</v>
      </c>
      <c r="BL1736" t="s">
        <v>412</v>
      </c>
    </row>
    <row r="1737" spans="1:64" hidden="1" x14ac:dyDescent="0.2">
      <c r="A1737">
        <v>516</v>
      </c>
      <c r="B1737">
        <v>4136459443</v>
      </c>
      <c r="C1737" t="s">
        <v>101</v>
      </c>
      <c r="D1737" t="s">
        <v>5518</v>
      </c>
      <c r="E1737" t="s">
        <v>65</v>
      </c>
      <c r="F1737" t="s">
        <v>66</v>
      </c>
      <c r="G1737" t="s">
        <v>67</v>
      </c>
      <c r="H1737" t="s">
        <v>68</v>
      </c>
      <c r="I1737" t="s">
        <v>69</v>
      </c>
      <c r="J1737" t="s">
        <v>70</v>
      </c>
      <c r="K1737" t="s">
        <v>71</v>
      </c>
      <c r="M1737" t="s">
        <v>72</v>
      </c>
      <c r="N1737" t="s">
        <v>73</v>
      </c>
      <c r="O1737" t="s">
        <v>71</v>
      </c>
      <c r="P1737" t="s">
        <v>74</v>
      </c>
      <c r="Q1737" t="s">
        <v>75</v>
      </c>
      <c r="R1737" t="s">
        <v>5008</v>
      </c>
      <c r="S1737" t="s">
        <v>469</v>
      </c>
      <c r="T1737" t="s">
        <v>78</v>
      </c>
      <c r="U1737" t="s">
        <v>5009</v>
      </c>
      <c r="V1737" t="s">
        <v>80</v>
      </c>
      <c r="W1737" s="1">
        <v>44905</v>
      </c>
      <c r="X1737" t="s">
        <v>5010</v>
      </c>
      <c r="Y1737" t="s">
        <v>5495</v>
      </c>
      <c r="Z1737" t="s">
        <v>83</v>
      </c>
      <c r="AA1737">
        <v>1</v>
      </c>
      <c r="AB1737" t="s">
        <v>5310</v>
      </c>
      <c r="AC1737">
        <v>1</v>
      </c>
      <c r="AD1737" t="s">
        <v>128</v>
      </c>
      <c r="AE1737" t="s">
        <v>145</v>
      </c>
      <c r="AF1737" t="s">
        <v>281</v>
      </c>
      <c r="AG1737" t="s">
        <v>3217</v>
      </c>
      <c r="AH1737" t="s">
        <v>5519</v>
      </c>
      <c r="AI1737" t="s">
        <v>90</v>
      </c>
      <c r="AJ1737">
        <v>32.313670000000002</v>
      </c>
      <c r="AK1737">
        <v>-110.712413</v>
      </c>
      <c r="AL1737">
        <v>3</v>
      </c>
      <c r="AN1737">
        <v>1145</v>
      </c>
      <c r="AP1737">
        <v>1145</v>
      </c>
      <c r="AQ1737">
        <v>1169.9528</v>
      </c>
      <c r="AT1737">
        <v>10</v>
      </c>
      <c r="AU1737">
        <v>12</v>
      </c>
      <c r="AV1737">
        <v>2022</v>
      </c>
      <c r="AW1737">
        <v>2439581</v>
      </c>
      <c r="AX1737">
        <v>2439581</v>
      </c>
      <c r="AY1737" t="s">
        <v>106</v>
      </c>
      <c r="AZ1737" t="s">
        <v>92</v>
      </c>
      <c r="BA1737" t="s">
        <v>107</v>
      </c>
      <c r="BB1737" t="s">
        <v>5520</v>
      </c>
      <c r="BC1737" t="s">
        <v>97</v>
      </c>
      <c r="BD1737" s="1">
        <v>44905</v>
      </c>
      <c r="BE1737" t="s">
        <v>96</v>
      </c>
      <c r="BG1737" t="s">
        <v>5504</v>
      </c>
      <c r="BI1737" t="s">
        <v>98</v>
      </c>
      <c r="BJ1737" t="s">
        <v>3462</v>
      </c>
      <c r="BL1737" t="s">
        <v>412</v>
      </c>
    </row>
    <row r="1738" spans="1:64" hidden="1" x14ac:dyDescent="0.2">
      <c r="A1738">
        <v>528</v>
      </c>
      <c r="B1738">
        <v>4136459431</v>
      </c>
      <c r="C1738" t="s">
        <v>101</v>
      </c>
      <c r="D1738" t="s">
        <v>5549</v>
      </c>
      <c r="E1738" t="s">
        <v>65</v>
      </c>
      <c r="F1738" t="s">
        <v>66</v>
      </c>
      <c r="G1738" t="s">
        <v>67</v>
      </c>
      <c r="H1738" t="s">
        <v>68</v>
      </c>
      <c r="I1738" t="s">
        <v>69</v>
      </c>
      <c r="J1738" t="s">
        <v>70</v>
      </c>
      <c r="K1738" t="s">
        <v>71</v>
      </c>
      <c r="M1738" t="s">
        <v>72</v>
      </c>
      <c r="N1738" t="s">
        <v>73</v>
      </c>
      <c r="O1738" t="s">
        <v>71</v>
      </c>
      <c r="P1738" t="s">
        <v>74</v>
      </c>
      <c r="Q1738" t="s">
        <v>75</v>
      </c>
      <c r="R1738" t="s">
        <v>5008</v>
      </c>
      <c r="S1738" t="s">
        <v>1800</v>
      </c>
      <c r="T1738" t="s">
        <v>78</v>
      </c>
      <c r="U1738" t="s">
        <v>5009</v>
      </c>
      <c r="V1738" t="s">
        <v>80</v>
      </c>
      <c r="W1738" s="1">
        <v>44905</v>
      </c>
      <c r="X1738" t="s">
        <v>5010</v>
      </c>
      <c r="Y1738" t="s">
        <v>5534</v>
      </c>
      <c r="Z1738" t="s">
        <v>83</v>
      </c>
      <c r="AA1738">
        <v>1</v>
      </c>
      <c r="AB1738" t="s">
        <v>5310</v>
      </c>
      <c r="AC1738">
        <v>1</v>
      </c>
      <c r="AD1738" t="s">
        <v>128</v>
      </c>
      <c r="AE1738" t="s">
        <v>86</v>
      </c>
      <c r="AF1738" t="s">
        <v>146</v>
      </c>
      <c r="AG1738" t="s">
        <v>5536</v>
      </c>
      <c r="AH1738" t="s">
        <v>5550</v>
      </c>
      <c r="AI1738" t="s">
        <v>90</v>
      </c>
      <c r="AJ1738">
        <v>32.313963000000001</v>
      </c>
      <c r="AK1738">
        <v>-110.71268600000001</v>
      </c>
      <c r="AL1738">
        <v>3</v>
      </c>
      <c r="AN1738">
        <v>1176</v>
      </c>
      <c r="AP1738">
        <v>1176</v>
      </c>
      <c r="AQ1738">
        <v>1180.5033490000001</v>
      </c>
      <c r="AT1738">
        <v>10</v>
      </c>
      <c r="AU1738">
        <v>12</v>
      </c>
      <c r="AV1738">
        <v>2022</v>
      </c>
      <c r="AW1738">
        <v>2439581</v>
      </c>
      <c r="AX1738">
        <v>2439581</v>
      </c>
      <c r="AY1738" t="s">
        <v>106</v>
      </c>
      <c r="AZ1738" t="s">
        <v>92</v>
      </c>
      <c r="BA1738" t="s">
        <v>107</v>
      </c>
      <c r="BB1738" t="s">
        <v>5551</v>
      </c>
      <c r="BC1738" t="s">
        <v>97</v>
      </c>
      <c r="BD1738" s="1">
        <v>44905</v>
      </c>
      <c r="BE1738" t="s">
        <v>96</v>
      </c>
      <c r="BG1738" t="s">
        <v>5504</v>
      </c>
      <c r="BI1738" t="s">
        <v>98</v>
      </c>
      <c r="BJ1738" t="s">
        <v>3469</v>
      </c>
      <c r="BL1738" t="s">
        <v>110</v>
      </c>
    </row>
    <row r="1739" spans="1:64" hidden="1" x14ac:dyDescent="0.2">
      <c r="A1739">
        <v>449</v>
      </c>
      <c r="B1739">
        <v>4136459510</v>
      </c>
      <c r="C1739" t="s">
        <v>101</v>
      </c>
      <c r="D1739" t="s">
        <v>5584</v>
      </c>
      <c r="E1739" t="s">
        <v>65</v>
      </c>
      <c r="F1739" t="s">
        <v>66</v>
      </c>
      <c r="G1739" t="s">
        <v>67</v>
      </c>
      <c r="H1739" t="s">
        <v>68</v>
      </c>
      <c r="I1739" t="s">
        <v>69</v>
      </c>
      <c r="J1739" t="s">
        <v>70</v>
      </c>
      <c r="K1739" t="s">
        <v>71</v>
      </c>
      <c r="M1739" t="s">
        <v>72</v>
      </c>
      <c r="N1739" t="s">
        <v>73</v>
      </c>
      <c r="O1739" t="s">
        <v>71</v>
      </c>
      <c r="P1739" t="s">
        <v>74</v>
      </c>
      <c r="Q1739" t="s">
        <v>75</v>
      </c>
      <c r="R1739" t="s">
        <v>5008</v>
      </c>
      <c r="S1739" t="s">
        <v>1577</v>
      </c>
      <c r="T1739" t="s">
        <v>78</v>
      </c>
      <c r="U1739" t="s">
        <v>5009</v>
      </c>
      <c r="V1739" t="s">
        <v>80</v>
      </c>
      <c r="W1739" s="1">
        <v>44905</v>
      </c>
      <c r="X1739" t="s">
        <v>5010</v>
      </c>
      <c r="Y1739" t="s">
        <v>5564</v>
      </c>
      <c r="Z1739" t="s">
        <v>83</v>
      </c>
      <c r="AA1739">
        <v>1</v>
      </c>
      <c r="AB1739" t="s">
        <v>5310</v>
      </c>
      <c r="AC1739">
        <v>1</v>
      </c>
      <c r="AD1739" t="s">
        <v>128</v>
      </c>
      <c r="AE1739" t="s">
        <v>145</v>
      </c>
      <c r="AF1739" t="s">
        <v>146</v>
      </c>
      <c r="AG1739" t="s">
        <v>4990</v>
      </c>
      <c r="AH1739" t="s">
        <v>5585</v>
      </c>
      <c r="AI1739" t="s">
        <v>90</v>
      </c>
      <c r="AJ1739">
        <v>32.313518000000002</v>
      </c>
      <c r="AK1739">
        <v>-110.712825</v>
      </c>
      <c r="AL1739">
        <v>3</v>
      </c>
      <c r="AN1739">
        <v>1171</v>
      </c>
      <c r="AP1739">
        <v>1171</v>
      </c>
      <c r="AQ1739">
        <v>1174.725631</v>
      </c>
      <c r="AT1739">
        <v>10</v>
      </c>
      <c r="AU1739">
        <v>12</v>
      </c>
      <c r="AV1739">
        <v>2022</v>
      </c>
      <c r="AW1739">
        <v>2439581</v>
      </c>
      <c r="AX1739">
        <v>2439581</v>
      </c>
      <c r="AY1739" t="s">
        <v>106</v>
      </c>
      <c r="AZ1739" t="s">
        <v>92</v>
      </c>
      <c r="BA1739" t="s">
        <v>107</v>
      </c>
      <c r="BB1739" t="s">
        <v>5586</v>
      </c>
      <c r="BC1739" t="s">
        <v>97</v>
      </c>
      <c r="BD1739" s="1">
        <v>44905</v>
      </c>
      <c r="BE1739" t="s">
        <v>96</v>
      </c>
      <c r="BG1739" t="s">
        <v>5504</v>
      </c>
      <c r="BI1739" t="s">
        <v>98</v>
      </c>
      <c r="BJ1739" t="s">
        <v>3342</v>
      </c>
      <c r="BL1739" t="s">
        <v>110</v>
      </c>
    </row>
    <row r="1740" spans="1:64" hidden="1" x14ac:dyDescent="0.2">
      <c r="A1740">
        <v>460</v>
      </c>
      <c r="B1740">
        <v>4136459499</v>
      </c>
      <c r="C1740" t="s">
        <v>101</v>
      </c>
      <c r="D1740" t="s">
        <v>5613</v>
      </c>
      <c r="E1740" t="s">
        <v>65</v>
      </c>
      <c r="F1740" t="s">
        <v>66</v>
      </c>
      <c r="G1740" t="s">
        <v>67</v>
      </c>
      <c r="H1740" t="s">
        <v>68</v>
      </c>
      <c r="I1740" t="s">
        <v>176</v>
      </c>
      <c r="J1740" t="s">
        <v>177</v>
      </c>
      <c r="K1740" t="s">
        <v>3925</v>
      </c>
      <c r="M1740" t="s">
        <v>72</v>
      </c>
      <c r="N1740" t="s">
        <v>3926</v>
      </c>
      <c r="O1740" t="s">
        <v>3925</v>
      </c>
      <c r="P1740" t="s">
        <v>1176</v>
      </c>
      <c r="Q1740" t="s">
        <v>75</v>
      </c>
      <c r="R1740" t="s">
        <v>5008</v>
      </c>
      <c r="S1740" t="s">
        <v>1178</v>
      </c>
      <c r="T1740" t="s">
        <v>78</v>
      </c>
      <c r="U1740" t="s">
        <v>5009</v>
      </c>
      <c r="V1740" t="s">
        <v>80</v>
      </c>
      <c r="W1740" s="1">
        <v>44905</v>
      </c>
      <c r="X1740" t="s">
        <v>5010</v>
      </c>
      <c r="Y1740" t="s">
        <v>5592</v>
      </c>
      <c r="Z1740" t="s">
        <v>83</v>
      </c>
      <c r="AA1740">
        <v>1</v>
      </c>
      <c r="AB1740" t="s">
        <v>5310</v>
      </c>
      <c r="AC1740">
        <v>1</v>
      </c>
      <c r="AD1740" t="s">
        <v>128</v>
      </c>
      <c r="AE1740" t="s">
        <v>145</v>
      </c>
      <c r="AF1740" t="s">
        <v>146</v>
      </c>
      <c r="AG1740" t="s">
        <v>5594</v>
      </c>
      <c r="AH1740" t="s">
        <v>5614</v>
      </c>
      <c r="AI1740" t="s">
        <v>90</v>
      </c>
      <c r="AJ1740">
        <v>32.313445999999999</v>
      </c>
      <c r="AK1740">
        <v>-110.712751</v>
      </c>
      <c r="AL1740">
        <v>3</v>
      </c>
      <c r="AN1740">
        <v>1170</v>
      </c>
      <c r="AP1740">
        <v>1170</v>
      </c>
      <c r="AQ1740">
        <v>1173.271898</v>
      </c>
      <c r="AT1740">
        <v>10</v>
      </c>
      <c r="AU1740">
        <v>12</v>
      </c>
      <c r="AV1740">
        <v>2022</v>
      </c>
      <c r="AW1740">
        <v>2437981</v>
      </c>
      <c r="AX1740">
        <v>2437981</v>
      </c>
      <c r="AY1740" t="s">
        <v>106</v>
      </c>
      <c r="AZ1740" t="s">
        <v>92</v>
      </c>
      <c r="BA1740" t="s">
        <v>107</v>
      </c>
      <c r="BB1740" t="s">
        <v>5615</v>
      </c>
      <c r="BC1740" t="s">
        <v>97</v>
      </c>
      <c r="BD1740" s="1">
        <v>44905</v>
      </c>
      <c r="BE1740" t="s">
        <v>96</v>
      </c>
      <c r="BG1740" t="s">
        <v>5504</v>
      </c>
      <c r="BI1740" t="s">
        <v>98</v>
      </c>
      <c r="BJ1740" t="s">
        <v>2493</v>
      </c>
      <c r="BL1740" t="s">
        <v>110</v>
      </c>
    </row>
    <row r="1741" spans="1:64" hidden="1" x14ac:dyDescent="0.2">
      <c r="A1741">
        <v>423</v>
      </c>
      <c r="B1741">
        <v>4136459536</v>
      </c>
      <c r="C1741" t="s">
        <v>101</v>
      </c>
      <c r="D1741" t="s">
        <v>5652</v>
      </c>
      <c r="E1741" t="s">
        <v>65</v>
      </c>
      <c r="F1741" t="s">
        <v>66</v>
      </c>
      <c r="G1741" t="s">
        <v>67</v>
      </c>
      <c r="H1741" t="s">
        <v>68</v>
      </c>
      <c r="I1741" t="s">
        <v>176</v>
      </c>
      <c r="J1741" t="s">
        <v>177</v>
      </c>
      <c r="K1741" t="s">
        <v>3925</v>
      </c>
      <c r="M1741" t="s">
        <v>72</v>
      </c>
      <c r="N1741" t="s">
        <v>3926</v>
      </c>
      <c r="O1741" t="s">
        <v>3925</v>
      </c>
      <c r="P1741" t="s">
        <v>1176</v>
      </c>
      <c r="Q1741" t="s">
        <v>75</v>
      </c>
      <c r="R1741" t="s">
        <v>5008</v>
      </c>
      <c r="S1741" t="s">
        <v>1515</v>
      </c>
      <c r="T1741" t="s">
        <v>78</v>
      </c>
      <c r="U1741" t="s">
        <v>5009</v>
      </c>
      <c r="V1741" t="s">
        <v>80</v>
      </c>
      <c r="W1741" s="1">
        <v>44905</v>
      </c>
      <c r="X1741" t="s">
        <v>5010</v>
      </c>
      <c r="Y1741" t="s">
        <v>5626</v>
      </c>
      <c r="Z1741" t="s">
        <v>83</v>
      </c>
      <c r="AA1741">
        <v>1</v>
      </c>
      <c r="AB1741" t="s">
        <v>5310</v>
      </c>
      <c r="AC1741">
        <v>1</v>
      </c>
      <c r="AD1741" t="s">
        <v>128</v>
      </c>
      <c r="AE1741" t="s">
        <v>145</v>
      </c>
      <c r="AF1741" t="s">
        <v>146</v>
      </c>
      <c r="AG1741" t="s">
        <v>5628</v>
      </c>
      <c r="AH1741" t="s">
        <v>5653</v>
      </c>
      <c r="AI1741" t="s">
        <v>90</v>
      </c>
      <c r="AJ1741">
        <v>32.314329999999998</v>
      </c>
      <c r="AK1741">
        <v>-110.712451</v>
      </c>
      <c r="AL1741">
        <v>3</v>
      </c>
      <c r="AN1741">
        <v>1168</v>
      </c>
      <c r="AP1741">
        <v>1168</v>
      </c>
      <c r="AQ1741">
        <v>1184.645597</v>
      </c>
      <c r="AT1741">
        <v>10</v>
      </c>
      <c r="AU1741">
        <v>12</v>
      </c>
      <c r="AV1741">
        <v>2022</v>
      </c>
      <c r="AW1741">
        <v>2437981</v>
      </c>
      <c r="AX1741">
        <v>2437981</v>
      </c>
      <c r="AY1741" t="s">
        <v>106</v>
      </c>
      <c r="AZ1741" t="s">
        <v>92</v>
      </c>
      <c r="BA1741" t="s">
        <v>107</v>
      </c>
      <c r="BB1741" t="s">
        <v>5654</v>
      </c>
      <c r="BC1741" t="s">
        <v>97</v>
      </c>
      <c r="BD1741" s="1">
        <v>44905</v>
      </c>
      <c r="BE1741" t="s">
        <v>96</v>
      </c>
      <c r="BG1741" t="s">
        <v>5504</v>
      </c>
      <c r="BI1741" t="s">
        <v>98</v>
      </c>
      <c r="BJ1741" t="s">
        <v>5655</v>
      </c>
      <c r="BL1741" t="s">
        <v>412</v>
      </c>
    </row>
    <row r="1742" spans="1:64" hidden="1" x14ac:dyDescent="0.2">
      <c r="A1742">
        <v>422</v>
      </c>
      <c r="B1742">
        <v>4136459537</v>
      </c>
      <c r="C1742" t="s">
        <v>101</v>
      </c>
      <c r="D1742" t="s">
        <v>5678</v>
      </c>
      <c r="E1742" t="s">
        <v>65</v>
      </c>
      <c r="F1742" t="s">
        <v>66</v>
      </c>
      <c r="G1742" t="s">
        <v>67</v>
      </c>
      <c r="H1742" t="s">
        <v>68</v>
      </c>
      <c r="I1742" t="s">
        <v>176</v>
      </c>
      <c r="J1742" t="s">
        <v>177</v>
      </c>
      <c r="K1742" t="s">
        <v>3925</v>
      </c>
      <c r="M1742" t="s">
        <v>72</v>
      </c>
      <c r="N1742" t="s">
        <v>3926</v>
      </c>
      <c r="O1742" t="s">
        <v>3925</v>
      </c>
      <c r="P1742" t="s">
        <v>1176</v>
      </c>
      <c r="Q1742" t="s">
        <v>75</v>
      </c>
      <c r="R1742" t="s">
        <v>5008</v>
      </c>
      <c r="S1742" t="s">
        <v>607</v>
      </c>
      <c r="T1742" t="s">
        <v>78</v>
      </c>
      <c r="U1742" t="s">
        <v>5009</v>
      </c>
      <c r="V1742" t="s">
        <v>80</v>
      </c>
      <c r="W1742" s="1">
        <v>44905</v>
      </c>
      <c r="X1742" t="s">
        <v>5010</v>
      </c>
      <c r="Y1742" t="s">
        <v>5663</v>
      </c>
      <c r="Z1742" t="s">
        <v>83</v>
      </c>
      <c r="AA1742">
        <v>1</v>
      </c>
      <c r="AB1742" t="s">
        <v>5310</v>
      </c>
      <c r="AC1742">
        <v>1</v>
      </c>
      <c r="AD1742" t="s">
        <v>128</v>
      </c>
      <c r="AE1742" t="s">
        <v>86</v>
      </c>
      <c r="AF1742" t="s">
        <v>146</v>
      </c>
      <c r="AG1742" t="s">
        <v>5665</v>
      </c>
      <c r="AH1742" t="s">
        <v>5679</v>
      </c>
      <c r="AI1742" t="s">
        <v>90</v>
      </c>
      <c r="AJ1742">
        <v>32.313164999999998</v>
      </c>
      <c r="AK1742">
        <v>-110.712644</v>
      </c>
      <c r="AL1742">
        <v>3</v>
      </c>
      <c r="AN1742">
        <v>1168</v>
      </c>
      <c r="AP1742">
        <v>1168</v>
      </c>
      <c r="AQ1742">
        <v>1168.292398</v>
      </c>
      <c r="AT1742">
        <v>10</v>
      </c>
      <c r="AU1742">
        <v>12</v>
      </c>
      <c r="AV1742">
        <v>2022</v>
      </c>
      <c r="AW1742">
        <v>2437981</v>
      </c>
      <c r="AX1742">
        <v>2437981</v>
      </c>
      <c r="AY1742" t="s">
        <v>106</v>
      </c>
      <c r="AZ1742" t="s">
        <v>92</v>
      </c>
      <c r="BA1742" t="s">
        <v>107</v>
      </c>
      <c r="BB1742" t="s">
        <v>5680</v>
      </c>
      <c r="BC1742" t="s">
        <v>97</v>
      </c>
      <c r="BD1742" s="1">
        <v>44905</v>
      </c>
      <c r="BE1742" t="s">
        <v>96</v>
      </c>
      <c r="BG1742" t="s">
        <v>5504</v>
      </c>
      <c r="BI1742" t="s">
        <v>98</v>
      </c>
      <c r="BJ1742" t="s">
        <v>3356</v>
      </c>
      <c r="BL1742" t="s">
        <v>110</v>
      </c>
    </row>
    <row r="1743" spans="1:64" hidden="1" x14ac:dyDescent="0.2">
      <c r="A1743">
        <v>411</v>
      </c>
      <c r="B1743">
        <v>4136459558</v>
      </c>
      <c r="C1743" t="s">
        <v>101</v>
      </c>
      <c r="D1743" t="s">
        <v>5703</v>
      </c>
      <c r="E1743" t="s">
        <v>65</v>
      </c>
      <c r="F1743" t="s">
        <v>66</v>
      </c>
      <c r="G1743" t="s">
        <v>67</v>
      </c>
      <c r="H1743" t="s">
        <v>68</v>
      </c>
      <c r="I1743" t="s">
        <v>69</v>
      </c>
      <c r="J1743" t="s">
        <v>70</v>
      </c>
      <c r="K1743" t="s">
        <v>4195</v>
      </c>
      <c r="M1743" t="s">
        <v>72</v>
      </c>
      <c r="N1743" t="s">
        <v>4196</v>
      </c>
      <c r="O1743" t="s">
        <v>4195</v>
      </c>
      <c r="P1743" t="s">
        <v>4197</v>
      </c>
      <c r="Q1743" t="s">
        <v>75</v>
      </c>
      <c r="R1743" t="s">
        <v>5008</v>
      </c>
      <c r="S1743" t="s">
        <v>1565</v>
      </c>
      <c r="T1743" t="s">
        <v>78</v>
      </c>
      <c r="U1743" t="s">
        <v>5009</v>
      </c>
      <c r="V1743" t="s">
        <v>80</v>
      </c>
      <c r="W1743" s="1">
        <v>44905</v>
      </c>
      <c r="X1743" t="s">
        <v>5010</v>
      </c>
      <c r="Y1743" t="s">
        <v>5694</v>
      </c>
      <c r="Z1743" t="s">
        <v>83</v>
      </c>
      <c r="AA1743">
        <v>1</v>
      </c>
      <c r="AB1743" t="s">
        <v>5310</v>
      </c>
      <c r="AC1743">
        <v>1</v>
      </c>
      <c r="AD1743" t="s">
        <v>128</v>
      </c>
      <c r="AE1743" t="s">
        <v>86</v>
      </c>
      <c r="AF1743" t="s">
        <v>146</v>
      </c>
      <c r="AG1743" t="s">
        <v>5536</v>
      </c>
      <c r="AH1743" t="s">
        <v>5704</v>
      </c>
      <c r="AI1743" t="s">
        <v>90</v>
      </c>
      <c r="AJ1743">
        <v>32.313924</v>
      </c>
      <c r="AK1743">
        <v>-110.713359</v>
      </c>
      <c r="AL1743">
        <v>3</v>
      </c>
      <c r="AN1743">
        <v>1153</v>
      </c>
      <c r="AP1743">
        <v>1153</v>
      </c>
      <c r="AQ1743">
        <v>1189.991994</v>
      </c>
      <c r="AT1743">
        <v>10</v>
      </c>
      <c r="AU1743">
        <v>12</v>
      </c>
      <c r="AV1743">
        <v>2022</v>
      </c>
      <c r="AW1743">
        <v>2439589</v>
      </c>
      <c r="AX1743">
        <v>2439589</v>
      </c>
      <c r="AY1743" t="s">
        <v>106</v>
      </c>
      <c r="AZ1743" t="s">
        <v>92</v>
      </c>
      <c r="BA1743" t="s">
        <v>107</v>
      </c>
      <c r="BB1743" t="s">
        <v>5705</v>
      </c>
      <c r="BC1743" t="s">
        <v>97</v>
      </c>
      <c r="BD1743" s="1">
        <v>44905</v>
      </c>
      <c r="BE1743" t="s">
        <v>96</v>
      </c>
      <c r="BG1743" t="s">
        <v>5504</v>
      </c>
      <c r="BI1743" t="s">
        <v>98</v>
      </c>
      <c r="BJ1743" t="s">
        <v>2254</v>
      </c>
      <c r="BL1743" t="s">
        <v>110</v>
      </c>
    </row>
    <row r="1744" spans="1:64" hidden="1" x14ac:dyDescent="0.2">
      <c r="A1744">
        <v>382</v>
      </c>
      <c r="B1744">
        <v>4136459587</v>
      </c>
      <c r="C1744" t="s">
        <v>101</v>
      </c>
      <c r="D1744" t="s">
        <v>5748</v>
      </c>
      <c r="E1744" t="s">
        <v>65</v>
      </c>
      <c r="F1744" t="s">
        <v>66</v>
      </c>
      <c r="G1744" t="s">
        <v>67</v>
      </c>
      <c r="H1744" t="s">
        <v>68</v>
      </c>
      <c r="I1744" t="s">
        <v>69</v>
      </c>
      <c r="J1744" t="s">
        <v>70</v>
      </c>
      <c r="K1744" t="s">
        <v>4195</v>
      </c>
      <c r="M1744" t="s">
        <v>72</v>
      </c>
      <c r="N1744" t="s">
        <v>4196</v>
      </c>
      <c r="O1744" t="s">
        <v>4195</v>
      </c>
      <c r="P1744" t="s">
        <v>4197</v>
      </c>
      <c r="Q1744" t="s">
        <v>75</v>
      </c>
      <c r="R1744" t="s">
        <v>5008</v>
      </c>
      <c r="S1744" t="s">
        <v>5727</v>
      </c>
      <c r="T1744" t="s">
        <v>78</v>
      </c>
      <c r="U1744" t="s">
        <v>5009</v>
      </c>
      <c r="V1744" t="s">
        <v>80</v>
      </c>
      <c r="W1744" s="1">
        <v>44905</v>
      </c>
      <c r="X1744" t="s">
        <v>5010</v>
      </c>
      <c r="Y1744" t="s">
        <v>5728</v>
      </c>
      <c r="Z1744" t="s">
        <v>83</v>
      </c>
      <c r="AA1744">
        <v>1</v>
      </c>
      <c r="AB1744" t="s">
        <v>5310</v>
      </c>
      <c r="AC1744">
        <v>1</v>
      </c>
      <c r="AD1744" t="s">
        <v>128</v>
      </c>
      <c r="AE1744" t="s">
        <v>86</v>
      </c>
      <c r="AF1744" t="s">
        <v>146</v>
      </c>
      <c r="AG1744" t="s">
        <v>5730</v>
      </c>
      <c r="AH1744" t="s">
        <v>5749</v>
      </c>
      <c r="AI1744" t="s">
        <v>90</v>
      </c>
      <c r="AJ1744">
        <v>32.313409999999998</v>
      </c>
      <c r="AK1744">
        <v>-110.714251</v>
      </c>
      <c r="AL1744">
        <v>3</v>
      </c>
      <c r="AP1744">
        <v>1184.787599</v>
      </c>
      <c r="AQ1744">
        <v>1184.787599</v>
      </c>
      <c r="AT1744">
        <v>10</v>
      </c>
      <c r="AU1744">
        <v>12</v>
      </c>
      <c r="AV1744">
        <v>2022</v>
      </c>
      <c r="AW1744">
        <v>2439589</v>
      </c>
      <c r="AX1744">
        <v>2439589</v>
      </c>
      <c r="AY1744" t="s">
        <v>106</v>
      </c>
      <c r="AZ1744" t="s">
        <v>92</v>
      </c>
      <c r="BA1744" t="s">
        <v>107</v>
      </c>
      <c r="BB1744" t="s">
        <v>5750</v>
      </c>
      <c r="BC1744" t="s">
        <v>97</v>
      </c>
      <c r="BD1744" s="1">
        <v>44905</v>
      </c>
      <c r="BE1744" t="s">
        <v>96</v>
      </c>
      <c r="BG1744" t="s">
        <v>5504</v>
      </c>
      <c r="BI1744" t="s">
        <v>98</v>
      </c>
      <c r="BJ1744" t="s">
        <v>5675</v>
      </c>
      <c r="BL1744" t="s">
        <v>412</v>
      </c>
    </row>
    <row r="1745" spans="1:64" hidden="1" x14ac:dyDescent="0.2">
      <c r="A1745">
        <v>373</v>
      </c>
      <c r="B1745">
        <v>4136459607</v>
      </c>
      <c r="C1745" t="s">
        <v>101</v>
      </c>
      <c r="D1745" s="2" t="s">
        <v>5781</v>
      </c>
      <c r="E1745" t="s">
        <v>65</v>
      </c>
      <c r="F1745" t="s">
        <v>66</v>
      </c>
      <c r="G1745" t="s">
        <v>67</v>
      </c>
      <c r="H1745" t="s">
        <v>68</v>
      </c>
      <c r="I1745" t="s">
        <v>69</v>
      </c>
      <c r="J1745" t="s">
        <v>70</v>
      </c>
      <c r="K1745" t="s">
        <v>4195</v>
      </c>
      <c r="M1745" t="s">
        <v>72</v>
      </c>
      <c r="N1745" t="s">
        <v>4196</v>
      </c>
      <c r="O1745" t="s">
        <v>4195</v>
      </c>
      <c r="P1745" t="s">
        <v>4197</v>
      </c>
      <c r="Q1745" t="s">
        <v>75</v>
      </c>
      <c r="R1745" t="s">
        <v>5008</v>
      </c>
      <c r="S1745" t="s">
        <v>1769</v>
      </c>
      <c r="T1745" t="s">
        <v>78</v>
      </c>
      <c r="U1745" t="s">
        <v>5009</v>
      </c>
      <c r="V1745" t="s">
        <v>80</v>
      </c>
      <c r="W1745" s="1">
        <v>44905</v>
      </c>
      <c r="X1745" t="s">
        <v>5010</v>
      </c>
      <c r="Y1745" t="s">
        <v>5762</v>
      </c>
      <c r="Z1745" t="s">
        <v>83</v>
      </c>
      <c r="AA1745">
        <v>1</v>
      </c>
      <c r="AB1745" t="s">
        <v>5310</v>
      </c>
      <c r="AC1745">
        <v>1</v>
      </c>
      <c r="AD1745" t="s">
        <v>128</v>
      </c>
      <c r="AE1745" t="s">
        <v>145</v>
      </c>
      <c r="AF1745" t="s">
        <v>146</v>
      </c>
      <c r="AG1745" t="s">
        <v>5764</v>
      </c>
      <c r="AH1745" t="s">
        <v>5782</v>
      </c>
      <c r="AI1745" t="s">
        <v>90</v>
      </c>
      <c r="AJ1745">
        <v>32.314051999999997</v>
      </c>
      <c r="AK1745">
        <v>-110.713517</v>
      </c>
      <c r="AL1745">
        <v>3</v>
      </c>
      <c r="AN1745">
        <v>1173</v>
      </c>
      <c r="AP1745">
        <v>1173</v>
      </c>
      <c r="AQ1745">
        <v>1196.6700800000001</v>
      </c>
      <c r="AT1745">
        <v>10</v>
      </c>
      <c r="AU1745">
        <v>12</v>
      </c>
      <c r="AV1745">
        <v>2022</v>
      </c>
      <c r="AW1745">
        <v>2439589</v>
      </c>
      <c r="AX1745">
        <v>2439589</v>
      </c>
      <c r="AY1745" t="s">
        <v>106</v>
      </c>
      <c r="AZ1745" t="s">
        <v>92</v>
      </c>
      <c r="BA1745" t="s">
        <v>107</v>
      </c>
      <c r="BB1745" t="s">
        <v>5783</v>
      </c>
      <c r="BC1745" t="s">
        <v>97</v>
      </c>
      <c r="BD1745" s="1">
        <v>44905</v>
      </c>
      <c r="BE1745" t="s">
        <v>96</v>
      </c>
      <c r="BG1745" t="s">
        <v>5504</v>
      </c>
      <c r="BI1745" t="s">
        <v>98</v>
      </c>
      <c r="BJ1745" t="s">
        <v>3484</v>
      </c>
      <c r="BL1745" t="s">
        <v>110</v>
      </c>
    </row>
    <row r="1746" spans="1:64" hidden="1" x14ac:dyDescent="0.2">
      <c r="A1746">
        <v>435</v>
      </c>
      <c r="B1746">
        <v>4136459524</v>
      </c>
      <c r="C1746" t="s">
        <v>101</v>
      </c>
      <c r="D1746" t="s">
        <v>5803</v>
      </c>
      <c r="E1746" t="s">
        <v>65</v>
      </c>
      <c r="F1746" t="s">
        <v>66</v>
      </c>
      <c r="G1746" t="s">
        <v>67</v>
      </c>
      <c r="H1746" t="s">
        <v>68</v>
      </c>
      <c r="I1746" t="s">
        <v>69</v>
      </c>
      <c r="J1746" t="s">
        <v>70</v>
      </c>
      <c r="K1746" t="s">
        <v>71</v>
      </c>
      <c r="M1746" t="s">
        <v>72</v>
      </c>
      <c r="N1746" t="s">
        <v>73</v>
      </c>
      <c r="O1746" t="s">
        <v>71</v>
      </c>
      <c r="P1746" t="s">
        <v>74</v>
      </c>
      <c r="Q1746" t="s">
        <v>75</v>
      </c>
      <c r="R1746" t="s">
        <v>5008</v>
      </c>
      <c r="S1746" t="s">
        <v>576</v>
      </c>
      <c r="T1746" t="s">
        <v>78</v>
      </c>
      <c r="U1746" t="s">
        <v>5009</v>
      </c>
      <c r="V1746" t="s">
        <v>80</v>
      </c>
      <c r="W1746" s="1">
        <v>44905</v>
      </c>
      <c r="X1746" t="s">
        <v>5010</v>
      </c>
      <c r="Y1746" t="s">
        <v>5795</v>
      </c>
      <c r="Z1746" t="s">
        <v>83</v>
      </c>
      <c r="AA1746">
        <v>1</v>
      </c>
      <c r="AB1746" t="s">
        <v>5310</v>
      </c>
      <c r="AC1746">
        <v>1</v>
      </c>
      <c r="AD1746" t="s">
        <v>128</v>
      </c>
      <c r="AE1746" t="s">
        <v>145</v>
      </c>
      <c r="AF1746" t="s">
        <v>146</v>
      </c>
      <c r="AG1746" t="s">
        <v>3217</v>
      </c>
      <c r="AH1746" t="s">
        <v>5804</v>
      </c>
      <c r="AI1746" t="s">
        <v>90</v>
      </c>
      <c r="AJ1746">
        <v>32.313102999999998</v>
      </c>
      <c r="AK1746">
        <v>-110.712616</v>
      </c>
      <c r="AL1746">
        <v>3</v>
      </c>
      <c r="AN1746">
        <v>1169</v>
      </c>
      <c r="AP1746">
        <v>1169</v>
      </c>
      <c r="AQ1746">
        <v>1167.017998</v>
      </c>
      <c r="AT1746">
        <v>10</v>
      </c>
      <c r="AU1746">
        <v>12</v>
      </c>
      <c r="AV1746">
        <v>2022</v>
      </c>
      <c r="AW1746">
        <v>2439581</v>
      </c>
      <c r="AX1746">
        <v>2439581</v>
      </c>
      <c r="AY1746" t="s">
        <v>106</v>
      </c>
      <c r="AZ1746" t="s">
        <v>92</v>
      </c>
      <c r="BA1746" t="s">
        <v>107</v>
      </c>
      <c r="BB1746" t="s">
        <v>5805</v>
      </c>
      <c r="BC1746" t="s">
        <v>97</v>
      </c>
      <c r="BD1746" s="1">
        <v>44905</v>
      </c>
      <c r="BE1746" t="s">
        <v>96</v>
      </c>
      <c r="BG1746" t="s">
        <v>5504</v>
      </c>
      <c r="BI1746" t="s">
        <v>98</v>
      </c>
      <c r="BJ1746" t="s">
        <v>5806</v>
      </c>
      <c r="BL1746" t="s">
        <v>110</v>
      </c>
    </row>
    <row r="1747" spans="1:64" hidden="1" x14ac:dyDescent="0.2">
      <c r="A1747">
        <v>526</v>
      </c>
      <c r="B1747">
        <v>4136459433</v>
      </c>
      <c r="C1747" t="s">
        <v>101</v>
      </c>
      <c r="D1747" t="s">
        <v>5830</v>
      </c>
      <c r="E1747" t="s">
        <v>65</v>
      </c>
      <c r="F1747" t="s">
        <v>66</v>
      </c>
      <c r="G1747" t="s">
        <v>67</v>
      </c>
      <c r="H1747" t="s">
        <v>68</v>
      </c>
      <c r="I1747" t="s">
        <v>69</v>
      </c>
      <c r="J1747" t="s">
        <v>70</v>
      </c>
      <c r="K1747" t="s">
        <v>71</v>
      </c>
      <c r="M1747" t="s">
        <v>72</v>
      </c>
      <c r="N1747" t="s">
        <v>73</v>
      </c>
      <c r="O1747" t="s">
        <v>71</v>
      </c>
      <c r="P1747" t="s">
        <v>74</v>
      </c>
      <c r="Q1747" t="s">
        <v>75</v>
      </c>
      <c r="R1747" t="s">
        <v>5008</v>
      </c>
      <c r="S1747" t="s">
        <v>598</v>
      </c>
      <c r="T1747" t="s">
        <v>78</v>
      </c>
      <c r="U1747" t="s">
        <v>5009</v>
      </c>
      <c r="V1747" t="s">
        <v>80</v>
      </c>
      <c r="W1747" s="1">
        <v>44905</v>
      </c>
      <c r="X1747" t="s">
        <v>5010</v>
      </c>
      <c r="Y1747" t="s">
        <v>5822</v>
      </c>
      <c r="Z1747" t="s">
        <v>83</v>
      </c>
      <c r="AA1747">
        <v>1</v>
      </c>
      <c r="AB1747" t="s">
        <v>5310</v>
      </c>
      <c r="AC1747">
        <v>1</v>
      </c>
      <c r="AD1747" t="s">
        <v>128</v>
      </c>
      <c r="AE1747" t="s">
        <v>86</v>
      </c>
      <c r="AF1747" t="s">
        <v>146</v>
      </c>
      <c r="AG1747" t="s">
        <v>1257</v>
      </c>
      <c r="AH1747" t="s">
        <v>5831</v>
      </c>
      <c r="AI1747" t="s">
        <v>90</v>
      </c>
      <c r="AJ1747">
        <v>32.313523000000004</v>
      </c>
      <c r="AK1747">
        <v>-110.71329799999999</v>
      </c>
      <c r="AL1747">
        <v>3</v>
      </c>
      <c r="AN1747">
        <v>1153</v>
      </c>
      <c r="AP1747">
        <v>1153</v>
      </c>
      <c r="AQ1747">
        <v>1179.987789</v>
      </c>
      <c r="AT1747">
        <v>10</v>
      </c>
      <c r="AU1747">
        <v>12</v>
      </c>
      <c r="AV1747">
        <v>2022</v>
      </c>
      <c r="AW1747">
        <v>2439581</v>
      </c>
      <c r="AX1747">
        <v>2439581</v>
      </c>
      <c r="AY1747" t="s">
        <v>106</v>
      </c>
      <c r="AZ1747" t="s">
        <v>92</v>
      </c>
      <c r="BA1747" t="s">
        <v>107</v>
      </c>
      <c r="BB1747" t="s">
        <v>5832</v>
      </c>
      <c r="BC1747" t="s">
        <v>97</v>
      </c>
      <c r="BD1747" s="1">
        <v>44905</v>
      </c>
      <c r="BE1747" t="s">
        <v>96</v>
      </c>
      <c r="BG1747" t="s">
        <v>5504</v>
      </c>
      <c r="BI1747" t="s">
        <v>98</v>
      </c>
      <c r="BJ1747" t="s">
        <v>4377</v>
      </c>
      <c r="BL1747" t="s">
        <v>110</v>
      </c>
    </row>
    <row r="1748" spans="1:64" hidden="1" x14ac:dyDescent="0.2">
      <c r="A1748">
        <v>450</v>
      </c>
      <c r="B1748">
        <v>4136459509</v>
      </c>
      <c r="C1748" t="s">
        <v>101</v>
      </c>
      <c r="D1748" t="s">
        <v>5876</v>
      </c>
      <c r="E1748" t="s">
        <v>65</v>
      </c>
      <c r="F1748" t="s">
        <v>66</v>
      </c>
      <c r="G1748" t="s">
        <v>67</v>
      </c>
      <c r="H1748" t="s">
        <v>68</v>
      </c>
      <c r="I1748" t="s">
        <v>69</v>
      </c>
      <c r="J1748" t="s">
        <v>70</v>
      </c>
      <c r="K1748" t="s">
        <v>71</v>
      </c>
      <c r="M1748" t="s">
        <v>72</v>
      </c>
      <c r="N1748" t="s">
        <v>73</v>
      </c>
      <c r="O1748" t="s">
        <v>71</v>
      </c>
      <c r="P1748" t="s">
        <v>74</v>
      </c>
      <c r="Q1748" t="s">
        <v>75</v>
      </c>
      <c r="R1748" t="s">
        <v>5008</v>
      </c>
      <c r="S1748" t="s">
        <v>1624</v>
      </c>
      <c r="T1748" t="s">
        <v>78</v>
      </c>
      <c r="U1748" t="s">
        <v>5009</v>
      </c>
      <c r="V1748" t="s">
        <v>80</v>
      </c>
      <c r="W1748" s="1">
        <v>44905</v>
      </c>
      <c r="X1748" t="s">
        <v>5010</v>
      </c>
      <c r="Y1748" t="s">
        <v>5868</v>
      </c>
      <c r="Z1748" t="s">
        <v>83</v>
      </c>
      <c r="AA1748">
        <v>1</v>
      </c>
      <c r="AB1748" t="s">
        <v>5310</v>
      </c>
      <c r="AC1748">
        <v>1</v>
      </c>
      <c r="AD1748" t="s">
        <v>128</v>
      </c>
      <c r="AE1748" t="s">
        <v>145</v>
      </c>
      <c r="AF1748" t="s">
        <v>87</v>
      </c>
      <c r="AG1748" t="s">
        <v>360</v>
      </c>
      <c r="AH1748" t="s">
        <v>5877</v>
      </c>
      <c r="AI1748" t="s">
        <v>90</v>
      </c>
      <c r="AJ1748">
        <v>32.313580999999999</v>
      </c>
      <c r="AK1748">
        <v>-110.713356</v>
      </c>
      <c r="AL1748">
        <v>3</v>
      </c>
      <c r="AN1748">
        <v>1153</v>
      </c>
      <c r="AP1748">
        <v>1153</v>
      </c>
      <c r="AQ1748">
        <v>1182.368753</v>
      </c>
      <c r="AT1748">
        <v>10</v>
      </c>
      <c r="AU1748">
        <v>12</v>
      </c>
      <c r="AV1748">
        <v>2022</v>
      </c>
      <c r="AW1748">
        <v>2439581</v>
      </c>
      <c r="AX1748">
        <v>2439581</v>
      </c>
      <c r="AY1748" t="s">
        <v>106</v>
      </c>
      <c r="AZ1748" t="s">
        <v>92</v>
      </c>
      <c r="BA1748" t="s">
        <v>107</v>
      </c>
      <c r="BB1748" t="s">
        <v>5878</v>
      </c>
      <c r="BC1748" t="s">
        <v>97</v>
      </c>
      <c r="BD1748" s="1">
        <v>44905</v>
      </c>
      <c r="BE1748" t="s">
        <v>96</v>
      </c>
      <c r="BG1748" t="s">
        <v>5504</v>
      </c>
      <c r="BI1748" t="s">
        <v>98</v>
      </c>
      <c r="BJ1748" t="s">
        <v>5879</v>
      </c>
      <c r="BL1748" t="s">
        <v>110</v>
      </c>
    </row>
    <row r="1749" spans="1:64" hidden="1" x14ac:dyDescent="0.2">
      <c r="A1749">
        <v>451</v>
      </c>
      <c r="B1749">
        <v>4136459508</v>
      </c>
      <c r="C1749" t="s">
        <v>101</v>
      </c>
      <c r="D1749" t="s">
        <v>5900</v>
      </c>
      <c r="E1749" t="s">
        <v>65</v>
      </c>
      <c r="F1749" t="s">
        <v>66</v>
      </c>
      <c r="G1749" t="s">
        <v>67</v>
      </c>
      <c r="H1749" t="s">
        <v>68</v>
      </c>
      <c r="I1749" t="s">
        <v>69</v>
      </c>
      <c r="J1749" t="s">
        <v>70</v>
      </c>
      <c r="K1749" t="s">
        <v>71</v>
      </c>
      <c r="M1749" t="s">
        <v>72</v>
      </c>
      <c r="N1749" t="s">
        <v>73</v>
      </c>
      <c r="O1749" t="s">
        <v>71</v>
      </c>
      <c r="P1749" t="s">
        <v>74</v>
      </c>
      <c r="Q1749" t="s">
        <v>75</v>
      </c>
      <c r="R1749" t="s">
        <v>5008</v>
      </c>
      <c r="S1749" t="s">
        <v>632</v>
      </c>
      <c r="T1749" t="s">
        <v>78</v>
      </c>
      <c r="U1749" t="s">
        <v>5009</v>
      </c>
      <c r="V1749" t="s">
        <v>80</v>
      </c>
      <c r="W1749" s="1">
        <v>44905</v>
      </c>
      <c r="X1749" t="s">
        <v>5010</v>
      </c>
      <c r="Y1749" t="s">
        <v>5893</v>
      </c>
      <c r="Z1749" t="s">
        <v>83</v>
      </c>
      <c r="AA1749">
        <v>1</v>
      </c>
      <c r="AB1749" t="s">
        <v>5310</v>
      </c>
      <c r="AC1749">
        <v>1</v>
      </c>
      <c r="AD1749" t="s">
        <v>128</v>
      </c>
      <c r="AE1749" t="s">
        <v>86</v>
      </c>
      <c r="AF1749" t="s">
        <v>87</v>
      </c>
      <c r="AG1749" t="s">
        <v>1257</v>
      </c>
      <c r="AH1749" t="s">
        <v>5901</v>
      </c>
      <c r="AI1749" t="s">
        <v>90</v>
      </c>
      <c r="AJ1749">
        <v>32.313274999999997</v>
      </c>
      <c r="AK1749">
        <v>-110.71270699999999</v>
      </c>
      <c r="AL1749">
        <v>3</v>
      </c>
      <c r="AN1749">
        <v>1168</v>
      </c>
      <c r="AP1749">
        <v>1168</v>
      </c>
      <c r="AQ1749">
        <v>1170.8411980000001</v>
      </c>
      <c r="AT1749">
        <v>10</v>
      </c>
      <c r="AU1749">
        <v>12</v>
      </c>
      <c r="AV1749">
        <v>2022</v>
      </c>
      <c r="AW1749">
        <v>2439581</v>
      </c>
      <c r="AX1749">
        <v>2439581</v>
      </c>
      <c r="AY1749" t="s">
        <v>106</v>
      </c>
      <c r="AZ1749" t="s">
        <v>92</v>
      </c>
      <c r="BA1749" t="s">
        <v>107</v>
      </c>
      <c r="BB1749" t="s">
        <v>5902</v>
      </c>
      <c r="BC1749" t="s">
        <v>97</v>
      </c>
      <c r="BD1749" s="1">
        <v>44905</v>
      </c>
      <c r="BE1749" t="s">
        <v>96</v>
      </c>
      <c r="BG1749" t="s">
        <v>5504</v>
      </c>
      <c r="BI1749" t="s">
        <v>98</v>
      </c>
      <c r="BJ1749" t="s">
        <v>272</v>
      </c>
      <c r="BL1749" t="s">
        <v>110</v>
      </c>
    </row>
    <row r="1750" spans="1:64" hidden="1" x14ac:dyDescent="0.2">
      <c r="A1750">
        <v>540</v>
      </c>
      <c r="B1750">
        <v>4136459419</v>
      </c>
      <c r="C1750" t="s">
        <v>101</v>
      </c>
      <c r="D1750" t="s">
        <v>5941</v>
      </c>
      <c r="E1750" t="s">
        <v>65</v>
      </c>
      <c r="F1750" t="s">
        <v>66</v>
      </c>
      <c r="G1750" t="s">
        <v>67</v>
      </c>
      <c r="H1750" t="s">
        <v>68</v>
      </c>
      <c r="I1750" t="s">
        <v>176</v>
      </c>
      <c r="J1750" t="s">
        <v>773</v>
      </c>
      <c r="K1750" t="s">
        <v>1347</v>
      </c>
      <c r="M1750" t="s">
        <v>72</v>
      </c>
      <c r="N1750" t="s">
        <v>1348</v>
      </c>
      <c r="O1750" t="s">
        <v>1347</v>
      </c>
      <c r="P1750" t="s">
        <v>1349</v>
      </c>
      <c r="Q1750" t="s">
        <v>75</v>
      </c>
      <c r="R1750" t="s">
        <v>5008</v>
      </c>
      <c r="S1750" t="s">
        <v>5918</v>
      </c>
      <c r="T1750" t="s">
        <v>78</v>
      </c>
      <c r="U1750" t="s">
        <v>5009</v>
      </c>
      <c r="V1750" t="s">
        <v>80</v>
      </c>
      <c r="W1750" s="1">
        <v>44905</v>
      </c>
      <c r="X1750" t="s">
        <v>5010</v>
      </c>
      <c r="Y1750" t="s">
        <v>5919</v>
      </c>
      <c r="Z1750" t="s">
        <v>83</v>
      </c>
      <c r="AA1750">
        <v>1</v>
      </c>
      <c r="AB1750" t="s">
        <v>5310</v>
      </c>
      <c r="AC1750">
        <v>1</v>
      </c>
      <c r="AD1750" t="s">
        <v>128</v>
      </c>
      <c r="AE1750" t="s">
        <v>86</v>
      </c>
      <c r="AF1750" t="s">
        <v>87</v>
      </c>
      <c r="AG1750" t="s">
        <v>5921</v>
      </c>
      <c r="AH1750" t="s">
        <v>5942</v>
      </c>
      <c r="AI1750" t="s">
        <v>90</v>
      </c>
      <c r="AJ1750">
        <v>32.314751999999999</v>
      </c>
      <c r="AK1750">
        <v>-110.71243800000001</v>
      </c>
      <c r="AL1750">
        <v>3</v>
      </c>
      <c r="AN1750">
        <v>1184</v>
      </c>
      <c r="AP1750">
        <v>1184</v>
      </c>
      <c r="AQ1750">
        <v>1199.071997</v>
      </c>
      <c r="AT1750">
        <v>10</v>
      </c>
      <c r="AU1750">
        <v>12</v>
      </c>
      <c r="AV1750">
        <v>2022</v>
      </c>
      <c r="AW1750">
        <v>2438454</v>
      </c>
      <c r="AX1750">
        <v>2438454</v>
      </c>
      <c r="AY1750" t="s">
        <v>106</v>
      </c>
      <c r="AZ1750" t="s">
        <v>92</v>
      </c>
      <c r="BA1750" t="s">
        <v>107</v>
      </c>
      <c r="BB1750" t="s">
        <v>5943</v>
      </c>
      <c r="BC1750" t="s">
        <v>97</v>
      </c>
      <c r="BD1750" s="1">
        <v>44905</v>
      </c>
      <c r="BE1750" t="s">
        <v>96</v>
      </c>
      <c r="BG1750" t="s">
        <v>5504</v>
      </c>
      <c r="BI1750" t="s">
        <v>98</v>
      </c>
      <c r="BJ1750" t="s">
        <v>2307</v>
      </c>
      <c r="BL1750" t="s">
        <v>412</v>
      </c>
    </row>
    <row r="1751" spans="1:64" hidden="1" x14ac:dyDescent="0.2">
      <c r="A1751">
        <v>609</v>
      </c>
      <c r="B1751">
        <v>4136459338</v>
      </c>
      <c r="C1751" t="s">
        <v>101</v>
      </c>
      <c r="D1751" t="s">
        <v>5966</v>
      </c>
      <c r="E1751" t="s">
        <v>65</v>
      </c>
      <c r="F1751" t="s">
        <v>66</v>
      </c>
      <c r="G1751" t="s">
        <v>67</v>
      </c>
      <c r="H1751" t="s">
        <v>68</v>
      </c>
      <c r="I1751" t="s">
        <v>176</v>
      </c>
      <c r="J1751" t="s">
        <v>773</v>
      </c>
      <c r="K1751" t="s">
        <v>1347</v>
      </c>
      <c r="M1751" t="s">
        <v>72</v>
      </c>
      <c r="N1751" t="s">
        <v>1348</v>
      </c>
      <c r="O1751" t="s">
        <v>1347</v>
      </c>
      <c r="P1751" t="s">
        <v>1349</v>
      </c>
      <c r="Q1751" t="s">
        <v>75</v>
      </c>
      <c r="R1751" t="s">
        <v>5008</v>
      </c>
      <c r="S1751" t="s">
        <v>5949</v>
      </c>
      <c r="T1751" t="s">
        <v>78</v>
      </c>
      <c r="U1751" t="s">
        <v>5009</v>
      </c>
      <c r="V1751" t="s">
        <v>80</v>
      </c>
      <c r="W1751" s="1">
        <v>44905</v>
      </c>
      <c r="X1751" t="s">
        <v>5010</v>
      </c>
      <c r="Y1751" t="s">
        <v>5950</v>
      </c>
      <c r="Z1751" t="s">
        <v>83</v>
      </c>
      <c r="AA1751">
        <v>1</v>
      </c>
      <c r="AB1751" t="s">
        <v>5310</v>
      </c>
      <c r="AC1751">
        <v>1</v>
      </c>
      <c r="AD1751" t="s">
        <v>128</v>
      </c>
      <c r="AE1751" t="s">
        <v>86</v>
      </c>
      <c r="AF1751" t="s">
        <v>146</v>
      </c>
      <c r="AG1751" t="s">
        <v>5921</v>
      </c>
      <c r="AH1751" t="s">
        <v>5967</v>
      </c>
      <c r="AI1751" t="s">
        <v>90</v>
      </c>
      <c r="AJ1751">
        <v>32.314033999999999</v>
      </c>
      <c r="AK1751">
        <v>-110.71266</v>
      </c>
      <c r="AL1751">
        <v>3</v>
      </c>
      <c r="AN1751">
        <v>1178</v>
      </c>
      <c r="AP1751">
        <v>1178</v>
      </c>
      <c r="AQ1751">
        <v>1181.191096</v>
      </c>
      <c r="AT1751">
        <v>10</v>
      </c>
      <c r="AU1751">
        <v>12</v>
      </c>
      <c r="AV1751">
        <v>2022</v>
      </c>
      <c r="AW1751">
        <v>2438454</v>
      </c>
      <c r="AX1751">
        <v>2438454</v>
      </c>
      <c r="AY1751" t="s">
        <v>106</v>
      </c>
      <c r="AZ1751" t="s">
        <v>92</v>
      </c>
      <c r="BA1751" t="s">
        <v>107</v>
      </c>
      <c r="BB1751" t="s">
        <v>5968</v>
      </c>
      <c r="BC1751" t="s">
        <v>97</v>
      </c>
      <c r="BD1751" s="1">
        <v>44905</v>
      </c>
      <c r="BE1751" t="s">
        <v>96</v>
      </c>
      <c r="BG1751" t="s">
        <v>5504</v>
      </c>
      <c r="BI1751" t="s">
        <v>98</v>
      </c>
      <c r="BJ1751" t="s">
        <v>1850</v>
      </c>
      <c r="BL1751" t="s">
        <v>110</v>
      </c>
    </row>
    <row r="1752" spans="1:64" hidden="1" x14ac:dyDescent="0.2">
      <c r="A1752">
        <v>551</v>
      </c>
      <c r="B1752">
        <v>4136459407</v>
      </c>
      <c r="C1752" t="s">
        <v>101</v>
      </c>
      <c r="D1752" t="s">
        <v>6028</v>
      </c>
      <c r="E1752" t="s">
        <v>65</v>
      </c>
      <c r="F1752" t="s">
        <v>66</v>
      </c>
      <c r="G1752" t="s">
        <v>67</v>
      </c>
      <c r="H1752" t="s">
        <v>68</v>
      </c>
      <c r="I1752" t="s">
        <v>176</v>
      </c>
      <c r="J1752" t="s">
        <v>773</v>
      </c>
      <c r="K1752" t="s">
        <v>1347</v>
      </c>
      <c r="M1752" t="s">
        <v>72</v>
      </c>
      <c r="N1752" t="s">
        <v>1348</v>
      </c>
      <c r="O1752" t="s">
        <v>1347</v>
      </c>
      <c r="P1752" t="s">
        <v>1349</v>
      </c>
      <c r="Q1752" t="s">
        <v>75</v>
      </c>
      <c r="R1752" t="s">
        <v>5008</v>
      </c>
      <c r="S1752" t="s">
        <v>1390</v>
      </c>
      <c r="T1752" t="s">
        <v>78</v>
      </c>
      <c r="U1752" t="s">
        <v>5009</v>
      </c>
      <c r="V1752" t="s">
        <v>80</v>
      </c>
      <c r="W1752" s="1">
        <v>44905</v>
      </c>
      <c r="X1752" t="s">
        <v>5010</v>
      </c>
      <c r="Y1752" t="s">
        <v>6004</v>
      </c>
      <c r="Z1752" t="s">
        <v>83</v>
      </c>
      <c r="AA1752">
        <v>1</v>
      </c>
      <c r="AB1752" t="s">
        <v>5310</v>
      </c>
      <c r="AC1752">
        <v>1</v>
      </c>
      <c r="AD1752" t="s">
        <v>128</v>
      </c>
      <c r="AE1752" t="s">
        <v>145</v>
      </c>
      <c r="AF1752" t="s">
        <v>146</v>
      </c>
      <c r="AG1752" t="s">
        <v>6006</v>
      </c>
      <c r="AH1752" t="s">
        <v>6029</v>
      </c>
      <c r="AI1752" t="s">
        <v>90</v>
      </c>
      <c r="AJ1752">
        <v>32.314039000000001</v>
      </c>
      <c r="AK1752">
        <v>-110.712479</v>
      </c>
      <c r="AL1752">
        <v>3</v>
      </c>
      <c r="AN1752">
        <v>1155</v>
      </c>
      <c r="AP1752">
        <v>1155</v>
      </c>
      <c r="AQ1752">
        <v>1178.283144</v>
      </c>
      <c r="AT1752">
        <v>10</v>
      </c>
      <c r="AU1752">
        <v>12</v>
      </c>
      <c r="AV1752">
        <v>2022</v>
      </c>
      <c r="AW1752">
        <v>2438454</v>
      </c>
      <c r="AX1752">
        <v>2438454</v>
      </c>
      <c r="AY1752" t="s">
        <v>106</v>
      </c>
      <c r="AZ1752" t="s">
        <v>92</v>
      </c>
      <c r="BA1752" t="s">
        <v>107</v>
      </c>
      <c r="BB1752" t="s">
        <v>6030</v>
      </c>
      <c r="BC1752" t="s">
        <v>97</v>
      </c>
      <c r="BD1752" s="1">
        <v>44905</v>
      </c>
      <c r="BE1752" t="s">
        <v>96</v>
      </c>
      <c r="BG1752" t="s">
        <v>5504</v>
      </c>
      <c r="BI1752" t="s">
        <v>98</v>
      </c>
      <c r="BJ1752" t="s">
        <v>683</v>
      </c>
      <c r="BL1752" t="s">
        <v>412</v>
      </c>
    </row>
    <row r="1753" spans="1:64" hidden="1" x14ac:dyDescent="0.2">
      <c r="A1753">
        <v>563</v>
      </c>
      <c r="B1753">
        <v>4136459395</v>
      </c>
      <c r="C1753" t="s">
        <v>101</v>
      </c>
      <c r="D1753" t="s">
        <v>6056</v>
      </c>
      <c r="E1753" t="s">
        <v>65</v>
      </c>
      <c r="F1753" t="s">
        <v>66</v>
      </c>
      <c r="G1753" t="s">
        <v>67</v>
      </c>
      <c r="H1753" t="s">
        <v>68</v>
      </c>
      <c r="I1753" t="s">
        <v>176</v>
      </c>
      <c r="J1753" t="s">
        <v>773</v>
      </c>
      <c r="K1753" t="s">
        <v>1347</v>
      </c>
      <c r="M1753" t="s">
        <v>72</v>
      </c>
      <c r="N1753" t="s">
        <v>1348</v>
      </c>
      <c r="O1753" t="s">
        <v>1347</v>
      </c>
      <c r="P1753" t="s">
        <v>1349</v>
      </c>
      <c r="Q1753" t="s">
        <v>75</v>
      </c>
      <c r="R1753" t="s">
        <v>5008</v>
      </c>
      <c r="S1753" t="s">
        <v>6037</v>
      </c>
      <c r="T1753" t="s">
        <v>78</v>
      </c>
      <c r="U1753" t="s">
        <v>5009</v>
      </c>
      <c r="V1753" t="s">
        <v>80</v>
      </c>
      <c r="W1753" s="1">
        <v>44905</v>
      </c>
      <c r="X1753" t="s">
        <v>5010</v>
      </c>
      <c r="Y1753" t="s">
        <v>6038</v>
      </c>
      <c r="Z1753" t="s">
        <v>83</v>
      </c>
      <c r="AA1753">
        <v>1</v>
      </c>
      <c r="AB1753" t="s">
        <v>5310</v>
      </c>
      <c r="AC1753">
        <v>1</v>
      </c>
      <c r="AD1753" t="s">
        <v>128</v>
      </c>
      <c r="AE1753" t="s">
        <v>145</v>
      </c>
      <c r="AF1753" t="s">
        <v>146</v>
      </c>
      <c r="AG1753" t="s">
        <v>6040</v>
      </c>
      <c r="AH1753" t="s">
        <v>6057</v>
      </c>
      <c r="AI1753" t="s">
        <v>90</v>
      </c>
      <c r="AJ1753">
        <v>32.313867000000002</v>
      </c>
      <c r="AK1753">
        <v>-110.712791</v>
      </c>
      <c r="AL1753">
        <v>3</v>
      </c>
      <c r="AN1753">
        <v>1175</v>
      </c>
      <c r="AP1753">
        <v>1175</v>
      </c>
      <c r="AQ1753">
        <v>1180.5823009999999</v>
      </c>
      <c r="AT1753">
        <v>10</v>
      </c>
      <c r="AU1753">
        <v>12</v>
      </c>
      <c r="AV1753">
        <v>2022</v>
      </c>
      <c r="AW1753">
        <v>2438454</v>
      </c>
      <c r="AX1753">
        <v>2438454</v>
      </c>
      <c r="AY1753" t="s">
        <v>106</v>
      </c>
      <c r="AZ1753" t="s">
        <v>92</v>
      </c>
      <c r="BA1753" t="s">
        <v>107</v>
      </c>
      <c r="BB1753" t="s">
        <v>6058</v>
      </c>
      <c r="BC1753" t="s">
        <v>97</v>
      </c>
      <c r="BD1753" s="1">
        <v>44905</v>
      </c>
      <c r="BE1753" t="s">
        <v>96</v>
      </c>
      <c r="BG1753" t="s">
        <v>5504</v>
      </c>
      <c r="BI1753" t="s">
        <v>98</v>
      </c>
      <c r="BJ1753" t="s">
        <v>761</v>
      </c>
      <c r="BL1753" t="s">
        <v>110</v>
      </c>
    </row>
    <row r="1754" spans="1:64" hidden="1" x14ac:dyDescent="0.2">
      <c r="A1754">
        <v>502</v>
      </c>
      <c r="B1754">
        <v>4136459457</v>
      </c>
      <c r="C1754" t="s">
        <v>101</v>
      </c>
      <c r="D1754" t="s">
        <v>6103</v>
      </c>
      <c r="E1754" t="s">
        <v>65</v>
      </c>
      <c r="F1754" t="s">
        <v>66</v>
      </c>
      <c r="G1754" t="s">
        <v>67</v>
      </c>
      <c r="H1754" t="s">
        <v>68</v>
      </c>
      <c r="I1754" t="s">
        <v>176</v>
      </c>
      <c r="J1754" t="s">
        <v>1251</v>
      </c>
      <c r="K1754" t="s">
        <v>1252</v>
      </c>
      <c r="M1754" t="s">
        <v>72</v>
      </c>
      <c r="N1754" t="s">
        <v>1253</v>
      </c>
      <c r="O1754" t="s">
        <v>1252</v>
      </c>
      <c r="P1754" t="s">
        <v>1254</v>
      </c>
      <c r="Q1754" t="s">
        <v>75</v>
      </c>
      <c r="R1754" t="s">
        <v>5008</v>
      </c>
      <c r="S1754" t="s">
        <v>569</v>
      </c>
      <c r="T1754" t="s">
        <v>78</v>
      </c>
      <c r="U1754" t="s">
        <v>5009</v>
      </c>
      <c r="V1754" t="s">
        <v>80</v>
      </c>
      <c r="W1754" s="1">
        <v>44905</v>
      </c>
      <c r="X1754" t="s">
        <v>5010</v>
      </c>
      <c r="Y1754" t="s">
        <v>6077</v>
      </c>
      <c r="Z1754" t="s">
        <v>83</v>
      </c>
      <c r="AA1754">
        <v>1</v>
      </c>
      <c r="AB1754" t="s">
        <v>5310</v>
      </c>
      <c r="AC1754">
        <v>1</v>
      </c>
      <c r="AD1754" t="s">
        <v>128</v>
      </c>
      <c r="AE1754" t="s">
        <v>145</v>
      </c>
      <c r="AF1754" t="s">
        <v>146</v>
      </c>
      <c r="AG1754" t="s">
        <v>6079</v>
      </c>
      <c r="AH1754" t="s">
        <v>6104</v>
      </c>
      <c r="AI1754" t="s">
        <v>90</v>
      </c>
      <c r="AJ1754">
        <v>32.313378999999998</v>
      </c>
      <c r="AK1754">
        <v>-110.712829</v>
      </c>
      <c r="AL1754">
        <v>3</v>
      </c>
      <c r="AN1754">
        <v>1170</v>
      </c>
      <c r="AP1754">
        <v>1170</v>
      </c>
      <c r="AQ1754">
        <v>1173.57383</v>
      </c>
      <c r="AT1754">
        <v>10</v>
      </c>
      <c r="AU1754">
        <v>12</v>
      </c>
      <c r="AV1754">
        <v>2022</v>
      </c>
      <c r="AW1754">
        <v>2438156</v>
      </c>
      <c r="AX1754">
        <v>2438156</v>
      </c>
      <c r="AY1754" t="s">
        <v>106</v>
      </c>
      <c r="AZ1754" t="s">
        <v>92</v>
      </c>
      <c r="BA1754" t="s">
        <v>107</v>
      </c>
      <c r="BB1754" t="s">
        <v>6105</v>
      </c>
      <c r="BC1754" t="s">
        <v>97</v>
      </c>
      <c r="BD1754" s="1">
        <v>44905</v>
      </c>
      <c r="BE1754" t="s">
        <v>96</v>
      </c>
      <c r="BG1754" t="s">
        <v>5504</v>
      </c>
      <c r="BI1754" t="s">
        <v>98</v>
      </c>
      <c r="BJ1754" t="s">
        <v>6106</v>
      </c>
      <c r="BL1754" t="s">
        <v>110</v>
      </c>
    </row>
    <row r="1755" spans="1:64" hidden="1" x14ac:dyDescent="0.2">
      <c r="A1755">
        <v>521</v>
      </c>
      <c r="B1755">
        <v>4136459438</v>
      </c>
      <c r="C1755" t="s">
        <v>101</v>
      </c>
      <c r="D1755" t="s">
        <v>6124</v>
      </c>
      <c r="E1755" t="s">
        <v>65</v>
      </c>
      <c r="F1755" t="s">
        <v>66</v>
      </c>
      <c r="G1755" t="s">
        <v>67</v>
      </c>
      <c r="H1755" t="s">
        <v>68</v>
      </c>
      <c r="I1755" t="s">
        <v>176</v>
      </c>
      <c r="J1755" t="s">
        <v>1251</v>
      </c>
      <c r="K1755" t="s">
        <v>1252</v>
      </c>
      <c r="M1755" t="s">
        <v>72</v>
      </c>
      <c r="N1755" t="s">
        <v>1253</v>
      </c>
      <c r="O1755" t="s">
        <v>1252</v>
      </c>
      <c r="P1755" t="s">
        <v>1254</v>
      </c>
      <c r="Q1755" t="s">
        <v>75</v>
      </c>
      <c r="R1755" t="s">
        <v>5008</v>
      </c>
      <c r="S1755" t="s">
        <v>6108</v>
      </c>
      <c r="T1755" t="s">
        <v>78</v>
      </c>
      <c r="U1755" t="s">
        <v>5009</v>
      </c>
      <c r="V1755" t="s">
        <v>80</v>
      </c>
      <c r="W1755" s="1">
        <v>44905</v>
      </c>
      <c r="X1755" t="s">
        <v>5010</v>
      </c>
      <c r="Y1755" t="s">
        <v>6109</v>
      </c>
      <c r="Z1755" t="s">
        <v>83</v>
      </c>
      <c r="AA1755">
        <v>1</v>
      </c>
      <c r="AB1755" t="s">
        <v>5310</v>
      </c>
      <c r="AC1755">
        <v>1</v>
      </c>
      <c r="AD1755" t="s">
        <v>128</v>
      </c>
      <c r="AE1755" t="s">
        <v>145</v>
      </c>
      <c r="AF1755" t="s">
        <v>87</v>
      </c>
      <c r="AG1755" t="s">
        <v>6111</v>
      </c>
      <c r="AH1755" t="s">
        <v>6125</v>
      </c>
      <c r="AI1755" t="s">
        <v>90</v>
      </c>
      <c r="AJ1755">
        <v>32.314014999999998</v>
      </c>
      <c r="AK1755">
        <v>-110.712783</v>
      </c>
      <c r="AL1755">
        <v>3</v>
      </c>
      <c r="AN1755">
        <v>1173</v>
      </c>
      <c r="AP1755">
        <v>1173</v>
      </c>
      <c r="AQ1755">
        <v>1182.834799</v>
      </c>
      <c r="AT1755">
        <v>10</v>
      </c>
      <c r="AU1755">
        <v>12</v>
      </c>
      <c r="AV1755">
        <v>2022</v>
      </c>
      <c r="AW1755">
        <v>2438156</v>
      </c>
      <c r="AX1755">
        <v>2438156</v>
      </c>
      <c r="AY1755" t="s">
        <v>106</v>
      </c>
      <c r="AZ1755" t="s">
        <v>92</v>
      </c>
      <c r="BA1755" t="s">
        <v>107</v>
      </c>
      <c r="BB1755" t="s">
        <v>6126</v>
      </c>
      <c r="BC1755" t="s">
        <v>97</v>
      </c>
      <c r="BD1755" s="1">
        <v>44905</v>
      </c>
      <c r="BE1755" t="s">
        <v>96</v>
      </c>
      <c r="BG1755" t="s">
        <v>5504</v>
      </c>
      <c r="BI1755" t="s">
        <v>98</v>
      </c>
      <c r="BJ1755" t="s">
        <v>6127</v>
      </c>
      <c r="BL1755" t="s">
        <v>110</v>
      </c>
    </row>
    <row r="1756" spans="1:64" hidden="1" x14ac:dyDescent="0.2">
      <c r="A1756">
        <v>429</v>
      </c>
      <c r="B1756">
        <v>4136459530</v>
      </c>
      <c r="C1756" t="s">
        <v>101</v>
      </c>
      <c r="D1756" t="s">
        <v>6146</v>
      </c>
      <c r="E1756" t="s">
        <v>65</v>
      </c>
      <c r="F1756" t="s">
        <v>66</v>
      </c>
      <c r="G1756" t="s">
        <v>67</v>
      </c>
      <c r="H1756" t="s">
        <v>68</v>
      </c>
      <c r="I1756" t="s">
        <v>69</v>
      </c>
      <c r="J1756" t="s">
        <v>70</v>
      </c>
      <c r="K1756" t="s">
        <v>71</v>
      </c>
      <c r="M1756" t="s">
        <v>72</v>
      </c>
      <c r="N1756" t="s">
        <v>73</v>
      </c>
      <c r="O1756" t="s">
        <v>71</v>
      </c>
      <c r="P1756" t="s">
        <v>74</v>
      </c>
      <c r="Q1756" t="s">
        <v>75</v>
      </c>
      <c r="R1756" t="s">
        <v>5008</v>
      </c>
      <c r="S1756" t="s">
        <v>6138</v>
      </c>
      <c r="T1756" t="s">
        <v>78</v>
      </c>
      <c r="U1756" t="s">
        <v>5009</v>
      </c>
      <c r="V1756" t="s">
        <v>80</v>
      </c>
      <c r="W1756" s="1">
        <v>44906</v>
      </c>
      <c r="X1756" t="s">
        <v>5010</v>
      </c>
      <c r="Y1756" t="s">
        <v>6139</v>
      </c>
      <c r="Z1756" t="s">
        <v>83</v>
      </c>
      <c r="AA1756">
        <v>1</v>
      </c>
      <c r="AB1756" t="s">
        <v>5310</v>
      </c>
      <c r="AC1756">
        <v>1</v>
      </c>
      <c r="AD1756" t="s">
        <v>128</v>
      </c>
      <c r="AE1756" t="s">
        <v>86</v>
      </c>
      <c r="AF1756" t="s">
        <v>146</v>
      </c>
      <c r="AG1756" t="s">
        <v>1257</v>
      </c>
      <c r="AH1756" t="s">
        <v>6147</v>
      </c>
      <c r="AI1756" t="s">
        <v>90</v>
      </c>
      <c r="AJ1756">
        <v>32.313198</v>
      </c>
      <c r="AK1756">
        <v>-110.712913</v>
      </c>
      <c r="AL1756">
        <v>3</v>
      </c>
      <c r="AN1756">
        <v>1166</v>
      </c>
      <c r="AP1756">
        <v>1166</v>
      </c>
      <c r="AQ1756">
        <v>1172.0251989999999</v>
      </c>
      <c r="AT1756">
        <v>11</v>
      </c>
      <c r="AU1756">
        <v>12</v>
      </c>
      <c r="AV1756">
        <v>2022</v>
      </c>
      <c r="AW1756">
        <v>2439581</v>
      </c>
      <c r="AX1756">
        <v>2439581</v>
      </c>
      <c r="AY1756" t="s">
        <v>106</v>
      </c>
      <c r="AZ1756" t="s">
        <v>92</v>
      </c>
      <c r="BA1756" t="s">
        <v>107</v>
      </c>
      <c r="BB1756" t="s">
        <v>6148</v>
      </c>
      <c r="BC1756" t="s">
        <v>97</v>
      </c>
      <c r="BD1756" s="1">
        <v>44906</v>
      </c>
      <c r="BE1756" t="s">
        <v>96</v>
      </c>
      <c r="BG1756" t="s">
        <v>5504</v>
      </c>
      <c r="BI1756" t="s">
        <v>98</v>
      </c>
      <c r="BJ1756" t="s">
        <v>2473</v>
      </c>
      <c r="BL1756" t="s">
        <v>110</v>
      </c>
    </row>
    <row r="1757" spans="1:64" hidden="1" x14ac:dyDescent="0.2">
      <c r="A1757">
        <v>11</v>
      </c>
      <c r="B1757">
        <v>4403382629</v>
      </c>
      <c r="C1757" t="s">
        <v>101</v>
      </c>
      <c r="D1757" t="s">
        <v>1209</v>
      </c>
      <c r="E1757" t="s">
        <v>65</v>
      </c>
      <c r="F1757" t="s">
        <v>66</v>
      </c>
      <c r="G1757" t="s">
        <v>67</v>
      </c>
      <c r="H1757" t="s">
        <v>68</v>
      </c>
      <c r="I1757" t="s">
        <v>176</v>
      </c>
      <c r="J1757" t="s">
        <v>1173</v>
      </c>
      <c r="K1757" t="s">
        <v>1174</v>
      </c>
      <c r="M1757" t="s">
        <v>72</v>
      </c>
      <c r="N1757" t="s">
        <v>1175</v>
      </c>
      <c r="O1757" t="s">
        <v>1174</v>
      </c>
      <c r="P1757" t="s">
        <v>1176</v>
      </c>
      <c r="Q1757" t="s">
        <v>75</v>
      </c>
      <c r="R1757" t="s">
        <v>1177</v>
      </c>
      <c r="S1757" t="s">
        <v>1178</v>
      </c>
      <c r="T1757" t="s">
        <v>78</v>
      </c>
      <c r="U1757" t="s">
        <v>646</v>
      </c>
      <c r="V1757" t="s">
        <v>1179</v>
      </c>
      <c r="W1757" s="1">
        <v>45108</v>
      </c>
      <c r="X1757" t="s">
        <v>1180</v>
      </c>
      <c r="Y1757" t="s">
        <v>1181</v>
      </c>
      <c r="Z1757" t="s">
        <v>83</v>
      </c>
      <c r="AA1757">
        <v>1</v>
      </c>
      <c r="AB1757" t="s">
        <v>367</v>
      </c>
      <c r="AC1757">
        <v>1</v>
      </c>
      <c r="AD1757" t="s">
        <v>128</v>
      </c>
      <c r="AE1757" t="s">
        <v>145</v>
      </c>
      <c r="AF1757" t="s">
        <v>402</v>
      </c>
      <c r="AG1757" t="s">
        <v>1183</v>
      </c>
      <c r="AH1757" t="s">
        <v>1210</v>
      </c>
      <c r="AI1757" t="s">
        <v>90</v>
      </c>
      <c r="AJ1757">
        <v>32.448915</v>
      </c>
      <c r="AK1757">
        <v>-110.73759200000001</v>
      </c>
      <c r="AN1757">
        <v>2078</v>
      </c>
      <c r="AP1757">
        <v>2078</v>
      </c>
      <c r="AQ1757">
        <v>2083.4699999999998</v>
      </c>
      <c r="AT1757">
        <v>1</v>
      </c>
      <c r="AU1757">
        <v>7</v>
      </c>
      <c r="AV1757">
        <v>2023</v>
      </c>
      <c r="AW1757">
        <v>2437874</v>
      </c>
      <c r="AX1757">
        <v>2437874</v>
      </c>
      <c r="AY1757" t="s">
        <v>106</v>
      </c>
      <c r="AZ1757" t="s">
        <v>92</v>
      </c>
      <c r="BA1757" t="s">
        <v>107</v>
      </c>
      <c r="BB1757" t="s">
        <v>1211</v>
      </c>
      <c r="BC1757" t="s">
        <v>1186</v>
      </c>
      <c r="BD1757" s="1">
        <v>45108</v>
      </c>
      <c r="BE1757" t="s">
        <v>96</v>
      </c>
      <c r="BG1757" t="s">
        <v>1187</v>
      </c>
      <c r="BI1757" t="s">
        <v>98</v>
      </c>
      <c r="BJ1757" t="s">
        <v>1212</v>
      </c>
      <c r="BL1757" t="s">
        <v>110</v>
      </c>
    </row>
    <row r="1758" spans="1:64" hidden="1" x14ac:dyDescent="0.2">
      <c r="A1758">
        <v>26</v>
      </c>
      <c r="B1758">
        <v>4403382614</v>
      </c>
      <c r="C1758" t="s">
        <v>101</v>
      </c>
      <c r="D1758" t="s">
        <v>1236</v>
      </c>
      <c r="E1758" t="s">
        <v>65</v>
      </c>
      <c r="F1758" t="s">
        <v>66</v>
      </c>
      <c r="G1758" t="s">
        <v>67</v>
      </c>
      <c r="H1758" t="s">
        <v>68</v>
      </c>
      <c r="I1758" t="s">
        <v>176</v>
      </c>
      <c r="J1758" t="s">
        <v>1173</v>
      </c>
      <c r="K1758" t="s">
        <v>1174</v>
      </c>
      <c r="M1758" t="s">
        <v>72</v>
      </c>
      <c r="N1758" t="s">
        <v>1175</v>
      </c>
      <c r="O1758" t="s">
        <v>1174</v>
      </c>
      <c r="P1758" t="s">
        <v>1176</v>
      </c>
      <c r="Q1758" t="s">
        <v>75</v>
      </c>
      <c r="R1758" t="s">
        <v>1177</v>
      </c>
      <c r="S1758" t="s">
        <v>615</v>
      </c>
      <c r="T1758" t="s">
        <v>78</v>
      </c>
      <c r="U1758" t="s">
        <v>646</v>
      </c>
      <c r="V1758" t="s">
        <v>1179</v>
      </c>
      <c r="W1758" s="1">
        <v>45108</v>
      </c>
      <c r="X1758" t="s">
        <v>1180</v>
      </c>
      <c r="Y1758" t="s">
        <v>1217</v>
      </c>
      <c r="Z1758" t="s">
        <v>83</v>
      </c>
      <c r="AA1758">
        <v>1</v>
      </c>
      <c r="AB1758" t="s">
        <v>367</v>
      </c>
      <c r="AC1758">
        <v>1</v>
      </c>
      <c r="AD1758" t="s">
        <v>128</v>
      </c>
      <c r="AE1758" t="s">
        <v>145</v>
      </c>
      <c r="AF1758" t="s">
        <v>402</v>
      </c>
      <c r="AG1758" t="s">
        <v>1219</v>
      </c>
      <c r="AH1758" t="s">
        <v>1237</v>
      </c>
      <c r="AI1758" t="s">
        <v>90</v>
      </c>
      <c r="AJ1758">
        <v>32.449221000000001</v>
      </c>
      <c r="AK1758">
        <v>-110.737668</v>
      </c>
      <c r="AN1758">
        <v>2078</v>
      </c>
      <c r="AP1758">
        <v>2078</v>
      </c>
      <c r="AQ1758">
        <v>2088.6641009999998</v>
      </c>
      <c r="AT1758">
        <v>1</v>
      </c>
      <c r="AU1758">
        <v>7</v>
      </c>
      <c r="AV1758">
        <v>2023</v>
      </c>
      <c r="AW1758">
        <v>2437874</v>
      </c>
      <c r="AX1758">
        <v>2437874</v>
      </c>
      <c r="AY1758" t="s">
        <v>106</v>
      </c>
      <c r="AZ1758" t="s">
        <v>92</v>
      </c>
      <c r="BA1758" t="s">
        <v>107</v>
      </c>
      <c r="BB1758" t="s">
        <v>1238</v>
      </c>
      <c r="BC1758" t="s">
        <v>1186</v>
      </c>
      <c r="BD1758" s="1">
        <v>45108</v>
      </c>
      <c r="BE1758" t="s">
        <v>96</v>
      </c>
      <c r="BG1758" t="s">
        <v>1187</v>
      </c>
      <c r="BI1758" t="s">
        <v>98</v>
      </c>
      <c r="BJ1758" t="s">
        <v>1192</v>
      </c>
      <c r="BL1758" t="s">
        <v>110</v>
      </c>
    </row>
    <row r="1759" spans="1:64" hidden="1" x14ac:dyDescent="0.2">
      <c r="A1759">
        <v>42</v>
      </c>
      <c r="B1759">
        <v>4403382598</v>
      </c>
      <c r="C1759" t="s">
        <v>101</v>
      </c>
      <c r="D1759" t="s">
        <v>1265</v>
      </c>
      <c r="E1759" t="s">
        <v>65</v>
      </c>
      <c r="F1759" t="s">
        <v>66</v>
      </c>
      <c r="G1759" t="s">
        <v>67</v>
      </c>
      <c r="H1759" t="s">
        <v>68</v>
      </c>
      <c r="I1759" t="s">
        <v>176</v>
      </c>
      <c r="J1759" t="s">
        <v>1173</v>
      </c>
      <c r="K1759" t="s">
        <v>1174</v>
      </c>
      <c r="M1759" t="s">
        <v>72</v>
      </c>
      <c r="N1759" t="s">
        <v>1175</v>
      </c>
      <c r="O1759" t="s">
        <v>1174</v>
      </c>
      <c r="P1759" t="s">
        <v>1176</v>
      </c>
      <c r="Q1759" t="s">
        <v>75</v>
      </c>
      <c r="R1759" t="s">
        <v>1177</v>
      </c>
      <c r="S1759" t="s">
        <v>399</v>
      </c>
      <c r="T1759" t="s">
        <v>78</v>
      </c>
      <c r="U1759" t="s">
        <v>646</v>
      </c>
      <c r="V1759" t="s">
        <v>1179</v>
      </c>
      <c r="W1759" s="1">
        <v>45108</v>
      </c>
      <c r="X1759" t="s">
        <v>1180</v>
      </c>
      <c r="Y1759" t="s">
        <v>1255</v>
      </c>
      <c r="Z1759" t="s">
        <v>83</v>
      </c>
      <c r="AA1759">
        <v>1</v>
      </c>
      <c r="AB1759" t="s">
        <v>367</v>
      </c>
      <c r="AC1759">
        <v>1</v>
      </c>
      <c r="AD1759" t="s">
        <v>128</v>
      </c>
      <c r="AE1759" t="s">
        <v>86</v>
      </c>
      <c r="AF1759" t="s">
        <v>359</v>
      </c>
      <c r="AG1759" t="s">
        <v>1257</v>
      </c>
      <c r="AH1759" t="s">
        <v>1266</v>
      </c>
      <c r="AI1759" t="s">
        <v>90</v>
      </c>
      <c r="AJ1759">
        <v>32.449544000000003</v>
      </c>
      <c r="AK1759">
        <v>-110.737343</v>
      </c>
      <c r="AN1759">
        <v>2083</v>
      </c>
      <c r="AP1759">
        <v>2083</v>
      </c>
      <c r="AQ1759">
        <v>2091.4263340000002</v>
      </c>
      <c r="AT1759">
        <v>1</v>
      </c>
      <c r="AU1759">
        <v>7</v>
      </c>
      <c r="AV1759">
        <v>2023</v>
      </c>
      <c r="AW1759">
        <v>2437874</v>
      </c>
      <c r="AX1759">
        <v>2437874</v>
      </c>
      <c r="AY1759" t="s">
        <v>106</v>
      </c>
      <c r="AZ1759" t="s">
        <v>92</v>
      </c>
      <c r="BA1759" t="s">
        <v>107</v>
      </c>
      <c r="BB1759" t="s">
        <v>1267</v>
      </c>
      <c r="BC1759" t="s">
        <v>1186</v>
      </c>
      <c r="BD1759" s="1">
        <v>45108</v>
      </c>
      <c r="BE1759" t="s">
        <v>96</v>
      </c>
      <c r="BG1759" t="s">
        <v>1187</v>
      </c>
      <c r="BI1759" t="s">
        <v>98</v>
      </c>
      <c r="BJ1759" t="s">
        <v>1230</v>
      </c>
      <c r="BL1759" t="s">
        <v>110</v>
      </c>
    </row>
    <row r="1760" spans="1:64" hidden="1" x14ac:dyDescent="0.2">
      <c r="A1760">
        <v>33</v>
      </c>
      <c r="B1760">
        <v>4403382607</v>
      </c>
      <c r="C1760" t="s">
        <v>101</v>
      </c>
      <c r="D1760" t="s">
        <v>1291</v>
      </c>
      <c r="E1760" t="s">
        <v>65</v>
      </c>
      <c r="F1760" t="s">
        <v>66</v>
      </c>
      <c r="G1760" t="s">
        <v>67</v>
      </c>
      <c r="H1760" t="s">
        <v>68</v>
      </c>
      <c r="I1760" t="s">
        <v>176</v>
      </c>
      <c r="J1760" t="s">
        <v>1173</v>
      </c>
      <c r="K1760" t="s">
        <v>1174</v>
      </c>
      <c r="M1760" t="s">
        <v>72</v>
      </c>
      <c r="N1760" t="s">
        <v>1175</v>
      </c>
      <c r="O1760" t="s">
        <v>1174</v>
      </c>
      <c r="P1760" t="s">
        <v>1176</v>
      </c>
      <c r="Q1760" t="s">
        <v>75</v>
      </c>
      <c r="R1760" t="s">
        <v>1177</v>
      </c>
      <c r="S1760" t="s">
        <v>1281</v>
      </c>
      <c r="T1760" t="s">
        <v>78</v>
      </c>
      <c r="U1760" t="s">
        <v>646</v>
      </c>
      <c r="V1760" t="s">
        <v>1179</v>
      </c>
      <c r="W1760" s="1">
        <v>45108</v>
      </c>
      <c r="X1760" t="s">
        <v>1180</v>
      </c>
      <c r="Y1760" t="s">
        <v>1282</v>
      </c>
      <c r="Z1760" t="s">
        <v>83</v>
      </c>
      <c r="AA1760">
        <v>1</v>
      </c>
      <c r="AB1760" t="s">
        <v>367</v>
      </c>
      <c r="AC1760">
        <v>1</v>
      </c>
      <c r="AD1760" t="s">
        <v>128</v>
      </c>
      <c r="AE1760" t="s">
        <v>86</v>
      </c>
      <c r="AF1760" t="s">
        <v>359</v>
      </c>
      <c r="AG1760" t="s">
        <v>1284</v>
      </c>
      <c r="AH1760" t="s">
        <v>1292</v>
      </c>
      <c r="AI1760" t="s">
        <v>90</v>
      </c>
      <c r="AJ1760">
        <v>32.450783999999999</v>
      </c>
      <c r="AK1760">
        <v>-110.73687700000001</v>
      </c>
      <c r="AL1760">
        <v>3</v>
      </c>
      <c r="AN1760">
        <v>2062</v>
      </c>
      <c r="AP1760">
        <v>2062</v>
      </c>
      <c r="AQ1760">
        <v>2063.628236</v>
      </c>
      <c r="AT1760">
        <v>1</v>
      </c>
      <c r="AU1760">
        <v>7</v>
      </c>
      <c r="AV1760">
        <v>2023</v>
      </c>
      <c r="AW1760">
        <v>2437874</v>
      </c>
      <c r="AX1760">
        <v>2437874</v>
      </c>
      <c r="AY1760" t="s">
        <v>106</v>
      </c>
      <c r="AZ1760" t="s">
        <v>92</v>
      </c>
      <c r="BA1760" t="s">
        <v>107</v>
      </c>
      <c r="BB1760" t="s">
        <v>1293</v>
      </c>
      <c r="BC1760" t="s">
        <v>1186</v>
      </c>
      <c r="BD1760" s="1">
        <v>45108</v>
      </c>
      <c r="BE1760" t="s">
        <v>96</v>
      </c>
      <c r="BG1760" t="s">
        <v>1187</v>
      </c>
      <c r="BI1760" t="s">
        <v>98</v>
      </c>
      <c r="BJ1760" t="s">
        <v>109</v>
      </c>
      <c r="BL1760" t="s">
        <v>412</v>
      </c>
    </row>
    <row r="1761" spans="1:64" hidden="1" x14ac:dyDescent="0.2">
      <c r="A1761">
        <v>73</v>
      </c>
      <c r="B1761">
        <v>4403382567</v>
      </c>
      <c r="C1761" t="s">
        <v>101</v>
      </c>
      <c r="D1761" t="s">
        <v>1323</v>
      </c>
      <c r="E1761" t="s">
        <v>65</v>
      </c>
      <c r="F1761" t="s">
        <v>66</v>
      </c>
      <c r="G1761" t="s">
        <v>67</v>
      </c>
      <c r="H1761" t="s">
        <v>68</v>
      </c>
      <c r="I1761" t="s">
        <v>176</v>
      </c>
      <c r="J1761" t="s">
        <v>1173</v>
      </c>
      <c r="K1761" t="s">
        <v>1174</v>
      </c>
      <c r="M1761" t="s">
        <v>72</v>
      </c>
      <c r="N1761" t="s">
        <v>1175</v>
      </c>
      <c r="O1761" t="s">
        <v>1174</v>
      </c>
      <c r="P1761" t="s">
        <v>1176</v>
      </c>
      <c r="Q1761" t="s">
        <v>75</v>
      </c>
      <c r="R1761" t="s">
        <v>1177</v>
      </c>
      <c r="S1761" t="s">
        <v>547</v>
      </c>
      <c r="T1761" t="s">
        <v>78</v>
      </c>
      <c r="U1761" t="s">
        <v>646</v>
      </c>
      <c r="V1761" t="s">
        <v>1179</v>
      </c>
      <c r="W1761" s="1">
        <v>45108</v>
      </c>
      <c r="X1761" t="s">
        <v>1180</v>
      </c>
      <c r="Y1761" t="s">
        <v>1308</v>
      </c>
      <c r="Z1761" t="s">
        <v>83</v>
      </c>
      <c r="AA1761">
        <v>1</v>
      </c>
      <c r="AB1761" t="s">
        <v>367</v>
      </c>
      <c r="AC1761">
        <v>1</v>
      </c>
      <c r="AD1761" t="s">
        <v>128</v>
      </c>
      <c r="AE1761" t="s">
        <v>145</v>
      </c>
      <c r="AF1761" t="s">
        <v>402</v>
      </c>
      <c r="AG1761" t="s">
        <v>1310</v>
      </c>
      <c r="AH1761" t="s">
        <v>1324</v>
      </c>
      <c r="AI1761" t="s">
        <v>90</v>
      </c>
      <c r="AJ1761">
        <v>32.449865000000003</v>
      </c>
      <c r="AK1761">
        <v>-110.738021</v>
      </c>
      <c r="AL1761">
        <v>3</v>
      </c>
      <c r="AN1761">
        <v>2089</v>
      </c>
      <c r="AP1761">
        <v>2089</v>
      </c>
      <c r="AQ1761">
        <v>2094.0279999999998</v>
      </c>
      <c r="AT1761">
        <v>1</v>
      </c>
      <c r="AU1761">
        <v>7</v>
      </c>
      <c r="AV1761">
        <v>2023</v>
      </c>
      <c r="AW1761">
        <v>2437874</v>
      </c>
      <c r="AX1761">
        <v>2437874</v>
      </c>
      <c r="AY1761" t="s">
        <v>106</v>
      </c>
      <c r="AZ1761" t="s">
        <v>92</v>
      </c>
      <c r="BA1761" t="s">
        <v>107</v>
      </c>
      <c r="BB1761" t="s">
        <v>1325</v>
      </c>
      <c r="BC1761" t="s">
        <v>1186</v>
      </c>
      <c r="BD1761" s="1">
        <v>45108</v>
      </c>
      <c r="BE1761" t="s">
        <v>96</v>
      </c>
      <c r="BG1761" t="s">
        <v>1187</v>
      </c>
      <c r="BI1761" t="s">
        <v>98</v>
      </c>
      <c r="BJ1761" t="s">
        <v>171</v>
      </c>
      <c r="BL1761" t="s">
        <v>110</v>
      </c>
    </row>
    <row r="1762" spans="1:64" hidden="1" x14ac:dyDescent="0.2">
      <c r="A1762">
        <v>94</v>
      </c>
      <c r="B1762">
        <v>4403382546</v>
      </c>
      <c r="C1762" t="s">
        <v>101</v>
      </c>
      <c r="D1762" t="s">
        <v>1365</v>
      </c>
      <c r="E1762" t="s">
        <v>65</v>
      </c>
      <c r="F1762" t="s">
        <v>66</v>
      </c>
      <c r="G1762" t="s">
        <v>67</v>
      </c>
      <c r="H1762" t="s">
        <v>68</v>
      </c>
      <c r="I1762" t="s">
        <v>176</v>
      </c>
      <c r="J1762" t="s">
        <v>177</v>
      </c>
      <c r="K1762" t="s">
        <v>178</v>
      </c>
      <c r="M1762" t="s">
        <v>72</v>
      </c>
      <c r="N1762" t="s">
        <v>179</v>
      </c>
      <c r="O1762" t="s">
        <v>178</v>
      </c>
      <c r="P1762" t="s">
        <v>180</v>
      </c>
      <c r="Q1762" t="s">
        <v>75</v>
      </c>
      <c r="R1762" t="s">
        <v>1177</v>
      </c>
      <c r="S1762" t="s">
        <v>1354</v>
      </c>
      <c r="T1762" t="s">
        <v>78</v>
      </c>
      <c r="U1762" t="s">
        <v>646</v>
      </c>
      <c r="V1762" t="s">
        <v>1179</v>
      </c>
      <c r="W1762" s="1">
        <v>45108</v>
      </c>
      <c r="X1762" t="s">
        <v>1180</v>
      </c>
      <c r="Y1762" t="s">
        <v>1355</v>
      </c>
      <c r="Z1762" t="s">
        <v>83</v>
      </c>
      <c r="AA1762">
        <v>1</v>
      </c>
      <c r="AB1762" t="s">
        <v>367</v>
      </c>
      <c r="AC1762">
        <v>1</v>
      </c>
      <c r="AD1762" t="s">
        <v>128</v>
      </c>
      <c r="AE1762" t="s">
        <v>145</v>
      </c>
      <c r="AF1762" t="s">
        <v>402</v>
      </c>
      <c r="AG1762" t="s">
        <v>1357</v>
      </c>
      <c r="AH1762" t="s">
        <v>1366</v>
      </c>
      <c r="AI1762" t="s">
        <v>90</v>
      </c>
      <c r="AJ1762">
        <v>32.450465999999999</v>
      </c>
      <c r="AK1762">
        <v>-110.736558</v>
      </c>
      <c r="AL1762">
        <v>3</v>
      </c>
      <c r="AN1762">
        <v>2065</v>
      </c>
      <c r="AP1762">
        <v>2065</v>
      </c>
      <c r="AQ1762">
        <v>2065.2448300000001</v>
      </c>
      <c r="AT1762">
        <v>1</v>
      </c>
      <c r="AU1762">
        <v>7</v>
      </c>
      <c r="AV1762">
        <v>2023</v>
      </c>
      <c r="AW1762">
        <v>2438038</v>
      </c>
      <c r="AX1762">
        <v>2438038</v>
      </c>
      <c r="AY1762" t="s">
        <v>106</v>
      </c>
      <c r="AZ1762" t="s">
        <v>92</v>
      </c>
      <c r="BA1762" t="s">
        <v>107</v>
      </c>
      <c r="BB1762" t="s">
        <v>1367</v>
      </c>
      <c r="BC1762" t="s">
        <v>1186</v>
      </c>
      <c r="BD1762" s="1">
        <v>45108</v>
      </c>
      <c r="BE1762" t="s">
        <v>96</v>
      </c>
      <c r="BG1762" t="s">
        <v>1187</v>
      </c>
      <c r="BI1762" t="s">
        <v>98</v>
      </c>
      <c r="BJ1762" t="s">
        <v>230</v>
      </c>
      <c r="BL1762" t="s">
        <v>412</v>
      </c>
    </row>
    <row r="1763" spans="1:64" hidden="1" x14ac:dyDescent="0.2">
      <c r="A1763">
        <v>286</v>
      </c>
      <c r="B1763">
        <v>4403382352</v>
      </c>
      <c r="C1763" t="s">
        <v>101</v>
      </c>
      <c r="D1763" t="s">
        <v>1417</v>
      </c>
      <c r="E1763" t="s">
        <v>65</v>
      </c>
      <c r="F1763" t="s">
        <v>66</v>
      </c>
      <c r="G1763" t="s">
        <v>67</v>
      </c>
      <c r="H1763" t="s">
        <v>68</v>
      </c>
      <c r="I1763" t="s">
        <v>176</v>
      </c>
      <c r="J1763" t="s">
        <v>177</v>
      </c>
      <c r="K1763" t="s">
        <v>178</v>
      </c>
      <c r="M1763" t="s">
        <v>72</v>
      </c>
      <c r="N1763" t="s">
        <v>179</v>
      </c>
      <c r="O1763" t="s">
        <v>178</v>
      </c>
      <c r="P1763" t="s">
        <v>180</v>
      </c>
      <c r="Q1763" t="s">
        <v>75</v>
      </c>
      <c r="R1763" t="s">
        <v>354</v>
      </c>
      <c r="S1763" t="s">
        <v>1390</v>
      </c>
      <c r="T1763" t="s">
        <v>78</v>
      </c>
      <c r="U1763" t="s">
        <v>646</v>
      </c>
      <c r="V1763" t="s">
        <v>1179</v>
      </c>
      <c r="W1763" s="1">
        <v>45108</v>
      </c>
      <c r="X1763" t="s">
        <v>1180</v>
      </c>
      <c r="Y1763" t="s">
        <v>1391</v>
      </c>
      <c r="Z1763" t="s">
        <v>83</v>
      </c>
      <c r="AA1763">
        <v>1</v>
      </c>
      <c r="AB1763" t="s">
        <v>367</v>
      </c>
      <c r="AC1763">
        <v>1</v>
      </c>
      <c r="AD1763" t="s">
        <v>128</v>
      </c>
      <c r="AE1763" t="s">
        <v>86</v>
      </c>
      <c r="AF1763" t="s">
        <v>402</v>
      </c>
      <c r="AG1763" t="s">
        <v>1393</v>
      </c>
      <c r="AH1763" t="s">
        <v>1418</v>
      </c>
      <c r="AI1763" t="s">
        <v>90</v>
      </c>
      <c r="AJ1763">
        <v>32.450394000000003</v>
      </c>
      <c r="AK1763">
        <v>-110.736435</v>
      </c>
      <c r="AL1763">
        <v>3</v>
      </c>
      <c r="AN1763">
        <v>2067</v>
      </c>
      <c r="AP1763">
        <v>2067</v>
      </c>
      <c r="AQ1763">
        <v>2064.0276349999999</v>
      </c>
      <c r="AT1763">
        <v>1</v>
      </c>
      <c r="AU1763">
        <v>7</v>
      </c>
      <c r="AV1763">
        <v>2023</v>
      </c>
      <c r="AW1763">
        <v>2438038</v>
      </c>
      <c r="AX1763">
        <v>2438038</v>
      </c>
      <c r="AY1763" t="s">
        <v>106</v>
      </c>
      <c r="AZ1763" t="s">
        <v>92</v>
      </c>
      <c r="BA1763" t="s">
        <v>107</v>
      </c>
      <c r="BB1763" t="s">
        <v>1419</v>
      </c>
      <c r="BC1763" t="s">
        <v>95</v>
      </c>
      <c r="BD1763" s="1">
        <v>45116</v>
      </c>
      <c r="BE1763" t="s">
        <v>96</v>
      </c>
      <c r="BG1763" t="s">
        <v>363</v>
      </c>
      <c r="BI1763" t="s">
        <v>98</v>
      </c>
      <c r="BJ1763" t="s">
        <v>1420</v>
      </c>
      <c r="BL1763" t="s">
        <v>412</v>
      </c>
    </row>
    <row r="1764" spans="1:64" hidden="1" x14ac:dyDescent="0.2">
      <c r="A1764">
        <v>262</v>
      </c>
      <c r="B1764">
        <v>4403382376</v>
      </c>
      <c r="C1764" t="s">
        <v>101</v>
      </c>
      <c r="D1764" t="s">
        <v>1432</v>
      </c>
      <c r="E1764" t="s">
        <v>65</v>
      </c>
      <c r="F1764" t="s">
        <v>66</v>
      </c>
      <c r="G1764" t="s">
        <v>67</v>
      </c>
      <c r="H1764" t="s">
        <v>68</v>
      </c>
      <c r="I1764" t="s">
        <v>176</v>
      </c>
      <c r="J1764" t="s">
        <v>177</v>
      </c>
      <c r="K1764" t="s">
        <v>178</v>
      </c>
      <c r="M1764" t="s">
        <v>72</v>
      </c>
      <c r="N1764" t="s">
        <v>179</v>
      </c>
      <c r="O1764" t="s">
        <v>178</v>
      </c>
      <c r="P1764" t="s">
        <v>180</v>
      </c>
      <c r="Q1764" t="s">
        <v>75</v>
      </c>
      <c r="R1764" t="s">
        <v>1177</v>
      </c>
      <c r="S1764" t="s">
        <v>1425</v>
      </c>
      <c r="T1764" t="s">
        <v>78</v>
      </c>
      <c r="U1764" t="s">
        <v>646</v>
      </c>
      <c r="V1764" t="s">
        <v>1179</v>
      </c>
      <c r="W1764" s="1">
        <v>45108</v>
      </c>
      <c r="X1764" t="s">
        <v>1180</v>
      </c>
      <c r="Y1764" t="s">
        <v>1426</v>
      </c>
      <c r="Z1764" t="s">
        <v>83</v>
      </c>
      <c r="AA1764">
        <v>1</v>
      </c>
      <c r="AB1764" t="s">
        <v>367</v>
      </c>
      <c r="AC1764">
        <v>1</v>
      </c>
      <c r="AD1764" t="s">
        <v>128</v>
      </c>
      <c r="AE1764" t="s">
        <v>145</v>
      </c>
      <c r="AF1764" t="s">
        <v>402</v>
      </c>
      <c r="AG1764" t="s">
        <v>1428</v>
      </c>
      <c r="AH1764" t="s">
        <v>1433</v>
      </c>
      <c r="AI1764" t="s">
        <v>90</v>
      </c>
      <c r="AJ1764">
        <v>32.450868999999997</v>
      </c>
      <c r="AK1764">
        <v>-110.736958</v>
      </c>
      <c r="AL1764">
        <v>3</v>
      </c>
      <c r="AN1764">
        <v>2055</v>
      </c>
      <c r="AP1764">
        <v>2055</v>
      </c>
      <c r="AQ1764">
        <v>2062.4493339999999</v>
      </c>
      <c r="AT1764">
        <v>1</v>
      </c>
      <c r="AU1764">
        <v>7</v>
      </c>
      <c r="AV1764">
        <v>2023</v>
      </c>
      <c r="AW1764">
        <v>2438038</v>
      </c>
      <c r="AX1764">
        <v>2438038</v>
      </c>
      <c r="AY1764" t="s">
        <v>106</v>
      </c>
      <c r="AZ1764" t="s">
        <v>92</v>
      </c>
      <c r="BA1764" t="s">
        <v>107</v>
      </c>
      <c r="BB1764" t="s">
        <v>1434</v>
      </c>
      <c r="BC1764" t="s">
        <v>1186</v>
      </c>
      <c r="BD1764" s="1">
        <v>45108</v>
      </c>
      <c r="BE1764" t="s">
        <v>96</v>
      </c>
      <c r="BG1764" t="s">
        <v>1187</v>
      </c>
      <c r="BI1764" t="s">
        <v>98</v>
      </c>
      <c r="BJ1764" t="s">
        <v>1435</v>
      </c>
      <c r="BL1764" t="s">
        <v>412</v>
      </c>
    </row>
    <row r="1765" spans="1:64" hidden="1" x14ac:dyDescent="0.2">
      <c r="A1765">
        <v>327</v>
      </c>
      <c r="B1765">
        <v>4403382311</v>
      </c>
      <c r="C1765" t="s">
        <v>101</v>
      </c>
      <c r="D1765" t="s">
        <v>1490</v>
      </c>
      <c r="E1765" t="s">
        <v>65</v>
      </c>
      <c r="F1765" t="s">
        <v>66</v>
      </c>
      <c r="G1765" t="s">
        <v>67</v>
      </c>
      <c r="H1765" t="s">
        <v>68</v>
      </c>
      <c r="I1765" t="s">
        <v>176</v>
      </c>
      <c r="J1765" t="s">
        <v>177</v>
      </c>
      <c r="K1765" t="s">
        <v>178</v>
      </c>
      <c r="M1765" t="s">
        <v>72</v>
      </c>
      <c r="N1765" t="s">
        <v>179</v>
      </c>
      <c r="O1765" t="s">
        <v>178</v>
      </c>
      <c r="P1765" t="s">
        <v>180</v>
      </c>
      <c r="Q1765" t="s">
        <v>75</v>
      </c>
      <c r="R1765" t="s">
        <v>1177</v>
      </c>
      <c r="S1765" t="s">
        <v>469</v>
      </c>
      <c r="T1765" t="s">
        <v>78</v>
      </c>
      <c r="U1765" t="s">
        <v>646</v>
      </c>
      <c r="V1765" t="s">
        <v>1179</v>
      </c>
      <c r="W1765" s="1">
        <v>45108</v>
      </c>
      <c r="X1765" t="s">
        <v>1180</v>
      </c>
      <c r="Y1765" t="s">
        <v>1481</v>
      </c>
      <c r="Z1765" t="s">
        <v>83</v>
      </c>
      <c r="AA1765">
        <v>1</v>
      </c>
      <c r="AB1765" t="s">
        <v>367</v>
      </c>
      <c r="AC1765">
        <v>1</v>
      </c>
      <c r="AD1765" t="s">
        <v>128</v>
      </c>
      <c r="AE1765" t="s">
        <v>86</v>
      </c>
      <c r="AF1765" t="s">
        <v>402</v>
      </c>
      <c r="AG1765" t="s">
        <v>1483</v>
      </c>
      <c r="AH1765" t="s">
        <v>1491</v>
      </c>
      <c r="AI1765" t="s">
        <v>90</v>
      </c>
      <c r="AJ1765">
        <v>32.449679000000003</v>
      </c>
      <c r="AK1765">
        <v>-110.736582</v>
      </c>
      <c r="AL1765">
        <v>3</v>
      </c>
      <c r="AN1765">
        <v>2075</v>
      </c>
      <c r="AP1765">
        <v>2075</v>
      </c>
      <c r="AQ1765">
        <v>2083.6500510000001</v>
      </c>
      <c r="AT1765">
        <v>1</v>
      </c>
      <c r="AU1765">
        <v>7</v>
      </c>
      <c r="AV1765">
        <v>2023</v>
      </c>
      <c r="AW1765">
        <v>2438038</v>
      </c>
      <c r="AX1765">
        <v>2438038</v>
      </c>
      <c r="AY1765" t="s">
        <v>106</v>
      </c>
      <c r="AZ1765" t="s">
        <v>92</v>
      </c>
      <c r="BA1765" t="s">
        <v>107</v>
      </c>
      <c r="BB1765" t="s">
        <v>1492</v>
      </c>
      <c r="BC1765" t="s">
        <v>1186</v>
      </c>
      <c r="BD1765" s="1">
        <v>45108</v>
      </c>
      <c r="BE1765" t="s">
        <v>96</v>
      </c>
      <c r="BG1765" t="s">
        <v>1187</v>
      </c>
      <c r="BI1765" t="s">
        <v>98</v>
      </c>
      <c r="BJ1765" t="s">
        <v>1453</v>
      </c>
      <c r="BL1765" t="s">
        <v>412</v>
      </c>
    </row>
    <row r="1766" spans="1:64" hidden="1" x14ac:dyDescent="0.2">
      <c r="A1766">
        <v>154</v>
      </c>
      <c r="B1766">
        <v>4403382486</v>
      </c>
      <c r="C1766" t="s">
        <v>101</v>
      </c>
      <c r="D1766" t="s">
        <v>1650</v>
      </c>
      <c r="E1766" t="s">
        <v>65</v>
      </c>
      <c r="F1766" t="s">
        <v>66</v>
      </c>
      <c r="G1766" t="s">
        <v>67</v>
      </c>
      <c r="H1766" t="s">
        <v>68</v>
      </c>
      <c r="I1766" t="s">
        <v>176</v>
      </c>
      <c r="J1766" t="s">
        <v>1251</v>
      </c>
      <c r="K1766" t="s">
        <v>1252</v>
      </c>
      <c r="M1766" t="s">
        <v>72</v>
      </c>
      <c r="N1766" t="s">
        <v>1253</v>
      </c>
      <c r="O1766" t="s">
        <v>1252</v>
      </c>
      <c r="P1766" t="s">
        <v>1254</v>
      </c>
      <c r="Q1766" t="s">
        <v>75</v>
      </c>
      <c r="R1766" t="s">
        <v>1177</v>
      </c>
      <c r="S1766" t="s">
        <v>1643</v>
      </c>
      <c r="T1766" t="s">
        <v>78</v>
      </c>
      <c r="U1766" t="s">
        <v>646</v>
      </c>
      <c r="V1766" t="s">
        <v>1179</v>
      </c>
      <c r="W1766" s="1">
        <v>45109</v>
      </c>
      <c r="X1766" t="s">
        <v>1180</v>
      </c>
      <c r="Y1766" t="s">
        <v>1644</v>
      </c>
      <c r="Z1766" t="s">
        <v>83</v>
      </c>
      <c r="AA1766">
        <v>1</v>
      </c>
      <c r="AB1766" t="s">
        <v>367</v>
      </c>
      <c r="AC1766">
        <v>1</v>
      </c>
      <c r="AD1766" t="s">
        <v>128</v>
      </c>
      <c r="AE1766" t="s">
        <v>86</v>
      </c>
      <c r="AF1766" t="s">
        <v>402</v>
      </c>
      <c r="AG1766" t="s">
        <v>1646</v>
      </c>
      <c r="AH1766" t="s">
        <v>1651</v>
      </c>
      <c r="AI1766" t="s">
        <v>90</v>
      </c>
      <c r="AJ1766">
        <v>32.449154</v>
      </c>
      <c r="AK1766">
        <v>-110.737861</v>
      </c>
      <c r="AL1766">
        <v>3</v>
      </c>
      <c r="AN1766">
        <v>2065</v>
      </c>
      <c r="AP1766">
        <v>2065</v>
      </c>
      <c r="AQ1766">
        <v>2087.4860619999999</v>
      </c>
      <c r="AT1766">
        <v>2</v>
      </c>
      <c r="AU1766">
        <v>7</v>
      </c>
      <c r="AV1766">
        <v>2023</v>
      </c>
      <c r="AW1766">
        <v>2438156</v>
      </c>
      <c r="AX1766">
        <v>2438156</v>
      </c>
      <c r="AY1766" t="s">
        <v>106</v>
      </c>
      <c r="AZ1766" t="s">
        <v>92</v>
      </c>
      <c r="BA1766" t="s">
        <v>107</v>
      </c>
      <c r="BB1766" t="s">
        <v>1652</v>
      </c>
      <c r="BC1766" t="s">
        <v>1186</v>
      </c>
      <c r="BD1766" s="1">
        <v>45109</v>
      </c>
      <c r="BE1766" t="s">
        <v>96</v>
      </c>
      <c r="BG1766" t="s">
        <v>1649</v>
      </c>
      <c r="BI1766" t="s">
        <v>98</v>
      </c>
      <c r="BJ1766" t="s">
        <v>1653</v>
      </c>
      <c r="BL1766" t="s">
        <v>412</v>
      </c>
    </row>
    <row r="1767" spans="1:64" hidden="1" x14ac:dyDescent="0.2">
      <c r="A1767">
        <v>2</v>
      </c>
      <c r="B1767">
        <v>4403382638</v>
      </c>
      <c r="C1767" t="s">
        <v>101</v>
      </c>
      <c r="D1767" t="s">
        <v>1685</v>
      </c>
      <c r="E1767" t="s">
        <v>65</v>
      </c>
      <c r="F1767" t="s">
        <v>66</v>
      </c>
      <c r="G1767" t="s">
        <v>67</v>
      </c>
      <c r="H1767" t="s">
        <v>68</v>
      </c>
      <c r="I1767" t="s">
        <v>176</v>
      </c>
      <c r="J1767" t="s">
        <v>773</v>
      </c>
      <c r="K1767" t="s">
        <v>774</v>
      </c>
      <c r="M1767" t="s">
        <v>72</v>
      </c>
      <c r="N1767" t="s">
        <v>775</v>
      </c>
      <c r="O1767" t="s">
        <v>774</v>
      </c>
      <c r="P1767" t="s">
        <v>776</v>
      </c>
      <c r="Q1767" t="s">
        <v>75</v>
      </c>
      <c r="R1767" t="s">
        <v>1177</v>
      </c>
      <c r="S1767" t="s">
        <v>1674</v>
      </c>
      <c r="T1767" t="s">
        <v>78</v>
      </c>
      <c r="U1767" t="s">
        <v>646</v>
      </c>
      <c r="V1767" t="s">
        <v>1179</v>
      </c>
      <c r="W1767" s="1">
        <v>45109</v>
      </c>
      <c r="X1767" t="s">
        <v>1180</v>
      </c>
      <c r="Y1767" t="s">
        <v>1675</v>
      </c>
      <c r="Z1767" t="s">
        <v>83</v>
      </c>
      <c r="AA1767">
        <v>1</v>
      </c>
      <c r="AB1767" t="s">
        <v>367</v>
      </c>
      <c r="AC1767">
        <v>1</v>
      </c>
      <c r="AD1767" t="s">
        <v>128</v>
      </c>
      <c r="AE1767" t="s">
        <v>86</v>
      </c>
      <c r="AF1767" t="s">
        <v>359</v>
      </c>
      <c r="AG1767" t="s">
        <v>1677</v>
      </c>
      <c r="AH1767" t="s">
        <v>1686</v>
      </c>
      <c r="AI1767" t="s">
        <v>90</v>
      </c>
      <c r="AJ1767">
        <v>32.450713999999998</v>
      </c>
      <c r="AK1767">
        <v>-110.73682599999999</v>
      </c>
      <c r="AL1767">
        <v>3</v>
      </c>
      <c r="AN1767">
        <v>2063</v>
      </c>
      <c r="AP1767">
        <v>2063</v>
      </c>
      <c r="AQ1767">
        <v>2064.604855</v>
      </c>
      <c r="AT1767">
        <v>2</v>
      </c>
      <c r="AU1767">
        <v>7</v>
      </c>
      <c r="AV1767">
        <v>2023</v>
      </c>
      <c r="AW1767">
        <v>2438447</v>
      </c>
      <c r="AX1767">
        <v>2438447</v>
      </c>
      <c r="AY1767" t="s">
        <v>106</v>
      </c>
      <c r="AZ1767" t="s">
        <v>92</v>
      </c>
      <c r="BA1767" t="s">
        <v>107</v>
      </c>
      <c r="BB1767" t="s">
        <v>1687</v>
      </c>
      <c r="BC1767" t="s">
        <v>1186</v>
      </c>
      <c r="BD1767" s="1">
        <v>45109</v>
      </c>
      <c r="BE1767" t="s">
        <v>96</v>
      </c>
      <c r="BG1767" t="s">
        <v>1649</v>
      </c>
      <c r="BI1767" t="s">
        <v>98</v>
      </c>
      <c r="BJ1767" t="s">
        <v>1688</v>
      </c>
      <c r="BL1767" t="s">
        <v>412</v>
      </c>
    </row>
    <row r="1768" spans="1:64" hidden="1" x14ac:dyDescent="0.2">
      <c r="A1768">
        <v>47</v>
      </c>
      <c r="B1768">
        <v>4403382593</v>
      </c>
      <c r="C1768" t="s">
        <v>101</v>
      </c>
      <c r="D1768" t="s">
        <v>1742</v>
      </c>
      <c r="E1768" t="s">
        <v>65</v>
      </c>
      <c r="F1768" t="s">
        <v>66</v>
      </c>
      <c r="G1768" t="s">
        <v>67</v>
      </c>
      <c r="H1768" t="s">
        <v>68</v>
      </c>
      <c r="I1768" t="s">
        <v>176</v>
      </c>
      <c r="J1768" t="s">
        <v>773</v>
      </c>
      <c r="K1768" t="s">
        <v>1347</v>
      </c>
      <c r="M1768" t="s">
        <v>72</v>
      </c>
      <c r="N1768" t="s">
        <v>1348</v>
      </c>
      <c r="O1768" t="s">
        <v>1347</v>
      </c>
      <c r="P1768" t="s">
        <v>1349</v>
      </c>
      <c r="Q1768" t="s">
        <v>75</v>
      </c>
      <c r="R1768" t="s">
        <v>1177</v>
      </c>
      <c r="S1768" t="s">
        <v>1715</v>
      </c>
      <c r="T1768" t="s">
        <v>78</v>
      </c>
      <c r="U1768" t="s">
        <v>646</v>
      </c>
      <c r="V1768" t="s">
        <v>1179</v>
      </c>
      <c r="W1768" s="1">
        <v>45109</v>
      </c>
      <c r="X1768" t="s">
        <v>1180</v>
      </c>
      <c r="Y1768" t="s">
        <v>1716</v>
      </c>
      <c r="Z1768" t="s">
        <v>83</v>
      </c>
      <c r="AA1768">
        <v>1</v>
      </c>
      <c r="AB1768" t="s">
        <v>367</v>
      </c>
      <c r="AC1768">
        <v>1</v>
      </c>
      <c r="AD1768" t="s">
        <v>128</v>
      </c>
      <c r="AE1768" t="s">
        <v>145</v>
      </c>
      <c r="AF1768" t="s">
        <v>610</v>
      </c>
      <c r="AG1768" t="s">
        <v>1718</v>
      </c>
      <c r="AH1768" t="s">
        <v>1743</v>
      </c>
      <c r="AI1768" t="s">
        <v>90</v>
      </c>
      <c r="AJ1768">
        <v>32.449168999999998</v>
      </c>
      <c r="AK1768">
        <v>-110.737905</v>
      </c>
      <c r="AL1768">
        <v>3</v>
      </c>
      <c r="AN1768">
        <v>2071</v>
      </c>
      <c r="AP1768">
        <v>2071</v>
      </c>
      <c r="AQ1768">
        <v>2087.5710469999999</v>
      </c>
      <c r="AT1768">
        <v>2</v>
      </c>
      <c r="AU1768">
        <v>7</v>
      </c>
      <c r="AV1768">
        <v>2023</v>
      </c>
      <c r="AW1768">
        <v>2438454</v>
      </c>
      <c r="AX1768">
        <v>2438454</v>
      </c>
      <c r="AY1768" t="s">
        <v>106</v>
      </c>
      <c r="AZ1768" t="s">
        <v>92</v>
      </c>
      <c r="BA1768" t="s">
        <v>107</v>
      </c>
      <c r="BB1768" t="s">
        <v>1744</v>
      </c>
      <c r="BC1768" t="s">
        <v>1186</v>
      </c>
      <c r="BD1768" s="1">
        <v>45109</v>
      </c>
      <c r="BE1768" t="s">
        <v>96</v>
      </c>
      <c r="BG1768" t="s">
        <v>1649</v>
      </c>
      <c r="BI1768" t="s">
        <v>98</v>
      </c>
      <c r="BJ1768" t="s">
        <v>1684</v>
      </c>
      <c r="BL1768" t="s">
        <v>412</v>
      </c>
    </row>
    <row r="1769" spans="1:64" hidden="1" x14ac:dyDescent="0.2">
      <c r="A1769">
        <v>251</v>
      </c>
      <c r="B1769">
        <v>4403382387</v>
      </c>
      <c r="C1769" t="s">
        <v>101</v>
      </c>
      <c r="D1769" t="s">
        <v>3197</v>
      </c>
      <c r="E1769" t="s">
        <v>65</v>
      </c>
      <c r="F1769" t="s">
        <v>66</v>
      </c>
      <c r="G1769" t="s">
        <v>67</v>
      </c>
      <c r="H1769" t="s">
        <v>68</v>
      </c>
      <c r="I1769" t="s">
        <v>176</v>
      </c>
      <c r="J1769" t="s">
        <v>773</v>
      </c>
      <c r="K1769" t="s">
        <v>774</v>
      </c>
      <c r="M1769" t="s">
        <v>72</v>
      </c>
      <c r="N1769" t="s">
        <v>775</v>
      </c>
      <c r="O1769" t="s">
        <v>774</v>
      </c>
      <c r="P1769" t="s">
        <v>776</v>
      </c>
      <c r="Q1769" t="s">
        <v>75</v>
      </c>
      <c r="R1769" t="s">
        <v>3174</v>
      </c>
      <c r="S1769" t="s">
        <v>1584</v>
      </c>
      <c r="T1769" t="s">
        <v>78</v>
      </c>
      <c r="U1769" t="s">
        <v>1822</v>
      </c>
      <c r="V1769" t="s">
        <v>80</v>
      </c>
      <c r="W1769" s="1">
        <v>45110</v>
      </c>
      <c r="X1769" t="s">
        <v>1859</v>
      </c>
      <c r="Y1769" t="s">
        <v>3175</v>
      </c>
      <c r="Z1769" t="s">
        <v>83</v>
      </c>
      <c r="AA1769">
        <v>1</v>
      </c>
      <c r="AB1769" t="s">
        <v>367</v>
      </c>
      <c r="AC1769">
        <v>1</v>
      </c>
      <c r="AD1769" t="s">
        <v>128</v>
      </c>
      <c r="AE1769" t="s">
        <v>145</v>
      </c>
      <c r="AF1769" t="s">
        <v>402</v>
      </c>
      <c r="AG1769" t="s">
        <v>3177</v>
      </c>
      <c r="AH1769" t="s">
        <v>3198</v>
      </c>
      <c r="AI1769" t="s">
        <v>90</v>
      </c>
      <c r="AJ1769">
        <v>32.422648000000002</v>
      </c>
      <c r="AK1769">
        <v>-110.734174</v>
      </c>
      <c r="AL1769">
        <v>3</v>
      </c>
      <c r="AN1769">
        <v>2407</v>
      </c>
      <c r="AP1769">
        <v>2407</v>
      </c>
      <c r="AQ1769">
        <v>2430.4372669999998</v>
      </c>
      <c r="AT1769">
        <v>3</v>
      </c>
      <c r="AU1769">
        <v>7</v>
      </c>
      <c r="AV1769">
        <v>2023</v>
      </c>
      <c r="AW1769">
        <v>2438447</v>
      </c>
      <c r="AX1769">
        <v>2438447</v>
      </c>
      <c r="AY1769" t="s">
        <v>106</v>
      </c>
      <c r="AZ1769" t="s">
        <v>92</v>
      </c>
      <c r="BA1769" t="s">
        <v>107</v>
      </c>
      <c r="BB1769" t="s">
        <v>3199</v>
      </c>
      <c r="BC1769" t="s">
        <v>1186</v>
      </c>
      <c r="BD1769" s="1">
        <v>45110</v>
      </c>
      <c r="BE1769" t="s">
        <v>96</v>
      </c>
      <c r="BG1769" t="s">
        <v>1187</v>
      </c>
      <c r="BI1769" t="s">
        <v>98</v>
      </c>
      <c r="BJ1769" t="s">
        <v>2932</v>
      </c>
      <c r="BL1769" t="s">
        <v>412</v>
      </c>
    </row>
    <row r="1770" spans="1:64" hidden="1" x14ac:dyDescent="0.2">
      <c r="A1770">
        <v>242</v>
      </c>
      <c r="B1770">
        <v>4403382396</v>
      </c>
      <c r="C1770" t="s">
        <v>101</v>
      </c>
      <c r="D1770" t="s">
        <v>3224</v>
      </c>
      <c r="E1770" t="s">
        <v>65</v>
      </c>
      <c r="F1770" t="s">
        <v>66</v>
      </c>
      <c r="G1770" t="s">
        <v>67</v>
      </c>
      <c r="H1770" t="s">
        <v>68</v>
      </c>
      <c r="I1770" t="s">
        <v>176</v>
      </c>
      <c r="J1770" t="s">
        <v>177</v>
      </c>
      <c r="K1770" t="s">
        <v>1817</v>
      </c>
      <c r="M1770" t="s">
        <v>72</v>
      </c>
      <c r="N1770" t="s">
        <v>1818</v>
      </c>
      <c r="O1770" t="s">
        <v>1817</v>
      </c>
      <c r="P1770" t="s">
        <v>1819</v>
      </c>
      <c r="Q1770" t="s">
        <v>75</v>
      </c>
      <c r="R1770" t="s">
        <v>3174</v>
      </c>
      <c r="S1770" t="s">
        <v>3221</v>
      </c>
      <c r="T1770" t="s">
        <v>78</v>
      </c>
      <c r="U1770" t="s">
        <v>1822</v>
      </c>
      <c r="V1770" t="s">
        <v>80</v>
      </c>
      <c r="W1770" s="1">
        <v>45110</v>
      </c>
      <c r="X1770" t="s">
        <v>1859</v>
      </c>
      <c r="Y1770" t="s">
        <v>3213</v>
      </c>
      <c r="Z1770" t="s">
        <v>83</v>
      </c>
      <c r="AA1770">
        <v>1</v>
      </c>
      <c r="AB1770" t="s">
        <v>367</v>
      </c>
      <c r="AC1770">
        <v>1</v>
      </c>
      <c r="AD1770" t="s">
        <v>128</v>
      </c>
      <c r="AE1770" t="s">
        <v>145</v>
      </c>
      <c r="AF1770" t="s">
        <v>359</v>
      </c>
      <c r="AG1770" t="s">
        <v>3217</v>
      </c>
      <c r="AH1770" t="s">
        <v>3225</v>
      </c>
      <c r="AI1770" t="s">
        <v>90</v>
      </c>
      <c r="AJ1770">
        <v>32.424909</v>
      </c>
      <c r="AK1770">
        <v>-110.73885</v>
      </c>
      <c r="AN1770">
        <v>2368</v>
      </c>
      <c r="AP1770">
        <v>2368</v>
      </c>
      <c r="AQ1770">
        <v>2386.7331989999998</v>
      </c>
      <c r="AT1770">
        <v>3</v>
      </c>
      <c r="AU1770">
        <v>7</v>
      </c>
      <c r="AV1770">
        <v>2023</v>
      </c>
      <c r="AW1770">
        <v>2437967</v>
      </c>
      <c r="AX1770">
        <v>2437967</v>
      </c>
      <c r="AY1770" t="s">
        <v>106</v>
      </c>
      <c r="AZ1770" t="s">
        <v>92</v>
      </c>
      <c r="BA1770" t="s">
        <v>107</v>
      </c>
      <c r="BB1770" t="s">
        <v>3226</v>
      </c>
      <c r="BC1770" t="s">
        <v>1186</v>
      </c>
      <c r="BD1770" s="1">
        <v>45110</v>
      </c>
      <c r="BE1770" t="s">
        <v>96</v>
      </c>
      <c r="BG1770" t="s">
        <v>1187</v>
      </c>
      <c r="BI1770" t="s">
        <v>98</v>
      </c>
      <c r="BJ1770" t="s">
        <v>3190</v>
      </c>
      <c r="BL1770" t="s">
        <v>110</v>
      </c>
    </row>
    <row r="1771" spans="1:64" hidden="1" x14ac:dyDescent="0.2">
      <c r="A1771">
        <v>264</v>
      </c>
      <c r="B1771">
        <v>4403382374</v>
      </c>
      <c r="C1771" t="s">
        <v>101</v>
      </c>
      <c r="D1771" t="s">
        <v>3255</v>
      </c>
      <c r="E1771" t="s">
        <v>65</v>
      </c>
      <c r="F1771" t="s">
        <v>66</v>
      </c>
      <c r="G1771" t="s">
        <v>67</v>
      </c>
      <c r="H1771" t="s">
        <v>68</v>
      </c>
      <c r="I1771" t="s">
        <v>176</v>
      </c>
      <c r="J1771" t="s">
        <v>177</v>
      </c>
      <c r="K1771" t="s">
        <v>1817</v>
      </c>
      <c r="M1771" t="s">
        <v>72</v>
      </c>
      <c r="N1771" t="s">
        <v>1818</v>
      </c>
      <c r="O1771" t="s">
        <v>1817</v>
      </c>
      <c r="P1771" t="s">
        <v>1819</v>
      </c>
      <c r="Q1771" t="s">
        <v>75</v>
      </c>
      <c r="R1771" t="s">
        <v>3174</v>
      </c>
      <c r="S1771" t="s">
        <v>3245</v>
      </c>
      <c r="T1771" t="s">
        <v>78</v>
      </c>
      <c r="U1771" t="s">
        <v>1822</v>
      </c>
      <c r="V1771" t="s">
        <v>80</v>
      </c>
      <c r="W1771" s="1">
        <v>45110</v>
      </c>
      <c r="X1771" t="s">
        <v>1859</v>
      </c>
      <c r="Y1771" t="s">
        <v>3246</v>
      </c>
      <c r="Z1771" t="s">
        <v>83</v>
      </c>
      <c r="AA1771">
        <v>1</v>
      </c>
      <c r="AB1771" t="s">
        <v>367</v>
      </c>
      <c r="AC1771">
        <v>1</v>
      </c>
      <c r="AD1771" t="s">
        <v>128</v>
      </c>
      <c r="AE1771" t="s">
        <v>145</v>
      </c>
      <c r="AF1771" t="s">
        <v>402</v>
      </c>
      <c r="AG1771" t="s">
        <v>3248</v>
      </c>
      <c r="AH1771" t="s">
        <v>3256</v>
      </c>
      <c r="AI1771" t="s">
        <v>90</v>
      </c>
      <c r="AJ1771">
        <v>32.422624999999996</v>
      </c>
      <c r="AK1771">
        <v>-110.73399999999999</v>
      </c>
      <c r="AL1771">
        <v>3</v>
      </c>
      <c r="AN1771">
        <v>2407</v>
      </c>
      <c r="AP1771">
        <v>2407</v>
      </c>
      <c r="AQ1771">
        <v>2428.2800000000002</v>
      </c>
      <c r="AT1771">
        <v>3</v>
      </c>
      <c r="AU1771">
        <v>7</v>
      </c>
      <c r="AV1771">
        <v>2023</v>
      </c>
      <c r="AW1771">
        <v>2437967</v>
      </c>
      <c r="AX1771">
        <v>2437967</v>
      </c>
      <c r="AY1771" t="s">
        <v>106</v>
      </c>
      <c r="AZ1771" t="s">
        <v>92</v>
      </c>
      <c r="BA1771" t="s">
        <v>107</v>
      </c>
      <c r="BB1771" t="s">
        <v>3257</v>
      </c>
      <c r="BC1771" t="s">
        <v>1186</v>
      </c>
      <c r="BD1771" s="1">
        <v>45110</v>
      </c>
      <c r="BE1771" t="s">
        <v>96</v>
      </c>
      <c r="BG1771" t="s">
        <v>1187</v>
      </c>
      <c r="BI1771" t="s">
        <v>98</v>
      </c>
      <c r="BJ1771" t="s">
        <v>3243</v>
      </c>
      <c r="BL1771" t="s">
        <v>412</v>
      </c>
    </row>
    <row r="1772" spans="1:64" hidden="1" x14ac:dyDescent="0.2">
      <c r="A1772">
        <v>229</v>
      </c>
      <c r="B1772">
        <v>4403382411</v>
      </c>
      <c r="C1772" t="s">
        <v>101</v>
      </c>
      <c r="D1772" t="s">
        <v>3296</v>
      </c>
      <c r="E1772" t="s">
        <v>65</v>
      </c>
      <c r="F1772" t="s">
        <v>66</v>
      </c>
      <c r="G1772" t="s">
        <v>67</v>
      </c>
      <c r="H1772" t="s">
        <v>68</v>
      </c>
      <c r="I1772" t="s">
        <v>176</v>
      </c>
      <c r="J1772" t="s">
        <v>177</v>
      </c>
      <c r="K1772" t="s">
        <v>178</v>
      </c>
      <c r="M1772" t="s">
        <v>72</v>
      </c>
      <c r="N1772" t="s">
        <v>179</v>
      </c>
      <c r="O1772" t="s">
        <v>178</v>
      </c>
      <c r="P1772" t="s">
        <v>180</v>
      </c>
      <c r="Q1772" t="s">
        <v>75</v>
      </c>
      <c r="R1772" t="s">
        <v>3174</v>
      </c>
      <c r="S1772" t="s">
        <v>3274</v>
      </c>
      <c r="T1772" t="s">
        <v>78</v>
      </c>
      <c r="U1772" t="s">
        <v>1822</v>
      </c>
      <c r="V1772" t="s">
        <v>80</v>
      </c>
      <c r="W1772" s="1">
        <v>45110</v>
      </c>
      <c r="X1772" t="s">
        <v>1859</v>
      </c>
      <c r="Y1772" t="s">
        <v>3275</v>
      </c>
      <c r="Z1772" t="s">
        <v>83</v>
      </c>
      <c r="AA1772">
        <v>1</v>
      </c>
      <c r="AB1772" t="s">
        <v>367</v>
      </c>
      <c r="AC1772">
        <v>1</v>
      </c>
      <c r="AD1772" t="s">
        <v>128</v>
      </c>
      <c r="AE1772" t="s">
        <v>145</v>
      </c>
      <c r="AF1772" t="s">
        <v>402</v>
      </c>
      <c r="AG1772" t="s">
        <v>3277</v>
      </c>
      <c r="AH1772" t="s">
        <v>3297</v>
      </c>
      <c r="AI1772" t="s">
        <v>90</v>
      </c>
      <c r="AJ1772">
        <v>32.424762000000001</v>
      </c>
      <c r="AK1772">
        <v>-110.738646</v>
      </c>
      <c r="AN1772">
        <v>2367</v>
      </c>
      <c r="AP1772">
        <v>2367</v>
      </c>
      <c r="AQ1772">
        <v>2387.4999990000001</v>
      </c>
      <c r="AT1772">
        <v>3</v>
      </c>
      <c r="AU1772">
        <v>7</v>
      </c>
      <c r="AV1772">
        <v>2023</v>
      </c>
      <c r="AW1772">
        <v>2438038</v>
      </c>
      <c r="AX1772">
        <v>2438038</v>
      </c>
      <c r="AY1772" t="s">
        <v>106</v>
      </c>
      <c r="AZ1772" t="s">
        <v>92</v>
      </c>
      <c r="BA1772" t="s">
        <v>107</v>
      </c>
      <c r="BB1772" t="s">
        <v>3298</v>
      </c>
      <c r="BC1772" t="s">
        <v>1186</v>
      </c>
      <c r="BD1772" s="1">
        <v>45110</v>
      </c>
      <c r="BE1772" t="s">
        <v>96</v>
      </c>
      <c r="BG1772" t="s">
        <v>1187</v>
      </c>
      <c r="BI1772" t="s">
        <v>98</v>
      </c>
      <c r="BJ1772" t="s">
        <v>3283</v>
      </c>
      <c r="BL1772" t="s">
        <v>110</v>
      </c>
    </row>
    <row r="1773" spans="1:64" hidden="1" x14ac:dyDescent="0.2">
      <c r="A1773">
        <v>108</v>
      </c>
      <c r="B1773">
        <v>4403382532</v>
      </c>
      <c r="C1773" t="s">
        <v>101</v>
      </c>
      <c r="D1773" t="s">
        <v>3308</v>
      </c>
      <c r="E1773" t="s">
        <v>65</v>
      </c>
      <c r="F1773" t="s">
        <v>66</v>
      </c>
      <c r="G1773" t="s">
        <v>67</v>
      </c>
      <c r="H1773" t="s">
        <v>68</v>
      </c>
      <c r="I1773" t="s">
        <v>176</v>
      </c>
      <c r="J1773" t="s">
        <v>177</v>
      </c>
      <c r="K1773" t="s">
        <v>1817</v>
      </c>
      <c r="M1773" t="s">
        <v>72</v>
      </c>
      <c r="N1773" t="s">
        <v>1856</v>
      </c>
      <c r="O1773" t="s">
        <v>1817</v>
      </c>
      <c r="P1773" t="s">
        <v>1857</v>
      </c>
      <c r="Q1773" t="s">
        <v>75</v>
      </c>
      <c r="R1773" t="s">
        <v>3174</v>
      </c>
      <c r="S1773" t="s">
        <v>1751</v>
      </c>
      <c r="T1773" t="s">
        <v>78</v>
      </c>
      <c r="U1773" t="s">
        <v>1822</v>
      </c>
      <c r="V1773" t="s">
        <v>80</v>
      </c>
      <c r="W1773" s="1">
        <v>45110</v>
      </c>
      <c r="X1773" t="s">
        <v>1859</v>
      </c>
      <c r="Y1773" t="s">
        <v>3303</v>
      </c>
      <c r="Z1773" t="s">
        <v>83</v>
      </c>
      <c r="AA1773">
        <v>1</v>
      </c>
      <c r="AB1773" t="s">
        <v>367</v>
      </c>
      <c r="AC1773">
        <v>1</v>
      </c>
      <c r="AD1773" t="s">
        <v>128</v>
      </c>
      <c r="AE1773" t="s">
        <v>86</v>
      </c>
      <c r="AF1773" t="s">
        <v>402</v>
      </c>
      <c r="AG1773" t="s">
        <v>3305</v>
      </c>
      <c r="AH1773" t="s">
        <v>3309</v>
      </c>
      <c r="AI1773" t="s">
        <v>90</v>
      </c>
      <c r="AJ1773">
        <v>32.424745999999999</v>
      </c>
      <c r="AK1773">
        <v>-110.738766</v>
      </c>
      <c r="AN1773">
        <v>2368</v>
      </c>
      <c r="AP1773">
        <v>2368</v>
      </c>
      <c r="AQ1773">
        <v>2389.6311989999999</v>
      </c>
      <c r="AT1773">
        <v>3</v>
      </c>
      <c r="AU1773">
        <v>7</v>
      </c>
      <c r="AV1773">
        <v>2023</v>
      </c>
      <c r="AW1773">
        <v>2438019</v>
      </c>
      <c r="AX1773">
        <v>2438019</v>
      </c>
      <c r="AY1773" t="s">
        <v>106</v>
      </c>
      <c r="AZ1773" t="s">
        <v>92</v>
      </c>
      <c r="BA1773" t="s">
        <v>107</v>
      </c>
      <c r="BB1773" t="s">
        <v>3310</v>
      </c>
      <c r="BC1773" t="s">
        <v>1186</v>
      </c>
      <c r="BD1773" s="1">
        <v>45110</v>
      </c>
      <c r="BE1773" t="s">
        <v>96</v>
      </c>
      <c r="BG1773" t="s">
        <v>1187</v>
      </c>
      <c r="BI1773" t="s">
        <v>98</v>
      </c>
      <c r="BJ1773" t="s">
        <v>3311</v>
      </c>
      <c r="BL1773" t="s">
        <v>110</v>
      </c>
    </row>
    <row r="1774" spans="1:64" hidden="1" x14ac:dyDescent="0.2">
      <c r="A1774">
        <v>103</v>
      </c>
      <c r="B1774">
        <v>4403382537</v>
      </c>
      <c r="C1774" t="s">
        <v>101</v>
      </c>
      <c r="D1774" t="s">
        <v>3351</v>
      </c>
      <c r="E1774" t="s">
        <v>65</v>
      </c>
      <c r="F1774" t="s">
        <v>66</v>
      </c>
      <c r="G1774" t="s">
        <v>67</v>
      </c>
      <c r="H1774" t="s">
        <v>68</v>
      </c>
      <c r="I1774" t="s">
        <v>176</v>
      </c>
      <c r="J1774" t="s">
        <v>177</v>
      </c>
      <c r="K1774" t="s">
        <v>178</v>
      </c>
      <c r="M1774" t="s">
        <v>72</v>
      </c>
      <c r="N1774" t="s">
        <v>179</v>
      </c>
      <c r="O1774" t="s">
        <v>178</v>
      </c>
      <c r="P1774" t="s">
        <v>180</v>
      </c>
      <c r="Q1774" t="s">
        <v>75</v>
      </c>
      <c r="R1774" t="s">
        <v>3174</v>
      </c>
      <c r="S1774" t="s">
        <v>355</v>
      </c>
      <c r="T1774" t="s">
        <v>78</v>
      </c>
      <c r="U1774" t="s">
        <v>1822</v>
      </c>
      <c r="V1774" t="s">
        <v>80</v>
      </c>
      <c r="W1774" s="1">
        <v>45110</v>
      </c>
      <c r="X1774" t="s">
        <v>1859</v>
      </c>
      <c r="Y1774" t="s">
        <v>3331</v>
      </c>
      <c r="Z1774" t="s">
        <v>83</v>
      </c>
      <c r="AA1774">
        <v>1</v>
      </c>
      <c r="AB1774" t="s">
        <v>367</v>
      </c>
      <c r="AC1774">
        <v>1</v>
      </c>
      <c r="AD1774" t="s">
        <v>128</v>
      </c>
      <c r="AE1774" t="s">
        <v>86</v>
      </c>
      <c r="AF1774" t="s">
        <v>610</v>
      </c>
      <c r="AG1774" t="s">
        <v>3333</v>
      </c>
      <c r="AH1774" t="s">
        <v>3352</v>
      </c>
      <c r="AI1774" t="s">
        <v>90</v>
      </c>
      <c r="AJ1774">
        <v>32.425854000000001</v>
      </c>
      <c r="AK1774">
        <v>-110.74023699999999</v>
      </c>
      <c r="AN1774">
        <v>2357</v>
      </c>
      <c r="AP1774">
        <v>2357</v>
      </c>
      <c r="AQ1774">
        <v>2387.34854</v>
      </c>
      <c r="AT1774">
        <v>3</v>
      </c>
      <c r="AU1774">
        <v>7</v>
      </c>
      <c r="AV1774">
        <v>2023</v>
      </c>
      <c r="AW1774">
        <v>2438038</v>
      </c>
      <c r="AX1774">
        <v>2438038</v>
      </c>
      <c r="AY1774" t="s">
        <v>106</v>
      </c>
      <c r="AZ1774" t="s">
        <v>92</v>
      </c>
      <c r="BA1774" t="s">
        <v>107</v>
      </c>
      <c r="BB1774" t="s">
        <v>3353</v>
      </c>
      <c r="BC1774" t="s">
        <v>1186</v>
      </c>
      <c r="BD1774" s="1">
        <v>45110</v>
      </c>
      <c r="BE1774" t="s">
        <v>96</v>
      </c>
      <c r="BG1774" t="s">
        <v>1187</v>
      </c>
      <c r="BI1774" t="s">
        <v>98</v>
      </c>
      <c r="BJ1774" t="s">
        <v>2257</v>
      </c>
      <c r="BL1774" t="s">
        <v>110</v>
      </c>
    </row>
    <row r="1775" spans="1:64" hidden="1" x14ac:dyDescent="0.2">
      <c r="A1775">
        <v>113</v>
      </c>
      <c r="B1775">
        <v>4403382527</v>
      </c>
      <c r="C1775" t="s">
        <v>101</v>
      </c>
      <c r="D1775" t="s">
        <v>3369</v>
      </c>
      <c r="E1775" t="s">
        <v>65</v>
      </c>
      <c r="F1775" t="s">
        <v>66</v>
      </c>
      <c r="G1775" t="s">
        <v>67</v>
      </c>
      <c r="H1775" t="s">
        <v>68</v>
      </c>
      <c r="I1775" t="s">
        <v>176</v>
      </c>
      <c r="J1775" t="s">
        <v>177</v>
      </c>
      <c r="K1775" t="s">
        <v>1817</v>
      </c>
      <c r="M1775" t="s">
        <v>72</v>
      </c>
      <c r="N1775" t="s">
        <v>1818</v>
      </c>
      <c r="O1775" t="s">
        <v>1817</v>
      </c>
      <c r="P1775" t="s">
        <v>1819</v>
      </c>
      <c r="Q1775" t="s">
        <v>75</v>
      </c>
      <c r="R1775" t="s">
        <v>3174</v>
      </c>
      <c r="S1775" t="s">
        <v>3363</v>
      </c>
      <c r="T1775" t="s">
        <v>78</v>
      </c>
      <c r="U1775" t="s">
        <v>1822</v>
      </c>
      <c r="V1775" t="s">
        <v>80</v>
      </c>
      <c r="W1775" s="1">
        <v>45110</v>
      </c>
      <c r="X1775" t="s">
        <v>1859</v>
      </c>
      <c r="Y1775" t="s">
        <v>3364</v>
      </c>
      <c r="Z1775" t="s">
        <v>83</v>
      </c>
      <c r="AA1775">
        <v>1</v>
      </c>
      <c r="AB1775" t="s">
        <v>367</v>
      </c>
      <c r="AC1775">
        <v>1</v>
      </c>
      <c r="AD1775" t="s">
        <v>128</v>
      </c>
      <c r="AE1775" t="s">
        <v>86</v>
      </c>
      <c r="AF1775" t="s">
        <v>402</v>
      </c>
      <c r="AG1775" t="s">
        <v>3366</v>
      </c>
      <c r="AH1775" t="s">
        <v>3370</v>
      </c>
      <c r="AI1775" t="s">
        <v>90</v>
      </c>
      <c r="AJ1775">
        <v>32.424312</v>
      </c>
      <c r="AK1775">
        <v>-110.737903</v>
      </c>
      <c r="AN1775">
        <v>2377</v>
      </c>
      <c r="AP1775">
        <v>2377</v>
      </c>
      <c r="AQ1775">
        <v>2398.503365</v>
      </c>
      <c r="AT1775">
        <v>3</v>
      </c>
      <c r="AU1775">
        <v>7</v>
      </c>
      <c r="AV1775">
        <v>2023</v>
      </c>
      <c r="AW1775">
        <v>2437967</v>
      </c>
      <c r="AX1775">
        <v>2437967</v>
      </c>
      <c r="AY1775" t="s">
        <v>106</v>
      </c>
      <c r="AZ1775" t="s">
        <v>92</v>
      </c>
      <c r="BA1775" t="s">
        <v>107</v>
      </c>
      <c r="BB1775" t="s">
        <v>3371</v>
      </c>
      <c r="BC1775" t="s">
        <v>1186</v>
      </c>
      <c r="BD1775" s="1">
        <v>45110</v>
      </c>
      <c r="BE1775" t="s">
        <v>96</v>
      </c>
      <c r="BG1775" t="s">
        <v>1187</v>
      </c>
      <c r="BI1775" t="s">
        <v>98</v>
      </c>
      <c r="BJ1775" t="s">
        <v>3372</v>
      </c>
      <c r="BL1775" t="s">
        <v>110</v>
      </c>
    </row>
    <row r="1776" spans="1:64" hidden="1" x14ac:dyDescent="0.2">
      <c r="A1776">
        <v>49</v>
      </c>
      <c r="B1776">
        <v>4403382591</v>
      </c>
      <c r="C1776" t="s">
        <v>101</v>
      </c>
      <c r="D1776" t="s">
        <v>3529</v>
      </c>
      <c r="E1776" t="s">
        <v>65</v>
      </c>
      <c r="F1776" t="s">
        <v>66</v>
      </c>
      <c r="G1776" t="s">
        <v>67</v>
      </c>
      <c r="H1776" t="s">
        <v>68</v>
      </c>
      <c r="I1776" t="s">
        <v>176</v>
      </c>
      <c r="J1776" t="s">
        <v>1173</v>
      </c>
      <c r="K1776" t="s">
        <v>3520</v>
      </c>
      <c r="M1776" t="s">
        <v>72</v>
      </c>
      <c r="N1776" t="s">
        <v>3521</v>
      </c>
      <c r="O1776" t="s">
        <v>3520</v>
      </c>
      <c r="P1776" t="s">
        <v>3522</v>
      </c>
      <c r="Q1776" t="s">
        <v>75</v>
      </c>
      <c r="R1776" t="s">
        <v>3174</v>
      </c>
      <c r="S1776" t="s">
        <v>469</v>
      </c>
      <c r="T1776" t="s">
        <v>78</v>
      </c>
      <c r="U1776" t="s">
        <v>1822</v>
      </c>
      <c r="V1776" t="s">
        <v>80</v>
      </c>
      <c r="W1776" s="1">
        <v>45110</v>
      </c>
      <c r="X1776" t="s">
        <v>1859</v>
      </c>
      <c r="Y1776" t="s">
        <v>3523</v>
      </c>
      <c r="Z1776" t="s">
        <v>83</v>
      </c>
      <c r="AA1776">
        <v>1</v>
      </c>
      <c r="AB1776" t="s">
        <v>367</v>
      </c>
      <c r="AC1776">
        <v>1</v>
      </c>
      <c r="AD1776" t="s">
        <v>128</v>
      </c>
      <c r="AE1776" t="s">
        <v>145</v>
      </c>
      <c r="AF1776" t="s">
        <v>610</v>
      </c>
      <c r="AG1776" t="s">
        <v>3525</v>
      </c>
      <c r="AH1776" t="s">
        <v>3530</v>
      </c>
      <c r="AI1776" t="s">
        <v>90</v>
      </c>
      <c r="AJ1776">
        <v>32.423138000000002</v>
      </c>
      <c r="AK1776">
        <v>-110.73394999999999</v>
      </c>
      <c r="AL1776">
        <v>3</v>
      </c>
      <c r="AN1776">
        <v>2401</v>
      </c>
      <c r="AP1776">
        <v>2401</v>
      </c>
      <c r="AQ1776">
        <v>2407.750321</v>
      </c>
      <c r="AT1776">
        <v>3</v>
      </c>
      <c r="AU1776">
        <v>7</v>
      </c>
      <c r="AV1776">
        <v>2023</v>
      </c>
      <c r="AW1776">
        <v>2437864</v>
      </c>
      <c r="AX1776">
        <v>2437864</v>
      </c>
      <c r="AY1776" t="s">
        <v>106</v>
      </c>
      <c r="AZ1776" t="s">
        <v>92</v>
      </c>
      <c r="BA1776" t="s">
        <v>107</v>
      </c>
      <c r="BB1776" t="s">
        <v>3531</v>
      </c>
      <c r="BC1776" t="s">
        <v>3528</v>
      </c>
      <c r="BD1776" s="1">
        <v>45110</v>
      </c>
      <c r="BE1776" t="s">
        <v>96</v>
      </c>
      <c r="BG1776" t="s">
        <v>1187</v>
      </c>
      <c r="BI1776" t="s">
        <v>98</v>
      </c>
      <c r="BJ1776" t="s">
        <v>3532</v>
      </c>
      <c r="BL1776" t="s">
        <v>412</v>
      </c>
    </row>
    <row r="1777" spans="1:64" x14ac:dyDescent="0.2">
      <c r="A1777">
        <v>636</v>
      </c>
      <c r="B1777">
        <v>4126336325</v>
      </c>
      <c r="C1777" t="s">
        <v>63</v>
      </c>
      <c r="D1777" t="s">
        <v>6107</v>
      </c>
      <c r="E1777" t="s">
        <v>65</v>
      </c>
      <c r="F1777" t="s">
        <v>66</v>
      </c>
      <c r="G1777" t="s">
        <v>67</v>
      </c>
      <c r="H1777" t="s">
        <v>68</v>
      </c>
      <c r="I1777" t="s">
        <v>176</v>
      </c>
      <c r="J1777" t="s">
        <v>1251</v>
      </c>
      <c r="K1777" t="s">
        <v>1252</v>
      </c>
      <c r="M1777" t="s">
        <v>72</v>
      </c>
      <c r="N1777" t="s">
        <v>1253</v>
      </c>
      <c r="O1777" t="s">
        <v>1252</v>
      </c>
      <c r="P1777" t="s">
        <v>1254</v>
      </c>
      <c r="Q1777" t="s">
        <v>75</v>
      </c>
      <c r="R1777" t="s">
        <v>5008</v>
      </c>
      <c r="S1777" t="s">
        <v>6108</v>
      </c>
      <c r="T1777" t="s">
        <v>78</v>
      </c>
      <c r="U1777" t="s">
        <v>5009</v>
      </c>
      <c r="V1777" t="s">
        <v>80</v>
      </c>
      <c r="W1777" s="1">
        <v>44905</v>
      </c>
      <c r="X1777" t="s">
        <v>5010</v>
      </c>
      <c r="Y1777" t="s">
        <v>6109</v>
      </c>
      <c r="Z1777" t="s">
        <v>83</v>
      </c>
      <c r="AA1777">
        <v>1</v>
      </c>
      <c r="AB1777" t="s">
        <v>6110</v>
      </c>
      <c r="AC1777">
        <v>1</v>
      </c>
      <c r="AD1777" s="6" t="s">
        <v>650</v>
      </c>
      <c r="AE1777" s="6" t="s">
        <v>145</v>
      </c>
      <c r="AF1777" s="6" t="s">
        <v>87</v>
      </c>
      <c r="AG1777" s="6" t="s">
        <v>6111</v>
      </c>
      <c r="AH1777" s="6" t="s">
        <v>6112</v>
      </c>
      <c r="AI1777" s="6" t="s">
        <v>90</v>
      </c>
      <c r="AJ1777" s="6">
        <v>32.314014999999998</v>
      </c>
      <c r="AK1777" s="6">
        <v>-110.712783</v>
      </c>
      <c r="AL1777" s="6">
        <v>3</v>
      </c>
      <c r="AM1777" s="6"/>
      <c r="AN1777" s="6">
        <v>1173</v>
      </c>
      <c r="AO1777" s="6"/>
      <c r="AP1777" s="6">
        <v>1173</v>
      </c>
      <c r="AQ1777" s="6">
        <v>1182.834799</v>
      </c>
      <c r="AR1777" s="6"/>
      <c r="AS1777" s="6"/>
      <c r="AT1777" s="6">
        <v>10</v>
      </c>
      <c r="AU1777" s="6">
        <v>12</v>
      </c>
      <c r="AV1777" s="6">
        <v>2022</v>
      </c>
      <c r="AW1777" s="6">
        <v>2438156</v>
      </c>
      <c r="AX1777" s="6">
        <v>2438156</v>
      </c>
      <c r="AY1777" s="6" t="s">
        <v>91</v>
      </c>
      <c r="AZ1777" t="s">
        <v>92</v>
      </c>
      <c r="BA1777" t="s">
        <v>93</v>
      </c>
      <c r="BB1777" t="s">
        <v>6113</v>
      </c>
      <c r="BC1777" t="s">
        <v>97</v>
      </c>
      <c r="BE1777" t="s">
        <v>96</v>
      </c>
      <c r="BG1777" t="s">
        <v>5499</v>
      </c>
      <c r="BI1777" t="s">
        <v>98</v>
      </c>
      <c r="BJ1777" t="s">
        <v>6114</v>
      </c>
      <c r="BK1777" t="s">
        <v>365</v>
      </c>
      <c r="BL1777" t="s">
        <v>5540</v>
      </c>
    </row>
    <row r="1778" spans="1:64" x14ac:dyDescent="0.2">
      <c r="A1778">
        <v>352</v>
      </c>
      <c r="B1778">
        <v>4403380313</v>
      </c>
      <c r="C1778" t="s">
        <v>63</v>
      </c>
      <c r="D1778" t="s">
        <v>3519</v>
      </c>
      <c r="E1778" t="s">
        <v>65</v>
      </c>
      <c r="F1778" t="s">
        <v>66</v>
      </c>
      <c r="G1778" t="s">
        <v>67</v>
      </c>
      <c r="H1778" t="s">
        <v>68</v>
      </c>
      <c r="I1778" t="s">
        <v>176</v>
      </c>
      <c r="J1778" t="s">
        <v>1173</v>
      </c>
      <c r="K1778" t="s">
        <v>3520</v>
      </c>
      <c r="M1778" t="s">
        <v>72</v>
      </c>
      <c r="N1778" t="s">
        <v>3521</v>
      </c>
      <c r="O1778" t="s">
        <v>3520</v>
      </c>
      <c r="P1778" t="s">
        <v>3522</v>
      </c>
      <c r="Q1778" t="s">
        <v>75</v>
      </c>
      <c r="R1778" t="s">
        <v>3174</v>
      </c>
      <c r="S1778" t="s">
        <v>469</v>
      </c>
      <c r="T1778" t="s">
        <v>78</v>
      </c>
      <c r="U1778" t="s">
        <v>1822</v>
      </c>
      <c r="V1778" t="s">
        <v>80</v>
      </c>
      <c r="W1778" s="1">
        <v>45110</v>
      </c>
      <c r="X1778" t="s">
        <v>1859</v>
      </c>
      <c r="Y1778" t="s">
        <v>3523</v>
      </c>
      <c r="Z1778" t="s">
        <v>83</v>
      </c>
      <c r="AA1778">
        <v>1</v>
      </c>
      <c r="AB1778" t="s">
        <v>3524</v>
      </c>
      <c r="AC1778">
        <v>1</v>
      </c>
      <c r="AD1778" s="6" t="s">
        <v>650</v>
      </c>
      <c r="AE1778" s="6" t="s">
        <v>145</v>
      </c>
      <c r="AF1778" s="6" t="s">
        <v>610</v>
      </c>
      <c r="AG1778" s="6" t="s">
        <v>3525</v>
      </c>
      <c r="AH1778" s="6" t="s">
        <v>3526</v>
      </c>
      <c r="AI1778" s="6" t="s">
        <v>90</v>
      </c>
      <c r="AJ1778" s="6">
        <v>32.423138000000002</v>
      </c>
      <c r="AK1778" s="6">
        <v>-110.73394999999999</v>
      </c>
      <c r="AL1778" s="6">
        <v>3</v>
      </c>
      <c r="AM1778" s="6"/>
      <c r="AN1778" s="6">
        <v>2401</v>
      </c>
      <c r="AO1778" s="6"/>
      <c r="AP1778" s="6">
        <v>2401</v>
      </c>
      <c r="AQ1778" s="6">
        <v>2407.750321</v>
      </c>
      <c r="AR1778" s="6"/>
      <c r="AS1778" s="6"/>
      <c r="AT1778" s="6">
        <v>3</v>
      </c>
      <c r="AU1778" s="6">
        <v>7</v>
      </c>
      <c r="AV1778" s="6">
        <v>2023</v>
      </c>
      <c r="AW1778" s="6">
        <v>2437864</v>
      </c>
      <c r="AX1778" s="6">
        <v>2437864</v>
      </c>
      <c r="AY1778" s="6" t="s">
        <v>91</v>
      </c>
      <c r="AZ1778" t="s">
        <v>92</v>
      </c>
      <c r="BA1778" t="s">
        <v>93</v>
      </c>
      <c r="BB1778" t="s">
        <v>3527</v>
      </c>
      <c r="BC1778" t="s">
        <v>3528</v>
      </c>
      <c r="BD1778" s="1">
        <v>45110</v>
      </c>
      <c r="BE1778" t="s">
        <v>96</v>
      </c>
      <c r="BG1778" t="s">
        <v>1187</v>
      </c>
      <c r="BI1778" t="s">
        <v>98</v>
      </c>
      <c r="BJ1778" t="s">
        <v>474</v>
      </c>
      <c r="BK1778" t="s">
        <v>365</v>
      </c>
      <c r="BL1778" t="s">
        <v>407</v>
      </c>
    </row>
    <row r="1779" spans="1:64" x14ac:dyDescent="0.2">
      <c r="A1779">
        <v>1446</v>
      </c>
      <c r="B1779">
        <v>3748770435</v>
      </c>
      <c r="C1779" t="s">
        <v>63</v>
      </c>
      <c r="D1779" t="s">
        <v>3680</v>
      </c>
      <c r="E1779" t="s">
        <v>65</v>
      </c>
      <c r="F1779" t="s">
        <v>66</v>
      </c>
      <c r="G1779" t="s">
        <v>67</v>
      </c>
      <c r="H1779" t="s">
        <v>68</v>
      </c>
      <c r="I1779" t="s">
        <v>176</v>
      </c>
      <c r="J1779" t="s">
        <v>177</v>
      </c>
      <c r="K1779" t="s">
        <v>1817</v>
      </c>
      <c r="M1779" t="s">
        <v>72</v>
      </c>
      <c r="N1779" t="s">
        <v>1818</v>
      </c>
      <c r="O1779" t="s">
        <v>1817</v>
      </c>
      <c r="P1779" t="s">
        <v>1819</v>
      </c>
      <c r="Q1779" t="s">
        <v>75</v>
      </c>
      <c r="R1779" t="s">
        <v>3564</v>
      </c>
      <c r="S1779" t="s">
        <v>3681</v>
      </c>
      <c r="T1779" t="s">
        <v>78</v>
      </c>
      <c r="U1779" t="s">
        <v>1822</v>
      </c>
      <c r="V1779" t="s">
        <v>80</v>
      </c>
      <c r="W1779" s="1">
        <v>44508</v>
      </c>
      <c r="X1779" t="s">
        <v>1823</v>
      </c>
      <c r="Y1779" t="s">
        <v>3682</v>
      </c>
      <c r="Z1779" t="s">
        <v>83</v>
      </c>
      <c r="AA1779">
        <v>1</v>
      </c>
      <c r="AB1779" t="s">
        <v>3683</v>
      </c>
      <c r="AC1779">
        <v>1</v>
      </c>
      <c r="AD1779" s="6" t="s">
        <v>780</v>
      </c>
      <c r="AE1779" s="6" t="s">
        <v>86</v>
      </c>
      <c r="AF1779" s="6" t="s">
        <v>146</v>
      </c>
      <c r="AG1779" s="6" t="s">
        <v>3684</v>
      </c>
      <c r="AH1779" s="6" t="s">
        <v>3685</v>
      </c>
      <c r="AI1779" s="6" t="s">
        <v>90</v>
      </c>
      <c r="AJ1779" s="6">
        <v>32.441082000000002</v>
      </c>
      <c r="AK1779" s="6">
        <v>-110.785921</v>
      </c>
      <c r="AL1779" s="6">
        <v>6</v>
      </c>
      <c r="AM1779" s="6"/>
      <c r="AN1779" s="6">
        <v>2858</v>
      </c>
      <c r="AO1779" s="6"/>
      <c r="AP1779" s="6">
        <v>2858</v>
      </c>
      <c r="AQ1779" s="6">
        <v>2779.0161250000001</v>
      </c>
      <c r="AR1779" s="6"/>
      <c r="AS1779" s="6"/>
      <c r="AT1779" s="6">
        <v>8</v>
      </c>
      <c r="AU1779" s="6">
        <v>11</v>
      </c>
      <c r="AV1779" s="6">
        <v>2021</v>
      </c>
      <c r="AW1779" s="6">
        <v>2437967</v>
      </c>
      <c r="AX1779" s="6">
        <v>2437967</v>
      </c>
      <c r="AY1779" s="6" t="s">
        <v>91</v>
      </c>
      <c r="AZ1779" t="s">
        <v>92</v>
      </c>
      <c r="BA1779" t="s">
        <v>93</v>
      </c>
      <c r="BB1779" t="s">
        <v>3686</v>
      </c>
      <c r="BC1779" t="s">
        <v>1186</v>
      </c>
      <c r="BE1779" t="s">
        <v>96</v>
      </c>
      <c r="BG1779" t="s">
        <v>1186</v>
      </c>
      <c r="BI1779" t="s">
        <v>98</v>
      </c>
      <c r="BJ1779" t="s">
        <v>3687</v>
      </c>
      <c r="BL1779" t="s">
        <v>100</v>
      </c>
    </row>
    <row r="1780" spans="1:64" x14ac:dyDescent="0.2">
      <c r="A1780">
        <v>1452</v>
      </c>
      <c r="B1780">
        <v>3748770429</v>
      </c>
      <c r="C1780" t="s">
        <v>63</v>
      </c>
      <c r="D1780" s="2" t="s">
        <v>3843</v>
      </c>
      <c r="E1780" t="s">
        <v>65</v>
      </c>
      <c r="F1780" t="s">
        <v>66</v>
      </c>
      <c r="G1780" t="s">
        <v>67</v>
      </c>
      <c r="H1780" t="s">
        <v>68</v>
      </c>
      <c r="I1780" t="s">
        <v>176</v>
      </c>
      <c r="J1780" t="s">
        <v>3844</v>
      </c>
      <c r="K1780" t="s">
        <v>3845</v>
      </c>
      <c r="M1780" t="s">
        <v>72</v>
      </c>
      <c r="N1780" t="s">
        <v>3846</v>
      </c>
      <c r="O1780" t="s">
        <v>3845</v>
      </c>
      <c r="P1780" t="s">
        <v>3847</v>
      </c>
      <c r="Q1780" t="s">
        <v>75</v>
      </c>
      <c r="R1780" t="s">
        <v>3816</v>
      </c>
      <c r="S1780" t="s">
        <v>3734</v>
      </c>
      <c r="T1780" t="s">
        <v>78</v>
      </c>
      <c r="U1780" t="s">
        <v>3817</v>
      </c>
      <c r="V1780" t="s">
        <v>80</v>
      </c>
      <c r="W1780" s="1">
        <v>44519</v>
      </c>
      <c r="X1780" t="s">
        <v>3818</v>
      </c>
      <c r="Y1780" t="s">
        <v>3848</v>
      </c>
      <c r="Z1780" t="s">
        <v>83</v>
      </c>
      <c r="AA1780">
        <v>1</v>
      </c>
      <c r="AB1780" t="s">
        <v>3849</v>
      </c>
      <c r="AC1780">
        <v>1</v>
      </c>
      <c r="AD1780" s="6" t="s">
        <v>780</v>
      </c>
      <c r="AE1780" s="6" t="s">
        <v>86</v>
      </c>
      <c r="AF1780" s="6" t="s">
        <v>146</v>
      </c>
      <c r="AG1780" s="6" t="s">
        <v>3850</v>
      </c>
      <c r="AH1780" s="6" t="s">
        <v>3851</v>
      </c>
      <c r="AI1780" s="6" t="s">
        <v>90</v>
      </c>
      <c r="AJ1780" s="6">
        <v>32.516151999999998</v>
      </c>
      <c r="AK1780" s="6">
        <v>-110.688148</v>
      </c>
      <c r="AL1780" s="6">
        <v>3</v>
      </c>
      <c r="AM1780" s="6"/>
      <c r="AN1780" s="6">
        <v>1356</v>
      </c>
      <c r="AO1780" s="6"/>
      <c r="AP1780" s="6">
        <v>1356</v>
      </c>
      <c r="AQ1780" s="6">
        <v>1363.5597660000001</v>
      </c>
      <c r="AR1780" s="6"/>
      <c r="AS1780" s="6"/>
      <c r="AT1780" s="6">
        <v>19</v>
      </c>
      <c r="AU1780" s="6">
        <v>11</v>
      </c>
      <c r="AV1780" s="6">
        <v>2021</v>
      </c>
      <c r="AW1780" s="6">
        <v>2438516</v>
      </c>
      <c r="AX1780" s="6">
        <v>2438516</v>
      </c>
      <c r="AY1780" s="6" t="s">
        <v>91</v>
      </c>
      <c r="AZ1780" t="s">
        <v>92</v>
      </c>
      <c r="BA1780" t="s">
        <v>93</v>
      </c>
      <c r="BB1780" t="s">
        <v>3852</v>
      </c>
      <c r="BC1780" t="s">
        <v>97</v>
      </c>
      <c r="BE1780" t="s">
        <v>96</v>
      </c>
      <c r="BG1780" t="s">
        <v>97</v>
      </c>
      <c r="BI1780" t="s">
        <v>98</v>
      </c>
      <c r="BJ1780" t="s">
        <v>3853</v>
      </c>
      <c r="BL1780" t="s">
        <v>100</v>
      </c>
    </row>
    <row r="1781" spans="1:64" x14ac:dyDescent="0.2">
      <c r="A1781">
        <v>1467</v>
      </c>
      <c r="B1781">
        <v>3748770414</v>
      </c>
      <c r="C1781" t="s">
        <v>63</v>
      </c>
      <c r="D1781" t="s">
        <v>4163</v>
      </c>
      <c r="E1781" t="s">
        <v>65</v>
      </c>
      <c r="F1781" t="s">
        <v>66</v>
      </c>
      <c r="G1781" t="s">
        <v>67</v>
      </c>
      <c r="H1781" t="s">
        <v>68</v>
      </c>
      <c r="I1781" t="s">
        <v>69</v>
      </c>
      <c r="J1781" t="s">
        <v>70</v>
      </c>
      <c r="K1781" t="s">
        <v>4130</v>
      </c>
      <c r="M1781" t="s">
        <v>72</v>
      </c>
      <c r="N1781" t="s">
        <v>4131</v>
      </c>
      <c r="O1781" t="s">
        <v>4130</v>
      </c>
      <c r="P1781" t="s">
        <v>4132</v>
      </c>
      <c r="Q1781" t="s">
        <v>75</v>
      </c>
      <c r="R1781" t="s">
        <v>3955</v>
      </c>
      <c r="S1781" t="s">
        <v>4164</v>
      </c>
      <c r="T1781" t="s">
        <v>78</v>
      </c>
      <c r="U1781" t="s">
        <v>3817</v>
      </c>
      <c r="V1781" t="s">
        <v>80</v>
      </c>
      <c r="W1781" s="1">
        <v>44520</v>
      </c>
      <c r="X1781" t="s">
        <v>3818</v>
      </c>
      <c r="Y1781" t="s">
        <v>4165</v>
      </c>
      <c r="Z1781" t="s">
        <v>83</v>
      </c>
      <c r="AA1781">
        <v>1</v>
      </c>
      <c r="AB1781" t="s">
        <v>4166</v>
      </c>
      <c r="AC1781">
        <v>1</v>
      </c>
      <c r="AD1781" s="6" t="s">
        <v>780</v>
      </c>
      <c r="AE1781" s="6" t="s">
        <v>145</v>
      </c>
      <c r="AF1781" s="6" t="s">
        <v>146</v>
      </c>
      <c r="AG1781" s="6" t="s">
        <v>4167</v>
      </c>
      <c r="AH1781" s="6" t="s">
        <v>4168</v>
      </c>
      <c r="AI1781" s="6" t="s">
        <v>90</v>
      </c>
      <c r="AJ1781" s="6">
        <v>32.516522999999999</v>
      </c>
      <c r="AK1781" s="6">
        <v>-110.685723</v>
      </c>
      <c r="AL1781" s="6">
        <v>3</v>
      </c>
      <c r="AM1781" s="6"/>
      <c r="AN1781" s="6">
        <v>1353</v>
      </c>
      <c r="AO1781" s="6"/>
      <c r="AP1781" s="6">
        <v>1353</v>
      </c>
      <c r="AQ1781" s="6">
        <v>1348.9145679999999</v>
      </c>
      <c r="AR1781" s="6"/>
      <c r="AS1781" s="6"/>
      <c r="AT1781" s="6">
        <v>20</v>
      </c>
      <c r="AU1781" s="6">
        <v>11</v>
      </c>
      <c r="AV1781" s="6">
        <v>2021</v>
      </c>
      <c r="AW1781" s="6">
        <v>2439591</v>
      </c>
      <c r="AX1781" s="6">
        <v>2439591</v>
      </c>
      <c r="AY1781" s="6" t="s">
        <v>91</v>
      </c>
      <c r="AZ1781" t="s">
        <v>92</v>
      </c>
      <c r="BA1781" t="s">
        <v>93</v>
      </c>
      <c r="BB1781" t="s">
        <v>4169</v>
      </c>
      <c r="BC1781" t="s">
        <v>95</v>
      </c>
      <c r="BD1781" s="1">
        <v>44635</v>
      </c>
      <c r="BE1781" t="s">
        <v>96</v>
      </c>
      <c r="BG1781" t="s">
        <v>97</v>
      </c>
      <c r="BI1781" t="s">
        <v>98</v>
      </c>
      <c r="BJ1781" t="s">
        <v>99</v>
      </c>
      <c r="BL1781" t="s">
        <v>100</v>
      </c>
    </row>
    <row r="1782" spans="1:64" x14ac:dyDescent="0.2">
      <c r="A1782">
        <v>1476</v>
      </c>
      <c r="B1782">
        <v>3748770405</v>
      </c>
      <c r="C1782" t="s">
        <v>63</v>
      </c>
      <c r="D1782" t="s">
        <v>4329</v>
      </c>
      <c r="E1782" t="s">
        <v>65</v>
      </c>
      <c r="F1782" t="s">
        <v>66</v>
      </c>
      <c r="G1782" t="s">
        <v>67</v>
      </c>
      <c r="H1782" t="s">
        <v>68</v>
      </c>
      <c r="I1782" t="s">
        <v>176</v>
      </c>
      <c r="J1782" t="s">
        <v>3844</v>
      </c>
      <c r="K1782" t="s">
        <v>3845</v>
      </c>
      <c r="M1782" t="s">
        <v>72</v>
      </c>
      <c r="N1782" t="s">
        <v>3846</v>
      </c>
      <c r="O1782" t="s">
        <v>3845</v>
      </c>
      <c r="P1782" t="s">
        <v>3847</v>
      </c>
      <c r="Q1782" t="s">
        <v>75</v>
      </c>
      <c r="R1782" t="s">
        <v>4297</v>
      </c>
      <c r="S1782" t="s">
        <v>4330</v>
      </c>
      <c r="T1782" t="s">
        <v>78</v>
      </c>
      <c r="U1782" t="s">
        <v>79</v>
      </c>
      <c r="V1782" t="s">
        <v>80</v>
      </c>
      <c r="W1782" s="1">
        <v>44521</v>
      </c>
      <c r="X1782" t="s">
        <v>81</v>
      </c>
      <c r="Y1782" t="s">
        <v>4331</v>
      </c>
      <c r="Z1782" t="s">
        <v>83</v>
      </c>
      <c r="AA1782">
        <v>1</v>
      </c>
      <c r="AB1782" t="s">
        <v>4332</v>
      </c>
      <c r="AC1782">
        <v>1</v>
      </c>
      <c r="AD1782" s="6" t="s">
        <v>780</v>
      </c>
      <c r="AE1782" s="6" t="s">
        <v>86</v>
      </c>
      <c r="AF1782" s="6" t="s">
        <v>146</v>
      </c>
      <c r="AG1782" s="6" t="s">
        <v>4333</v>
      </c>
      <c r="AH1782" s="6" t="s">
        <v>4334</v>
      </c>
      <c r="AI1782" s="6" t="s">
        <v>90</v>
      </c>
      <c r="AJ1782" s="6">
        <v>32.499566000000002</v>
      </c>
      <c r="AK1782" s="6">
        <v>-110.684054</v>
      </c>
      <c r="AL1782" s="6">
        <v>3</v>
      </c>
      <c r="AM1782" s="6"/>
      <c r="AN1782" s="6">
        <v>1343</v>
      </c>
      <c r="AO1782" s="6"/>
      <c r="AP1782" s="6">
        <v>1343</v>
      </c>
      <c r="AQ1782" s="6">
        <v>1339.2074190000001</v>
      </c>
      <c r="AR1782" s="6"/>
      <c r="AS1782" s="6"/>
      <c r="AT1782" s="6">
        <v>21</v>
      </c>
      <c r="AU1782" s="6">
        <v>11</v>
      </c>
      <c r="AV1782" s="6">
        <v>2021</v>
      </c>
      <c r="AW1782" s="6">
        <v>2438516</v>
      </c>
      <c r="AX1782" s="6">
        <v>2438516</v>
      </c>
      <c r="AY1782" s="6" t="s">
        <v>91</v>
      </c>
      <c r="AZ1782" t="s">
        <v>92</v>
      </c>
      <c r="BA1782" t="s">
        <v>93</v>
      </c>
      <c r="BB1782" t="s">
        <v>4335</v>
      </c>
      <c r="BC1782" t="s">
        <v>97</v>
      </c>
      <c r="BE1782" t="s">
        <v>96</v>
      </c>
      <c r="BG1782" t="s">
        <v>97</v>
      </c>
      <c r="BI1782" t="s">
        <v>98</v>
      </c>
      <c r="BJ1782" t="s">
        <v>4336</v>
      </c>
      <c r="BL1782" t="s">
        <v>100</v>
      </c>
    </row>
    <row r="1783" spans="1:64" x14ac:dyDescent="0.2">
      <c r="A1783">
        <v>1479</v>
      </c>
      <c r="B1783">
        <v>3748770402</v>
      </c>
      <c r="C1783" t="s">
        <v>63</v>
      </c>
      <c r="D1783" t="s">
        <v>4361</v>
      </c>
      <c r="E1783" t="s">
        <v>65</v>
      </c>
      <c r="F1783" t="s">
        <v>66</v>
      </c>
      <c r="G1783" t="s">
        <v>67</v>
      </c>
      <c r="H1783" t="s">
        <v>68</v>
      </c>
      <c r="I1783" t="s">
        <v>176</v>
      </c>
      <c r="J1783" t="s">
        <v>3844</v>
      </c>
      <c r="K1783" t="s">
        <v>3845</v>
      </c>
      <c r="M1783" t="s">
        <v>72</v>
      </c>
      <c r="N1783" t="s">
        <v>3846</v>
      </c>
      <c r="O1783" t="s">
        <v>3845</v>
      </c>
      <c r="P1783" t="s">
        <v>3847</v>
      </c>
      <c r="Q1783" t="s">
        <v>75</v>
      </c>
      <c r="R1783" t="s">
        <v>4297</v>
      </c>
      <c r="S1783" t="s">
        <v>4362</v>
      </c>
      <c r="T1783" t="s">
        <v>78</v>
      </c>
      <c r="U1783" t="s">
        <v>79</v>
      </c>
      <c r="V1783" t="s">
        <v>80</v>
      </c>
      <c r="W1783" s="1">
        <v>44521</v>
      </c>
      <c r="X1783" t="s">
        <v>81</v>
      </c>
      <c r="Y1783" t="s">
        <v>4363</v>
      </c>
      <c r="Z1783" t="s">
        <v>83</v>
      </c>
      <c r="AA1783">
        <v>1</v>
      </c>
      <c r="AB1783" t="s">
        <v>4364</v>
      </c>
      <c r="AC1783">
        <v>1</v>
      </c>
      <c r="AD1783" s="6" t="s">
        <v>780</v>
      </c>
      <c r="AE1783" s="6" t="s">
        <v>145</v>
      </c>
      <c r="AF1783" s="6" t="s">
        <v>146</v>
      </c>
      <c r="AG1783" s="6" t="s">
        <v>4365</v>
      </c>
      <c r="AH1783" s="6" t="s">
        <v>4366</v>
      </c>
      <c r="AI1783" s="6" t="s">
        <v>90</v>
      </c>
      <c r="AJ1783" s="6">
        <v>32.499609999999997</v>
      </c>
      <c r="AK1783" s="6">
        <v>-110.684066</v>
      </c>
      <c r="AL1783" s="6">
        <v>3</v>
      </c>
      <c r="AM1783" s="6"/>
      <c r="AN1783" s="6">
        <v>1337</v>
      </c>
      <c r="AO1783" s="6"/>
      <c r="AP1783" s="6">
        <v>1337</v>
      </c>
      <c r="AQ1783" s="6">
        <v>1338.972019</v>
      </c>
      <c r="AR1783" s="6"/>
      <c r="AS1783" s="6"/>
      <c r="AT1783" s="6">
        <v>21</v>
      </c>
      <c r="AU1783" s="6">
        <v>11</v>
      </c>
      <c r="AV1783" s="6">
        <v>2021</v>
      </c>
      <c r="AW1783" s="6">
        <v>2438516</v>
      </c>
      <c r="AX1783" s="6">
        <v>2438516</v>
      </c>
      <c r="AY1783" s="6" t="s">
        <v>91</v>
      </c>
      <c r="AZ1783" t="s">
        <v>92</v>
      </c>
      <c r="BA1783" t="s">
        <v>93</v>
      </c>
      <c r="BB1783" t="s">
        <v>4367</v>
      </c>
      <c r="BC1783" t="s">
        <v>97</v>
      </c>
      <c r="BE1783" t="s">
        <v>96</v>
      </c>
      <c r="BG1783" t="s">
        <v>97</v>
      </c>
      <c r="BI1783" t="s">
        <v>98</v>
      </c>
      <c r="BJ1783" t="s">
        <v>285</v>
      </c>
      <c r="BL1783" t="s">
        <v>100</v>
      </c>
    </row>
    <row r="1784" spans="1:64" x14ac:dyDescent="0.2">
      <c r="A1784">
        <v>1475</v>
      </c>
      <c r="B1784">
        <v>3748770406</v>
      </c>
      <c r="C1784" t="s">
        <v>63</v>
      </c>
      <c r="D1784" t="s">
        <v>4431</v>
      </c>
      <c r="E1784" t="s">
        <v>65</v>
      </c>
      <c r="F1784" t="s">
        <v>66</v>
      </c>
      <c r="G1784" t="s">
        <v>67</v>
      </c>
      <c r="H1784" t="s">
        <v>68</v>
      </c>
      <c r="I1784" t="s">
        <v>176</v>
      </c>
      <c r="J1784" t="s">
        <v>3844</v>
      </c>
      <c r="K1784" t="s">
        <v>3845</v>
      </c>
      <c r="M1784" t="s">
        <v>72</v>
      </c>
      <c r="N1784" t="s">
        <v>3846</v>
      </c>
      <c r="O1784" t="s">
        <v>3845</v>
      </c>
      <c r="P1784" t="s">
        <v>3847</v>
      </c>
      <c r="Q1784" t="s">
        <v>75</v>
      </c>
      <c r="R1784" t="s">
        <v>4297</v>
      </c>
      <c r="S1784" t="s">
        <v>4432</v>
      </c>
      <c r="T1784" t="s">
        <v>78</v>
      </c>
      <c r="U1784" t="s">
        <v>79</v>
      </c>
      <c r="V1784" t="s">
        <v>80</v>
      </c>
      <c r="W1784" s="1">
        <v>44521</v>
      </c>
      <c r="X1784" t="s">
        <v>81</v>
      </c>
      <c r="Y1784" t="s">
        <v>4433</v>
      </c>
      <c r="Z1784" t="s">
        <v>83</v>
      </c>
      <c r="AA1784">
        <v>1</v>
      </c>
      <c r="AB1784" t="s">
        <v>4434</v>
      </c>
      <c r="AC1784">
        <v>1</v>
      </c>
      <c r="AD1784" s="6" t="s">
        <v>780</v>
      </c>
      <c r="AE1784" s="6" t="s">
        <v>145</v>
      </c>
      <c r="AF1784" s="6" t="s">
        <v>281</v>
      </c>
      <c r="AG1784" s="6" t="s">
        <v>4435</v>
      </c>
      <c r="AH1784" s="6" t="s">
        <v>4436</v>
      </c>
      <c r="AI1784" s="6" t="s">
        <v>90</v>
      </c>
      <c r="AJ1784" s="6">
        <v>32.499175999999999</v>
      </c>
      <c r="AK1784" s="6">
        <v>-110.682423</v>
      </c>
      <c r="AL1784" s="6">
        <v>3</v>
      </c>
      <c r="AM1784" s="6"/>
      <c r="AN1784" s="6">
        <v>1315</v>
      </c>
      <c r="AO1784" s="6"/>
      <c r="AP1784" s="6">
        <v>1315</v>
      </c>
      <c r="AQ1784" s="6">
        <v>1320.239654</v>
      </c>
      <c r="AR1784" s="6"/>
      <c r="AS1784" s="6"/>
      <c r="AT1784" s="6">
        <v>21</v>
      </c>
      <c r="AU1784" s="6">
        <v>11</v>
      </c>
      <c r="AV1784" s="6">
        <v>2021</v>
      </c>
      <c r="AW1784" s="6">
        <v>2438516</v>
      </c>
      <c r="AX1784" s="6">
        <v>2438516</v>
      </c>
      <c r="AY1784" s="6" t="s">
        <v>91</v>
      </c>
      <c r="AZ1784" t="s">
        <v>92</v>
      </c>
      <c r="BA1784" t="s">
        <v>93</v>
      </c>
      <c r="BB1784" t="s">
        <v>4437</v>
      </c>
      <c r="BC1784" t="s">
        <v>97</v>
      </c>
      <c r="BE1784" t="s">
        <v>96</v>
      </c>
      <c r="BG1784" t="s">
        <v>97</v>
      </c>
      <c r="BI1784" t="s">
        <v>98</v>
      </c>
      <c r="BJ1784" t="s">
        <v>4438</v>
      </c>
      <c r="BL1784" t="s">
        <v>407</v>
      </c>
    </row>
    <row r="1785" spans="1:64" x14ac:dyDescent="0.2">
      <c r="A1785">
        <v>1425</v>
      </c>
      <c r="B1785">
        <v>4022922320</v>
      </c>
      <c r="C1785" t="s">
        <v>63</v>
      </c>
      <c r="D1785" t="s">
        <v>4530</v>
      </c>
      <c r="E1785" t="s">
        <v>65</v>
      </c>
      <c r="F1785" t="s">
        <v>66</v>
      </c>
      <c r="G1785" t="s">
        <v>67</v>
      </c>
      <c r="H1785" t="s">
        <v>68</v>
      </c>
      <c r="I1785" t="s">
        <v>176</v>
      </c>
      <c r="J1785" t="s">
        <v>177</v>
      </c>
      <c r="K1785" t="s">
        <v>178</v>
      </c>
      <c r="M1785" t="s">
        <v>72</v>
      </c>
      <c r="N1785" t="s">
        <v>179</v>
      </c>
      <c r="O1785" t="s">
        <v>178</v>
      </c>
      <c r="P1785" t="s">
        <v>180</v>
      </c>
      <c r="Q1785" t="s">
        <v>75</v>
      </c>
      <c r="R1785" t="s">
        <v>4501</v>
      </c>
      <c r="S1785" t="s">
        <v>3738</v>
      </c>
      <c r="T1785" t="s">
        <v>78</v>
      </c>
      <c r="U1785" t="s">
        <v>3817</v>
      </c>
      <c r="V1785" t="s">
        <v>80</v>
      </c>
      <c r="W1785" s="1">
        <v>44534</v>
      </c>
      <c r="X1785" t="s">
        <v>4502</v>
      </c>
      <c r="Y1785" t="s">
        <v>4531</v>
      </c>
      <c r="Z1785" t="s">
        <v>83</v>
      </c>
      <c r="AA1785">
        <v>1</v>
      </c>
      <c r="AB1785" t="s">
        <v>4532</v>
      </c>
      <c r="AC1785">
        <v>1</v>
      </c>
      <c r="AD1785" s="6" t="s">
        <v>780</v>
      </c>
      <c r="AE1785" s="6" t="s">
        <v>145</v>
      </c>
      <c r="AF1785" s="6" t="s">
        <v>146</v>
      </c>
      <c r="AG1785" s="6" t="s">
        <v>4533</v>
      </c>
      <c r="AH1785" s="6" t="s">
        <v>4534</v>
      </c>
      <c r="AI1785" s="6" t="s">
        <v>90</v>
      </c>
      <c r="AJ1785" s="6">
        <v>32.337204999999997</v>
      </c>
      <c r="AK1785" s="6">
        <v>-110.720725</v>
      </c>
      <c r="AL1785" s="6">
        <v>3</v>
      </c>
      <c r="AM1785" s="6"/>
      <c r="AN1785" s="6">
        <v>1467</v>
      </c>
      <c r="AO1785" s="6"/>
      <c r="AP1785" s="6">
        <v>1467</v>
      </c>
      <c r="AQ1785" s="6">
        <v>1472.5978210000001</v>
      </c>
      <c r="AR1785" s="6"/>
      <c r="AS1785" s="6"/>
      <c r="AT1785" s="6">
        <v>4</v>
      </c>
      <c r="AU1785" s="6">
        <v>12</v>
      </c>
      <c r="AV1785" s="6">
        <v>2021</v>
      </c>
      <c r="AW1785" s="6">
        <v>2438038</v>
      </c>
      <c r="AX1785" s="6">
        <v>2438038</v>
      </c>
      <c r="AY1785" s="6" t="s">
        <v>91</v>
      </c>
      <c r="AZ1785" t="s">
        <v>92</v>
      </c>
      <c r="BA1785" t="s">
        <v>93</v>
      </c>
      <c r="BB1785" t="s">
        <v>4535</v>
      </c>
      <c r="BC1785" t="s">
        <v>1186</v>
      </c>
      <c r="BE1785" t="s">
        <v>96</v>
      </c>
      <c r="BG1785" t="s">
        <v>4507</v>
      </c>
      <c r="BI1785" t="s">
        <v>98</v>
      </c>
      <c r="BJ1785" t="s">
        <v>4536</v>
      </c>
      <c r="BL1785" t="s">
        <v>407</v>
      </c>
    </row>
    <row r="1786" spans="1:64" x14ac:dyDescent="0.2">
      <c r="A1786">
        <v>1429</v>
      </c>
      <c r="B1786">
        <v>4022922316</v>
      </c>
      <c r="C1786" t="s">
        <v>63</v>
      </c>
      <c r="D1786" t="s">
        <v>4580</v>
      </c>
      <c r="E1786" t="s">
        <v>65</v>
      </c>
      <c r="F1786" t="s">
        <v>66</v>
      </c>
      <c r="G1786" t="s">
        <v>67</v>
      </c>
      <c r="H1786" t="s">
        <v>68</v>
      </c>
      <c r="I1786" t="s">
        <v>69</v>
      </c>
      <c r="J1786" t="s">
        <v>70</v>
      </c>
      <c r="K1786" t="s">
        <v>71</v>
      </c>
      <c r="M1786" t="s">
        <v>72</v>
      </c>
      <c r="N1786" t="s">
        <v>73</v>
      </c>
      <c r="O1786" t="s">
        <v>71</v>
      </c>
      <c r="P1786" t="s">
        <v>74</v>
      </c>
      <c r="Q1786" t="s">
        <v>75</v>
      </c>
      <c r="R1786" t="s">
        <v>4501</v>
      </c>
      <c r="S1786" t="s">
        <v>4581</v>
      </c>
      <c r="T1786" t="s">
        <v>78</v>
      </c>
      <c r="U1786" t="s">
        <v>3817</v>
      </c>
      <c r="V1786" t="s">
        <v>80</v>
      </c>
      <c r="W1786" s="1">
        <v>44534</v>
      </c>
      <c r="X1786" t="s">
        <v>4502</v>
      </c>
      <c r="Y1786" t="s">
        <v>4582</v>
      </c>
      <c r="Z1786" t="s">
        <v>83</v>
      </c>
      <c r="AA1786">
        <v>1</v>
      </c>
      <c r="AB1786" t="s">
        <v>4583</v>
      </c>
      <c r="AC1786">
        <v>1</v>
      </c>
      <c r="AD1786" s="6" t="s">
        <v>780</v>
      </c>
      <c r="AE1786" s="6" t="s">
        <v>145</v>
      </c>
      <c r="AF1786" s="6" t="s">
        <v>281</v>
      </c>
      <c r="AG1786" s="6" t="s">
        <v>4584</v>
      </c>
      <c r="AH1786" s="6"/>
      <c r="AI1786" s="6" t="s">
        <v>90</v>
      </c>
      <c r="AJ1786" s="6">
        <v>32.337339</v>
      </c>
      <c r="AK1786" s="6">
        <v>-110.719842</v>
      </c>
      <c r="AL1786" s="6">
        <v>3</v>
      </c>
      <c r="AM1786" s="6"/>
      <c r="AN1786" s="6">
        <v>1467</v>
      </c>
      <c r="AO1786" s="6"/>
      <c r="AP1786" s="6">
        <v>1467</v>
      </c>
      <c r="AQ1786" s="6">
        <v>1480.3733520000001</v>
      </c>
      <c r="AR1786" s="6"/>
      <c r="AS1786" s="6"/>
      <c r="AT1786" s="6">
        <v>4</v>
      </c>
      <c r="AU1786" s="6">
        <v>12</v>
      </c>
      <c r="AV1786" s="6">
        <v>2021</v>
      </c>
      <c r="AW1786" s="6">
        <v>2439581</v>
      </c>
      <c r="AX1786" s="6">
        <v>2439581</v>
      </c>
      <c r="AY1786" s="6" t="s">
        <v>91</v>
      </c>
      <c r="AZ1786" t="s">
        <v>92</v>
      </c>
      <c r="BA1786" t="s">
        <v>93</v>
      </c>
      <c r="BB1786" t="s">
        <v>4585</v>
      </c>
      <c r="BC1786" t="s">
        <v>1186</v>
      </c>
      <c r="BE1786" t="s">
        <v>96</v>
      </c>
      <c r="BG1786" t="s">
        <v>4507</v>
      </c>
      <c r="BI1786" t="s">
        <v>98</v>
      </c>
      <c r="BJ1786" t="s">
        <v>4586</v>
      </c>
      <c r="BL1786" t="s">
        <v>407</v>
      </c>
    </row>
    <row r="1787" spans="1:64" x14ac:dyDescent="0.2">
      <c r="A1787">
        <v>1428</v>
      </c>
      <c r="B1787">
        <v>4022922317</v>
      </c>
      <c r="C1787" t="s">
        <v>63</v>
      </c>
      <c r="D1787" t="s">
        <v>5281</v>
      </c>
      <c r="E1787" t="s">
        <v>65</v>
      </c>
      <c r="F1787" t="s">
        <v>66</v>
      </c>
      <c r="G1787" t="s">
        <v>67</v>
      </c>
      <c r="H1787" t="s">
        <v>68</v>
      </c>
      <c r="I1787" t="s">
        <v>69</v>
      </c>
      <c r="J1787" t="s">
        <v>70</v>
      </c>
      <c r="K1787" t="s">
        <v>71</v>
      </c>
      <c r="M1787" t="s">
        <v>72</v>
      </c>
      <c r="N1787" t="s">
        <v>73</v>
      </c>
      <c r="O1787" t="s">
        <v>71</v>
      </c>
      <c r="P1787" t="s">
        <v>74</v>
      </c>
      <c r="Q1787" t="s">
        <v>75</v>
      </c>
      <c r="R1787" t="s">
        <v>5008</v>
      </c>
      <c r="S1787" t="s">
        <v>5282</v>
      </c>
      <c r="T1787" t="s">
        <v>78</v>
      </c>
      <c r="U1787" t="s">
        <v>5009</v>
      </c>
      <c r="V1787" t="s">
        <v>80</v>
      </c>
      <c r="W1787" s="1">
        <v>44534</v>
      </c>
      <c r="X1787" t="s">
        <v>5010</v>
      </c>
      <c r="Y1787" t="s">
        <v>5283</v>
      </c>
      <c r="Z1787" t="s">
        <v>83</v>
      </c>
      <c r="AA1787">
        <v>1</v>
      </c>
      <c r="AB1787" t="s">
        <v>5284</v>
      </c>
      <c r="AC1787">
        <v>1</v>
      </c>
      <c r="AD1787" s="6" t="s">
        <v>780</v>
      </c>
      <c r="AE1787" s="6" t="s">
        <v>86</v>
      </c>
      <c r="AF1787" s="6" t="s">
        <v>146</v>
      </c>
      <c r="AG1787" s="6" t="s">
        <v>5285</v>
      </c>
      <c r="AH1787" s="6"/>
      <c r="AI1787" s="6" t="s">
        <v>90</v>
      </c>
      <c r="AJ1787" s="6">
        <v>32.314162000000003</v>
      </c>
      <c r="AK1787" s="6">
        <v>-110.712628</v>
      </c>
      <c r="AL1787" s="6">
        <v>3</v>
      </c>
      <c r="AM1787" s="6"/>
      <c r="AN1787" s="6">
        <v>1188</v>
      </c>
      <c r="AO1787" s="6"/>
      <c r="AP1787" s="6">
        <v>1188</v>
      </c>
      <c r="AQ1787" s="6">
        <v>1182.76694</v>
      </c>
      <c r="AR1787" s="6"/>
      <c r="AS1787" s="6"/>
      <c r="AT1787" s="6">
        <v>4</v>
      </c>
      <c r="AU1787" s="6">
        <v>12</v>
      </c>
      <c r="AV1787" s="6">
        <v>2021</v>
      </c>
      <c r="AW1787" s="6">
        <v>2439581</v>
      </c>
      <c r="AX1787" s="6">
        <v>2439581</v>
      </c>
      <c r="AY1787" s="6" t="s">
        <v>91</v>
      </c>
      <c r="AZ1787" t="s">
        <v>92</v>
      </c>
      <c r="BA1787" t="s">
        <v>93</v>
      </c>
      <c r="BB1787" t="s">
        <v>5286</v>
      </c>
      <c r="BC1787" t="s">
        <v>1186</v>
      </c>
      <c r="BE1787" t="s">
        <v>96</v>
      </c>
      <c r="BG1787" t="s">
        <v>4507</v>
      </c>
      <c r="BI1787" t="s">
        <v>98</v>
      </c>
      <c r="BJ1787" t="s">
        <v>5236</v>
      </c>
      <c r="BL1787" t="s">
        <v>100</v>
      </c>
    </row>
    <row r="1788" spans="1:64" x14ac:dyDescent="0.2">
      <c r="A1788">
        <v>1141</v>
      </c>
      <c r="B1788">
        <v>4027014308</v>
      </c>
      <c r="C1788" t="s">
        <v>63</v>
      </c>
      <c r="D1788" t="s">
        <v>772</v>
      </c>
      <c r="E1788" t="s">
        <v>65</v>
      </c>
      <c r="F1788" t="s">
        <v>66</v>
      </c>
      <c r="G1788" t="s">
        <v>67</v>
      </c>
      <c r="H1788" t="s">
        <v>68</v>
      </c>
      <c r="I1788" t="s">
        <v>176</v>
      </c>
      <c r="J1788" t="s">
        <v>773</v>
      </c>
      <c r="K1788" t="s">
        <v>774</v>
      </c>
      <c r="M1788" t="s">
        <v>72</v>
      </c>
      <c r="N1788" t="s">
        <v>775</v>
      </c>
      <c r="O1788" t="s">
        <v>774</v>
      </c>
      <c r="P1788" t="s">
        <v>776</v>
      </c>
      <c r="Q1788" t="s">
        <v>75</v>
      </c>
      <c r="R1788" t="s">
        <v>644</v>
      </c>
      <c r="S1788" t="s">
        <v>777</v>
      </c>
      <c r="T1788" t="s">
        <v>78</v>
      </c>
      <c r="U1788" t="s">
        <v>646</v>
      </c>
      <c r="V1788" t="s">
        <v>80</v>
      </c>
      <c r="W1788" s="1">
        <v>44694</v>
      </c>
      <c r="X1788" t="s">
        <v>647</v>
      </c>
      <c r="Y1788" t="s">
        <v>778</v>
      </c>
      <c r="Z1788" t="s">
        <v>83</v>
      </c>
      <c r="AA1788">
        <v>1</v>
      </c>
      <c r="AB1788" t="s">
        <v>779</v>
      </c>
      <c r="AC1788">
        <v>1</v>
      </c>
      <c r="AD1788" s="6" t="s">
        <v>780</v>
      </c>
      <c r="AE1788" s="6" t="s">
        <v>86</v>
      </c>
      <c r="AF1788" s="6" t="s">
        <v>146</v>
      </c>
      <c r="AG1788" s="6" t="s">
        <v>781</v>
      </c>
      <c r="AH1788" s="6" t="s">
        <v>782</v>
      </c>
      <c r="AI1788" s="6" t="s">
        <v>90</v>
      </c>
      <c r="AJ1788" s="6">
        <v>32.387774</v>
      </c>
      <c r="AK1788" s="6">
        <v>-110.712733</v>
      </c>
      <c r="AL1788" s="6">
        <v>6</v>
      </c>
      <c r="AM1788" s="6"/>
      <c r="AN1788" s="6">
        <v>2081</v>
      </c>
      <c r="AO1788" s="6"/>
      <c r="AP1788" s="6">
        <v>2081</v>
      </c>
      <c r="AQ1788" s="6">
        <v>2124.524656</v>
      </c>
      <c r="AR1788" s="6"/>
      <c r="AS1788" s="6"/>
      <c r="AT1788" s="6">
        <v>13</v>
      </c>
      <c r="AU1788" s="6">
        <v>5</v>
      </c>
      <c r="AV1788" s="6">
        <v>2022</v>
      </c>
      <c r="AW1788" s="6">
        <v>2438447</v>
      </c>
      <c r="AX1788" s="6">
        <v>2438447</v>
      </c>
      <c r="AY1788" s="6" t="s">
        <v>91</v>
      </c>
      <c r="AZ1788" t="s">
        <v>92</v>
      </c>
      <c r="BA1788" t="s">
        <v>93</v>
      </c>
      <c r="BB1788" t="s">
        <v>783</v>
      </c>
      <c r="BC1788" t="s">
        <v>97</v>
      </c>
      <c r="BE1788" t="s">
        <v>96</v>
      </c>
      <c r="BG1788" t="s">
        <v>654</v>
      </c>
      <c r="BI1788" t="s">
        <v>98</v>
      </c>
      <c r="BJ1788" t="s">
        <v>733</v>
      </c>
      <c r="BL1788" t="s">
        <v>100</v>
      </c>
    </row>
    <row r="1789" spans="1:64" x14ac:dyDescent="0.2">
      <c r="A1789">
        <v>1148</v>
      </c>
      <c r="B1789">
        <v>4027014301</v>
      </c>
      <c r="C1789" t="s">
        <v>63</v>
      </c>
      <c r="D1789" t="s">
        <v>1855</v>
      </c>
      <c r="E1789" t="s">
        <v>65</v>
      </c>
      <c r="F1789" t="s">
        <v>66</v>
      </c>
      <c r="G1789" t="s">
        <v>67</v>
      </c>
      <c r="H1789" t="s">
        <v>68</v>
      </c>
      <c r="I1789" t="s">
        <v>176</v>
      </c>
      <c r="J1789" t="s">
        <v>177</v>
      </c>
      <c r="K1789" t="s">
        <v>1817</v>
      </c>
      <c r="M1789" t="s">
        <v>72</v>
      </c>
      <c r="N1789" t="s">
        <v>1856</v>
      </c>
      <c r="O1789" t="s">
        <v>1817</v>
      </c>
      <c r="P1789" t="s">
        <v>1857</v>
      </c>
      <c r="Q1789" t="s">
        <v>75</v>
      </c>
      <c r="R1789" t="s">
        <v>1858</v>
      </c>
      <c r="S1789" t="s">
        <v>645</v>
      </c>
      <c r="T1789" t="s">
        <v>78</v>
      </c>
      <c r="U1789" t="s">
        <v>1822</v>
      </c>
      <c r="V1789" t="s">
        <v>80</v>
      </c>
      <c r="W1789" s="1">
        <v>44696</v>
      </c>
      <c r="X1789" t="s">
        <v>1859</v>
      </c>
      <c r="Y1789" t="s">
        <v>1860</v>
      </c>
      <c r="Z1789" t="s">
        <v>83</v>
      </c>
      <c r="AA1789">
        <v>1</v>
      </c>
      <c r="AB1789" t="s">
        <v>1861</v>
      </c>
      <c r="AC1789">
        <v>1</v>
      </c>
      <c r="AD1789" s="6" t="s">
        <v>780</v>
      </c>
      <c r="AE1789" s="6" t="s">
        <v>145</v>
      </c>
      <c r="AF1789" s="6" t="s">
        <v>146</v>
      </c>
      <c r="AG1789" s="6" t="s">
        <v>1862</v>
      </c>
      <c r="AH1789" s="6" t="s">
        <v>1863</v>
      </c>
      <c r="AI1789" s="6" t="s">
        <v>90</v>
      </c>
      <c r="AJ1789" s="6">
        <v>32.425986999999999</v>
      </c>
      <c r="AK1789" s="6">
        <v>-110.740407</v>
      </c>
      <c r="AL1789" s="6">
        <v>4</v>
      </c>
      <c r="AM1789" s="6"/>
      <c r="AN1789" s="6">
        <v>2364</v>
      </c>
      <c r="AO1789" s="6"/>
      <c r="AP1789" s="6">
        <v>2364</v>
      </c>
      <c r="AQ1789" s="6">
        <v>2385.7346400000001</v>
      </c>
      <c r="AR1789" s="6"/>
      <c r="AS1789" s="6"/>
      <c r="AT1789" s="6">
        <v>15</v>
      </c>
      <c r="AU1789" s="6">
        <v>5</v>
      </c>
      <c r="AV1789" s="6">
        <v>2022</v>
      </c>
      <c r="AW1789" s="6">
        <v>2438019</v>
      </c>
      <c r="AX1789" s="6">
        <v>2438019</v>
      </c>
      <c r="AY1789" s="6" t="s">
        <v>91</v>
      </c>
      <c r="AZ1789" t="s">
        <v>92</v>
      </c>
      <c r="BA1789" t="s">
        <v>93</v>
      </c>
      <c r="BB1789" t="s">
        <v>1864</v>
      </c>
      <c r="BC1789" t="s">
        <v>97</v>
      </c>
      <c r="BE1789" t="s">
        <v>96</v>
      </c>
      <c r="BG1789" t="s">
        <v>1865</v>
      </c>
      <c r="BI1789" t="s">
        <v>98</v>
      </c>
      <c r="BJ1789" t="s">
        <v>1866</v>
      </c>
      <c r="BK1789" t="s">
        <v>365</v>
      </c>
      <c r="BL1789" t="s">
        <v>100</v>
      </c>
    </row>
    <row r="1790" spans="1:64" x14ac:dyDescent="0.2">
      <c r="A1790">
        <v>1144</v>
      </c>
      <c r="B1790">
        <v>4027014305</v>
      </c>
      <c r="C1790" t="s">
        <v>63</v>
      </c>
      <c r="D1790" t="s">
        <v>1958</v>
      </c>
      <c r="E1790" t="s">
        <v>65</v>
      </c>
      <c r="F1790" t="s">
        <v>66</v>
      </c>
      <c r="G1790" t="s">
        <v>67</v>
      </c>
      <c r="H1790" t="s">
        <v>68</v>
      </c>
      <c r="I1790" t="s">
        <v>176</v>
      </c>
      <c r="J1790" t="s">
        <v>177</v>
      </c>
      <c r="K1790" t="s">
        <v>1817</v>
      </c>
      <c r="M1790" t="s">
        <v>72</v>
      </c>
      <c r="N1790" t="s">
        <v>1818</v>
      </c>
      <c r="O1790" t="s">
        <v>1817</v>
      </c>
      <c r="P1790" t="s">
        <v>1819</v>
      </c>
      <c r="Q1790" t="s">
        <v>75</v>
      </c>
      <c r="R1790" t="s">
        <v>1858</v>
      </c>
      <c r="S1790" t="s">
        <v>763</v>
      </c>
      <c r="T1790" t="s">
        <v>78</v>
      </c>
      <c r="U1790" t="s">
        <v>1822</v>
      </c>
      <c r="V1790" t="s">
        <v>80</v>
      </c>
      <c r="W1790" s="1">
        <v>44696</v>
      </c>
      <c r="X1790" t="s">
        <v>1859</v>
      </c>
      <c r="Y1790" t="s">
        <v>1959</v>
      </c>
      <c r="Z1790" t="s">
        <v>83</v>
      </c>
      <c r="AA1790">
        <v>1</v>
      </c>
      <c r="AB1790" t="s">
        <v>1960</v>
      </c>
      <c r="AC1790">
        <v>1</v>
      </c>
      <c r="AD1790" s="6" t="s">
        <v>780</v>
      </c>
      <c r="AE1790" s="6" t="s">
        <v>145</v>
      </c>
      <c r="AF1790" s="6" t="s">
        <v>146</v>
      </c>
      <c r="AG1790" s="6" t="s">
        <v>1961</v>
      </c>
      <c r="AH1790" s="6" t="s">
        <v>1962</v>
      </c>
      <c r="AI1790" s="6" t="s">
        <v>90</v>
      </c>
      <c r="AJ1790" s="6">
        <v>32.425590999999997</v>
      </c>
      <c r="AK1790" s="6">
        <v>-110.739936</v>
      </c>
      <c r="AL1790" s="6">
        <v>3</v>
      </c>
      <c r="AM1790" s="6"/>
      <c r="AN1790" s="6">
        <v>2365</v>
      </c>
      <c r="AO1790" s="6"/>
      <c r="AP1790" s="6">
        <v>2365</v>
      </c>
      <c r="AQ1790" s="6">
        <v>2383.5533959999998</v>
      </c>
      <c r="AR1790" s="6"/>
      <c r="AS1790" s="6"/>
      <c r="AT1790" s="6">
        <v>15</v>
      </c>
      <c r="AU1790" s="6">
        <v>5</v>
      </c>
      <c r="AV1790" s="6">
        <v>2022</v>
      </c>
      <c r="AW1790" s="6">
        <v>2437967</v>
      </c>
      <c r="AX1790" s="6">
        <v>2437967</v>
      </c>
      <c r="AY1790" s="6" t="s">
        <v>91</v>
      </c>
      <c r="AZ1790" t="s">
        <v>92</v>
      </c>
      <c r="BA1790" t="s">
        <v>93</v>
      </c>
      <c r="BB1790" t="s">
        <v>1963</v>
      </c>
      <c r="BC1790" t="s">
        <v>97</v>
      </c>
      <c r="BE1790" t="s">
        <v>96</v>
      </c>
      <c r="BG1790" t="s">
        <v>1865</v>
      </c>
      <c r="BI1790" t="s">
        <v>98</v>
      </c>
      <c r="BJ1790" t="s">
        <v>1902</v>
      </c>
      <c r="BK1790" t="s">
        <v>365</v>
      </c>
      <c r="BL1790" t="s">
        <v>100</v>
      </c>
    </row>
    <row r="1791" spans="1:64" x14ac:dyDescent="0.2">
      <c r="A1791">
        <v>1136</v>
      </c>
      <c r="B1791">
        <v>4027014313</v>
      </c>
      <c r="C1791" t="s">
        <v>63</v>
      </c>
      <c r="D1791" t="s">
        <v>2090</v>
      </c>
      <c r="E1791" t="s">
        <v>65</v>
      </c>
      <c r="F1791" t="s">
        <v>66</v>
      </c>
      <c r="G1791" t="s">
        <v>67</v>
      </c>
      <c r="H1791" t="s">
        <v>68</v>
      </c>
      <c r="I1791" t="s">
        <v>176</v>
      </c>
      <c r="J1791" t="s">
        <v>177</v>
      </c>
      <c r="K1791" t="s">
        <v>1817</v>
      </c>
      <c r="M1791" t="s">
        <v>72</v>
      </c>
      <c r="N1791" t="s">
        <v>1818</v>
      </c>
      <c r="O1791" t="s">
        <v>1817</v>
      </c>
      <c r="P1791" t="s">
        <v>1819</v>
      </c>
      <c r="Q1791" t="s">
        <v>75</v>
      </c>
      <c r="R1791" t="s">
        <v>1858</v>
      </c>
      <c r="S1791" t="s">
        <v>2091</v>
      </c>
      <c r="T1791" t="s">
        <v>78</v>
      </c>
      <c r="U1791" t="s">
        <v>1822</v>
      </c>
      <c r="V1791" t="s">
        <v>80</v>
      </c>
      <c r="W1791" s="1">
        <v>44696</v>
      </c>
      <c r="X1791" t="s">
        <v>1859</v>
      </c>
      <c r="Y1791" t="s">
        <v>2092</v>
      </c>
      <c r="Z1791" t="s">
        <v>83</v>
      </c>
      <c r="AA1791">
        <v>1</v>
      </c>
      <c r="AB1791" t="s">
        <v>2093</v>
      </c>
      <c r="AC1791">
        <v>1</v>
      </c>
      <c r="AD1791" s="6" t="s">
        <v>780</v>
      </c>
      <c r="AE1791" s="6" t="s">
        <v>86</v>
      </c>
      <c r="AF1791" s="6" t="s">
        <v>146</v>
      </c>
      <c r="AG1791" s="6" t="s">
        <v>2094</v>
      </c>
      <c r="AH1791" s="6" t="s">
        <v>2095</v>
      </c>
      <c r="AI1791" s="6" t="s">
        <v>90</v>
      </c>
      <c r="AJ1791" s="6">
        <v>32.425035999999999</v>
      </c>
      <c r="AK1791" s="6">
        <v>-110.74028800000001</v>
      </c>
      <c r="AL1791" s="6">
        <v>4</v>
      </c>
      <c r="AM1791" s="6"/>
      <c r="AN1791" s="6">
        <v>2401</v>
      </c>
      <c r="AO1791" s="6"/>
      <c r="AP1791" s="6">
        <v>2401</v>
      </c>
      <c r="AQ1791" s="6">
        <v>2410.9486449999999</v>
      </c>
      <c r="AR1791" s="6"/>
      <c r="AS1791" s="6"/>
      <c r="AT1791" s="6">
        <v>15</v>
      </c>
      <c r="AU1791" s="6">
        <v>5</v>
      </c>
      <c r="AV1791" s="6">
        <v>2022</v>
      </c>
      <c r="AW1791" s="6">
        <v>2437967</v>
      </c>
      <c r="AX1791" s="6">
        <v>2437967</v>
      </c>
      <c r="AY1791" s="6" t="s">
        <v>91</v>
      </c>
      <c r="AZ1791" t="s">
        <v>92</v>
      </c>
      <c r="BA1791" t="s">
        <v>93</v>
      </c>
      <c r="BB1791" t="s">
        <v>2096</v>
      </c>
      <c r="BC1791" t="s">
        <v>97</v>
      </c>
      <c r="BE1791" t="s">
        <v>96</v>
      </c>
      <c r="BG1791" t="s">
        <v>1865</v>
      </c>
      <c r="BI1791" t="s">
        <v>98</v>
      </c>
      <c r="BJ1791" t="s">
        <v>2097</v>
      </c>
      <c r="BL1791" t="s">
        <v>100</v>
      </c>
    </row>
    <row r="1792" spans="1:64" x14ac:dyDescent="0.2">
      <c r="A1792">
        <v>656</v>
      </c>
      <c r="B1792">
        <v>4079061314</v>
      </c>
      <c r="C1792" t="s">
        <v>63</v>
      </c>
      <c r="D1792" t="s">
        <v>2531</v>
      </c>
      <c r="E1792" t="s">
        <v>65</v>
      </c>
      <c r="F1792" t="s">
        <v>66</v>
      </c>
      <c r="G1792" t="s">
        <v>67</v>
      </c>
      <c r="H1792" t="s">
        <v>68</v>
      </c>
      <c r="I1792" t="s">
        <v>176</v>
      </c>
      <c r="J1792" t="s">
        <v>177</v>
      </c>
      <c r="K1792" t="s">
        <v>1817</v>
      </c>
      <c r="M1792" t="s">
        <v>72</v>
      </c>
      <c r="N1792" t="s">
        <v>1818</v>
      </c>
      <c r="O1792" t="s">
        <v>1817</v>
      </c>
      <c r="P1792" t="s">
        <v>1819</v>
      </c>
      <c r="Q1792" t="s">
        <v>75</v>
      </c>
      <c r="R1792" t="s">
        <v>2238</v>
      </c>
      <c r="S1792" t="s">
        <v>2532</v>
      </c>
      <c r="T1792" t="s">
        <v>78</v>
      </c>
      <c r="U1792" t="s">
        <v>1822</v>
      </c>
      <c r="V1792" t="s">
        <v>80</v>
      </c>
      <c r="W1792" s="1">
        <v>44813</v>
      </c>
      <c r="X1792" t="s">
        <v>1823</v>
      </c>
      <c r="Y1792" t="s">
        <v>2533</v>
      </c>
      <c r="Z1792" t="s">
        <v>83</v>
      </c>
      <c r="AA1792">
        <v>1</v>
      </c>
      <c r="AB1792" t="s">
        <v>2534</v>
      </c>
      <c r="AC1792">
        <v>1</v>
      </c>
      <c r="AD1792" s="6" t="s">
        <v>780</v>
      </c>
      <c r="AE1792" s="6" t="s">
        <v>145</v>
      </c>
      <c r="AF1792" s="6" t="s">
        <v>146</v>
      </c>
      <c r="AG1792" s="6" t="s">
        <v>344</v>
      </c>
      <c r="AH1792" s="6" t="s">
        <v>2535</v>
      </c>
      <c r="AI1792" s="6" t="s">
        <v>90</v>
      </c>
      <c r="AJ1792" s="6">
        <v>32.441161000000001</v>
      </c>
      <c r="AK1792" s="6">
        <v>-110.78694400000001</v>
      </c>
      <c r="AL1792" s="6">
        <v>15</v>
      </c>
      <c r="AM1792" s="6"/>
      <c r="AN1792" s="6">
        <v>2766</v>
      </c>
      <c r="AO1792" s="6"/>
      <c r="AP1792" s="6">
        <v>2766</v>
      </c>
      <c r="AQ1792" s="6">
        <v>2787.5583999999999</v>
      </c>
      <c r="AR1792" s="6"/>
      <c r="AS1792" s="6"/>
      <c r="AT1792" s="6">
        <v>9</v>
      </c>
      <c r="AU1792" s="6">
        <v>9</v>
      </c>
      <c r="AV1792" s="6">
        <v>2022</v>
      </c>
      <c r="AW1792" s="6">
        <v>2437967</v>
      </c>
      <c r="AX1792" s="6">
        <v>2437967</v>
      </c>
      <c r="AY1792" s="6" t="s">
        <v>91</v>
      </c>
      <c r="AZ1792" t="s">
        <v>92</v>
      </c>
      <c r="BA1792" t="s">
        <v>93</v>
      </c>
      <c r="BB1792" t="s">
        <v>2536</v>
      </c>
      <c r="BC1792" t="s">
        <v>2245</v>
      </c>
      <c r="BE1792" t="s">
        <v>96</v>
      </c>
      <c r="BG1792" t="s">
        <v>2246</v>
      </c>
      <c r="BI1792" t="s">
        <v>98</v>
      </c>
      <c r="BJ1792" t="s">
        <v>2537</v>
      </c>
      <c r="BK1792" t="s">
        <v>365</v>
      </c>
      <c r="BL1792" t="s">
        <v>407</v>
      </c>
    </row>
    <row r="1793" spans="1:64" x14ac:dyDescent="0.2">
      <c r="A1793">
        <v>361</v>
      </c>
      <c r="B1793">
        <v>4403380302</v>
      </c>
      <c r="C1793" t="s">
        <v>63</v>
      </c>
      <c r="D1793" t="s">
        <v>3302</v>
      </c>
      <c r="E1793" t="s">
        <v>65</v>
      </c>
      <c r="F1793" t="s">
        <v>66</v>
      </c>
      <c r="G1793" t="s">
        <v>67</v>
      </c>
      <c r="H1793" t="s">
        <v>68</v>
      </c>
      <c r="I1793" t="s">
        <v>176</v>
      </c>
      <c r="J1793" t="s">
        <v>177</v>
      </c>
      <c r="K1793" t="s">
        <v>1817</v>
      </c>
      <c r="M1793" t="s">
        <v>72</v>
      </c>
      <c r="N1793" t="s">
        <v>1856</v>
      </c>
      <c r="O1793" t="s">
        <v>1817</v>
      </c>
      <c r="P1793" t="s">
        <v>1857</v>
      </c>
      <c r="Q1793" t="s">
        <v>75</v>
      </c>
      <c r="R1793" t="s">
        <v>3174</v>
      </c>
      <c r="S1793" t="s">
        <v>1751</v>
      </c>
      <c r="T1793" t="s">
        <v>78</v>
      </c>
      <c r="U1793" t="s">
        <v>1822</v>
      </c>
      <c r="V1793" t="s">
        <v>80</v>
      </c>
      <c r="W1793" s="1">
        <v>45110</v>
      </c>
      <c r="X1793" t="s">
        <v>1859</v>
      </c>
      <c r="Y1793" t="s">
        <v>3303</v>
      </c>
      <c r="Z1793" t="s">
        <v>83</v>
      </c>
      <c r="AA1793">
        <v>1</v>
      </c>
      <c r="AB1793" t="s">
        <v>3304</v>
      </c>
      <c r="AC1793">
        <v>1</v>
      </c>
      <c r="AD1793" s="6" t="s">
        <v>780</v>
      </c>
      <c r="AE1793" s="6" t="s">
        <v>86</v>
      </c>
      <c r="AF1793" s="6" t="s">
        <v>402</v>
      </c>
      <c r="AG1793" s="6" t="s">
        <v>3305</v>
      </c>
      <c r="AH1793" s="6" t="s">
        <v>3306</v>
      </c>
      <c r="AI1793" s="6" t="s">
        <v>90</v>
      </c>
      <c r="AJ1793" s="6">
        <v>32.424745999999999</v>
      </c>
      <c r="AK1793" s="6">
        <v>-110.738766</v>
      </c>
      <c r="AL1793" s="6"/>
      <c r="AM1793" s="6"/>
      <c r="AN1793" s="6">
        <v>2368</v>
      </c>
      <c r="AO1793" s="6"/>
      <c r="AP1793" s="6">
        <v>2368</v>
      </c>
      <c r="AQ1793" s="6">
        <v>2389.6311989999999</v>
      </c>
      <c r="AR1793" s="6"/>
      <c r="AS1793" s="6"/>
      <c r="AT1793" s="6">
        <v>3</v>
      </c>
      <c r="AU1793" s="6">
        <v>7</v>
      </c>
      <c r="AV1793" s="6">
        <v>2023</v>
      </c>
      <c r="AW1793" s="6">
        <v>2438019</v>
      </c>
      <c r="AX1793" s="6">
        <v>2438019</v>
      </c>
      <c r="AY1793" s="6" t="s">
        <v>91</v>
      </c>
      <c r="AZ1793" t="s">
        <v>92</v>
      </c>
      <c r="BA1793" t="s">
        <v>93</v>
      </c>
      <c r="BB1793" t="s">
        <v>3307</v>
      </c>
      <c r="BC1793" t="s">
        <v>1186</v>
      </c>
      <c r="BD1793" s="1">
        <v>45110</v>
      </c>
      <c r="BE1793" t="s">
        <v>96</v>
      </c>
      <c r="BG1793" t="s">
        <v>1187</v>
      </c>
      <c r="BI1793" t="s">
        <v>98</v>
      </c>
      <c r="BJ1793" t="s">
        <v>1486</v>
      </c>
      <c r="BK1793" t="s">
        <v>365</v>
      </c>
      <c r="BL1793" t="s">
        <v>100</v>
      </c>
    </row>
    <row r="1794" spans="1:64" x14ac:dyDescent="0.2">
      <c r="A1794">
        <v>359</v>
      </c>
      <c r="B1794">
        <v>4403380306</v>
      </c>
      <c r="C1794" t="s">
        <v>63</v>
      </c>
      <c r="D1794" t="s">
        <v>3362</v>
      </c>
      <c r="E1794" t="s">
        <v>65</v>
      </c>
      <c r="F1794" t="s">
        <v>66</v>
      </c>
      <c r="G1794" t="s">
        <v>67</v>
      </c>
      <c r="H1794" t="s">
        <v>68</v>
      </c>
      <c r="I1794" t="s">
        <v>176</v>
      </c>
      <c r="J1794" t="s">
        <v>177</v>
      </c>
      <c r="K1794" t="s">
        <v>1817</v>
      </c>
      <c r="M1794" t="s">
        <v>72</v>
      </c>
      <c r="N1794" t="s">
        <v>1818</v>
      </c>
      <c r="O1794" t="s">
        <v>1817</v>
      </c>
      <c r="P1794" t="s">
        <v>1819</v>
      </c>
      <c r="Q1794" t="s">
        <v>75</v>
      </c>
      <c r="R1794" t="s">
        <v>3174</v>
      </c>
      <c r="S1794" t="s">
        <v>3363</v>
      </c>
      <c r="T1794" t="s">
        <v>78</v>
      </c>
      <c r="U1794" t="s">
        <v>1822</v>
      </c>
      <c r="V1794" t="s">
        <v>80</v>
      </c>
      <c r="W1794" s="1">
        <v>45110</v>
      </c>
      <c r="X1794" t="s">
        <v>1859</v>
      </c>
      <c r="Y1794" t="s">
        <v>3364</v>
      </c>
      <c r="Z1794" t="s">
        <v>83</v>
      </c>
      <c r="AA1794">
        <v>1</v>
      </c>
      <c r="AB1794" t="s">
        <v>3365</v>
      </c>
      <c r="AC1794">
        <v>1</v>
      </c>
      <c r="AD1794" s="6" t="s">
        <v>780</v>
      </c>
      <c r="AE1794" s="6" t="s">
        <v>86</v>
      </c>
      <c r="AF1794" s="6" t="s">
        <v>402</v>
      </c>
      <c r="AG1794" s="6" t="s">
        <v>3366</v>
      </c>
      <c r="AH1794" s="6" t="s">
        <v>3367</v>
      </c>
      <c r="AI1794" s="6" t="s">
        <v>90</v>
      </c>
      <c r="AJ1794" s="6">
        <v>32.424312</v>
      </c>
      <c r="AK1794" s="6">
        <v>-110.737903</v>
      </c>
      <c r="AL1794" s="6"/>
      <c r="AM1794" s="6"/>
      <c r="AN1794" s="6">
        <v>2377</v>
      </c>
      <c r="AO1794" s="6"/>
      <c r="AP1794" s="6">
        <v>2377</v>
      </c>
      <c r="AQ1794" s="6">
        <v>2398.503365</v>
      </c>
      <c r="AR1794" s="6"/>
      <c r="AS1794" s="6"/>
      <c r="AT1794" s="6">
        <v>3</v>
      </c>
      <c r="AU1794" s="6">
        <v>7</v>
      </c>
      <c r="AV1794" s="6">
        <v>2023</v>
      </c>
      <c r="AW1794" s="6">
        <v>2437967</v>
      </c>
      <c r="AX1794" s="6">
        <v>2437967</v>
      </c>
      <c r="AY1794" s="6" t="s">
        <v>91</v>
      </c>
      <c r="AZ1794" t="s">
        <v>92</v>
      </c>
      <c r="BA1794" t="s">
        <v>93</v>
      </c>
      <c r="BB1794" t="s">
        <v>3368</v>
      </c>
      <c r="BC1794" t="s">
        <v>1186</v>
      </c>
      <c r="BD1794" s="1">
        <v>45110</v>
      </c>
      <c r="BE1794" t="s">
        <v>96</v>
      </c>
      <c r="BG1794" t="s">
        <v>1187</v>
      </c>
      <c r="BI1794" t="s">
        <v>98</v>
      </c>
      <c r="BJ1794" t="s">
        <v>1260</v>
      </c>
      <c r="BK1794" t="s">
        <v>365</v>
      </c>
      <c r="BL1794" t="s">
        <v>100</v>
      </c>
    </row>
    <row r="1795" spans="1:64" x14ac:dyDescent="0.2">
      <c r="A1795">
        <v>338</v>
      </c>
      <c r="B1795">
        <v>4403380328</v>
      </c>
      <c r="C1795" t="s">
        <v>63</v>
      </c>
      <c r="D1795" t="s">
        <v>3212</v>
      </c>
      <c r="E1795" t="s">
        <v>65</v>
      </c>
      <c r="F1795" t="s">
        <v>66</v>
      </c>
      <c r="G1795" t="s">
        <v>67</v>
      </c>
      <c r="H1795" t="s">
        <v>68</v>
      </c>
      <c r="I1795" t="s">
        <v>176</v>
      </c>
      <c r="J1795" t="s">
        <v>177</v>
      </c>
      <c r="K1795" t="s">
        <v>1817</v>
      </c>
      <c r="M1795" t="s">
        <v>72</v>
      </c>
      <c r="N1795" t="s">
        <v>1818</v>
      </c>
      <c r="O1795" t="s">
        <v>1817</v>
      </c>
      <c r="P1795" t="s">
        <v>1819</v>
      </c>
      <c r="Q1795" t="s">
        <v>75</v>
      </c>
      <c r="R1795" t="s">
        <v>3174</v>
      </c>
      <c r="T1795" t="s">
        <v>78</v>
      </c>
      <c r="U1795" t="s">
        <v>1822</v>
      </c>
      <c r="V1795" t="s">
        <v>80</v>
      </c>
      <c r="W1795" s="1">
        <v>45110</v>
      </c>
      <c r="X1795" t="s">
        <v>1859</v>
      </c>
      <c r="Y1795" t="s">
        <v>3213</v>
      </c>
      <c r="Z1795" t="s">
        <v>83</v>
      </c>
      <c r="AA1795">
        <v>1</v>
      </c>
      <c r="AB1795" t="s">
        <v>3214</v>
      </c>
      <c r="AC1795">
        <v>1</v>
      </c>
      <c r="AD1795" s="6" t="s">
        <v>3215</v>
      </c>
      <c r="AE1795" s="6" t="s">
        <v>3216</v>
      </c>
      <c r="AF1795" s="6" t="s">
        <v>359</v>
      </c>
      <c r="AG1795" s="6" t="s">
        <v>3217</v>
      </c>
      <c r="AH1795" s="6" t="s">
        <v>3218</v>
      </c>
      <c r="AI1795" s="6" t="s">
        <v>90</v>
      </c>
      <c r="AJ1795" s="6">
        <v>32.424909</v>
      </c>
      <c r="AK1795" s="6">
        <v>-110.73885</v>
      </c>
      <c r="AL1795" s="6"/>
      <c r="AM1795" s="6"/>
      <c r="AN1795" s="6">
        <v>2368</v>
      </c>
      <c r="AO1795" s="6"/>
      <c r="AP1795" s="6">
        <v>2368</v>
      </c>
      <c r="AQ1795" s="6">
        <v>2386.7331989999998</v>
      </c>
      <c r="AR1795" s="6"/>
      <c r="AS1795" s="6"/>
      <c r="AT1795" s="6">
        <v>3</v>
      </c>
      <c r="AU1795" s="6">
        <v>7</v>
      </c>
      <c r="AV1795" s="6">
        <v>2023</v>
      </c>
      <c r="AW1795" s="6">
        <v>2437967</v>
      </c>
      <c r="AX1795" s="6">
        <v>2437967</v>
      </c>
      <c r="AY1795" s="6" t="s">
        <v>91</v>
      </c>
      <c r="AZ1795" t="s">
        <v>92</v>
      </c>
      <c r="BA1795" t="s">
        <v>93</v>
      </c>
      <c r="BB1795" t="s">
        <v>3219</v>
      </c>
      <c r="BC1795" t="s">
        <v>1186</v>
      </c>
      <c r="BD1795" s="1">
        <v>45110</v>
      </c>
      <c r="BE1795" t="s">
        <v>96</v>
      </c>
      <c r="BG1795" t="s">
        <v>1187</v>
      </c>
      <c r="BI1795" t="s">
        <v>98</v>
      </c>
      <c r="BJ1795" t="s">
        <v>2135</v>
      </c>
      <c r="BK1795" t="s">
        <v>365</v>
      </c>
      <c r="BL1795" t="s">
        <v>100</v>
      </c>
    </row>
    <row r="1796" spans="1:64" x14ac:dyDescent="0.2">
      <c r="A1796">
        <v>1714</v>
      </c>
      <c r="B1796">
        <v>3744741419</v>
      </c>
      <c r="C1796" t="s">
        <v>101</v>
      </c>
      <c r="D1796" t="s">
        <v>4043</v>
      </c>
      <c r="E1796" t="s">
        <v>65</v>
      </c>
      <c r="F1796" t="s">
        <v>66</v>
      </c>
      <c r="G1796" t="s">
        <v>67</v>
      </c>
      <c r="H1796" t="s">
        <v>68</v>
      </c>
      <c r="I1796" t="s">
        <v>176</v>
      </c>
      <c r="J1796" t="s">
        <v>773</v>
      </c>
      <c r="K1796" t="s">
        <v>1347</v>
      </c>
      <c r="M1796" t="s">
        <v>72</v>
      </c>
      <c r="N1796" t="s">
        <v>1348</v>
      </c>
      <c r="O1796" t="s">
        <v>1347</v>
      </c>
      <c r="P1796" t="s">
        <v>1349</v>
      </c>
      <c r="Q1796" t="s">
        <v>75</v>
      </c>
      <c r="R1796" t="s">
        <v>3955</v>
      </c>
      <c r="S1796" t="s">
        <v>4016</v>
      </c>
      <c r="T1796" t="s">
        <v>78</v>
      </c>
      <c r="U1796" t="s">
        <v>3817</v>
      </c>
      <c r="V1796" t="s">
        <v>80</v>
      </c>
      <c r="W1796" s="1">
        <v>44519</v>
      </c>
      <c r="X1796" t="s">
        <v>3818</v>
      </c>
      <c r="Y1796" t="s">
        <v>4017</v>
      </c>
      <c r="Z1796" t="s">
        <v>83</v>
      </c>
      <c r="AA1796">
        <v>1</v>
      </c>
      <c r="AB1796" t="s">
        <v>103</v>
      </c>
      <c r="AC1796">
        <v>2</v>
      </c>
      <c r="AD1796" t="s">
        <v>119</v>
      </c>
      <c r="AE1796" t="s">
        <v>86</v>
      </c>
      <c r="AF1796" t="s">
        <v>146</v>
      </c>
      <c r="AG1796" t="s">
        <v>4019</v>
      </c>
      <c r="AH1796" t="s">
        <v>4036</v>
      </c>
      <c r="AI1796" t="s">
        <v>90</v>
      </c>
      <c r="AJ1796">
        <v>32.516331000000001</v>
      </c>
      <c r="AK1796">
        <v>-110.686217</v>
      </c>
      <c r="AL1796">
        <v>3</v>
      </c>
      <c r="AN1796">
        <v>1348</v>
      </c>
      <c r="AP1796">
        <v>1348</v>
      </c>
      <c r="AQ1796">
        <v>1353.5896</v>
      </c>
      <c r="AT1796">
        <v>19</v>
      </c>
      <c r="AU1796">
        <v>11</v>
      </c>
      <c r="AV1796">
        <v>2021</v>
      </c>
      <c r="AW1796">
        <v>2438454</v>
      </c>
      <c r="AX1796">
        <v>2438454</v>
      </c>
      <c r="AY1796" t="s">
        <v>106</v>
      </c>
      <c r="AZ1796" t="s">
        <v>92</v>
      </c>
      <c r="BA1796" t="s">
        <v>107</v>
      </c>
      <c r="BB1796" t="s">
        <v>4044</v>
      </c>
      <c r="BC1796" t="s">
        <v>97</v>
      </c>
      <c r="BE1796" t="s">
        <v>96</v>
      </c>
      <c r="BG1796" t="s">
        <v>97</v>
      </c>
      <c r="BI1796" t="s">
        <v>98</v>
      </c>
      <c r="BJ1796" t="s">
        <v>2714</v>
      </c>
      <c r="BL1796" t="s">
        <v>110</v>
      </c>
    </row>
    <row r="1797" spans="1:64" x14ac:dyDescent="0.2">
      <c r="A1797">
        <v>536</v>
      </c>
      <c r="B1797">
        <v>4136459423</v>
      </c>
      <c r="C1797" t="s">
        <v>101</v>
      </c>
      <c r="D1797" t="s">
        <v>5946</v>
      </c>
      <c r="E1797" t="s">
        <v>65</v>
      </c>
      <c r="F1797" t="s">
        <v>66</v>
      </c>
      <c r="G1797" t="s">
        <v>67</v>
      </c>
      <c r="H1797" t="s">
        <v>68</v>
      </c>
      <c r="I1797" t="s">
        <v>176</v>
      </c>
      <c r="J1797" t="s">
        <v>773</v>
      </c>
      <c r="K1797" t="s">
        <v>1347</v>
      </c>
      <c r="M1797" t="s">
        <v>72</v>
      </c>
      <c r="N1797" t="s">
        <v>1348</v>
      </c>
      <c r="O1797" t="s">
        <v>1347</v>
      </c>
      <c r="P1797" t="s">
        <v>1349</v>
      </c>
      <c r="Q1797" t="s">
        <v>75</v>
      </c>
      <c r="R1797" t="s">
        <v>5008</v>
      </c>
      <c r="S1797" t="s">
        <v>5918</v>
      </c>
      <c r="T1797" t="s">
        <v>78</v>
      </c>
      <c r="U1797" t="s">
        <v>5009</v>
      </c>
      <c r="V1797" t="s">
        <v>80</v>
      </c>
      <c r="W1797" s="1">
        <v>44905</v>
      </c>
      <c r="X1797" t="s">
        <v>5010</v>
      </c>
      <c r="Y1797" t="s">
        <v>5919</v>
      </c>
      <c r="Z1797" t="s">
        <v>83</v>
      </c>
      <c r="AA1797">
        <v>1</v>
      </c>
      <c r="AB1797" t="s">
        <v>5310</v>
      </c>
      <c r="AC1797">
        <v>2</v>
      </c>
      <c r="AD1797" t="s">
        <v>119</v>
      </c>
      <c r="AE1797" t="s">
        <v>86</v>
      </c>
      <c r="AF1797" t="s">
        <v>87</v>
      </c>
      <c r="AG1797" t="s">
        <v>5921</v>
      </c>
      <c r="AH1797" t="s">
        <v>5933</v>
      </c>
      <c r="AI1797" t="s">
        <v>90</v>
      </c>
      <c r="AJ1797">
        <v>32.314751999999999</v>
      </c>
      <c r="AK1797">
        <v>-110.71243800000001</v>
      </c>
      <c r="AL1797">
        <v>3</v>
      </c>
      <c r="AN1797">
        <v>1184</v>
      </c>
      <c r="AP1797">
        <v>1184</v>
      </c>
      <c r="AQ1797">
        <v>1199.071997</v>
      </c>
      <c r="AT1797">
        <v>10</v>
      </c>
      <c r="AU1797">
        <v>12</v>
      </c>
      <c r="AV1797">
        <v>2022</v>
      </c>
      <c r="AW1797">
        <v>2438454</v>
      </c>
      <c r="AX1797">
        <v>2438454</v>
      </c>
      <c r="AY1797" t="s">
        <v>106</v>
      </c>
      <c r="AZ1797" t="s">
        <v>92</v>
      </c>
      <c r="BA1797" t="s">
        <v>107</v>
      </c>
      <c r="BB1797" t="s">
        <v>5947</v>
      </c>
      <c r="BC1797" t="s">
        <v>97</v>
      </c>
      <c r="BD1797" s="1">
        <v>44905</v>
      </c>
      <c r="BE1797" t="s">
        <v>96</v>
      </c>
      <c r="BG1797" t="s">
        <v>5504</v>
      </c>
      <c r="BI1797" t="s">
        <v>98</v>
      </c>
      <c r="BJ1797" t="s">
        <v>3128</v>
      </c>
      <c r="BL1797" t="s">
        <v>412</v>
      </c>
    </row>
    <row r="1798" spans="1:64" x14ac:dyDescent="0.2">
      <c r="A1798">
        <v>557</v>
      </c>
      <c r="B1798">
        <v>4136459401</v>
      </c>
      <c r="C1798" t="s">
        <v>101</v>
      </c>
      <c r="D1798" t="s">
        <v>6059</v>
      </c>
      <c r="E1798" t="s">
        <v>65</v>
      </c>
      <c r="F1798" t="s">
        <v>66</v>
      </c>
      <c r="G1798" t="s">
        <v>67</v>
      </c>
      <c r="H1798" t="s">
        <v>68</v>
      </c>
      <c r="I1798" t="s">
        <v>176</v>
      </c>
      <c r="J1798" t="s">
        <v>773</v>
      </c>
      <c r="K1798" t="s">
        <v>1347</v>
      </c>
      <c r="M1798" t="s">
        <v>72</v>
      </c>
      <c r="N1798" t="s">
        <v>1348</v>
      </c>
      <c r="O1798" t="s">
        <v>1347</v>
      </c>
      <c r="P1798" t="s">
        <v>1349</v>
      </c>
      <c r="Q1798" t="s">
        <v>75</v>
      </c>
      <c r="R1798" t="s">
        <v>5008</v>
      </c>
      <c r="S1798" t="s">
        <v>6037</v>
      </c>
      <c r="T1798" t="s">
        <v>78</v>
      </c>
      <c r="U1798" t="s">
        <v>5009</v>
      </c>
      <c r="V1798" t="s">
        <v>80</v>
      </c>
      <c r="W1798" s="1">
        <v>44905</v>
      </c>
      <c r="X1798" t="s">
        <v>5010</v>
      </c>
      <c r="Y1798" t="s">
        <v>6038</v>
      </c>
      <c r="Z1798" t="s">
        <v>83</v>
      </c>
      <c r="AA1798">
        <v>1</v>
      </c>
      <c r="AB1798" t="s">
        <v>5526</v>
      </c>
      <c r="AC1798">
        <v>2</v>
      </c>
      <c r="AD1798" t="s">
        <v>119</v>
      </c>
      <c r="AE1798" t="s">
        <v>145</v>
      </c>
      <c r="AF1798" t="s">
        <v>146</v>
      </c>
      <c r="AG1798" t="s">
        <v>6040</v>
      </c>
      <c r="AH1798" t="s">
        <v>6054</v>
      </c>
      <c r="AI1798" t="s">
        <v>90</v>
      </c>
      <c r="AJ1798">
        <v>32.313867000000002</v>
      </c>
      <c r="AK1798">
        <v>-110.712791</v>
      </c>
      <c r="AL1798">
        <v>3</v>
      </c>
      <c r="AN1798">
        <v>1175</v>
      </c>
      <c r="AP1798">
        <v>1175</v>
      </c>
      <c r="AQ1798">
        <v>1180.5823009999999</v>
      </c>
      <c r="AT1798">
        <v>10</v>
      </c>
      <c r="AU1798">
        <v>12</v>
      </c>
      <c r="AV1798">
        <v>2022</v>
      </c>
      <c r="AW1798">
        <v>2438454</v>
      </c>
      <c r="AX1798">
        <v>2438454</v>
      </c>
      <c r="AY1798" t="s">
        <v>106</v>
      </c>
      <c r="AZ1798" t="s">
        <v>92</v>
      </c>
      <c r="BA1798" t="s">
        <v>107</v>
      </c>
      <c r="BB1798" t="s">
        <v>6060</v>
      </c>
      <c r="BC1798" t="s">
        <v>97</v>
      </c>
      <c r="BD1798" s="1">
        <v>44905</v>
      </c>
      <c r="BE1798" t="s">
        <v>96</v>
      </c>
      <c r="BG1798" t="s">
        <v>5504</v>
      </c>
      <c r="BI1798" t="s">
        <v>98</v>
      </c>
      <c r="BJ1798" t="s">
        <v>758</v>
      </c>
      <c r="BL1798" t="s">
        <v>110</v>
      </c>
    </row>
    <row r="1799" spans="1:64" x14ac:dyDescent="0.2">
      <c r="A1799">
        <v>280</v>
      </c>
      <c r="B1799">
        <v>4403382358</v>
      </c>
      <c r="C1799" t="s">
        <v>101</v>
      </c>
      <c r="D1799" t="s">
        <v>1411</v>
      </c>
      <c r="E1799" t="s">
        <v>65</v>
      </c>
      <c r="F1799" t="s">
        <v>66</v>
      </c>
      <c r="G1799" t="s">
        <v>67</v>
      </c>
      <c r="H1799" t="s">
        <v>68</v>
      </c>
      <c r="I1799" t="s">
        <v>176</v>
      </c>
      <c r="J1799" t="s">
        <v>177</v>
      </c>
      <c r="K1799" t="s">
        <v>178</v>
      </c>
      <c r="M1799" t="s">
        <v>72</v>
      </c>
      <c r="N1799" t="s">
        <v>179</v>
      </c>
      <c r="O1799" t="s">
        <v>178</v>
      </c>
      <c r="P1799" t="s">
        <v>180</v>
      </c>
      <c r="Q1799" t="s">
        <v>75</v>
      </c>
      <c r="R1799" t="s">
        <v>1177</v>
      </c>
      <c r="S1799" t="s">
        <v>1390</v>
      </c>
      <c r="T1799" t="s">
        <v>78</v>
      </c>
      <c r="U1799" t="s">
        <v>646</v>
      </c>
      <c r="V1799" t="s">
        <v>1179</v>
      </c>
      <c r="W1799" s="1">
        <v>45108</v>
      </c>
      <c r="X1799" t="s">
        <v>1180</v>
      </c>
      <c r="Y1799" t="s">
        <v>1391</v>
      </c>
      <c r="Z1799" t="s">
        <v>83</v>
      </c>
      <c r="AA1799">
        <v>1</v>
      </c>
      <c r="AB1799" t="s">
        <v>385</v>
      </c>
      <c r="AC1799">
        <v>2</v>
      </c>
      <c r="AD1799" t="s">
        <v>119</v>
      </c>
      <c r="AE1799" t="s">
        <v>86</v>
      </c>
      <c r="AF1799" t="s">
        <v>402</v>
      </c>
      <c r="AG1799" t="s">
        <v>1393</v>
      </c>
      <c r="AH1799" t="s">
        <v>1408</v>
      </c>
      <c r="AI1799" t="s">
        <v>90</v>
      </c>
      <c r="AJ1799">
        <v>32.450394000000003</v>
      </c>
      <c r="AK1799">
        <v>-110.736435</v>
      </c>
      <c r="AL1799">
        <v>3</v>
      </c>
      <c r="AN1799">
        <v>2067</v>
      </c>
      <c r="AP1799">
        <v>2067</v>
      </c>
      <c r="AQ1799">
        <v>2064.0276349999999</v>
      </c>
      <c r="AT1799">
        <v>1</v>
      </c>
      <c r="AU1799">
        <v>7</v>
      </c>
      <c r="AV1799">
        <v>2023</v>
      </c>
      <c r="AW1799">
        <v>2438038</v>
      </c>
      <c r="AX1799">
        <v>2438038</v>
      </c>
      <c r="AY1799" t="s">
        <v>106</v>
      </c>
      <c r="AZ1799" t="s">
        <v>92</v>
      </c>
      <c r="BA1799" t="s">
        <v>107</v>
      </c>
      <c r="BB1799" t="s">
        <v>1412</v>
      </c>
      <c r="BC1799" t="s">
        <v>1186</v>
      </c>
      <c r="BD1799" s="1">
        <v>45108</v>
      </c>
      <c r="BE1799" t="s">
        <v>96</v>
      </c>
      <c r="BG1799" t="s">
        <v>1187</v>
      </c>
      <c r="BI1799" t="s">
        <v>98</v>
      </c>
      <c r="BJ1799" t="s">
        <v>1410</v>
      </c>
      <c r="BL1799" t="s">
        <v>412</v>
      </c>
    </row>
    <row r="1800" spans="1:64" x14ac:dyDescent="0.2">
      <c r="A1800">
        <v>558</v>
      </c>
      <c r="B1800">
        <v>4136459400</v>
      </c>
      <c r="C1800" t="s">
        <v>101</v>
      </c>
      <c r="D1800" t="s">
        <v>6061</v>
      </c>
      <c r="E1800" t="s">
        <v>65</v>
      </c>
      <c r="F1800" t="s">
        <v>66</v>
      </c>
      <c r="G1800" t="s">
        <v>67</v>
      </c>
      <c r="H1800" t="s">
        <v>68</v>
      </c>
      <c r="I1800" t="s">
        <v>176</v>
      </c>
      <c r="J1800" t="s">
        <v>773</v>
      </c>
      <c r="K1800" t="s">
        <v>1347</v>
      </c>
      <c r="M1800" t="s">
        <v>72</v>
      </c>
      <c r="N1800" t="s">
        <v>1348</v>
      </c>
      <c r="O1800" t="s">
        <v>1347</v>
      </c>
      <c r="P1800" t="s">
        <v>1349</v>
      </c>
      <c r="Q1800" t="s">
        <v>75</v>
      </c>
      <c r="R1800" t="s">
        <v>5008</v>
      </c>
      <c r="S1800" t="s">
        <v>6037</v>
      </c>
      <c r="T1800" t="s">
        <v>78</v>
      </c>
      <c r="U1800" t="s">
        <v>5009</v>
      </c>
      <c r="V1800" t="s">
        <v>80</v>
      </c>
      <c r="W1800" s="1">
        <v>44905</v>
      </c>
      <c r="X1800" t="s">
        <v>5010</v>
      </c>
      <c r="Y1800" t="s">
        <v>6038</v>
      </c>
      <c r="Z1800" t="s">
        <v>83</v>
      </c>
      <c r="AA1800">
        <v>1</v>
      </c>
      <c r="AB1800" t="s">
        <v>5526</v>
      </c>
      <c r="AC1800">
        <v>3</v>
      </c>
      <c r="AD1800" t="s">
        <v>119</v>
      </c>
      <c r="AE1800" t="s">
        <v>145</v>
      </c>
      <c r="AF1800" t="s">
        <v>146</v>
      </c>
      <c r="AG1800" t="s">
        <v>6040</v>
      </c>
      <c r="AH1800" t="s">
        <v>6054</v>
      </c>
      <c r="AI1800" t="s">
        <v>90</v>
      </c>
      <c r="AJ1800">
        <v>32.313867000000002</v>
      </c>
      <c r="AK1800">
        <v>-110.712791</v>
      </c>
      <c r="AL1800">
        <v>3</v>
      </c>
      <c r="AN1800">
        <v>1175</v>
      </c>
      <c r="AP1800">
        <v>1175</v>
      </c>
      <c r="AQ1800">
        <v>1180.5823009999999</v>
      </c>
      <c r="AT1800">
        <v>10</v>
      </c>
      <c r="AU1800">
        <v>12</v>
      </c>
      <c r="AV1800">
        <v>2022</v>
      </c>
      <c r="AW1800">
        <v>2438454</v>
      </c>
      <c r="AX1800">
        <v>2438454</v>
      </c>
      <c r="AY1800" t="s">
        <v>106</v>
      </c>
      <c r="AZ1800" t="s">
        <v>92</v>
      </c>
      <c r="BA1800" t="s">
        <v>107</v>
      </c>
      <c r="BB1800" t="s">
        <v>6062</v>
      </c>
      <c r="BC1800" t="s">
        <v>97</v>
      </c>
      <c r="BD1800" s="1">
        <v>44905</v>
      </c>
      <c r="BE1800" t="s">
        <v>96</v>
      </c>
      <c r="BG1800" t="s">
        <v>5504</v>
      </c>
      <c r="BI1800" t="s">
        <v>98</v>
      </c>
      <c r="BJ1800" t="s">
        <v>3731</v>
      </c>
      <c r="BL1800" t="s">
        <v>110</v>
      </c>
    </row>
    <row r="1801" spans="1:64" hidden="1" x14ac:dyDescent="0.2">
      <c r="A1801">
        <v>381</v>
      </c>
      <c r="B1801">
        <v>4136459588</v>
      </c>
      <c r="C1801" t="s">
        <v>101</v>
      </c>
      <c r="D1801" t="s">
        <v>5754</v>
      </c>
      <c r="E1801" t="s">
        <v>65</v>
      </c>
      <c r="F1801" t="s">
        <v>66</v>
      </c>
      <c r="G1801" t="s">
        <v>67</v>
      </c>
      <c r="H1801" t="s">
        <v>68</v>
      </c>
      <c r="I1801" t="s">
        <v>69</v>
      </c>
      <c r="J1801" t="s">
        <v>70</v>
      </c>
      <c r="K1801" t="s">
        <v>4195</v>
      </c>
      <c r="M1801" t="s">
        <v>72</v>
      </c>
      <c r="N1801" t="s">
        <v>4196</v>
      </c>
      <c r="O1801" t="s">
        <v>4195</v>
      </c>
      <c r="P1801" t="s">
        <v>4197</v>
      </c>
      <c r="Q1801" t="s">
        <v>75</v>
      </c>
      <c r="R1801" t="s">
        <v>5008</v>
      </c>
      <c r="S1801" t="s">
        <v>5727</v>
      </c>
      <c r="T1801" t="s">
        <v>78</v>
      </c>
      <c r="U1801" t="s">
        <v>5009</v>
      </c>
      <c r="V1801" t="s">
        <v>80</v>
      </c>
      <c r="W1801" s="1">
        <v>44905</v>
      </c>
      <c r="X1801" t="s">
        <v>5010</v>
      </c>
      <c r="Y1801" t="s">
        <v>5728</v>
      </c>
      <c r="Z1801" t="s">
        <v>83</v>
      </c>
      <c r="AA1801">
        <v>1</v>
      </c>
      <c r="AB1801" t="s">
        <v>5310</v>
      </c>
      <c r="AC1801">
        <v>2</v>
      </c>
      <c r="AD1801" t="s">
        <v>128</v>
      </c>
      <c r="AE1801" t="s">
        <v>86</v>
      </c>
      <c r="AF1801" t="s">
        <v>146</v>
      </c>
      <c r="AG1801" t="s">
        <v>5730</v>
      </c>
      <c r="AH1801" t="s">
        <v>5749</v>
      </c>
      <c r="AI1801" t="s">
        <v>90</v>
      </c>
      <c r="AJ1801">
        <v>32.313409999999998</v>
      </c>
      <c r="AK1801">
        <v>-110.714251</v>
      </c>
      <c r="AL1801">
        <v>3</v>
      </c>
      <c r="AP1801">
        <v>1184.787599</v>
      </c>
      <c r="AQ1801">
        <v>1184.787599</v>
      </c>
      <c r="AT1801">
        <v>10</v>
      </c>
      <c r="AU1801">
        <v>12</v>
      </c>
      <c r="AV1801">
        <v>2022</v>
      </c>
      <c r="AW1801">
        <v>2439589</v>
      </c>
      <c r="AX1801">
        <v>2439589</v>
      </c>
      <c r="AY1801" t="s">
        <v>106</v>
      </c>
      <c r="AZ1801" t="s">
        <v>92</v>
      </c>
      <c r="BA1801" t="s">
        <v>107</v>
      </c>
      <c r="BB1801" t="s">
        <v>5755</v>
      </c>
      <c r="BC1801" t="s">
        <v>97</v>
      </c>
      <c r="BD1801" s="1">
        <v>44905</v>
      </c>
      <c r="BE1801" t="s">
        <v>96</v>
      </c>
      <c r="BG1801" t="s">
        <v>5504</v>
      </c>
      <c r="BI1801" t="s">
        <v>98</v>
      </c>
      <c r="BJ1801" t="s">
        <v>5672</v>
      </c>
      <c r="BL1801" t="s">
        <v>412</v>
      </c>
    </row>
    <row r="1802" spans="1:64" hidden="1" x14ac:dyDescent="0.2">
      <c r="A1802">
        <v>608</v>
      </c>
      <c r="B1802">
        <v>4136459339</v>
      </c>
      <c r="C1802" t="s">
        <v>101</v>
      </c>
      <c r="D1802" t="s">
        <v>5909</v>
      </c>
      <c r="E1802" t="s">
        <v>65</v>
      </c>
      <c r="F1802" t="s">
        <v>66</v>
      </c>
      <c r="G1802" t="s">
        <v>67</v>
      </c>
      <c r="H1802" t="s">
        <v>68</v>
      </c>
      <c r="I1802" t="s">
        <v>69</v>
      </c>
      <c r="J1802" t="s">
        <v>70</v>
      </c>
      <c r="K1802" t="s">
        <v>71</v>
      </c>
      <c r="M1802" t="s">
        <v>72</v>
      </c>
      <c r="N1802" t="s">
        <v>73</v>
      </c>
      <c r="O1802" t="s">
        <v>71</v>
      </c>
      <c r="P1802" t="s">
        <v>74</v>
      </c>
      <c r="Q1802" t="s">
        <v>75</v>
      </c>
      <c r="R1802" t="s">
        <v>5008</v>
      </c>
      <c r="S1802" t="s">
        <v>632</v>
      </c>
      <c r="T1802" t="s">
        <v>78</v>
      </c>
      <c r="U1802" t="s">
        <v>5009</v>
      </c>
      <c r="V1802" t="s">
        <v>80</v>
      </c>
      <c r="W1802" s="1">
        <v>44905</v>
      </c>
      <c r="X1802" t="s">
        <v>5010</v>
      </c>
      <c r="Y1802" t="s">
        <v>5893</v>
      </c>
      <c r="Z1802" t="s">
        <v>83</v>
      </c>
      <c r="AA1802">
        <v>1</v>
      </c>
      <c r="AB1802" t="s">
        <v>5634</v>
      </c>
      <c r="AC1802">
        <v>2</v>
      </c>
      <c r="AD1802" t="s">
        <v>128</v>
      </c>
      <c r="AE1802" t="s">
        <v>86</v>
      </c>
      <c r="AF1802" t="s">
        <v>87</v>
      </c>
      <c r="AG1802" t="s">
        <v>1257</v>
      </c>
      <c r="AH1802" t="s">
        <v>5901</v>
      </c>
      <c r="AI1802" t="s">
        <v>90</v>
      </c>
      <c r="AJ1802">
        <v>32.313274999999997</v>
      </c>
      <c r="AK1802">
        <v>-110.71270699999999</v>
      </c>
      <c r="AL1802">
        <v>3</v>
      </c>
      <c r="AN1802">
        <v>1168</v>
      </c>
      <c r="AP1802">
        <v>1168</v>
      </c>
      <c r="AQ1802">
        <v>1170.8411980000001</v>
      </c>
      <c r="AT1802">
        <v>10</v>
      </c>
      <c r="AU1802">
        <v>12</v>
      </c>
      <c r="AV1802">
        <v>2022</v>
      </c>
      <c r="AW1802">
        <v>2439581</v>
      </c>
      <c r="AX1802">
        <v>2439581</v>
      </c>
      <c r="AY1802" t="s">
        <v>106</v>
      </c>
      <c r="AZ1802" t="s">
        <v>92</v>
      </c>
      <c r="BA1802" t="s">
        <v>107</v>
      </c>
      <c r="BB1802" t="s">
        <v>5910</v>
      </c>
      <c r="BC1802" t="s">
        <v>97</v>
      </c>
      <c r="BD1802" s="1">
        <v>44905</v>
      </c>
      <c r="BE1802" t="s">
        <v>96</v>
      </c>
      <c r="BG1802" t="s">
        <v>5504</v>
      </c>
      <c r="BI1802" t="s">
        <v>98</v>
      </c>
      <c r="BJ1802" t="s">
        <v>2980</v>
      </c>
      <c r="BL1802" t="s">
        <v>110</v>
      </c>
    </row>
  </sheetData>
  <autoFilter ref="A1:BL1802" xr:uid="{C38C643A-7F66-5849-9E46-946162A7D9BF}">
    <filterColumn colId="29">
      <filters>
        <filter val="alc | tiss"/>
        <filter val="asr | skull | tiss"/>
        <filter val="ectos"/>
        <filter val="skin | skull | skel | tiss"/>
        <filter val="skull | asr | tiss"/>
        <filter val="skull | skel | tiss"/>
      </filters>
    </filterColumn>
    <sortState xmlns:xlrd2="http://schemas.microsoft.com/office/spreadsheetml/2017/richdata2" ref="A5:BL1800">
      <sortCondition ref="AC2:AC1802"/>
      <sortCondition ref="AD2:AD180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BD81-4660-E142-9924-C29CD9CAFEDB}">
  <dimension ref="A1:G34"/>
  <sheetViews>
    <sheetView zoomScale="130" zoomScaleNormal="130" workbookViewId="0">
      <selection activeCell="G16" sqref="E1:G16"/>
    </sheetView>
  </sheetViews>
  <sheetFormatPr baseColWidth="10" defaultRowHeight="16" x14ac:dyDescent="0.2"/>
  <cols>
    <col min="1" max="1" width="35.1640625" bestFit="1" customWidth="1"/>
    <col min="5" max="5" width="36" bestFit="1" customWidth="1"/>
  </cols>
  <sheetData>
    <row r="1" spans="1:7" s="4" customFormat="1" x14ac:dyDescent="0.2">
      <c r="A1" s="4" t="s">
        <v>6163</v>
      </c>
      <c r="B1" s="4" t="s">
        <v>6164</v>
      </c>
      <c r="E1" s="4" t="s">
        <v>6163</v>
      </c>
      <c r="F1" s="4" t="s">
        <v>6164</v>
      </c>
      <c r="G1" s="4" t="s">
        <v>6167</v>
      </c>
    </row>
    <row r="2" spans="1:7" x14ac:dyDescent="0.2">
      <c r="A2" s="3" t="s">
        <v>128</v>
      </c>
      <c r="B2" s="3">
        <v>335</v>
      </c>
      <c r="E2" s="3" t="s">
        <v>128</v>
      </c>
      <c r="F2" s="3">
        <v>335</v>
      </c>
      <c r="G2" t="s">
        <v>6168</v>
      </c>
    </row>
    <row r="3" spans="1:7" x14ac:dyDescent="0.2">
      <c r="A3" s="3" t="s">
        <v>343</v>
      </c>
      <c r="B3" s="3">
        <v>217</v>
      </c>
      <c r="E3" s="3" t="s">
        <v>343</v>
      </c>
      <c r="F3" s="3">
        <v>217</v>
      </c>
      <c r="G3" t="s">
        <v>6169</v>
      </c>
    </row>
    <row r="4" spans="1:7" x14ac:dyDescent="0.2">
      <c r="A4" s="3" t="s">
        <v>116</v>
      </c>
      <c r="B4" s="3">
        <v>169</v>
      </c>
      <c r="E4" s="3" t="s">
        <v>116</v>
      </c>
      <c r="F4" s="3">
        <v>169</v>
      </c>
      <c r="G4" t="s">
        <v>6170</v>
      </c>
    </row>
    <row r="5" spans="1:7" x14ac:dyDescent="0.2">
      <c r="A5" s="3" t="s">
        <v>104</v>
      </c>
      <c r="B5" s="3">
        <v>167</v>
      </c>
      <c r="E5" s="3" t="s">
        <v>104</v>
      </c>
      <c r="F5" s="3">
        <v>167</v>
      </c>
      <c r="G5" t="s">
        <v>6170</v>
      </c>
    </row>
    <row r="6" spans="1:7" x14ac:dyDescent="0.2">
      <c r="A6" s="3" t="s">
        <v>112</v>
      </c>
      <c r="B6" s="3">
        <v>147</v>
      </c>
      <c r="E6" s="3" t="s">
        <v>112</v>
      </c>
      <c r="F6" s="3">
        <f>147+1</f>
        <v>148</v>
      </c>
      <c r="G6" t="s">
        <v>6170</v>
      </c>
    </row>
    <row r="7" spans="1:7" x14ac:dyDescent="0.2">
      <c r="A7" s="3" t="s">
        <v>134</v>
      </c>
      <c r="B7" s="3">
        <v>139</v>
      </c>
      <c r="E7" s="3" t="s">
        <v>134</v>
      </c>
      <c r="F7" s="3">
        <v>139</v>
      </c>
      <c r="G7" t="s">
        <v>6170</v>
      </c>
    </row>
    <row r="8" spans="1:7" x14ac:dyDescent="0.2">
      <c r="A8" s="3" t="s">
        <v>139</v>
      </c>
      <c r="B8" s="3">
        <v>139</v>
      </c>
      <c r="E8" s="3" t="s">
        <v>139</v>
      </c>
      <c r="F8" s="3">
        <f>139+4+1</f>
        <v>144</v>
      </c>
      <c r="G8" t="s">
        <v>6170</v>
      </c>
    </row>
    <row r="9" spans="1:7" x14ac:dyDescent="0.2">
      <c r="A9" s="3" t="s">
        <v>123</v>
      </c>
      <c r="B9" s="3">
        <v>136</v>
      </c>
      <c r="E9" s="3" t="s">
        <v>123</v>
      </c>
      <c r="F9" s="3">
        <f>136+4+1</f>
        <v>141</v>
      </c>
      <c r="G9" t="s">
        <v>6170</v>
      </c>
    </row>
    <row r="10" spans="1:7" x14ac:dyDescent="0.2">
      <c r="A10" s="3" t="s">
        <v>119</v>
      </c>
      <c r="B10" s="3">
        <v>129</v>
      </c>
      <c r="E10" s="3" t="s">
        <v>6165</v>
      </c>
      <c r="F10" s="3">
        <v>129</v>
      </c>
      <c r="G10" t="s">
        <v>6168</v>
      </c>
    </row>
    <row r="11" spans="1:7" x14ac:dyDescent="0.2">
      <c r="A11" s="3" t="s">
        <v>85</v>
      </c>
      <c r="B11" s="3">
        <v>120</v>
      </c>
      <c r="E11" s="3" t="s">
        <v>85</v>
      </c>
      <c r="F11" s="3">
        <v>120</v>
      </c>
      <c r="G11" s="5" t="s">
        <v>6170</v>
      </c>
    </row>
    <row r="12" spans="1:7" x14ac:dyDescent="0.2">
      <c r="A12" s="3" t="s">
        <v>378</v>
      </c>
      <c r="B12" s="3">
        <v>34</v>
      </c>
      <c r="E12" s="3" t="s">
        <v>378</v>
      </c>
      <c r="F12" s="3">
        <f>34+3+2+2+1</f>
        <v>42</v>
      </c>
      <c r="G12" s="5" t="s">
        <v>6170</v>
      </c>
    </row>
    <row r="13" spans="1:7" x14ac:dyDescent="0.2">
      <c r="A13" s="3" t="s">
        <v>780</v>
      </c>
      <c r="B13" s="3">
        <v>16</v>
      </c>
      <c r="E13" s="3" t="s">
        <v>650</v>
      </c>
      <c r="F13" s="3">
        <f>7+1+22</f>
        <v>30</v>
      </c>
      <c r="G13" s="5" t="s">
        <v>6170</v>
      </c>
    </row>
    <row r="14" spans="1:7" x14ac:dyDescent="0.2">
      <c r="A14" s="3" t="s">
        <v>650</v>
      </c>
      <c r="B14" s="3">
        <v>7</v>
      </c>
      <c r="E14" s="3" t="s">
        <v>6166</v>
      </c>
      <c r="F14" s="3">
        <f>2+1+1</f>
        <v>4</v>
      </c>
      <c r="G14" s="5" t="s">
        <v>6170</v>
      </c>
    </row>
    <row r="15" spans="1:7" x14ac:dyDescent="0.2">
      <c r="A15" s="3" t="s">
        <v>2320</v>
      </c>
      <c r="B15" s="3">
        <v>6</v>
      </c>
      <c r="E15" s="3" t="s">
        <v>1706</v>
      </c>
      <c r="F15" s="3">
        <v>3</v>
      </c>
      <c r="G15" s="5" t="s">
        <v>6170</v>
      </c>
    </row>
    <row r="16" spans="1:7" x14ac:dyDescent="0.2">
      <c r="A16" s="3" t="s">
        <v>300</v>
      </c>
      <c r="B16" s="3">
        <v>4</v>
      </c>
      <c r="E16" s="3" t="s">
        <v>6171</v>
      </c>
      <c r="F16" s="3">
        <v>4</v>
      </c>
      <c r="G16" s="5" t="s">
        <v>6169</v>
      </c>
    </row>
    <row r="17" spans="1:6" x14ac:dyDescent="0.2">
      <c r="A17" s="3" t="s">
        <v>1077</v>
      </c>
      <c r="B17" s="3">
        <v>4</v>
      </c>
    </row>
    <row r="18" spans="1:6" x14ac:dyDescent="0.2">
      <c r="A18" s="3" t="s">
        <v>2435</v>
      </c>
      <c r="B18" s="3">
        <v>3</v>
      </c>
      <c r="E18" s="3"/>
      <c r="F18" s="3"/>
    </row>
    <row r="19" spans="1:6" x14ac:dyDescent="0.2">
      <c r="A19" s="3" t="s">
        <v>1693</v>
      </c>
      <c r="B19" s="3">
        <v>3</v>
      </c>
      <c r="E19" s="3"/>
      <c r="F19" s="3"/>
    </row>
    <row r="20" spans="1:6" x14ac:dyDescent="0.2">
      <c r="A20" s="3" t="s">
        <v>1706</v>
      </c>
      <c r="B20" s="3">
        <v>3</v>
      </c>
    </row>
    <row r="21" spans="1:6" x14ac:dyDescent="0.2">
      <c r="A21" s="3" t="s">
        <v>1681</v>
      </c>
      <c r="B21" s="3">
        <v>3</v>
      </c>
      <c r="E21" s="3"/>
      <c r="F21" s="3"/>
    </row>
    <row r="22" spans="1:6" x14ac:dyDescent="0.2">
      <c r="A22" s="3" t="s">
        <v>2464</v>
      </c>
      <c r="B22" s="3">
        <v>2</v>
      </c>
      <c r="E22" s="3"/>
      <c r="F22" s="3"/>
    </row>
    <row r="23" spans="1:6" x14ac:dyDescent="0.2">
      <c r="A23" s="3" t="s">
        <v>1319</v>
      </c>
      <c r="B23" s="3">
        <v>2</v>
      </c>
      <c r="E23" s="3"/>
      <c r="F23" s="3"/>
    </row>
    <row r="24" spans="1:6" x14ac:dyDescent="0.2">
      <c r="A24" s="3" t="s">
        <v>2471</v>
      </c>
      <c r="B24" s="3">
        <v>2</v>
      </c>
      <c r="E24" s="3"/>
      <c r="F24" s="3"/>
    </row>
    <row r="25" spans="1:6" x14ac:dyDescent="0.2">
      <c r="A25" s="3" t="s">
        <v>1207</v>
      </c>
      <c r="B25" s="3">
        <v>2</v>
      </c>
      <c r="E25" s="3"/>
      <c r="F25" s="3"/>
    </row>
    <row r="26" spans="1:6" x14ac:dyDescent="0.2">
      <c r="A26" s="3" t="s">
        <v>2461</v>
      </c>
      <c r="B26" s="3">
        <v>2</v>
      </c>
      <c r="E26" s="3"/>
      <c r="F26" s="3"/>
    </row>
    <row r="27" spans="1:6" x14ac:dyDescent="0.2">
      <c r="A27" s="3" t="s">
        <v>2467</v>
      </c>
      <c r="B27" s="3">
        <v>2</v>
      </c>
      <c r="E27" s="3"/>
      <c r="F27" s="3"/>
    </row>
    <row r="28" spans="1:6" x14ac:dyDescent="0.2">
      <c r="A28" s="3" t="s">
        <v>2450</v>
      </c>
      <c r="B28" s="3">
        <v>2</v>
      </c>
      <c r="E28" s="3"/>
      <c r="F28" s="3"/>
    </row>
    <row r="29" spans="1:6" x14ac:dyDescent="0.2">
      <c r="A29" s="3" t="s">
        <v>3204</v>
      </c>
      <c r="B29" s="3">
        <v>1</v>
      </c>
      <c r="E29" s="3"/>
      <c r="F29" s="3"/>
    </row>
    <row r="30" spans="1:6" x14ac:dyDescent="0.2">
      <c r="A30" s="3" t="s">
        <v>3864</v>
      </c>
      <c r="B30" s="3">
        <v>1</v>
      </c>
      <c r="E30" s="3"/>
      <c r="F30" s="3"/>
    </row>
    <row r="31" spans="1:6" x14ac:dyDescent="0.2">
      <c r="A31" s="3" t="s">
        <v>3697</v>
      </c>
      <c r="B31" s="3">
        <v>1</v>
      </c>
      <c r="E31" s="3"/>
      <c r="F31" s="3"/>
    </row>
    <row r="32" spans="1:6" x14ac:dyDescent="0.2">
      <c r="A32" s="3" t="s">
        <v>3215</v>
      </c>
      <c r="B32" s="3">
        <v>1</v>
      </c>
      <c r="E32" s="3"/>
      <c r="F32" s="3"/>
    </row>
    <row r="33" spans="1:6" x14ac:dyDescent="0.2">
      <c r="A33" s="3" t="s">
        <v>6071</v>
      </c>
      <c r="B33" s="3">
        <v>1</v>
      </c>
      <c r="E33" s="3"/>
      <c r="F33" s="3"/>
    </row>
    <row r="34" spans="1:6" x14ac:dyDescent="0.2">
      <c r="A34" s="3" t="s">
        <v>2794</v>
      </c>
      <c r="B34" s="3">
        <v>1</v>
      </c>
      <c r="E34" s="3"/>
      <c r="F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FBAD-D4FD-1443-8BED-52421D77B1D0}">
  <dimension ref="A1:C18"/>
  <sheetViews>
    <sheetView tabSelected="1" zoomScale="130" zoomScaleNormal="130" workbookViewId="0">
      <selection activeCell="D20" sqref="D20"/>
    </sheetView>
  </sheetViews>
  <sheetFormatPr baseColWidth="10" defaultRowHeight="16" x14ac:dyDescent="0.2"/>
  <cols>
    <col min="1" max="1" width="19.5" bestFit="1" customWidth="1"/>
  </cols>
  <sheetData>
    <row r="1" spans="1:3" x14ac:dyDescent="0.2">
      <c r="A1" s="4" t="s">
        <v>6163</v>
      </c>
      <c r="B1" s="4" t="s">
        <v>6176</v>
      </c>
      <c r="C1" s="4" t="s">
        <v>6167</v>
      </c>
    </row>
    <row r="2" spans="1:3" x14ac:dyDescent="0.2">
      <c r="A2" s="3" t="s">
        <v>85</v>
      </c>
      <c r="B2" s="3">
        <v>120</v>
      </c>
      <c r="C2" s="5" t="s">
        <v>6172</v>
      </c>
    </row>
    <row r="3" spans="1:3" x14ac:dyDescent="0.2">
      <c r="A3" s="3" t="s">
        <v>650</v>
      </c>
      <c r="B3" s="3">
        <v>30</v>
      </c>
      <c r="C3" s="5" t="s">
        <v>6172</v>
      </c>
    </row>
    <row r="4" spans="1:3" x14ac:dyDescent="0.2">
      <c r="A4" s="3" t="s">
        <v>116</v>
      </c>
      <c r="B4" s="3">
        <v>169</v>
      </c>
      <c r="C4" t="s">
        <v>6170</v>
      </c>
    </row>
    <row r="5" spans="1:3" x14ac:dyDescent="0.2">
      <c r="A5" s="3" t="s">
        <v>104</v>
      </c>
      <c r="B5" s="3">
        <v>167</v>
      </c>
      <c r="C5" t="s">
        <v>6170</v>
      </c>
    </row>
    <row r="6" spans="1:3" x14ac:dyDescent="0.2">
      <c r="A6" s="3" t="s">
        <v>112</v>
      </c>
      <c r="B6" s="3">
        <v>148</v>
      </c>
      <c r="C6" t="s">
        <v>6170</v>
      </c>
    </row>
    <row r="7" spans="1:3" x14ac:dyDescent="0.2">
      <c r="A7" s="3" t="s">
        <v>134</v>
      </c>
      <c r="B7" s="3">
        <v>139</v>
      </c>
      <c r="C7" t="s">
        <v>6170</v>
      </c>
    </row>
    <row r="8" spans="1:3" x14ac:dyDescent="0.2">
      <c r="A8" s="3" t="s">
        <v>139</v>
      </c>
      <c r="B8" s="3">
        <v>144</v>
      </c>
      <c r="C8" t="s">
        <v>6170</v>
      </c>
    </row>
    <row r="9" spans="1:3" x14ac:dyDescent="0.2">
      <c r="A9" s="3" t="s">
        <v>123</v>
      </c>
      <c r="B9" s="3">
        <v>141</v>
      </c>
      <c r="C9" t="s">
        <v>6170</v>
      </c>
    </row>
    <row r="10" spans="1:3" x14ac:dyDescent="0.2">
      <c r="A10" s="3" t="s">
        <v>378</v>
      </c>
      <c r="B10" s="3">
        <v>42</v>
      </c>
      <c r="C10" s="5" t="s">
        <v>6170</v>
      </c>
    </row>
    <row r="11" spans="1:3" x14ac:dyDescent="0.2">
      <c r="A11" s="3" t="s">
        <v>6166</v>
      </c>
      <c r="B11" s="3">
        <v>4</v>
      </c>
      <c r="C11" s="5" t="s">
        <v>6170</v>
      </c>
    </row>
    <row r="12" spans="1:3" x14ac:dyDescent="0.2">
      <c r="A12" s="3" t="s">
        <v>1706</v>
      </c>
      <c r="B12" s="3">
        <v>3</v>
      </c>
      <c r="C12" s="5" t="s">
        <v>6170</v>
      </c>
    </row>
    <row r="13" spans="1:3" x14ac:dyDescent="0.2">
      <c r="A13" s="3" t="s">
        <v>6178</v>
      </c>
      <c r="B13" s="3">
        <v>136</v>
      </c>
      <c r="C13" t="s">
        <v>6170</v>
      </c>
    </row>
    <row r="14" spans="1:3" x14ac:dyDescent="0.2">
      <c r="A14" s="3" t="s">
        <v>6180</v>
      </c>
      <c r="B14" s="3">
        <v>92</v>
      </c>
      <c r="C14" t="s">
        <v>6170</v>
      </c>
    </row>
    <row r="15" spans="1:3" x14ac:dyDescent="0.2">
      <c r="A15" s="3" t="s">
        <v>6179</v>
      </c>
      <c r="B15" s="3">
        <v>197</v>
      </c>
      <c r="C15" s="5" t="s">
        <v>6169</v>
      </c>
    </row>
    <row r="16" spans="1:3" x14ac:dyDescent="0.2">
      <c r="A16" s="3" t="s">
        <v>6181</v>
      </c>
      <c r="B16" s="3">
        <v>32</v>
      </c>
      <c r="C16" s="5" t="s">
        <v>6169</v>
      </c>
    </row>
    <row r="17" spans="1:3" x14ac:dyDescent="0.2">
      <c r="A17" s="3" t="s">
        <v>343</v>
      </c>
      <c r="B17" s="3">
        <v>217</v>
      </c>
      <c r="C17" t="s">
        <v>6169</v>
      </c>
    </row>
    <row r="18" spans="1:3" x14ac:dyDescent="0.2">
      <c r="A18" s="3" t="s">
        <v>6171</v>
      </c>
      <c r="B18" s="3">
        <v>4</v>
      </c>
      <c r="C18" s="5" t="s">
        <v>6169</v>
      </c>
    </row>
  </sheetData>
  <sortState xmlns:xlrd2="http://schemas.microsoft.com/office/spreadsheetml/2017/richdata2" ref="A4:C18">
    <sortCondition ref="C4:C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D528-EEBC-634A-A0DA-36165378C6CE}">
  <dimension ref="A1:E11"/>
  <sheetViews>
    <sheetView zoomScale="120" zoomScaleNormal="120" workbookViewId="0">
      <selection activeCell="H18" sqref="H18"/>
    </sheetView>
  </sheetViews>
  <sheetFormatPr baseColWidth="10" defaultRowHeight="16" x14ac:dyDescent="0.2"/>
  <sheetData>
    <row r="1" spans="1:5" s="4" customFormat="1" x14ac:dyDescent="0.2">
      <c r="A1" s="4" t="s">
        <v>23</v>
      </c>
      <c r="B1" s="4" t="s">
        <v>6170</v>
      </c>
      <c r="C1" s="4" t="s">
        <v>6173</v>
      </c>
      <c r="D1" s="4" t="s">
        <v>6174</v>
      </c>
      <c r="E1" s="4" t="s">
        <v>6175</v>
      </c>
    </row>
    <row r="2" spans="1:5" x14ac:dyDescent="0.2">
      <c r="A2" s="3" t="s">
        <v>5010</v>
      </c>
      <c r="B2" s="3">
        <v>35</v>
      </c>
      <c r="C2" s="3">
        <v>27</v>
      </c>
      <c r="D2" s="3">
        <v>62</v>
      </c>
      <c r="E2" s="3">
        <v>0.155</v>
      </c>
    </row>
    <row r="3" spans="1:5" x14ac:dyDescent="0.2">
      <c r="A3" s="3" t="s">
        <v>4502</v>
      </c>
      <c r="B3" s="3">
        <v>16</v>
      </c>
      <c r="C3" s="3">
        <v>17</v>
      </c>
      <c r="D3" s="3">
        <v>33</v>
      </c>
      <c r="E3" s="3">
        <v>8.2500000000000004E-2</v>
      </c>
    </row>
    <row r="4" spans="1:5" x14ac:dyDescent="0.2">
      <c r="A4" s="3" t="s">
        <v>356</v>
      </c>
      <c r="B4" s="3">
        <v>4</v>
      </c>
      <c r="C4" s="3">
        <v>16</v>
      </c>
      <c r="D4" s="3">
        <v>20</v>
      </c>
      <c r="E4" s="3">
        <v>0.05</v>
      </c>
    </row>
    <row r="5" spans="1:5" x14ac:dyDescent="0.2">
      <c r="A5" s="3" t="s">
        <v>647</v>
      </c>
      <c r="B5" s="3">
        <v>9</v>
      </c>
      <c r="C5" s="3">
        <v>29</v>
      </c>
      <c r="D5" s="3">
        <v>38</v>
      </c>
      <c r="E5" s="3">
        <v>9.5000000000000001E-2</v>
      </c>
    </row>
    <row r="6" spans="1:5" x14ac:dyDescent="0.2">
      <c r="A6" s="3" t="s">
        <v>1859</v>
      </c>
      <c r="B6" s="3">
        <v>19</v>
      </c>
      <c r="C6" s="3">
        <v>26</v>
      </c>
      <c r="D6" s="3">
        <v>45</v>
      </c>
      <c r="E6" s="3">
        <v>0.1125</v>
      </c>
    </row>
    <row r="7" spans="1:5" x14ac:dyDescent="0.2">
      <c r="A7" s="3" t="s">
        <v>1823</v>
      </c>
      <c r="B7" s="3">
        <v>18</v>
      </c>
      <c r="C7" s="3">
        <v>41</v>
      </c>
      <c r="D7" s="3">
        <v>59</v>
      </c>
      <c r="E7" s="3">
        <v>0.14749999999999999</v>
      </c>
    </row>
    <row r="8" spans="1:5" x14ac:dyDescent="0.2">
      <c r="A8" s="3" t="s">
        <v>2778</v>
      </c>
      <c r="B8" s="3">
        <v>7</v>
      </c>
      <c r="C8" s="3">
        <v>26</v>
      </c>
      <c r="D8" s="3">
        <v>33</v>
      </c>
      <c r="E8" s="3">
        <v>8.2500000000000004E-2</v>
      </c>
    </row>
    <row r="9" spans="1:5" x14ac:dyDescent="0.2">
      <c r="A9" s="3" t="s">
        <v>1180</v>
      </c>
      <c r="B9" s="3">
        <v>12</v>
      </c>
      <c r="C9" s="3">
        <v>29</v>
      </c>
      <c r="D9" s="3">
        <v>41</v>
      </c>
      <c r="E9" s="3">
        <v>0.10249999999999999</v>
      </c>
    </row>
    <row r="10" spans="1:5" x14ac:dyDescent="0.2">
      <c r="A10" s="3" t="s">
        <v>81</v>
      </c>
      <c r="B10" s="3">
        <v>13</v>
      </c>
      <c r="C10" s="3">
        <v>4</v>
      </c>
      <c r="D10" s="3">
        <v>17</v>
      </c>
      <c r="E10" s="3">
        <v>4.2500000000000003E-2</v>
      </c>
    </row>
    <row r="11" spans="1:5" x14ac:dyDescent="0.2">
      <c r="A11" s="3" t="s">
        <v>3818</v>
      </c>
      <c r="B11" s="3">
        <v>17</v>
      </c>
      <c r="C11" s="3">
        <v>2</v>
      </c>
      <c r="D11" s="3">
        <v>19</v>
      </c>
      <c r="E11" s="3">
        <v>4.7500000000000001E-2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AllMammalRecords_2021-23_Refine</vt:lpstr>
      <vt:lpstr>summary-raw</vt:lpstr>
      <vt:lpstr>summary-cleaned</vt:lpstr>
      <vt:lpstr>sum-lethal-non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Upham</dc:creator>
  <cp:lastModifiedBy>Nathan Upham</cp:lastModifiedBy>
  <dcterms:created xsi:type="dcterms:W3CDTF">2026-02-09T22:54:36Z</dcterms:created>
  <dcterms:modified xsi:type="dcterms:W3CDTF">2026-02-10T01:16:27Z</dcterms:modified>
</cp:coreProperties>
</file>